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#上陣" sheetId="1" r:id="rId5"/>
    <sheet state="visible" name="#基本說明" sheetId="2" r:id="rId6"/>
    <sheet state="visible" name="#職業" sheetId="3" r:id="rId7"/>
    <sheet state="visible" name="#副本玩法" sheetId="4" r:id="rId8"/>
    <sheet state="visible" name="#向性" sheetId="5" r:id="rId9"/>
    <sheet state="visible" name="#lock" sheetId="6" r:id="rId10"/>
    <sheet state="visible" name="character" sheetId="7" r:id="rId11"/>
    <sheet state="visible" name="nature" sheetId="8" r:id="rId12"/>
    <sheet state="visible" name="skill" sheetId="9" r:id="rId13"/>
    <sheet state="visible" name="buff" sheetId="10" r:id="rId14"/>
    <sheet state="visible" name="card" sheetId="11" r:id="rId15"/>
    <sheet state="visible" name="maplist" sheetId="12" r:id="rId16"/>
    <sheet state="visible" name="mapdata" sheetId="13" r:id="rId17"/>
    <sheet state="visible" name="text" sheetId="14" r:id="rId18"/>
    <sheet state="visible" name="dungeonprefeb" sheetId="15" r:id="rId19"/>
    <sheet state="visible" name="dungeon" sheetId="16" r:id="rId20"/>
    <sheet state="visible" name="equipment" sheetId="17" r:id="rId21"/>
    <sheet state="visible" name="build" sheetId="18" r:id="rId22"/>
    <sheet state="visible" name="start_gift" sheetId="19" r:id="rId23"/>
    <sheet state="visible" name="item" sheetId="20" r:id="rId24"/>
    <sheet state="visible" name="idlezone" sheetId="21" r:id="rId25"/>
    <sheet state="visible" name="refine" sheetId="22" r:id="rId26"/>
    <sheet state="visible" name="cost" sheetId="23" r:id="rId27"/>
    <sheet state="visible" name="taglist" sheetId="24" r:id="rId28"/>
    <sheet state="visible" name="talentlist" sheetId="25" r:id="rId29"/>
    <sheet state="visible" name="talent" sheetId="26" r:id="rId30"/>
    <sheet state="visible" name="levelcurve" sheetId="27" r:id="rId31"/>
    <sheet state="visible" name="curve" sheetId="28" r:id="rId32"/>
    <sheet state="visible" name="gacha" sheetId="29" r:id="rId33"/>
    <sheet state="visible" name="gachalist" sheetId="30" r:id="rId3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1">
      <text>
        <t xml:space="preserve">係數一定都會增加；但效果額外換技能製作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int	魔攻	技能傷害	回魔量	
vit	HP	防禦	護盾量	追加最終shield，起始為100%
agi	技能傷害	爆擊率	爆傷害	
str	攻擊力	爆傷害	貫穿	每1點抵銷受擊敵人的防禦1點
dex	爆擊率	攻擊力	異常狀態抗性	ID 4000~5999的抗性機率，初始為0%
spr	魔防	魔攻	治療量	追加最終heal，起始為100%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78">
      <text>
        <t xml:space="preserve">沒填機率=1
填了取代機率</t>
      </text>
    </comment>
    <comment authorId="0" ref="Q45">
      <text>
        <t xml:space="preserve">沒填機率=1
填了取代機率</t>
      </text>
    </comment>
    <comment authorId="0" ref="Q12">
      <text>
        <t xml:space="preserve">沒填機率=1
填了取代機率</t>
      </text>
    </comment>
    <comment authorId="0" ref="Q87">
      <text>
        <t xml:space="preserve">沒填機率=1
填了取代機率</t>
      </text>
    </comment>
    <comment authorId="0" ref="Q2">
      <text>
        <t xml:space="preserve">沒填機率=1
填了取代機率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58">
      <text>
        <t xml:space="preserve">如果有填才啟動，回合開始時該BUFF生效(配合invisible欄位；生效後改為可見的buff)
不填不啟動</t>
      </text>
    </comment>
    <comment authorId="0" ref="AA58">
      <text>
        <t xml:space="preserve">如果有填才啟動，回合開始時當現有HP達大於X%時
(配合invisible欄位；生效後改為可見的buff)
不填不啟動</t>
      </text>
    </comment>
    <comment authorId="0" ref="AB58">
      <text>
        <t xml:space="preserve">如果有填才啟動，回合開始時當現有HP達小於X%時
(配合invisible欄位；生效後改為可見的buff)
不填不啟動</t>
      </text>
    </comment>
    <comment authorId="0" ref="G1">
      <text>
        <t xml:space="preserve">1=水
2=火
3=風</t>
      </text>
    </comment>
    <comment authorId="0" ref="B59">
      <text>
        <t xml:space="preserve">特例</t>
      </text>
    </comment>
    <comment authorId="0" ref="G191">
      <text>
        <t xml:space="preserve">1=水
2=火
3=風</t>
      </text>
    </comment>
    <comment authorId="0" ref="G30">
      <text>
        <t xml:space="preserve">1=水
2=火
3=風</t>
      </text>
    </comment>
    <comment authorId="0" ref="G311">
      <text>
        <t xml:space="preserve">1=水
2=火
3=風</t>
      </text>
    </comment>
    <comment authorId="0" ref="Z1">
      <text>
        <t xml:space="preserve">如果有填才啟動，回合開始時該BUFF生效(配合invisible欄位；生效後改為可見的buff)
不填不啟動</t>
      </text>
    </comment>
    <comment authorId="0" ref="AA1">
      <text>
        <t xml:space="preserve">如果有填才啟動，回合開始時當現有HP達大於X%時
(配合invisible欄位；生效後改為可見的buff)
不填不啟動</t>
      </text>
    </comment>
    <comment authorId="0" ref="AB1">
      <text>
        <t xml:space="preserve">如果有填才啟動，回合開始時當現有HP達小於X%時
(配合invisible欄位；生效後改為可見的buff)
不填不啟動</t>
      </text>
    </comment>
    <comment authorId="0" ref="Z191">
      <text>
        <t xml:space="preserve">如果有填才啟動，回合開始時該BUFF生效(配合invisible欄位；生效後改為可見的buff)
不填不啟動</t>
      </text>
    </comment>
    <comment authorId="0" ref="Z30">
      <text>
        <t xml:space="preserve">如果有填才啟動，回合開始時該BUFF生效(配合invisible欄位；生效後改為可見的buff)
不填不啟動</t>
      </text>
    </comment>
    <comment authorId="0" ref="AA191">
      <text>
        <t xml:space="preserve">如果有填才啟動，回合開始時當現有HP達大於X%時
(配合invisible欄位；生效後改為可見的buff)
不填不啟動</t>
      </text>
    </comment>
    <comment authorId="0" ref="AA30">
      <text>
        <t xml:space="preserve">如果有填才啟動，回合開始時當現有HP達大於X%時
(配合invisible欄位；生效後改為可見的buff)
不填不啟動</t>
      </text>
    </comment>
    <comment authorId="0" ref="AB191">
      <text>
        <t xml:space="preserve">如果有填才啟動，回合開始時當現有HP達小於X%時
(配合invisible欄位；生效後改為可見的buff)
不填不啟動</t>
      </text>
    </comment>
    <comment authorId="0" ref="AB30">
      <text>
        <t xml:space="preserve">如果有填才啟動，回合開始時當現有HP達小於X%時
(配合invisible欄位；生效後改為可見的buff)
不填不啟動</t>
      </text>
    </comment>
    <comment authorId="0" ref="B68">
      <text>
        <t xml:space="preserve">特殊規格(全部做完)</t>
      </text>
    </comment>
    <comment authorId="0" ref="Z311">
      <text>
        <t xml:space="preserve">如果有填才啟動，回合開始時該BUFF生效(配合invisible欄位；生效後改為可見的buff)
不填不啟動</t>
      </text>
    </comment>
    <comment authorId="0" ref="AA311">
      <text>
        <t xml:space="preserve">如果有填才啟動，回合開始時當現有HP達大於X%時
(配合invisible欄位；生效後改為可見的buff)
不填不啟動</t>
      </text>
    </comment>
    <comment authorId="0" ref="AB311">
      <text>
        <t xml:space="preserve">如果有填才啟動，回合開始時當現有HP達小於X%時
(配合invisible欄位；生效後改為可見的buff)
不填不啟動</t>
      </text>
    </comment>
    <comment authorId="0" ref="B60">
      <text>
        <t xml:space="preserve">特例</t>
      </text>
    </comment>
    <comment authorId="0" ref="B69">
      <text>
        <t xml:space="preserve">特殊規格+填表</t>
      </text>
    </comment>
    <comment authorId="0" ref="G73">
      <text>
        <t xml:space="preserve">1=水
2=火
3=風</t>
      </text>
    </comment>
    <comment authorId="0" ref="G36">
      <text>
        <t xml:space="preserve">1=水
2=火
3=風</t>
      </text>
    </comment>
    <comment authorId="0" ref="E65">
      <text>
        <t xml:space="preserve">buff時間到消失時；如有填入表，則進入下一個狀態</t>
      </text>
    </comment>
    <comment authorId="0" ref="B61">
      <text>
        <t xml:space="preserve">特例</t>
      </text>
    </comment>
    <comment authorId="0" ref="G65">
      <text>
        <t xml:space="preserve">1=水
2=火
3=風</t>
      </text>
    </comment>
    <comment authorId="0" ref="Z73">
      <text>
        <t xml:space="preserve">如果有填才啟動，回合開始時該BUFF生效(配合invisible欄位；生效後改為可見的buff)
不填不啟動</t>
      </text>
    </comment>
    <comment authorId="0" ref="AA73">
      <text>
        <t xml:space="preserve">如果有填才啟動，回合開始時當現有HP達大於X%時
(配合invisible欄位；生效後改為可見的buff)
不填不啟動</t>
      </text>
    </comment>
    <comment authorId="0" ref="AB73">
      <text>
        <t xml:space="preserve">如果有填才啟動，回合開始時當現有HP達小於X%時
(配合invisible欄位；生效後改為可見的buff)
不填不啟動</t>
      </text>
    </comment>
    <comment authorId="0" ref="Z36">
      <text>
        <t xml:space="preserve">如果有填才啟動，回合開始時該BUFF生效(配合invisible欄位；生效後改為可見的buff)
不填不啟動</t>
      </text>
    </comment>
    <comment authorId="0" ref="G16">
      <text>
        <t xml:space="preserve">1=水
2=火
3=風</t>
      </text>
    </comment>
    <comment authorId="0" ref="AA36">
      <text>
        <t xml:space="preserve">如果有填才啟動，回合開始時當現有HP達大於X%時
(配合invisible欄位；生效後改為可見的buff)
不填不啟動</t>
      </text>
    </comment>
    <comment authorId="0" ref="AB36">
      <text>
        <t xml:space="preserve">如果有填才啟動，回合開始時當現有HP達小於X%時
(配合invisible欄位；生效後改為可見的buff)
不填不啟動</t>
      </text>
    </comment>
    <comment authorId="0" ref="Z65">
      <text>
        <t xml:space="preserve">如果有填才啟動，回合開始時該BUFF生效(配合invisible欄位；生效後改為可見的buff)
不填不啟動</t>
      </text>
    </comment>
    <comment authorId="0" ref="AA65">
      <text>
        <t xml:space="preserve">如果有填才啟動，回合開始時當現有HP達大於X%時
(配合invisible欄位；生效後改為可見的buff)
不填不啟動</t>
      </text>
    </comment>
    <comment authorId="0" ref="AB65">
      <text>
        <t xml:space="preserve">如果有填才啟動，回合開始時當現有HP達小於X%時
(配合invisible欄位；生效後改為可見的buff)
不填不啟動</t>
      </text>
    </comment>
    <comment authorId="0" ref="G107">
      <text>
        <t xml:space="preserve">1=水
2=火
3=風</t>
      </text>
    </comment>
    <comment authorId="0" ref="B70">
      <text>
        <t xml:space="preserve">特殊規格(無法行動+最終傷害)+填表</t>
      </text>
    </comment>
    <comment authorId="0" ref="B37">
      <text>
        <t xml:space="preserve">特例</t>
      </text>
    </comment>
    <comment authorId="0" ref="B66">
      <text>
        <t xml:space="preserve"> 特殊規格(全部做完)</t>
      </text>
    </comment>
    <comment authorId="0" ref="G293">
      <text>
        <t xml:space="preserve">1=水
2=火
3=風</t>
      </text>
    </comment>
    <comment authorId="0" ref="B62">
      <text>
        <t xml:space="preserve">特例</t>
      </text>
    </comment>
    <comment authorId="0" ref="Z16">
      <text>
        <t xml:space="preserve">如果有填才啟動，回合開始時該BUFF生效(配合invisible欄位；生效後改為可見的buff)
不填不啟動</t>
      </text>
    </comment>
    <comment authorId="0" ref="AA16">
      <text>
        <t xml:space="preserve">如果有填才啟動，回合開始時當現有HP達大於X%時
(配合invisible欄位；生效後改為可見的buff)
不填不啟動</t>
      </text>
    </comment>
    <comment authorId="0" ref="AB16">
      <text>
        <t xml:space="preserve">如果有填才啟動，回合開始時當現有HP達小於X%時
(配合invisible欄位；生效後改為可見的buff)
不填不啟動</t>
      </text>
    </comment>
    <comment authorId="0" ref="G58">
      <text>
        <t xml:space="preserve">1=水
2=火
3=風</t>
      </text>
    </comment>
    <comment authorId="0" ref="Z293">
      <text>
        <t xml:space="preserve">如果有填才啟動，回合開始時該BUFF生效(配合invisible欄位；生效後改為可見的buff)
不填不啟動</t>
      </text>
    </comment>
    <comment authorId="0" ref="AA293">
      <text>
        <t xml:space="preserve">如果有填才啟動，回合開始時當現有HP達大於X%時
(配合invisible欄位；生效後改為可見的buff)
不填不啟動</t>
      </text>
    </comment>
    <comment authorId="0" ref="AB293">
      <text>
        <t xml:space="preserve">如果有填才啟動，回合開始時當現有HP達小於X%時
(配合invisible欄位；生效後改為可見的buff)
不填不啟動</t>
      </text>
    </comment>
    <comment authorId="0" ref="B71">
      <text>
        <t xml:space="preserve">特殊規格(無法行動+最終傷害)+填表</t>
      </text>
    </comment>
    <comment authorId="0" ref="B38">
      <text>
        <t xml:space="preserve">特例</t>
      </text>
    </comment>
    <comment authorId="0" ref="B67">
      <text>
        <t xml:space="preserve">特殊規格+填表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5">
      <text>
        <t xml:space="preserve">gem        =1
weapon	=2
head	=3
armor	=4
shoe	=5
weapon	=6
cloak	=7
Pants	=8</t>
      </text>
    </comment>
    <comment authorId="0" ref="F163">
      <text>
        <t xml:space="preserve">gem        =1
weapon	=2
head	=3
armor	=4
shoe	=5
weapon	=6
cloak	=7
Pants	=8</t>
      </text>
    </comment>
    <comment authorId="0" ref="F2">
      <text>
        <t xml:space="preserve">gem        =1
weapon	=2
head	=3
armor	=4
shoe	=5
weapon	=6
cloak	=7
Pants	=8</t>
      </text>
    </comment>
    <comment authorId="0" ref="L35">
      <text>
        <t xml:space="preserve">1=水
2=火
3=風</t>
      </text>
    </comment>
    <comment authorId="0" ref="L163">
      <text>
        <t xml:space="preserve">1=水
2=火
3=風</t>
      </text>
    </comment>
    <comment authorId="0" ref="L2">
      <text>
        <t xml:space="preserve">1=水
2=火
3=木</t>
      </text>
    </comment>
    <comment authorId="0" ref="M35">
      <text>
        <t xml:space="preserve">type=role才生效
依照倍率玩家可以加乘%*職業等級至整個隊伍
五維倍率</t>
      </text>
    </comment>
    <comment authorId="0" ref="M163">
      <text>
        <t xml:space="preserve">type=role才生效
依照倍率玩家可以加乘至整個隊伍
五維倍率</t>
      </text>
    </comment>
    <comment authorId="0" ref="M2">
      <text>
        <t xml:space="preserve">type=role才生效
依照倍率玩家可以加乘至整個隊伍
五維倍率</t>
      </text>
    </comment>
    <comment authorId="0" ref="F53">
      <text>
        <t xml:space="preserve">gem        =1
weapon	=2
head	=3
armor	=4
shoe	=5
weapon	=6
cloak	=7
Pants	=8</t>
      </text>
    </comment>
    <comment authorId="0" ref="F144">
      <text>
        <t xml:space="preserve">gem        =1
weapon	=2
head	=3
armor	=4
shoe	=5
weapon	=6
cloak	=7
Pants	=8</t>
      </text>
    </comment>
    <comment authorId="0" ref="L53">
      <text>
        <t xml:space="preserve">1=水
2=火
3=風</t>
      </text>
    </comment>
    <comment authorId="0" ref="Z2">
      <text>
        <t xml:space="preserve">900	SSR武器升星-物攻1
901	SSR武器升星-魔攻1
902	SR武器升星-物攻1
903	SR武器升星-魔攻1
904	R武器升星-物攻1
905	R武器升星-魔攻1</t>
      </text>
    </comment>
    <comment authorId="0" ref="M53">
      <text>
        <t xml:space="preserve">type=role才生效
依照倍率玩家可以加乘至整個隊伍
五維倍率</t>
      </text>
    </comment>
    <comment authorId="0" ref="L144">
      <text>
        <t xml:space="preserve">1=水
2=火
3=風</t>
      </text>
    </comment>
    <comment authorId="0" ref="M144">
      <text>
        <t xml:space="preserve">type=role才生效
依照倍率玩家可以加乘至整個隊伍
五維倍率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8">
      <text>
        <t xml:space="preserve">-1=我方全隊
1=敵方全隊
不填=全場效果</t>
      </text>
    </comment>
    <comment authorId="0" ref="T81">
      <text>
        <t xml:space="preserve">-1=我方全隊
1=敵方全隊
不填=全場效果</t>
      </text>
    </comment>
    <comment authorId="0" ref="E1">
      <text>
        <t xml:space="preserve">每個等級所有除了敏捷的數值(HP、ATK、MATK、DEF、MDE、MP，均成長level*0.3的數值
ex. 攻擊力=起始攻擊力 * (1+level*0.03)
*9/10新增；map_開頭的地圖填入level後只有符合大於等於的等級才可以骰到該地圖(無限dungeon玩法)</t>
      </text>
    </comment>
    <comment authorId="0" ref="E129">
      <text>
        <t xml:space="preserve">每個等級所有除了敏捷的數值(HP、ATK、MATK、DEF、MDE、MP，均成長level*0.3的數值
ex. 攻擊力=起始攻擊力 * (1+level*0.03)
敏捷每等級成長*0.01</t>
      </text>
    </comment>
    <comment authorId="0" ref="G1">
      <text>
        <t xml:space="preserve">{id:-1} = 可上陣英雄數量(我方)</t>
      </text>
    </comment>
    <comment authorId="0" ref="G129">
      <text>
        <t xml:space="preserve">{id:-1} = 可上陣英雄數量(我方)</t>
      </text>
    </comment>
    <comment authorId="0" ref="H1">
      <text>
        <t xml:space="preserve">進入前要不要布陣，要=1</t>
      </text>
    </comment>
    <comment authorId="0" ref="I1">
      <text>
        <t xml:space="preserve">推薦戰力</t>
      </text>
    </comment>
    <comment authorId="0" ref="E122">
      <text>
        <t xml:space="preserve">每個等級所有除了敏捷的數值(HP、ATK、MATK、DEF、MDE、MP，均成長level*0.3的數值
ex. 攻擊力=起始攻擊力 * (1+level*0.03)
敏捷每等級成長*0.01</t>
      </text>
    </comment>
    <comment authorId="0" ref="N1">
      <text>
        <t xml:space="preserve">-1=我方全隊
1=敵方全隊
不填=全場效果</t>
      </text>
    </comment>
    <comment authorId="0" ref="G122">
      <text>
        <t xml:space="preserve">{id:-1} = 可上陣英雄數量(我方)</t>
      </text>
    </comment>
    <comment authorId="0" ref="N129">
      <text>
        <t xml:space="preserve">-1=我方全隊
1=敵方全隊
不填=全場效果</t>
      </text>
    </comment>
    <comment authorId="0" ref="T1">
      <text>
        <t xml:space="preserve">-1=我方全隊
1=敵方全隊
不填=全場效果</t>
      </text>
    </comment>
    <comment authorId="0" ref="E18">
      <text>
        <t xml:space="preserve">每個等級所有除了敏捷的數值(HP、ATK、MATK、DEF、MDE、MP，均成長level*0.3的數值
ex. 攻擊力=起始攻擊力 * (1+level*0.03)
敏捷每等級成長*0.01</t>
      </text>
    </comment>
    <comment authorId="0" ref="T129">
      <text>
        <t xml:space="preserve">-1=我方全隊
1=敵方全隊
不填=全場效果</t>
      </text>
    </comment>
    <comment authorId="0" ref="E81">
      <text>
        <t xml:space="preserve">每個等級所有除了敏捷的數值(HP、ATK、MATK、DEF、MDE、MP，均成長level*0.3的數值
ex. 攻擊力=起始攻擊力 * (1+level*0.03)
敏捷每等級成長*0.01</t>
      </text>
    </comment>
    <comment authorId="0" ref="N122">
      <text>
        <t xml:space="preserve">-1=我方全隊
1=敵方全隊
不填=全場效果</t>
      </text>
    </comment>
    <comment authorId="0" ref="G18">
      <text>
        <t xml:space="preserve">{id:-1} = 可上陣英雄數量(我方)</t>
      </text>
    </comment>
    <comment authorId="0" ref="G81">
      <text>
        <t xml:space="preserve">{id:-1} = 可上陣英雄數量(我方)</t>
      </text>
    </comment>
    <comment authorId="0" ref="T122">
      <text>
        <t xml:space="preserve">-1=我方全隊
1=敵方全隊
不填=全場效果</t>
      </text>
    </comment>
    <comment authorId="0" ref="N18">
      <text>
        <t xml:space="preserve">-1=我方全隊
1=敵方全隊
不填=全場效果</t>
      </text>
    </comment>
    <comment authorId="0" ref="N81">
      <text>
        <t xml:space="preserve">-1=我方全隊
1=敵方全隊
不填=全場效果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story=劇情喔放模式
guild=無關的引導劇情模式
不填=call function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初始每場直接過關機率=20%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武器、腳201,202,203,204
頭、身205,206,207,208
褲、批209,210,211,212</t>
      </text>
    </comment>
    <comment authorId="0" ref="D1">
      <text>
        <t xml:space="preserve">武器 腳
攻 魔攻 魔力 技能傷害抵抗
攻 魔攻 魔力 爆擊率
攻 魔攻 魔力 護盾量
攻 魔攻 魔力 貫穿</t>
      </text>
    </comment>
    <comment authorId="0" ref="X1">
      <text>
        <t xml:space="preserve">偏移值
正負%數(0.1=10%)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99=貨幣
1=消耗品
100=card碎片
9999=帳號經驗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每個等級所有除了敏捷的數值(HP、ATK、MATK、DEF、MDE、MP，均成長level*0.3的數值
ex. 攻擊力=起始攻擊力 * (1+level*0.03)
敏捷每等級成長*0.01</t>
      </text>
    </comment>
    <comment authorId="0" ref="D1">
      <text>
        <t xml:space="preserve">每5分鐘獲得一次獎勵
填入多個ID的話 平分機率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800=寶石強化
900=裝備升星</t>
      </text>
    </comment>
    <comment authorId="0" ref="F45">
      <text>
        <t xml:space="preserve">900	SSR武器升星-物攻1
901	SSR武器升星-魔攻1
902	SR武器升星-物攻1
903	SR武器升星-魔攻1
904	R武器升星-物攻1
905	R武器升星-魔攻1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800=裝備
700=寶石強化
900=裝備升星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1. group為這個是同一個群組，視同一起顯示的群組。
2. 切成5個顯示的位置(display_position，5個位置的相對位置)與出現列(在第幾行)display_position={0},{0},{1},{0},{0} 與display_line=1，五個中的第三個位置顯示，並在第1行
3. front中的關係為前置解鎖點，如果有解鎖時才可以使用，填多個值的對應用法逗號="或"的邏輯，front=104,105,106， 104或105或106解鎖都行。
4. cost為每個學習的消耗point數量
獲得點數
1. 任意職業等級提升時獲得點數參考curve表的type=1，同一type內對應到等級，於小於level時的等級升級時，均可獲得該數字的point</t>
      </text>
    </comment>
    <comment authorId="0" ref="C1">
      <text>
        <t xml:space="preserve">card中的role_id決定開啟條件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1. group為這個是同一個群組，視同一起顯示的群組。
2. 切成5個顯示的位置(display_position，5個位置的相對位置)與出現列(在第幾行)display_position={0},{0},{1},{0},{0} 與display_line=1，五個中的第三個位置顯示，並在第1行
3. front中的關係為前置解鎖點，如果有解鎖時才可以使用，填多個值的對應用法逗號="或"的邏輯，front=104,105,106， 104或105或106解鎖都行。
4. cost為每個學習的消耗point數量
獲得點數
1. 任意職業等級提升時獲得點數參考curve表的type=1，同一type內對應到等級，於小於level時的等級升級時，均可獲得該數字的point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level x 等於小於時； 每等級給予的天賦點數</t>
      </text>
    </comment>
  </commentList>
</comments>
</file>

<file path=xl/sharedStrings.xml><?xml version="1.0" encoding="utf-8"?>
<sst xmlns="http://schemas.openxmlformats.org/spreadsheetml/2006/main" count="14604" uniqueCount="4559">
  <si>
    <t>UI參考</t>
  </si>
  <si>
    <t>單詞規則說明</t>
  </si>
  <si>
    <t>指定</t>
  </si>
  <si>
    <t>HERO</t>
  </si>
  <si>
    <t>攻擊數量</t>
  </si>
  <si>
    <t>特性</t>
  </si>
  <si>
    <t>掉落機制</t>
  </si>
  <si>
    <t>掉落物</t>
  </si>
  <si>
    <t>SSR</t>
  </si>
  <si>
    <t>傷害公式</t>
  </si>
  <si>
    <t>物理攻擊</t>
  </si>
  <si>
    <t>SR</t>
  </si>
  <si>
    <t>回魔量</t>
  </si>
  <si>
    <t>傷害 = Self_Atk*Self_Atk / (Enemy_Def+Self_Atk) * (Skill_Self_SkillRate*Skill係數) *   if(cri亂數決定是否爆擊true *criDamge[先定150%即可] )</t>
  </si>
  <si>
    <t>魔法攻擊</t>
  </si>
  <si>
    <t>R</t>
  </si>
  <si>
    <t>神格試煉</t>
  </si>
  <si>
    <t>出戰限制，隨機決定</t>
  </si>
  <si>
    <t xml:space="preserve">劍士 </t>
  </si>
  <si>
    <t>每場都有獎勵</t>
  </si>
  <si>
    <t>普攻</t>
  </si>
  <si>
    <t>兵員1(敵方)</t>
  </si>
  <si>
    <t>職業經驗</t>
  </si>
  <si>
    <t>轉職卷碎片</t>
  </si>
  <si>
    <t>帳號用</t>
  </si>
  <si>
    <t>悟性藥水(有機會獲得點數；累積制)</t>
  </si>
  <si>
    <t>兵員2(敵方)</t>
  </si>
  <si>
    <t>劍豪</t>
  </si>
  <si>
    <t>兵員3(敵方)</t>
  </si>
  <si>
    <t>狂怒一擊</t>
  </si>
  <si>
    <t>CD</t>
  </si>
  <si>
    <t>兵員4(敵方)</t>
  </si>
  <si>
    <t>貫穿</t>
  </si>
  <si>
    <t>對敵方1體造成3AD物攻的物理傷害，並40%附加暈眩</t>
  </si>
  <si>
    <t>狂戰士</t>
  </si>
  <si>
    <t>貫穿抵抗</t>
  </si>
  <si>
    <t>兵員5(敵方)</t>
  </si>
  <si>
    <t>全隊增加攻擊力</t>
  </si>
  <si>
    <t>CD=2</t>
  </si>
  <si>
    <t>為全體附加攻擊上升</t>
  </si>
  <si>
    <t>試煉之塔</t>
  </si>
  <si>
    <t>神射手</t>
  </si>
  <si>
    <t>爬塔</t>
  </si>
  <si>
    <t>隨機</t>
  </si>
  <si>
    <t>抽卡卷</t>
  </si>
  <si>
    <t>S_HP</t>
  </si>
  <si>
    <t>刺客</t>
  </si>
  <si>
    <t>治療量</t>
  </si>
  <si>
    <t>減療量</t>
  </si>
  <si>
    <t xml:space="preserve">戰士 </t>
  </si>
  <si>
    <t>恢復反轉</t>
  </si>
  <si>
    <t>魔導士</t>
  </si>
  <si>
    <t>無限地城</t>
  </si>
  <si>
    <t>選等級；中間獲得增益到打過</t>
  </si>
  <si>
    <t>挑戰整輪,打完才有獎勵</t>
  </si>
  <si>
    <t>等於全體角色平均的血量；該值歸0將戰鬥失敗</t>
  </si>
  <si>
    <t>重劍防禦</t>
  </si>
  <si>
    <t>裝備</t>
  </si>
  <si>
    <t>對我方隨機2體附加3AD的護盾</t>
  </si>
  <si>
    <t>武器碎片</t>
  </si>
  <si>
    <t>神官</t>
  </si>
  <si>
    <t>裝備洗鍊書</t>
  </si>
  <si>
    <t>強化石</t>
  </si>
  <si>
    <t>護盾量</t>
  </si>
  <si>
    <t>全隊增加防禦力</t>
  </si>
  <si>
    <t>護盾量減少</t>
  </si>
  <si>
    <t>為全體附加防禦上升</t>
  </si>
  <si>
    <t>戰法</t>
  </si>
  <si>
    <t>殲滅任務</t>
  </si>
  <si>
    <t>特殊技能；於回合開始時發動，自動狀態下可先進行預約；下回合如果SP符合則可施放</t>
  </si>
  <si>
    <t>初始職業</t>
  </si>
  <si>
    <t>多wave；要一次打過</t>
  </si>
  <si>
    <t>水晶物理防</t>
  </si>
  <si>
    <t>一階</t>
  </si>
  <si>
    <t>等於全體角色的平均防禦量；受到直接攻擊時視同水晶的物理防禦，進入戰鬥後不會收BUFF影響提升與降低</t>
  </si>
  <si>
    <t>二階</t>
  </si>
  <si>
    <t>武器經驗</t>
  </si>
  <si>
    <t>三階</t>
  </si>
  <si>
    <t>寶石</t>
  </si>
  <si>
    <t>四階</t>
  </si>
  <si>
    <t xml:space="preserve">弓劍手 </t>
  </si>
  <si>
    <t>水晶魔法防</t>
  </si>
  <si>
    <t>等於全體角色的平均魔法防禦量；受到直接攻擊時視同水晶的物理防禦，進入戰鬥後不會收BUFF影響提升與降低</t>
  </si>
  <si>
    <t>劍士</t>
  </si>
  <si>
    <t>劍狂</t>
  </si>
  <si>
    <t>劍聖</t>
  </si>
  <si>
    <t>神劍使</t>
  </si>
  <si>
    <t>帳號配點</t>
  </si>
  <si>
    <t>全速攻擊</t>
  </si>
  <si>
    <t>點數只要有固定的數字出現；會有新的個性出現</t>
  </si>
  <si>
    <t>對敵方2體造成1.65物攻的物理傷害，並為自身附加行動加快</t>
  </si>
  <si>
    <t>聖戰神</t>
  </si>
  <si>
    <t>黑十字騎士</t>
  </si>
  <si>
    <t>聖痕征服者</t>
  </si>
  <si>
    <t>全隊增加技能傷害</t>
  </si>
  <si>
    <t>int</t>
  </si>
  <si>
    <t>為全體附加技能傷害上升</t>
  </si>
  <si>
    <t>魔攻</t>
  </si>
  <si>
    <t>角色用</t>
  </si>
  <si>
    <t>技能傷害</t>
  </si>
  <si>
    <t>戰士</t>
  </si>
  <si>
    <t>戰將</t>
  </si>
  <si>
    <t>戰神</t>
  </si>
  <si>
    <t>不滅戰神</t>
  </si>
  <si>
    <t>vit</t>
  </si>
  <si>
    <t>重裝騎士</t>
  </si>
  <si>
    <t>鋼鐵騎士</t>
  </si>
  <si>
    <t>HP</t>
  </si>
  <si>
    <t>守護戰神</t>
  </si>
  <si>
    <t>防禦</t>
  </si>
  <si>
    <t>盜賊</t>
  </si>
  <si>
    <t>劇毒匕首</t>
  </si>
  <si>
    <t>agi</t>
  </si>
  <si>
    <t>對敵方1體造成3.1物攻的物理傷害，並附加中毒效果</t>
  </si>
  <si>
    <t>兵員1(我方)</t>
  </si>
  <si>
    <t>弓手</t>
  </si>
  <si>
    <t>爆擊率</t>
  </si>
  <si>
    <t>狙擊者</t>
  </si>
  <si>
    <t>兵員2(我方)</t>
  </si>
  <si>
    <t>行動值</t>
  </si>
  <si>
    <t>天穹獵手</t>
  </si>
  <si>
    <t>星弦獵神</t>
  </si>
  <si>
    <t>兵員3(我方)</t>
  </si>
  <si>
    <t>角色的HP數值(起始就全滿)，歸0時則死亡</t>
  </si>
  <si>
    <t>兵員4(我方)</t>
  </si>
  <si>
    <t>全隊增加爆擊率</t>
  </si>
  <si>
    <t>str</t>
  </si>
  <si>
    <t>兵員5(我方)</t>
  </si>
  <si>
    <t>全隊增加爆擊率上升</t>
  </si>
  <si>
    <t>攻擊力</t>
  </si>
  <si>
    <t>遊俠</t>
  </si>
  <si>
    <t>爆傷害</t>
  </si>
  <si>
    <t>森林王</t>
  </si>
  <si>
    <t>萬獸獵王</t>
  </si>
  <si>
    <t>MP</t>
  </si>
  <si>
    <t>每1點抵銷受擊敵人的防禦1點</t>
  </si>
  <si>
    <t>角色的MP數值(起始就全滿)，需要足夠的MP量才可以施放skill1與skill2，每回合開始時自動恢復10%</t>
  </si>
  <si>
    <t>魔法師</t>
  </si>
  <si>
    <t>dex</t>
  </si>
  <si>
    <t>影刃</t>
  </si>
  <si>
    <t>暗影宗師</t>
  </si>
  <si>
    <t>虛空刺客</t>
  </si>
  <si>
    <t>普通攻擊</t>
  </si>
  <si>
    <t>全體點燃</t>
  </si>
  <si>
    <t>異常狀態抗性</t>
  </si>
  <si>
    <t>一般攻擊；不消耗MP，並且如果無前方角色進行抵擋傷害時，直接傷害召喚水晶(防禦用召喚水晶為準)</t>
  </si>
  <si>
    <t>對敵方全體造成0.6魔攻的魔法傷害，並附加灼傷</t>
  </si>
  <si>
    <t>ID 4000~5999的抗性機率，初始為0%</t>
  </si>
  <si>
    <t>遊蕩者</t>
  </si>
  <si>
    <t>暗夜獵手</t>
  </si>
  <si>
    <t>幻影宗師</t>
  </si>
  <si>
    <t>skill1</t>
  </si>
  <si>
    <t>全隊增加魔攻上升</t>
  </si>
  <si>
    <t>將會消耗MP才能進行施放</t>
  </si>
  <si>
    <t>skill2</t>
  </si>
  <si>
    <t>法師</t>
  </si>
  <si>
    <t>大魔導士</t>
  </si>
  <si>
    <t>賢者</t>
  </si>
  <si>
    <t>大賢者</t>
  </si>
  <si>
    <t>移動位置</t>
  </si>
  <si>
    <t>咒術師</t>
  </si>
  <si>
    <t>*依照敏捷依序進行攻擊；攻擊規則詳參基本說明</t>
  </si>
  <si>
    <t>如自身左右方沒有英雄時，可以換取位置，但會消耗一回合</t>
  </si>
  <si>
    <t>spr</t>
  </si>
  <si>
    <t>禁術師</t>
  </si>
  <si>
    <t>魔防</t>
  </si>
  <si>
    <t>深淵術士</t>
  </si>
  <si>
    <t>重生</t>
  </si>
  <si>
    <t>所有的角色死亡都會自動依照回合數進行自動復活(HP全滿、MP全滿)</t>
  </si>
  <si>
    <t>追加最終heal，起始為100%</t>
  </si>
  <si>
    <t>實習祭司</t>
  </si>
  <si>
    <t>重生時間</t>
  </si>
  <si>
    <t>復活時hp與mp階滿</t>
  </si>
  <si>
    <t>治療</t>
  </si>
  <si>
    <t>對我方隨機2體3AP魔攻的HP恢復</t>
  </si>
  <si>
    <t>起始開放</t>
  </si>
  <si>
    <t>祭司</t>
  </si>
  <si>
    <t>主教</t>
  </si>
  <si>
    <t>聖者</t>
  </si>
  <si>
    <t>武器轉蛋</t>
  </si>
  <si>
    <t>聖女／聖王</t>
  </si>
  <si>
    <t>全隊增加魔防</t>
  </si>
  <si>
    <t>為全體附加魔防上升</t>
  </si>
  <si>
    <t>戰鬥祭司</t>
  </si>
  <si>
    <t>職業</t>
  </si>
  <si>
    <t>神殿騎士</t>
  </si>
  <si>
    <t>聖裁者</t>
  </si>
  <si>
    <t>戰鬥用</t>
  </si>
  <si>
    <t>職業-天賦</t>
  </si>
  <si>
    <t>迴旋打擊</t>
  </si>
  <si>
    <t>為隨機3名敵人造成&lt;AD&gt;的物理傷害</t>
  </si>
  <si>
    <t>天翔十字閃</t>
  </si>
  <si>
    <t>主線關卡 / 帳號等級</t>
  </si>
  <si>
    <t>勝利條件1=全部召喚角色死亡(小於等於0)</t>
  </si>
  <si>
    <t>為敵方3名敵人造成&lt;AD&gt;物理傷害，並附加防禦下降2層</t>
  </si>
  <si>
    <t>人劍合一</t>
  </si>
  <si>
    <t>為所有#名刀附加攻擊+30%層爆率+20%，爆擊傷害+50%</t>
  </si>
  <si>
    <t>勝利條件2=召喚水晶HP死亡(小於等於0)</t>
  </si>
  <si>
    <t>SKILL中沒有填AP與AD細數時；不需要有特效，並且需要判定如有填入buff_id時則須增加該BUFF至角色身上</t>
  </si>
  <si>
    <t>攻擊時；只要受擊的對方已死亡，該傷害將重新計算至召喚水晶(S_HP、水晶物理防、水晶魔法防規則)</t>
  </si>
  <si>
    <t>可以把英雄 跟召喚水晶理解成前排與後排，前排的英雄可以抵擋傷害，當前排死亡時；所有遠本會打到前排的攻擊(所有5個位置都會)，都會打到後排的召喚水晶</t>
  </si>
  <si>
    <t>死亡的英雄不再顯示於行動順序上；每個回合將重新排序</t>
  </si>
  <si>
    <t>傷害溢出功能，當次的攻擊可以造成角色死亡時；該多餘的傷害需要直接傷害到水晶(傷害不變)</t>
  </si>
  <si>
    <t>水晶直接攻擊 的 水晶直接傷害追加一個規則，就是必定造成傷害再追加100%(總共兩倍)</t>
  </si>
  <si>
    <t>武器升級</t>
  </si>
  <si>
    <t>復活時不再透過角色hp來減少當下的s_hp</t>
  </si>
  <si>
    <t>element有互克關係；水剋火,火剋木,木剋水，剋制關係時造成的最終傷害增加+30%(水打火)、被剋制關係時火打水時造成的最終傷害-30%</t>
  </si>
  <si>
    <t>level</t>
  </si>
  <si>
    <t>HP / ATK / MATK / DEF / MDEF / MP = 起始數值 * (1 + level * 0.03)</t>
  </si>
  <si>
    <t>武器升星</t>
  </si>
  <si>
    <t>掛機系統</t>
  </si>
  <si>
    <t xml:space="preserve"> AGI = 起始AGI * (1 + level * 0.01) level = 0 時完全不縮放，維持原始數值</t>
  </si>
  <si>
    <t>傷害(物理傷害) = Self_Atk*Self_Atk / (Enemy_Def+Self_Atk) * (Skill_Self_SkillRate*Skill係數) *   if(cri亂數決定是否爆擊true * criDamge[最低150%依照後續追加] )</t>
  </si>
  <si>
    <t>捕獲</t>
  </si>
  <si>
    <t>副本-試煉之塔(推塔)</t>
  </si>
  <si>
    <t>自動下一關開放</t>
  </si>
  <si>
    <t>攻擊傷害 = (Self_atk^2 / (Self_atk+enemy_def ))* Damage *IfCri</t>
  </si>
  <si>
    <t>神格</t>
  </si>
  <si>
    <t>一般、普通、困難、惡夢(難度選擇；等級區間)</t>
  </si>
  <si>
    <t>職業裝備</t>
  </si>
  <si>
    <t>Damage =  (1+self_damageIncrease +  selfBuff_damageIncrease) * (1- enemy_damageReduce)*(1- enemyBuff_damageReduce)</t>
  </si>
  <si>
    <t>無限地城(10~50自己切換)</t>
  </si>
  <si>
    <t>*戰鬥中有可能會有相對應的Buff被追加，self / enemy是帶入戰鬥時的基礎；有cuerrent要被加到1+與1- 的算式中</t>
  </si>
  <si>
    <t>*紅字可以直接透過slot結果帶入</t>
  </si>
  <si>
    <t>轉職</t>
  </si>
  <si>
    <t>計算爆擊:      (self_cri  - enemy_criReduce ) 減後；計算爆擊率</t>
  </si>
  <si>
    <t>魔法石</t>
  </si>
  <si>
    <t>爆擊時    :     IfCri =  150% + (self_criDamage - enemy_criDamageReduce) ；()內值最小=0</t>
  </si>
  <si>
    <t>副本-殲滅任務(多wave)</t>
  </si>
  <si>
    <t>無限地城(10~130自己切換)</t>
  </si>
  <si>
    <t>無限地城(50~100自己切換)</t>
  </si>
  <si>
    <t>主線(一般)</t>
  </si>
  <si>
    <t>50鑽石</t>
  </si>
  <si>
    <t>主線(BOSS節點)</t>
  </si>
  <si>
    <t>1000鑽石</t>
  </si>
  <si>
    <t>星0</t>
  </si>
  <si>
    <t>星1</t>
  </si>
  <si>
    <t>星2</t>
  </si>
  <si>
    <t>星3</t>
  </si>
  <si>
    <t>星4</t>
  </si>
  <si>
    <t>星5</t>
  </si>
  <si>
    <t>星6</t>
  </si>
  <si>
    <t>星7</t>
  </si>
  <si>
    <t>星8</t>
  </si>
  <si>
    <t>星9</t>
  </si>
  <si>
    <t>星10</t>
  </si>
  <si>
    <t>對象</t>
  </si>
  <si>
    <t>攻擊係數</t>
  </si>
  <si>
    <t>-</t>
  </si>
  <si>
    <t>★</t>
  </si>
  <si>
    <t>★★</t>
  </si>
  <si>
    <t>★★★</t>
  </si>
  <si>
    <t>★★★★</t>
  </si>
  <si>
    <t>★★★★★</t>
  </si>
  <si>
    <t>☆★★★★</t>
  </si>
  <si>
    <t>☆☆★★★</t>
  </si>
  <si>
    <t>☆☆☆★★</t>
  </si>
  <si>
    <t>☆☆☆☆★</t>
  </si>
  <si>
    <t>☆☆☆☆☆</t>
  </si>
  <si>
    <t>#魔器</t>
  </si>
  <si>
    <t>#魔法</t>
  </si>
  <si>
    <t>#輸出</t>
  </si>
  <si>
    <t>#毀天滅地</t>
  </si>
  <si>
    <t>#元素狂襲</t>
  </si>
  <si>
    <t>#灼熱</t>
  </si>
  <si>
    <t>火之迦具土神劍</t>
  </si>
  <si>
    <t>業火一閃</t>
  </si>
  <si>
    <t>日本神話中，素盞鳴尊斬殺火神迦具土時所用的十拳劍（亦稱羽羽斬），本身便與烈火、神血及斬擊淬鍊息息相關。</t>
  </si>
  <si>
    <t>*群體最強</t>
  </si>
  <si>
    <t>對隨機敵方2體造成&lt;AP&gt;魔攻的魔法傷害，並40%機率附加灼傷</t>
  </si>
  <si>
    <t>灼傷發動機率+10%</t>
  </si>
  <si>
    <t>灼傷發動機率+20%</t>
  </si>
  <si>
    <t>攻擊對象改為4體</t>
  </si>
  <si>
    <t>灼傷發動機率+30%</t>
  </si>
  <si>
    <t>解除受擊者護盾效果</t>
  </si>
  <si>
    <t>該武器基礎魔攻10%</t>
  </si>
  <si>
    <t>該武器基礎追加魔攻20%</t>
  </si>
  <si>
    <t>該武器額外技能傷害10%</t>
  </si>
  <si>
    <t>該武器額外技能傷害20%、爆擊率+10%</t>
  </si>
  <si>
    <t>AGI提升5</t>
  </si>
  <si>
    <t>tpye</t>
  </si>
  <si>
    <t>#神祇恩賜</t>
  </si>
  <si>
    <t>limite</t>
  </si>
  <si>
    <t>炎帝降世</t>
  </si>
  <si>
    <t>CD:7</t>
  </si>
  <si>
    <t>對敵方全體造成傷害，並附加灼傷效果</t>
  </si>
  <si>
    <t>cd-1</t>
  </si>
  <si>
    <t>自身額外附加炎帝(2回合魔攻+30%)</t>
  </si>
  <si>
    <t>自身額外附加極•炎帝(2回合魔攻+50%，技能傷害+10%)</t>
  </si>
  <si>
    <t>ATK</t>
  </si>
  <si>
    <t>MATK</t>
  </si>
  <si>
    <t>DEF</t>
  </si>
  <si>
    <t>MDEF</t>
  </si>
  <si>
    <t>CRI</t>
  </si>
  <si>
    <t>cri_resist</t>
  </si>
  <si>
    <t>AGI</t>
  </si>
  <si>
    <t>damage_reflect</t>
  </si>
  <si>
    <t>cri_damage</t>
  </si>
  <si>
    <t>cri_damage_resist</t>
  </si>
  <si>
    <t>skill_rate</t>
  </si>
  <si>
    <t>skill_resist</t>
  </si>
  <si>
    <t>damage_increase</t>
  </si>
  <si>
    <t>damage_reduce</t>
  </si>
  <si>
    <t>mp_recove</t>
  </si>
  <si>
    <t>shield_rate</t>
  </si>
  <si>
    <t>permeate</t>
  </si>
  <si>
    <t>atypical_rate</t>
  </si>
  <si>
    <t>heal_rate</t>
  </si>
  <si>
    <t>#名刀</t>
  </si>
  <si>
    <t>#致命一擊</t>
  </si>
  <si>
    <t>#臨寒</t>
  </si>
  <si>
    <t>#自然之怒</t>
  </si>
  <si>
    <t>童子切安綱</t>
  </si>
  <si>
    <t>除魔霜障</t>
  </si>
  <si>
    <t>日本天下五劍之一，傳說曾用來斬殺酒吞童子的傳世太刀。</t>
  </si>
  <si>
    <t>對隨機敵方2體造成&lt;AP&gt;魔攻的魔法傷害，並40%機率附加凍傷</t>
  </si>
  <si>
    <t>額外魔防下降1層</t>
  </si>
  <si>
    <t>凍傷發動機率+10%</t>
  </si>
  <si>
    <t>攻擊對象改為3體</t>
  </si>
  <si>
    <t>額外50%機率冰凍</t>
  </si>
  <si>
    <t>冰凍機率增加30%，並且凍傷發動機率追加30%</t>
  </si>
  <si>
    <t>該武器基礎追加魔攻15%</t>
  </si>
  <si>
    <t>神酒破鬼陣</t>
  </si>
  <si>
    <t>CD:8</t>
  </si>
  <si>
    <t>對敵方3體造成傷害，並附加魔防下降3層</t>
  </si>
  <si>
    <t>對受擊者附加凍傷效果1層</t>
  </si>
  <si>
    <t>對受擊者附加凍傷效果改為3層</t>
  </si>
  <si>
    <t>#恢復</t>
  </si>
  <si>
    <t>#生生不息</t>
  </si>
  <si>
    <t>#巧奪天工</t>
  </si>
  <si>
    <t>村雨</t>
  </si>
  <si>
    <t>萬物洗淨</t>
  </si>
  <si>
    <t>日本傳說中刀身會自帶水氣、殺人後能如雨水般洗淨血跡的妖刀。</t>
  </si>
  <si>
    <t>*最強補</t>
  </si>
  <si>
    <t>為我方2體恢復&lt;AP&gt;魔攻的HP</t>
  </si>
  <si>
    <t>為受治療的對象附加防禦上升效果2層</t>
  </si>
  <si>
    <t>為治癒的對象解除灼傷1回合</t>
  </si>
  <si>
    <t>額外附加持續回魔效果</t>
  </si>
  <si>
    <t>清除對象的所有異常狀態</t>
  </si>
  <si>
    <t>該武器額外減傷10%</t>
  </si>
  <si>
    <t>該武器額外減傷20%、爆擊抗性-10%</t>
  </si>
  <si>
    <t>清泉怒濤</t>
  </si>
  <si>
    <t>CD:6</t>
  </si>
  <si>
    <t>對我方全體恢復hp</t>
  </si>
  <si>
    <t>額外附加攻擊上升與魔攻上升效果2層</t>
  </si>
  <si>
    <t>額外附加技能傷害上升與爆擊上升效果</t>
  </si>
  <si>
    <t>#寶器</t>
  </si>
  <si>
    <t>#物理</t>
  </si>
  <si>
    <t>#疾風迅雷</t>
  </si>
  <si>
    <t>#橫掃千軍</t>
  </si>
  <si>
    <t>隆基努斯之槍</t>
  </si>
  <si>
    <t>防禦崩解</t>
  </si>
  <si>
    <t>纏繞著佛珠以鎮壓邪氣的傳奇名刀，同為日本天下五劍之一。</t>
  </si>
  <si>
    <t>對隨機敵方4體造成&lt;AD&gt;物攻的物理攻擊，附加防禦下降</t>
  </si>
  <si>
    <t>追加附加爆擊下降2層</t>
  </si>
  <si>
    <t>攻擊對象改為全體</t>
  </si>
  <si>
    <t>改物防與魔防下降一次兩層</t>
  </si>
  <si>
    <t>追加附加技能傷害下降2層</t>
  </si>
  <si>
    <t>清除對象的上升狀態</t>
  </si>
  <si>
    <t>神罰裁決</t>
  </si>
  <si>
    <t>對敵方3體造成傷害，自身附加行動加快</t>
  </si>
  <si>
    <t>40%機率附加麻痺效果</t>
  </si>
  <si>
    <t>改成100%附加麻痺</t>
  </si>
  <si>
    <t>村正</t>
  </si>
  <si>
    <t>極限斬擊</t>
  </si>
  <si>
    <t>日本戰國時期象徵妖刀、極致鋒利的代表名匠鍛造。</t>
  </si>
  <si>
    <t>對敵方隨機1體造成&lt;AD&gt;物攻的物理攻擊，附加自身爆擊上升</t>
  </si>
  <si>
    <t>附加爆擊抗性下降</t>
  </si>
  <si>
    <t>額外附加自身行動加快</t>
  </si>
  <si>
    <t>額外附加妖刀效果(爆擊率+50%)</t>
  </si>
  <si>
    <t>對象改為敵方2體</t>
  </si>
  <si>
    <t>額外獲得妖刀●滅效果(爆擊傷害+50%)</t>
  </si>
  <si>
    <t>該武器基礎物攻10%</t>
  </si>
  <si>
    <t>該武器基礎物攻15%</t>
  </si>
  <si>
    <t>一刀流・破勢</t>
  </si>
  <si>
    <t>對敵方1體，附加鬼人狀態(1回合爆擊+30%)</t>
  </si>
  <si>
    <t>對敵方1體，附加極意鬼人狀態(2回合爆擊+30%，爆擊傷害+40%)</t>
  </si>
  <si>
    <t>nature_info</t>
  </si>
  <si>
    <t>#黑暗侵蝕</t>
  </si>
  <si>
    <t>#守護</t>
  </si>
  <si>
    <t>天叢雲劍</t>
  </si>
  <si>
    <t>buff_id</t>
  </si>
  <si>
    <t>神威退魔</t>
  </si>
  <si>
    <t>日本神話中的三神器之一，自八岐大蛇尾部取得，常與暴風、雲霧及冰冷神域相伴。</t>
  </si>
  <si>
    <t>為我方2體隨機附加傷害分擔</t>
  </si>
  <si>
    <t>#深思熟慮</t>
  </si>
  <si>
    <t>額外為自身附加持續恢復</t>
  </si>
  <si>
    <t>為自身附加減少受到傷害1曾</t>
  </si>
  <si>
    <t>對象改為3體</t>
  </si>
  <si>
    <t>減少受到傷害+1曾</t>
  </si>
  <si>
    <t>額外解除凍傷</t>
  </si>
  <si>
    <t>該武器基礎物防10%</t>
  </si>
  <si>
    <t>該武器基礎物防15%</t>
  </si>
  <si>
    <t>#壯如巨樹</t>
  </si>
  <si>
    <t>鏡花身法</t>
  </si>
  <si>
    <t>對我方全體附加魔法護盾</t>
  </si>
  <si>
    <t>附加減少受到傷害1曾</t>
  </si>
  <si>
    <t>附加減少受到傷害3曾</t>
  </si>
  <si>
    <t>#苦難共擔</t>
  </si>
  <si>
    <t>#弱體</t>
  </si>
  <si>
    <t>干將莫邪</t>
  </si>
  <si>
    <t>陰月靈鋒</t>
  </si>
  <si>
    <t>中國春秋時期著名的雌雄雙劍，象徵鑄劍工藝的極致。</t>
  </si>
  <si>
    <t>為我方2體附加附加自身&lt;AD&gt;物攻的護盾</t>
  </si>
  <si>
    <t>附加傷害分擔</t>
  </si>
  <si>
    <t>#高速移動</t>
  </si>
  <si>
    <t>#力大無窮</t>
  </si>
  <si>
    <t>額外為自身附加行動加快</t>
  </si>
  <si>
    <t>額外追加為自身附加傷害反射效果</t>
  </si>
  <si>
    <t>額外附加魔防上升與防禦上升效果</t>
  </si>
  <si>
    <t>傷害分擔改為3體</t>
  </si>
  <si>
    <t>該武器基礎魔防10%</t>
  </si>
  <si>
    <t>該武器基礎追加魔防15%</t>
  </si>
  <si>
    <t>#彈無虛發</t>
  </si>
  <si>
    <t>魂力獻祭</t>
  </si>
  <si>
    <t>為敵方隨機2體造成傷害，附加爆擊下降</t>
  </si>
  <si>
    <t>附加攻擊下降效果</t>
  </si>
  <si>
    <t>#無限精神</t>
  </si>
  <si>
    <t>對象改為3體，並額外附加防禦下降與魔防下降</t>
  </si>
  <si>
    <t>#領悟</t>
  </si>
  <si>
    <t>#聖物</t>
  </si>
  <si>
    <t>#強壯</t>
  </si>
  <si>
    <t>埃斯卡利巴</t>
  </si>
  <si>
    <t>#速度</t>
  </si>
  <si>
    <t>聖劍光輝</t>
  </si>
  <si>
    <t>象徵王者權威與正統的亞瑟王之劍。</t>
  </si>
  <si>
    <t>對敵方1體造成&lt;AP&gt;魔攻的魔法傷害，並50%機率灼傷</t>
  </si>
  <si>
    <t>額外自身附加魔攻上升</t>
  </si>
  <si>
    <t>灼傷機率追加至100%</t>
  </si>
  <si>
    <t>#力量</t>
  </si>
  <si>
    <t>對象改為2體</t>
  </si>
  <si>
    <t>追加為自身附加行動加快</t>
  </si>
  <si>
    <t>#精確</t>
  </si>
  <si>
    <t>誓約之火</t>
  </si>
  <si>
    <t>CD:5</t>
  </si>
  <si>
    <t>#精神</t>
  </si>
  <si>
    <t>對我方全體附加魔攻上升2層</t>
  </si>
  <si>
    <t>額外追加附加AP護盾</t>
  </si>
  <si>
    <t>額外追加附加爆傷上升2層</t>
  </si>
  <si>
    <t>#宮廷的法師</t>
  </si>
  <si>
    <t>#極意攻勢</t>
  </si>
  <si>
    <t>#神聖庇護</t>
  </si>
  <si>
    <t>布都御魂</t>
  </si>
  <si>
    <t>神威震嶽</t>
  </si>
  <si>
    <t>日本神話中武甕槌神平定葦原中國所使用、具有神威的傳說之劍。</t>
  </si>
  <si>
    <t>*單體最強</t>
  </si>
  <si>
    <t>對敵方1體造成&lt;AP&gt;魔攻的魔法傷害；並為自身附加爆擊上升</t>
  </si>
  <si>
    <t>額外自身技能傷害上升</t>
  </si>
  <si>
    <t>#防禦怪獸</t>
  </si>
  <si>
    <t>額外自身附加爆傷上升</t>
  </si>
  <si>
    <t>對象改2人</t>
  </si>
  <si>
    <t>爆傷上升、傷害上升、爆擊上升改為2層)</t>
  </si>
  <si>
    <t>#又快又準</t>
  </si>
  <si>
    <t>震天雷霆斬</t>
  </si>
  <si>
    <t>CD:4</t>
  </si>
  <si>
    <t>對敵方隨機1體造成3次，40%自身附加攻擊上升</t>
  </si>
  <si>
    <t>任意攻擊改為4次</t>
  </si>
  <si>
    <t>任意攻擊改為6次</t>
  </si>
  <si>
    <t>提爾鋒</t>
  </si>
  <si>
    <t>血祭詛咒</t>
  </si>
  <si>
    <t>北歐神話中出鞘必見血、帶來死亡詛咒的魔劍。</t>
  </si>
  <si>
    <t>對敵方1體造成&lt;AD&gt;物攻的物理傷害，造成40%裂傷</t>
  </si>
  <si>
    <t>額外40%附加中毒</t>
  </si>
  <si>
    <t>額外40%附加灼傷</t>
  </si>
  <si>
    <t>額外40%附加凍傷</t>
  </si>
  <si>
    <t>弱化附加機率追加至50%</t>
  </si>
  <si>
    <t>弱化附加機率追加至80%</t>
  </si>
  <si>
    <t>噬魂開鋒</t>
  </si>
  <si>
    <t>對敵方1體隨機&lt;AD&gt;，額外40%附加停止</t>
  </si>
  <si>
    <t>額外40%附加暈眩</t>
  </si>
  <si>
    <t>對象改2人，額外40%附加麻痺</t>
  </si>
  <si>
    <t>#銅牆鐵壁</t>
  </si>
  <si>
    <t>#起死回生</t>
  </si>
  <si>
    <t>真十字架</t>
  </si>
  <si>
    <t>神聖庇護</t>
  </si>
  <si>
    <t>基督教信仰中耶穌受難時所釘十字架的殘片。</t>
  </si>
  <si>
    <t>*最強坦</t>
  </si>
  <si>
    <t>對我2體&lt;AD&gt;物攻的護盾，自身死亡後3回合將自動重生</t>
  </si>
  <si>
    <t>為護盾對象附加持續回魔</t>
  </si>
  <si>
    <t>額外附加受護衛效果</t>
  </si>
  <si>
    <t>額外附加真言效果(魔攻、物攻50%、1回)</t>
  </si>
  <si>
    <t>額外附加真理效果(技能傷害10%、2回)</t>
  </si>
  <si>
    <t>該武器基礎追加物防15%</t>
  </si>
  <si>
    <t>聖光衝擊</t>
  </si>
  <si>
    <t>skill_id</t>
  </si>
  <si>
    <t>對敵方1體，造成40%暈眩</t>
  </si>
  <si>
    <t>為自身附加持續回魔與持續恢復效果</t>
  </si>
  <si>
    <t>技能名稱</t>
  </si>
  <si>
    <t>改成100%附加暈眩</t>
  </si>
  <si>
    <t>攻擊對象數量</t>
  </si>
  <si>
    <t>是否為隨機</t>
  </si>
  <si>
    <t>是否自身施放</t>
  </si>
  <si>
    <t>攻擊次數</t>
  </si>
  <si>
    <t>#靈能壁壘</t>
  </si>
  <si>
    <t>阿斯卡隆</t>
  </si>
  <si>
    <t>龍血洗禮</t>
  </si>
  <si>
    <t>AD(技能係數)</t>
  </si>
  <si>
    <t>聖喬治斬龍時所使用的神聖寶劍。</t>
  </si>
  <si>
    <t>對我方隨機2體恢復&lt;AP&gt;魔攻的hp，30%機率附加聖護(減傷+20% 1回)</t>
  </si>
  <si>
    <t>AP(技能係數)</t>
  </si>
  <si>
    <t>額外恢復對象mp50</t>
  </si>
  <si>
    <t>追加40%聖光(技能傷害抵抗50% 1回)</t>
  </si>
  <si>
    <t>對象改為4體</t>
  </si>
  <si>
    <t>current_hp</t>
  </si>
  <si>
    <t>額外機率改為50%追加聖護、聖光、聖斬效果(爆擊率+100% 1回合)</t>
  </si>
  <si>
    <t>cooldown</t>
  </si>
  <si>
    <t>isrole</t>
  </si>
  <si>
    <t>type</t>
  </si>
  <si>
    <t>英雄意志</t>
  </si>
  <si>
    <t>MP_cost</t>
  </si>
  <si>
    <t>對我方1體hp，追加立即恢復對象mp150</t>
  </si>
  <si>
    <t>追加30%不屈(減少受到傷害10%，爆擊傷害抵抗50% 1回)</t>
  </si>
  <si>
    <t>對象改為2名，立即追加現在血量對象50%的現在hp</t>
  </si>
  <si>
    <t>MP_revocer</t>
  </si>
  <si>
    <t>self_add_buff_id</t>
  </si>
  <si>
    <t>self_buff_rate_overwrite</t>
  </si>
  <si>
    <t>add_buff_id</t>
  </si>
  <si>
    <t>add_buff_rate_overwrite</t>
  </si>
  <si>
    <t>remove_buff_id</t>
  </si>
  <si>
    <t>remove_buff_rate_overwrite</t>
  </si>
  <si>
    <t>isMpDamage</t>
  </si>
  <si>
    <t>潘朵拉的魔盒</t>
  </si>
  <si>
    <t>prefeb_atk</t>
  </si>
  <si>
    <t>prefeb_hit1</t>
  </si>
  <si>
    <t>釋放世間災禍與痛苦的禁忌器物。</t>
  </si>
  <si>
    <t>prefeb_hit2</t>
  </si>
  <si>
    <t>說明</t>
  </si>
  <si>
    <t>尼米安之皮</t>
  </si>
  <si>
    <t>基督教傳說中刺穿耶穌基督側腹的聖槍。</t>
  </si>
  <si>
    <t>八尺瓊勾玉</t>
  </si>
  <si>
    <t>黑暗契約</t>
  </si>
  <si>
    <t>希臘神話中刀槍不入的獅皮防具。</t>
  </si>
  <si>
    <t>#法器</t>
  </si>
  <si>
    <t>五行鏡</t>
  </si>
  <si>
    <t>日本神話中的三神器之一，象徵「仁」，為古老而神聖的勾玉寶器。</t>
  </si>
  <si>
    <t>所羅門之鑰</t>
  </si>
  <si>
    <t>東方道法中用以觀照靈體、破除幻境的鏡類法器。</t>
  </si>
  <si>
    <t>額外附加治療反轉</t>
  </si>
  <si>
    <t>降魔杵</t>
  </si>
  <si>
    <t>消耗一張"暗黑契約卷"對敵方1體進行契約，如契約成功戰鬥勝利新增至武器清單中。</t>
  </si>
  <si>
    <t>凱爾特神話中太陽神的光之貫穿之槍。</t>
  </si>
  <si>
    <t>數珠丸恆次</t>
  </si>
  <si>
    <t>象徵至高權能與驅使靈體之力的祈福寶器。</t>
  </si>
  <si>
    <t>布里歐納克</t>
  </si>
  <si>
    <t>phycial</t>
  </si>
  <si>
    <t>佛教密宗中用以摧毀煩惱、鎮伏妖魔的金剛法器。</t>
  </si>
  <si>
    <t>slash</t>
  </si>
  <si>
    <t>對敵方造成&lt;AD&gt;的物理傷害</t>
  </si>
  <si>
    <t>級武器清單</t>
  </si>
  <si>
    <t>物理2體攻擊</t>
  </si>
  <si>
    <t>鬼丸國綱</t>
  </si>
  <si>
    <t>對隨機2名敵方造成&lt;AD&gt;的物理傷害</t>
  </si>
  <si>
    <t>降伏之刃</t>
  </si>
  <si>
    <t>物理群體攻擊</t>
  </si>
  <si>
    <t>對敵方2體造成&lt;AD&gt;物攻的物理傷害60%額外附加自身行動加快</t>
  </si>
  <si>
    <t>MP-3</t>
  </si>
  <si>
    <t>機率追加40%</t>
  </si>
  <si>
    <t>額外為自身附加爆擊上升</t>
  </si>
  <si>
    <t>夢魔潰散</t>
  </si>
  <si>
    <t>CD:9</t>
  </si>
  <si>
    <t>對敵方1體造稱傷害並附加潰魔(降30%魔防)</t>
  </si>
  <si>
    <t>額外附加防禦下降2層</t>
  </si>
  <si>
    <t>對隨機3名敵方造成&lt;AD&gt;的物理傷害</t>
  </si>
  <si>
    <t>阿隆戴特</t>
  </si>
  <si>
    <t>漣漪斬</t>
  </si>
  <si>
    <t>對3個敵方造成物理傷害並40%機率附加自身攻擊上升</t>
  </si>
  <si>
    <t>機率追加50%</t>
  </si>
  <si>
    <t>對象改為4個敵人</t>
  </si>
  <si>
    <t>急流連刺</t>
  </si>
  <si>
    <t>對敵方3體隨機造成物理傷害並附加潰防(潰防；降30%物禦)</t>
  </si>
  <si>
    <t>額外為自身附加攻擊上升</t>
  </si>
  <si>
    <t>哈迪斯之盔</t>
  </si>
  <si>
    <t>鬼魅之護</t>
  </si>
  <si>
    <t>對我方2體恢復&lt;AP&gt;魔攻的HP，並附加護盾</t>
  </si>
  <si>
    <t>額外附加受到傷害減少效果</t>
  </si>
  <si>
    <t>對象改為3人</t>
  </si>
  <si>
    <t>冥府威壓</t>
  </si>
  <si>
    <t>為敵方2體造成物理傷害，並30%機率附加暈眩</t>
  </si>
  <si>
    <t>magic</t>
  </si>
  <si>
    <t>magic_throw</t>
  </si>
  <si>
    <t>explode</t>
  </si>
  <si>
    <t>對敵方敵方造成&lt;AP&gt;的魔法傷害</t>
  </si>
  <si>
    <t>魔法2體攻擊</t>
  </si>
  <si>
    <t>封印之書</t>
  </si>
  <si>
    <t>混沌光束</t>
  </si>
  <si>
    <t>為敵方隨機3體造成&lt;AP&gt;魔攻的魔法傷害</t>
  </si>
  <si>
    <t>額外附加魔防下降效果</t>
  </si>
  <si>
    <t>額外附加增加受到傷害</t>
  </si>
  <si>
    <t>對隨機2名敵方造成&lt;AP&gt;的魔法傷害</t>
  </si>
  <si>
    <t>魔障封印</t>
  </si>
  <si>
    <t>為敵方隨機2體造成魔法傷害，40%機率為自身附加技能傷害上升</t>
  </si>
  <si>
    <t>機率追加60%</t>
  </si>
  <si>
    <t>魔法群體攻擊</t>
  </si>
  <si>
    <t>永恆聖鏡</t>
  </si>
  <si>
    <t>光華折射</t>
  </si>
  <si>
    <t>對我方隨機恢復&lt;AP&gt;魔攻；並額外附加防禦上升效果</t>
  </si>
  <si>
    <t>防禦上升效果追加1層</t>
  </si>
  <si>
    <t>額外附加傷害反射效果</t>
  </si>
  <si>
    <t>永恆映照</t>
  </si>
  <si>
    <t>為我方2體恢復HP，傷害反射</t>
  </si>
  <si>
    <t>對隨機3名敵方造成&lt;AP&gt;的魔法傷害</t>
  </si>
  <si>
    <t>並額外恢復MP50</t>
  </si>
  <si>
    <t>熔岩之鼎</t>
  </si>
  <si>
    <t>熾熱沸騰</t>
  </si>
  <si>
    <t>對敵方隨機2體造成&lt;AP&gt;魔攻的魔法傷害，並30%灼傷</t>
  </si>
  <si>
    <t>熔岩流淌</t>
  </si>
  <si>
    <t>對敵方隨機2體造成魔法傷害，30%灼傷</t>
  </si>
  <si>
    <t>#雷霆萬鈞</t>
  </si>
  <si>
    <t>閃光折躍</t>
  </si>
  <si>
    <t>為敵方隨機3體造成&lt;AP&gt;魔攻的魔法傷害，40%機率為自身附加技能傷害上升</t>
  </si>
  <si>
    <t>額外為自身附加魔攻上升效果</t>
  </si>
  <si>
    <t>轟天衝擊</t>
  </si>
  <si>
    <t>為敵方2體造成傷害，並30%機率附加麻痺</t>
  </si>
  <si>
    <t>美杜莎之盾</t>
  </si>
  <si>
    <t>magic_fire</t>
  </si>
  <si>
    <t>fire</t>
  </si>
  <si>
    <t>死亡凝視</t>
  </si>
  <si>
    <t>為敵方隨機1體造成&lt;AP&gt;魔攻的魔法傷害；並40%附加停止</t>
  </si>
  <si>
    <t>對象追加至2人</t>
  </si>
  <si>
    <t>邪眼顯現</t>
  </si>
  <si>
    <t>CD:11</t>
  </si>
  <si>
    <t>為敵方隨機3體造成減少MP的傷害</t>
  </si>
  <si>
    <t>並額外附加爆害抵抗下降、附加技能抵抗下降</t>
  </si>
  <si>
    <t>赫格尼之劍</t>
  </si>
  <si>
    <t>破盾之刃</t>
  </si>
  <si>
    <t>為敵方隨機4體造成&lt;AD&gt;物攻的物理傷害，並50%機率去除護盾</t>
  </si>
  <si>
    <t>額外附加防禦下降效果</t>
  </si>
  <si>
    <t>破魂斬</t>
  </si>
  <si>
    <t>CD:10</t>
  </si>
  <si>
    <t>為敵方隨機2體造成傷害，並60%防禦與魔法下降</t>
  </si>
  <si>
    <t>heal</t>
  </si>
  <si>
    <t>格拉墨碎片</t>
  </si>
  <si>
    <t>buff名稱</t>
  </si>
  <si>
    <t>buff_info</t>
  </si>
  <si>
    <t>#備註用</t>
  </si>
  <si>
    <t>布倫希爾德之盾</t>
  </si>
  <si>
    <t>buff_exchange</t>
  </si>
  <si>
    <t>tag</t>
  </si>
  <si>
    <t>element</t>
  </si>
  <si>
    <t>阿斯克勒庇俄斯之杖</t>
  </si>
  <si>
    <t>巴魯蒙格</t>
  </si>
  <si>
    <t>黛安娜的月弓</t>
  </si>
  <si>
    <t>赫菲斯托斯之錘</t>
  </si>
  <si>
    <t>#靈能爆發</t>
  </si>
  <si>
    <t>諸神黃昏號角</t>
  </si>
  <si>
    <t>reflashAble</t>
  </si>
  <si>
    <t>max_stack</t>
  </si>
  <si>
    <t>buff</t>
  </si>
  <si>
    <t>持續回合數</t>
  </si>
  <si>
    <t>荷魯斯之眼</t>
  </si>
  <si>
    <t>effective_turn</t>
  </si>
  <si>
    <t>effective_currenthp_higher</t>
  </si>
  <si>
    <t>effective_currenthp_lower</t>
  </si>
  <si>
    <t>invisible</t>
  </si>
  <si>
    <t>set_info</t>
  </si>
  <si>
    <t>阿爾忒彌斯之矢</t>
  </si>
  <si>
    <t>shield</t>
  </si>
  <si>
    <t>set_effective_count</t>
  </si>
  <si>
    <t>debuff</t>
  </si>
  <si>
    <t>攻擊上升</t>
  </si>
  <si>
    <t>堅鐵長矛</t>
  </si>
  <si>
    <t>重擲穿刺</t>
  </si>
  <si>
    <t>為敵方2體造成&lt;AD&gt;物攻的物理傷害，並50%附加防禦下降</t>
  </si>
  <si>
    <t>附加下降追加50%</t>
  </si>
  <si>
    <t>貫穿刺擊</t>
  </si>
  <si>
    <t>對敵方1體造成傷害，並50%為自身附加爆擊上升</t>
  </si>
  <si>
    <t>對敵方1體造成&lt;AD&gt;物攻的物理傷害；並為自身附加爆擊上升</t>
  </si>
  <si>
    <t>防禦上升</t>
  </si>
  <si>
    <t>尖刺短刀</t>
  </si>
  <si>
    <t>尖刺突落</t>
  </si>
  <si>
    <t>為敵方2體造成&lt;AD&gt;物攻的物理傷害，並25%機率附加裂傷</t>
  </si>
  <si>
    <t>附加機率追加30%</t>
  </si>
  <si>
    <t>附加潰防(潰防；降30%物禦)</t>
  </si>
  <si>
    <t>毒棘之吻</t>
  </si>
  <si>
    <t>CD:12</t>
  </si>
  <si>
    <t>對敵方1體造成&lt;AD&gt;物攻的物理傷害，並40%附加裂傷</t>
  </si>
  <si>
    <t>為敵方全體造成傷害，機率附加35%中毒</t>
  </si>
  <si>
    <t>魔攻上升</t>
  </si>
  <si>
    <t>學徒法杖</t>
  </si>
  <si>
    <t>火球術</t>
  </si>
  <si>
    <t>對敵方1體造成&lt;AP&gt;魔攻的魔法傷害，並25%附加灼傷</t>
  </si>
  <si>
    <t>對我方2體&lt;AD&gt;物攻的護盾，自身死亡後3回合將自動重生</t>
  </si>
  <si>
    <t>對象改為2人</t>
  </si>
  <si>
    <t>冰凍術</t>
  </si>
  <si>
    <t>對敵方2體造成傷害，並25%附加凍傷</t>
  </si>
  <si>
    <t>魔防上升</t>
  </si>
  <si>
    <t>枯木魔杖</t>
  </si>
  <si>
    <t>枯朽之根</t>
  </si>
  <si>
    <t>對敵方隨機2體造成&lt;AP&gt;魔攻的魔法傷害，並25%附加麻痺</t>
  </si>
  <si>
    <t>附加魔防下降</t>
  </si>
  <si>
    <t>恢復魔法</t>
  </si>
  <si>
    <t>為我方2體恢復HP</t>
  </si>
  <si>
    <t>十字堅盾</t>
  </si>
  <si>
    <t>堅盾破甲</t>
  </si>
  <si>
    <t>為我方隨機2體附加傷害分擔</t>
  </si>
  <si>
    <t>額外附加防禦上升</t>
  </si>
  <si>
    <t>stab</t>
  </si>
  <si>
    <t>爆擊上升</t>
  </si>
  <si>
    <t>堅不可摧</t>
  </si>
  <si>
    <t>為我防全體附加防禦上升2層</t>
  </si>
  <si>
    <t>獵人之弓</t>
  </si>
  <si>
    <t>對3個敵方造成&lt;AD&gt;物攻的物理傷害並40%機率附加自身攻擊上升</t>
  </si>
  <si>
    <t>弱點貫穿</t>
  </si>
  <si>
    <t>爆傷上升</t>
  </si>
  <si>
    <t>為敵方1體造成&lt;AD&gt;物攻的物理傷害；並40%為自身爆擊上升</t>
  </si>
  <si>
    <t>單次爆擊上升附加兩層</t>
  </si>
  <si>
    <t>集中一擊</t>
  </si>
  <si>
    <t>為敵方1體造成傷害；並40%為自身附加爆擊傷害上升</t>
  </si>
  <si>
    <t>#幻具</t>
  </si>
  <si>
    <t>修行者法球</t>
  </si>
  <si>
    <t>定氣神閒</t>
  </si>
  <si>
    <t>為我方隨機兩體恢復&lt;AP&gt;魔攻的HP</t>
  </si>
  <si>
    <t>角色id</t>
  </si>
  <si>
    <t>額外追加40%移除所有下降效果</t>
  </si>
  <si>
    <t>角色名稱</t>
  </si>
  <si>
    <t>對我方2體恢復&lt;AP&gt;魔攻的HP</t>
  </si>
  <si>
    <t>rare</t>
  </si>
  <si>
    <t>精神恢復</t>
  </si>
  <si>
    <t>為我方2體恢復MP80</t>
  </si>
  <si>
    <t>技能傷害上升</t>
  </si>
  <si>
    <t>體系</t>
  </si>
  <si>
    <t>equipment_type</t>
  </si>
  <si>
    <t>迴旋鏈刃</t>
  </si>
  <si>
    <t>雙重切削</t>
  </si>
  <si>
    <t>resist_buff</t>
  </si>
  <si>
    <t>為敵方2體造成&lt;AD&gt;物攻的物理傷害，並25%附加裂傷</t>
  </si>
  <si>
    <t>skill0_id</t>
  </si>
  <si>
    <t>skill1_id</t>
  </si>
  <si>
    <t>連鎖突進</t>
  </si>
  <si>
    <t>skill2_id</t>
  </si>
  <si>
    <t>為敵方隨機1體進行2次攻擊</t>
  </si>
  <si>
    <t>role_ addition</t>
  </si>
  <si>
    <t>hp</t>
  </si>
  <si>
    <t>atk</t>
  </si>
  <si>
    <t>晨星鎚</t>
  </si>
  <si>
    <t>matk</t>
  </si>
  <si>
    <t>爆擊抗性上升</t>
  </si>
  <si>
    <t>魔盾碎裂</t>
  </si>
  <si>
    <t>為敵方4體造成&lt;AP&gt;魔攻的魔法傷害，並25%附加魔防下降</t>
  </si>
  <si>
    <t>def</t>
  </si>
  <si>
    <t>附加機率追加50%</t>
  </si>
  <si>
    <t>mdef</t>
  </si>
  <si>
    <t>額外附加潰魔(降30%魔防)</t>
  </si>
  <si>
    <t>mp</t>
  </si>
  <si>
    <t>風暴護障</t>
  </si>
  <si>
    <t>為隨機我方2體恢復HP，並附加魔坊上升</t>
  </si>
  <si>
    <t>重生回合數</t>
  </si>
  <si>
    <t>#六維</t>
  </si>
  <si>
    <t>capture_rate</t>
  </si>
  <si>
    <t>exchange_id</t>
  </si>
  <si>
    <t>戰鬥者長劍</t>
  </si>
  <si>
    <t>壓制戰技</t>
  </si>
  <si>
    <t>exchange_amount</t>
  </si>
  <si>
    <t>對我方隨機1體恢復&lt;AP&gt;魔攻的HP，並額外附加防禦上升效果</t>
  </si>
  <si>
    <t>為隨機敵方3體造成&lt;AD&gt;物攻的物理傷害，並25%附加裂傷</t>
  </si>
  <si>
    <t>附加機率追加40%</t>
  </si>
  <si>
    <t>額外追加爆擊上升</t>
  </si>
  <si>
    <t>爆傷抗性上升</t>
  </si>
  <si>
    <t>star_refine_id</t>
  </si>
  <si>
    <t>閃擊劍舞</t>
  </si>
  <si>
    <t>star_cost_id</t>
  </si>
  <si>
    <t>25%附加自身行動加快</t>
  </si>
  <si>
    <t>star1_skill1</t>
  </si>
  <si>
    <t>star2_skill1</t>
  </si>
  <si>
    <t>star3_skill1</t>
  </si>
  <si>
    <t>star4_skill1</t>
  </si>
  <si>
    <t>star5_skill1</t>
  </si>
  <si>
    <t>star1_skill2</t>
  </si>
  <si>
    <t>star2_skill2</t>
  </si>
  <si>
    <t>技能抵抗上升</t>
  </si>
  <si>
    <t>star3_skill2</t>
  </si>
  <si>
    <t>star4_skill2</t>
  </si>
  <si>
    <t>star5_skill2</t>
  </si>
  <si>
    <t>火之迦具土</t>
  </si>
  <si>
    <t>weapon</t>
  </si>
  <si>
    <t>增加造成傷害</t>
  </si>
  <si>
    <t>減少受到傷害</t>
  </si>
  <si>
    <t>布裝</t>
  </si>
  <si>
    <t>絲質布衣</t>
  </si>
  <si>
    <t>琉光布裝</t>
  </si>
  <si>
    <t>翠影流雲</t>
  </si>
  <si>
    <t>暗月星辰長袍</t>
  </si>
  <si>
    <t>皮裝</t>
  </si>
  <si>
    <t>狼形皮衣</t>
  </si>
  <si>
    <t>赤焰皮裝</t>
  </si>
  <si>
    <t>金凌戰獵甲</t>
  </si>
  <si>
    <t>月影獵裝</t>
  </si>
  <si>
    <t>重型</t>
  </si>
  <si>
    <t>青銅戰甲</t>
  </si>
  <si>
    <t>金屬鎧甲</t>
  </si>
  <si>
    <t>攻擊下降</t>
  </si>
  <si>
    <t>雷霆重甲</t>
  </si>
  <si>
    <t>青冥破軍甲</t>
  </si>
  <si>
    <t>法術殘卷</t>
  </si>
  <si>
    <t>破碎水晶球</t>
  </si>
  <si>
    <t>beat</t>
  </si>
  <si>
    <t>銅短劍</t>
  </si>
  <si>
    <t>羊骨巨盾槌</t>
  </si>
  <si>
    <t>合金長劍</t>
  </si>
  <si>
    <t>力量拳套</t>
  </si>
  <si>
    <t>永夜白骨刃、月亮寶珠、泰坦巨斧</t>
  </si>
  <si>
    <t>防禦下降</t>
  </si>
  <si>
    <t>冒險者頭盔</t>
  </si>
  <si>
    <t>鋼鐵面具</t>
  </si>
  <si>
    <t>魔法皮帽</t>
  </si>
  <si>
    <t>白骨面具</t>
  </si>
  <si>
    <t>烈焰面具</t>
  </si>
  <si>
    <t>巨大龍骨面具</t>
  </si>
  <si>
    <t>冒險者胸甲</t>
  </si>
  <si>
    <t>骨編長衫</t>
  </si>
  <si>
    <t>農夫汗衫</t>
  </si>
  <si>
    <t>抗魔長袍</t>
  </si>
  <si>
    <t>巨蛇脊骨甲</t>
  </si>
  <si>
    <t>堅硬龍麟</t>
  </si>
  <si>
    <t xml:space="preserve"> </t>
  </si>
  <si>
    <t>冒險者長靴</t>
  </si>
  <si>
    <t>厚重短靴</t>
  </si>
  <si>
    <t>損壞的木屐</t>
  </si>
  <si>
    <t>狂怒戰鞋</t>
  </si>
  <si>
    <t>青羽馬蹄鐵</t>
  </si>
  <si>
    <t>冰晶重靴</t>
  </si>
  <si>
    <t>冒險者披風</t>
  </si>
  <si>
    <t>亞麻短批</t>
  </si>
  <si>
    <t>木護肩甲</t>
  </si>
  <si>
    <t>絲質披肩</t>
  </si>
  <si>
    <t>亮彩晶龜殼</t>
  </si>
  <si>
    <t>破碎星河披風</t>
  </si>
  <si>
    <t>魔攻下降</t>
  </si>
  <si>
    <t>冒險者短褲</t>
  </si>
  <si>
    <t>粗布短褲</t>
  </si>
  <si>
    <t>野豬護腰</t>
  </si>
  <si>
    <t>輕量化皮靴</t>
  </si>
  <si>
    <t>殘破英靈褲</t>
  </si>
  <si>
    <t>冥月布褲</t>
  </si>
  <si>
    <t>魔防下降</t>
  </si>
  <si>
    <t>shield2</t>
  </si>
  <si>
    <t>爆擊下降</t>
  </si>
  <si>
    <t>throw</t>
  </si>
  <si>
    <t>爆傷下降</t>
  </si>
  <si>
    <t>為我方隨機2體恢復&lt;AP&gt;魔攻的HP</t>
  </si>
  <si>
    <t>技能傷害下降</t>
  </si>
  <si>
    <t>爆擊抗性下降</t>
  </si>
  <si>
    <t>爆傷抗性下降</t>
  </si>
  <si>
    <t>技能抵抗下降</t>
  </si>
  <si>
    <t>減少造成傷害</t>
  </si>
  <si>
    <t>重複執行次數</t>
  </si>
  <si>
    <t>隆基努斯槍</t>
  </si>
  <si>
    <t>57,12,13,1,2,3</t>
  </si>
  <si>
    <t>增加受到傷害</t>
  </si>
  <si>
    <t>對敵方全體造成&lt;AP&gt;魔攻的魔法傷害，並附加灼傷效果</t>
  </si>
  <si>
    <t>對敵方3體造成&lt;AP&gt;魔攻的魔法傷害，並附加魔防下降3層</t>
  </si>
  <si>
    <t>傷害分擔</t>
  </si>
  <si>
    <t>對我方全體恢復魔攻&lt;AP&gt;的HP</t>
  </si>
  <si>
    <t>對敵方3體造成&lt;AD&gt;物攻的物理傷害，自身附加行動加快</t>
  </si>
  <si>
    <t>傷害反彈</t>
  </si>
  <si>
    <t>一刀流・破</t>
  </si>
  <si>
    <t>slash2</t>
  </si>
  <si>
    <t>對敵方1體造成&lt;AD&gt;物攻的物理傷害，為自身附加鬼人狀態(1回合爆擊+30%)</t>
  </si>
  <si>
    <t>受護衛效果</t>
  </si>
  <si>
    <t>shield1</t>
  </si>
  <si>
    <t>對我方全體附加魔攻&lt;AP&gt;的護盾</t>
  </si>
  <si>
    <t>護盾</t>
  </si>
  <si>
    <t>為敵方隨機2體造成&lt;AP&gt;魔攻的魔法傷害，附加爆擊下降</t>
  </si>
  <si>
    <t>持續恢復</t>
  </si>
  <si>
    <t>對敵方隨機1體造成&lt;AD&gt;物攻的物理傷害共3次，40%自身附加攻擊上升</t>
  </si>
  <si>
    <t>持續回魔</t>
  </si>
  <si>
    <t>59,18,13,5,9,17</t>
  </si>
  <si>
    <t>對敵方1體隨機造成&lt;AD&gt;物攻的物理傷害，額外40%附加停止</t>
  </si>
  <si>
    <t>行動加快</t>
  </si>
  <si>
    <t>對敵方1體造成&lt;AD&gt;物攻的物理傷害，造成40%暈眩</t>
  </si>
  <si>
    <t>聖護</t>
  </si>
  <si>
    <t>減少受到傷害20%</t>
  </si>
  <si>
    <t>對我方1體恢復魔攻&lt;AP&gt;的hp，追加立即恢復對象mp150</t>
  </si>
  <si>
    <t>潰防</t>
  </si>
  <si>
    <t>降低30%物理防禦</t>
  </si>
  <si>
    <t>潰魔</t>
  </si>
  <si>
    <t>降低30%魔防防禦</t>
  </si>
  <si>
    <t>對敵方1體造成&lt;AD&gt;物攻的物理傷害並附加(潰魔；降30%魔防)</t>
  </si>
  <si>
    <t>鬼人</t>
  </si>
  <si>
    <t>爆擊率增加30%</t>
  </si>
  <si>
    <t>對敵方3體隨機造成&lt;AD&gt;物攻的物理傷害並附加潰防(潰防；降30%物禦)</t>
  </si>
  <si>
    <t>炎帝</t>
  </si>
  <si>
    <t>魔攻+30%</t>
  </si>
  <si>
    <t>61,18,5,9,20</t>
  </si>
  <si>
    <t>極•炎帝</t>
  </si>
  <si>
    <t>魔攻+50%，技能傷害+10%)</t>
  </si>
  <si>
    <t>為敵方2體造成&lt;AP&gt;魔攻的魔法傷害，並30%機率附加暈眩</t>
  </si>
  <si>
    <t>妖刀</t>
  </si>
  <si>
    <t>爆擊率+50%</t>
  </si>
  <si>
    <t>妖刀●滅</t>
  </si>
  <si>
    <t>爆擊傷害+50%</t>
  </si>
  <si>
    <t>為敵方隨機2體造成&lt;AP&gt;魔攻的魔法傷害，40%機率附加技能傷害上升</t>
  </si>
  <si>
    <t>極意鬼人</t>
  </si>
  <si>
    <t>爆擊+30%，爆擊傷害+40%</t>
  </si>
  <si>
    <t>59,12,15,10,22</t>
  </si>
  <si>
    <t>為我方2體恢復&lt;AP&gt;魔攻的HP，並附加傷害反射</t>
  </si>
  <si>
    <t>真言</t>
  </si>
  <si>
    <t>魔攻、物攻50%、1回</t>
  </si>
  <si>
    <t>真理</t>
  </si>
  <si>
    <t>技能傷害10%、2回</t>
  </si>
  <si>
    <t>對敵方隨機2體造成&lt;AP&gt;魔攻的魔法傷害，30%灼傷</t>
  </si>
  <si>
    <t>聖光</t>
  </si>
  <si>
    <t>技能傷害抵抗50%、1回</t>
  </si>
  <si>
    <t>60,14,15,22,8</t>
  </si>
  <si>
    <t>為敵方2體造成造成&lt;AP&gt;魔攻的魔法傷害，並30%機率附加麻痺</t>
  </si>
  <si>
    <t>聖斬效果</t>
  </si>
  <si>
    <t>爆擊率+100%、1回</t>
  </si>
  <si>
    <t>不屈</t>
  </si>
  <si>
    <t>減少受到傷害10%，爆擊傷害抵抗50% 2回</t>
  </si>
  <si>
    <t>mana_cost</t>
  </si>
  <si>
    <t>為敵方隨機3體造成&lt;AP&gt;魔攻的MP傷害</t>
  </si>
  <si>
    <t>逆轉</t>
  </si>
  <si>
    <t>攻擊與魔攻+80%；持續5回</t>
  </si>
  <si>
    <t>56,16,13,2,1</t>
  </si>
  <si>
    <t>2002,2004</t>
  </si>
  <si>
    <t>奇襲</t>
  </si>
  <si>
    <t>為敵方隨機2體造成&lt;AD&gt;物攻的物理傷害，並60%防禦下降與魔法下降</t>
  </si>
  <si>
    <t>爆擊率+100%；持續3回</t>
  </si>
  <si>
    <t>對敵方1體造成&lt;AD&gt;物攻的物理傷害，並50%為自身附加爆擊上升</t>
  </si>
  <si>
    <t>為敵方全體造成&lt;AD&gt;物攻的物理傷害，機率附加35%中毒</t>
  </si>
  <si>
    <t>#名刀附加攻擊+30%、爆擊率+20%，爆擊傷害+50%；持續3回</t>
  </si>
  <si>
    <t>對敵方2體造成&lt;AP&gt;魔攻的魔法傷害，並25%附加凍傷</t>
  </si>
  <si>
    <t>56,16,13,4,52</t>
  </si>
  <si>
    <t>灼傷</t>
  </si>
  <si>
    <t>1002,1002</t>
  </si>
  <si>
    <t>58,17,15,51,10</t>
  </si>
  <si>
    <t>凍傷</t>
  </si>
  <si>
    <t>為敵方1體造成&lt;AD&gt;物攻的物理傷害；並40%為自身附加爆擊傷害上升</t>
  </si>
  <si>
    <t>裂傷</t>
  </si>
  <si>
    <t>58,17,51,20</t>
  </si>
  <si>
    <t>中毒</t>
  </si>
  <si>
    <t>為敵方隨機1體造成&lt;AD&gt;物攻的物理傷害2次</t>
  </si>
  <si>
    <t>治療反轉</t>
  </si>
  <si>
    <t>受到治療時轉為傷害</t>
  </si>
  <si>
    <t>light</t>
  </si>
  <si>
    <t>為隨機我方2體恢復&lt;AP&gt;魔攻的HP，並40%附加魔防上升</t>
  </si>
  <si>
    <t>57,17,15,52,10</t>
  </si>
  <si>
    <t>25%為自身附加行動加快</t>
  </si>
  <si>
    <t>麻痺</t>
  </si>
  <si>
    <t>1回合無法行動</t>
  </si>
  <si>
    <t>暈眩</t>
  </si>
  <si>
    <t>57,17,13,18,53</t>
  </si>
  <si>
    <t>冰凍</t>
  </si>
  <si>
    <t>info</t>
  </si>
  <si>
    <t>begin_time</t>
  </si>
  <si>
    <t>end_time</t>
  </si>
  <si>
    <t>#備註</t>
  </si>
  <si>
    <t>停止</t>
  </si>
  <si>
    <t>對敵方1體造成&lt;AD&gt;物攻的物理傷害，並50%附加暈眩</t>
  </si>
  <si>
    <t>#固定玩法</t>
  </si>
  <si>
    <t>重斧防禦</t>
  </si>
  <si>
    <t>tower</t>
  </si>
  <si>
    <t>凝聚</t>
  </si>
  <si>
    <t>1回合無法行動；下回合獲得爆散狀態</t>
  </si>
  <si>
    <t>對我方隨機2體附加&lt;AD&gt;的護盾</t>
  </si>
  <si>
    <t>annihilation</t>
  </si>
  <si>
    <t>爆散</t>
  </si>
  <si>
    <t>最終傷害造成250%</t>
  </si>
  <si>
    <t>對敵方2體造成&lt;AD&gt;物攻的物理傷害，並為自身附加行動加快</t>
  </si>
  <si>
    <t>對敵方1體造成&lt;AD&gt;物攻的物理傷害，並附加中毒效果</t>
  </si>
  <si>
    <t>殲滅套裝x2</t>
  </si>
  <si>
    <t>兩件攻擊力+10% / 魔攻+10%，三件爆擊率+15%，六件敏捷+5%</t>
  </si>
  <si>
    <t>57,17,13,6,6</t>
  </si>
  <si>
    <t>對敵方全體造成&lt;AP&gt;魔攻的魔法傷害，並附加灼傷</t>
  </si>
  <si>
    <t>殲滅的</t>
  </si>
  <si>
    <t>殲滅套裝x3</t>
  </si>
  <si>
    <t>治療術</t>
  </si>
  <si>
    <t>殲滅套裝x6</t>
  </si>
  <si>
    <t>對我方隨機2體&lt;AP&gt;魔攻的HP恢復</t>
  </si>
  <si>
    <t>戰士套裝X2</t>
  </si>
  <si>
    <t>兩件防禦+15% ，三件攻擊+20%，六件技能傷害+10%</t>
  </si>
  <si>
    <t>戰士的</t>
  </si>
  <si>
    <t>59,17,15,20,9</t>
  </si>
  <si>
    <t>戰士套裝X3</t>
  </si>
  <si>
    <t>戰士套裝X6</t>
  </si>
  <si>
    <t>尖刺套裝X2</t>
  </si>
  <si>
    <t>兩件防禦+20% ，三件魔防+20%，傷害反射+15%</t>
  </si>
  <si>
    <t>全體物攻上升</t>
  </si>
  <si>
    <t>58,16,13,51,4</t>
  </si>
  <si>
    <t>尖刺的</t>
  </si>
  <si>
    <t>尖刺套裝X3</t>
  </si>
  <si>
    <t>為我方全體物攻上升</t>
  </si>
  <si>
    <t>尖刺套裝X6</t>
  </si>
  <si>
    <t>全體防禦力上升</t>
  </si>
  <si>
    <t>為我方全體防禦力上升</t>
  </si>
  <si>
    <t>魔導套裝X2</t>
  </si>
  <si>
    <t>兩件魔防+15% ，三件魔攻+20%，六件技能傷害+10%</t>
  </si>
  <si>
    <t>全體技能傷害上升</t>
  </si>
  <si>
    <t>16,13,4</t>
  </si>
  <si>
    <t>魔導的</t>
  </si>
  <si>
    <t>魔導套裝X3</t>
  </si>
  <si>
    <t>為我方全體技能傷害上升</t>
  </si>
  <si>
    <t>全體爆擊率上升</t>
  </si>
  <si>
    <t>魔導套裝X6</t>
  </si>
  <si>
    <t>為我方全體爆擊率上升</t>
  </si>
  <si>
    <t>全體魔攻上升</t>
  </si>
  <si>
    <t>致命套裝X2</t>
  </si>
  <si>
    <t xml:space="preserve"> 兩件爆擊機率+10%,，三件技能傷害+8%，六件爆擊爆傷+30%)</t>
  </si>
  <si>
    <t>為我方全體魔攻上升</t>
  </si>
  <si>
    <t>致命的</t>
  </si>
  <si>
    <t>致命套裝X3</t>
  </si>
  <si>
    <t>全隊魔防上升</t>
  </si>
  <si>
    <t>為我方全隊魔防上升</t>
  </si>
  <si>
    <t>16,13,2</t>
  </si>
  <si>
    <t>致命套裝X6</t>
  </si>
  <si>
    <t>抵抗套裝X2</t>
  </si>
  <si>
    <t>受到傷害減少+10%,，三件爆擊抗性+20%，六件爆擊傷害抗性+45%)</t>
  </si>
  <si>
    <t>為所有#名刀附加攻擊上升5層與爆擊傷害上升5層</t>
  </si>
  <si>
    <t>抵抗的</t>
  </si>
  <si>
    <t>抵抗套裝X3</t>
  </si>
  <si>
    <t>self_buff_rate</t>
  </si>
  <si>
    <t>抵抗套裝X6</t>
  </si>
  <si>
    <t>業火一閃★</t>
  </si>
  <si>
    <t>61,17,6</t>
  </si>
  <si>
    <t>逆轉套裝X6</t>
  </si>
  <si>
    <t>六件戰鬥第5回合後獲得逆轉效果(攻擊力/魔攻+80%持續5回合)</t>
  </si>
  <si>
    <t>mapid</t>
  </si>
  <si>
    <t>chapter</t>
  </si>
  <si>
    <t>hint</t>
  </si>
  <si>
    <t>tag_limit</t>
  </si>
  <si>
    <t>逆襲的</t>
  </si>
  <si>
    <t>quest</t>
  </si>
  <si>
    <t>對隨機敵方2體造成&lt;AP&gt;魔攻的魔法傷害，並50%機率附加灼傷</t>
  </si>
  <si>
    <t>奇襲套裝X6</t>
  </si>
  <si>
    <t>六件戰鬥第2回合後獲得奇襲效果(爆擊率+100%持續3回合)</t>
  </si>
  <si>
    <t>arrangement</t>
  </si>
  <si>
    <t>Capability</t>
  </si>
  <si>
    <t>event1_name</t>
  </si>
  <si>
    <t>event1_type</t>
  </si>
  <si>
    <t>event1_buff</t>
  </si>
  <si>
    <t>event1_time</t>
  </si>
  <si>
    <t>業火一閃★2</t>
  </si>
  <si>
    <t>event1_target</t>
  </si>
  <si>
    <t>event1_rate</t>
  </si>
  <si>
    <t>event2_name</t>
  </si>
  <si>
    <t>event2_type</t>
  </si>
  <si>
    <t>奇襲的</t>
  </si>
  <si>
    <t>event2_buff</t>
  </si>
  <si>
    <t>event2_time</t>
  </si>
  <si>
    <t>炙熱套裝X3</t>
  </si>
  <si>
    <t>僅對火屬性生效，三件攻擊魔攻+20%，六件爆擊率+5% / 敏捷+10%</t>
  </si>
  <si>
    <t>event2_target</t>
  </si>
  <si>
    <t>event2_rate</t>
  </si>
  <si>
    <t>loot1_id</t>
  </si>
  <si>
    <t>loot1_amount</t>
  </si>
  <si>
    <t>loot1_rate</t>
  </si>
  <si>
    <t>loot2_id</t>
  </si>
  <si>
    <t>loot2_amount</t>
  </si>
  <si>
    <t>loot2_rate</t>
  </si>
  <si>
    <t>loot3_id</t>
  </si>
  <si>
    <t>炙熱的</t>
  </si>
  <si>
    <t>loot3_amount</t>
  </si>
  <si>
    <t>炙熱套裝X6</t>
  </si>
  <si>
    <t>loot3_rate</t>
  </si>
  <si>
    <t>對隨機敵方2體造成&lt;AP&gt;魔攻的魔法傷害，並70%機率附加灼傷</t>
  </si>
  <si>
    <t>loot4_id</t>
  </si>
  <si>
    <t>loot4_amount</t>
  </si>
  <si>
    <t>loot4_rate</t>
  </si>
  <si>
    <t>業火一閃★3</t>
  </si>
  <si>
    <t>第1層</t>
  </si>
  <si>
    <t>{role:-1},
{id:-1},{id:-1},{id:-1},{id:-1},{id:-1}
{id:40082},{id:40015},{id:40004},{id:40036},{id:40032}</t>
  </si>
  <si>
    <t>水紋套裝X3</t>
  </si>
  <si>
    <t>僅對水屬性生效，三件攻擊魔攻+20%，六件爆擊率+5% / 敏捷+10%</t>
  </si>
  <si>
    <t>敵方弱化</t>
  </si>
  <si>
    <t>對隨機敵方4體造成&lt;AP&gt;魔攻的魔法傷害，並70%機率附加灼傷</t>
  </si>
  <si>
    <t>select_enemy</t>
  </si>
  <si>
    <t>2002,2003,2004</t>
  </si>
  <si>
    <t>3</t>
  </si>
  <si>
    <t>信號干擾</t>
  </si>
  <si>
    <t>業火一閃★4</t>
  </si>
  <si>
    <t>水紋的</t>
  </si>
  <si>
    <t>2,9,11</t>
  </si>
  <si>
    <t>水紋套裝X6</t>
  </si>
  <si>
    <t>對隨機敵方4體造成&lt;AP&gt;魔攻的魔法傷害，並100%機率附加灼傷</t>
  </si>
  <si>
    <t>第2層</t>
  </si>
  <si>
    <t>木訥套裝X3</t>
  </si>
  <si>
    <t>{role:-1},
{id:-1},{id:-1},{id:-1},{id:-1},{id:-1}
{id:40012},{id:40076},{id:40055},{id:40005},{id:40004}</t>
  </si>
  <si>
    <t>僅對木屬性生效，三件攻擊魔攻+20%，六件爆擊率+5% / 敏捷+10%</t>
  </si>
  <si>
    <t>業火一閃•極</t>
  </si>
  <si>
    <t>58,17,20,14,53</t>
  </si>
  <si>
    <t>信息同享</t>
  </si>
  <si>
    <t>4</t>
  </si>
  <si>
    <t>泥濘</t>
  </si>
  <si>
    <t>9</t>
  </si>
  <si>
    <t>木訥的</t>
  </si>
  <si>
    <t>對隨機敵方4體造成&lt;AP&gt;魔攻的魔法傷害，並100%機率附加灼傷；並解除受擊者護盾效果</t>
  </si>
  <si>
    <t>木訥套裝X6</t>
  </si>
  <si>
    <t>第3層</t>
  </si>
  <si>
    <t>{role:-1},
{id:-1},{id:-1},{id:-1},{id:-1},{id:-1}
{id:40078},{id:40004},{id:40072},{id:40026},{id:40084}</t>
  </si>
  <si>
    <t>4,7,9</t>
  </si>
  <si>
    <t>酸雨</t>
  </si>
  <si>
    <t>5,10</t>
  </si>
  <si>
    <t>除魔霜障★</t>
  </si>
  <si>
    <t>第4層</t>
  </si>
  <si>
    <t>{role:-1},
{id:-1},{id:-1},{id:-1},{id:-1},{id:-1}
{id:40001},{id:40021},{id:40055},{id:40044},{id:40036}</t>
  </si>
  <si>
    <t>磁場共振</t>
  </si>
  <si>
    <t>2,13</t>
  </si>
  <si>
    <t>對隨機敵方2體造成&lt;AP&gt;魔攻的魔法傷害，並40%機率附加凍傷與魔防下降1層</t>
  </si>
  <si>
    <t>第5層</t>
  </si>
  <si>
    <t>{role:-1},
{id:-1},{id:-1},{id:-1},{id:-1},{id:-1}
{id:50001},{id:40049},{id:40013},{id:40046},{id:40045}</t>
  </si>
  <si>
    <t>1,5,8</t>
  </si>
  <si>
    <t>除魔霜障★2</t>
  </si>
  <si>
    <t>2,7,13</t>
  </si>
  <si>
    <t>59,16,15,9,11</t>
  </si>
  <si>
    <t>第6層</t>
  </si>
  <si>
    <t>{role:-1},
{id:-1},{id:-1},{id:-1},{id:-1},{id:-1}
{id:40071},{id:40038},{id:40081},{id:40080},{id:40047}</t>
  </si>
  <si>
    <t>大晴天</t>
  </si>
  <si>
    <t>2,4,12</t>
  </si>
  <si>
    <t>對隨機敵方2體造成&lt;AP&gt;魔攻的魔法傷害，並50%機率附加凍傷與魔防下降1層</t>
  </si>
  <si>
    <t>11</t>
  </si>
  <si>
    <t>除魔霜障★3</t>
  </si>
  <si>
    <t>第7層</t>
  </si>
  <si>
    <t>{role:-1},
{id:-1},{id:-1},{id:-1},{id:-1},{id:-1}
{id:40030},{id:40038},{id:40011},{id:40013},{id:40049}</t>
  </si>
  <si>
    <t>8,11</t>
  </si>
  <si>
    <t>3,6</t>
  </si>
  <si>
    <t>對隨機敵方3體造成&lt;AP&gt;魔攻的魔法傷害，並50%機率附加凍傷與魔防下降1層</t>
  </si>
  <si>
    <t>火焰寶石LV.1</t>
  </si>
  <si>
    <t>第8層</t>
  </si>
  <si>
    <t>{role:-1},
{id:-1},{id:-1},{id:-1},{id:-1},{id:-1}
{id:40046},{id:40027},{id:40086},{id:40035},{id:40083}</t>
  </si>
  <si>
    <t>10</t>
  </si>
  <si>
    <t>除魔霜障★4</t>
  </si>
  <si>
    <t>3,4,9</t>
  </si>
  <si>
    <t>第9層</t>
  </si>
  <si>
    <t>16,13,1</t>
  </si>
  <si>
    <t>{role:-1},
{id:-1},{id:-1},{id:-1},{id:-1},{id:-1}
{id:40021},{id:40060},{id:40049},{id:40035},{id:40082}</t>
  </si>
  <si>
    <t>對隨機敵方2體造成&lt;AP&gt;魔攻的魔法傷害，並50%機率附加凍傷、50%機率冰凍與魔防下降1層</t>
  </si>
  <si>
    <t>4,9,11</t>
  </si>
  <si>
    <t>火焰寶石LV.2</t>
  </si>
  <si>
    <t>1,13</t>
  </si>
  <si>
    <t>第10層</t>
  </si>
  <si>
    <t>{role:-1},
{id:-1},{id:-1},{id:-1},{id:-1},{id:-1}
{id:50002},{id:40030},{id:40005},{id:40041},{id:40052}</t>
  </si>
  <si>
    <t>除魔霜障•極</t>
  </si>
  <si>
    <t>2,4</t>
  </si>
  <si>
    <t>4,6,12</t>
  </si>
  <si>
    <t>第11層</t>
  </si>
  <si>
    <t>對隨機敵方2體造成&lt;AP&gt;魔攻的魔法傷害，並80%機率附加凍傷、80%機率冰凍與魔防下降1層</t>
  </si>
  <si>
    <t>火焰寶石LV.3</t>
  </si>
  <si>
    <t>{role:-1},
{id:-1},{id:-1},{id:-1},{id:-1},{id:-1}
{id:40084},{id:40064},{id:40051},{id:40083},{id:40059}</t>
  </si>
  <si>
    <t>5</t>
  </si>
  <si>
    <t>萬物洗淨★</t>
  </si>
  <si>
    <t>第12層</t>
  </si>
  <si>
    <t>{role:-1},
{id:-1},{id:-1},{id:-1},{id:-1},{id:-1}
{id:40072},{id:40069},{id:40034},{id:40075},{id:40055}</t>
  </si>
  <si>
    <t>火焰寶石LV.4</t>
  </si>
  <si>
    <t>4,6,7</t>
  </si>
  <si>
    <t>60,17,14,8</t>
  </si>
  <si>
    <t>為我方2體恢復&lt;AP&gt;魔攻的HP，為受治療的對象附加防禦上升效果2層</t>
  </si>
  <si>
    <t>第13層</t>
  </si>
  <si>
    <t>{role:-1},
{id:-1},{id:-1},{id:-1},{id:-1},{id:-1}
{id:40064},{id:40012},{id:40007},{id:40015},{id:40020}</t>
  </si>
  <si>
    <t>火焰寶石LV.5</t>
  </si>
  <si>
    <t>萬物洗淨★2</t>
  </si>
  <si>
    <t>3,7,11</t>
  </si>
  <si>
    <t>2,7,12</t>
  </si>
  <si>
    <t>第14層</t>
  </si>
  <si>
    <t>火焰寶石LV.6</t>
  </si>
  <si>
    <t>{role:-1},
{id:-1},{id:-1},{id:-1},{id:-1},{id:-1}
{id:40077},{id:40060},{id:40068},{id:40033},{id:40071}</t>
  </si>
  <si>
    <t>為我方2體恢復&lt;AP&gt;魔攻的HP，為受治療的對象附加防禦上升效果2層並且解除灼傷</t>
  </si>
  <si>
    <t>第15層</t>
  </si>
  <si>
    <t>火焰寶石LV.7</t>
  </si>
  <si>
    <t>萬物洗淨★3</t>
  </si>
  <si>
    <t>{role:-1},
{id:-1},{id:-1},{id:-1},{id:-1},{id:-1}
{id:50003},{id:40035},{id:40083},{id:40044},{id:40015}</t>
  </si>
  <si>
    <t>3,7</t>
  </si>
  <si>
    <t>60,16,20</t>
  </si>
  <si>
    <t>為我方2體恢復&lt;AP&gt;魔攻的HP，為受治療的對象附加防禦上升效果2層與並持續回魔效果且解除灼傷</t>
  </si>
  <si>
    <t>1,12</t>
  </si>
  <si>
    <t>火焰寶石LV.8</t>
  </si>
  <si>
    <t>萬物洗淨★4</t>
  </si>
  <si>
    <t>第16層</t>
  </si>
  <si>
    <t>{role:-1},
{id:-1},{id:-1},{id:-1},{id:-1},{id:-1}
{id:40034},{id:40065},{id:40023},{id:40014},{id:40081}</t>
  </si>
  <si>
    <t>火焰寶石LV.9</t>
  </si>
  <si>
    <t>為我方4體恢復&lt;AP&gt;魔攻的HP，為受治療的對象附加防禦上升效果2層與並持續回魔效果且解除灼傷</t>
  </si>
  <si>
    <t>9,11</t>
  </si>
  <si>
    <t>3,4,6</t>
  </si>
  <si>
    <t>萬物洗淨•極</t>
  </si>
  <si>
    <t>火焰寶石LV.10</t>
  </si>
  <si>
    <t>第17層</t>
  </si>
  <si>
    <t>{role:-1},
{id:-1},{id:-1},{id:-1},{id:-1},{id:-1}
{id:40021},{id:40070},{id:40068},{id:40001},{id:40077}</t>
  </si>
  <si>
    <t>1,8</t>
  </si>
  <si>
    <t>6</t>
  </si>
  <si>
    <t>綠光寶石LV.1</t>
  </si>
  <si>
    <t>58,17,15,10</t>
  </si>
  <si>
    <t>為我方2體恢復&lt;AP&gt;魔攻的HP，為受治療的對象附加防禦上升效果2層與並持續回魔效果且解除所有異常狀態</t>
  </si>
  <si>
    <t>第18層</t>
  </si>
  <si>
    <t>{role:-1},
{id:-1},{id:-1},{id:-1},{id:-1},{id:-1}
{id:40040},{id:40031},{id:40008},{id:40073},{id:40011}</t>
  </si>
  <si>
    <t>防禦崩解★</t>
  </si>
  <si>
    <t>12</t>
  </si>
  <si>
    <t>2,9</t>
  </si>
  <si>
    <t>第19層</t>
  </si>
  <si>
    <t>綠光寶石LV.2</t>
  </si>
  <si>
    <t>{role:-1},
{id:-1},{id:-1},{id:-1},{id:-1},{id:-1}
{id:40017},{id:40085},{id:40061},{id:40071},{id:40022}</t>
  </si>
  <si>
    <t>對隨機敵方4體造成&lt;AD&gt;物攻的物理攻擊，附加防禦下降與2層爆擊下降</t>
  </si>
  <si>
    <t>9,10</t>
  </si>
  <si>
    <t>4,9</t>
  </si>
  <si>
    <t>防禦崩解★2</t>
  </si>
  <si>
    <t>第20層</t>
  </si>
  <si>
    <t>{role:-1},
{id:-1},{id:-1},{id:-1},{id:-1},{id:-1}
{id:50004},{id:40026},{id:40040},{id:40052},{id:40086}</t>
  </si>
  <si>
    <t>6,8,9</t>
  </si>
  <si>
    <t>綠光寶石LV.3</t>
  </si>
  <si>
    <t>對隨機敵方全體造成&lt;AD&gt;物攻的物理攻擊，附加防禦下降與2層爆擊下降</t>
  </si>
  <si>
    <t>第21層</t>
  </si>
  <si>
    <t>{role:-1},
{id:-1},{id:-1},{id:-1},{id:-1},{id:-1}
{id:40029},{id:40009},{id:40044},{id:40003},{id:40076}</t>
  </si>
  <si>
    <t>4,10,13</t>
  </si>
  <si>
    <t>綠光寶石LV.4</t>
  </si>
  <si>
    <t>2</t>
  </si>
  <si>
    <t>防禦崩解★3</t>
  </si>
  <si>
    <t>16,2,1</t>
  </si>
  <si>
    <t>第22層</t>
  </si>
  <si>
    <t>{role:-1},
{id:-1},{id:-1},{id:-1},{id:-1},{id:-1}
{id:40081},{id:40008},{id:40030},{id:40009},{id:40005}</t>
  </si>
  <si>
    <t>綠光寶石LV.5</t>
  </si>
  <si>
    <t>對隨機敵方全體造成&lt;AD&gt;物攻的物理攻擊，附加防禦與魔防下降2層與2層爆擊下降</t>
  </si>
  <si>
    <t>第23層</t>
  </si>
  <si>
    <t>{role:-1},
{id:-1},{id:-1},{id:-1},{id:-1},{id:-1}
{id:40086},{id:40063},{id:40028},{id:40070},{id:40017}</t>
  </si>
  <si>
    <t>8,10,13</t>
  </si>
  <si>
    <t>防禦崩解★4</t>
  </si>
  <si>
    <t>綠光寶石LV.6</t>
  </si>
  <si>
    <t>13</t>
  </si>
  <si>
    <t>第24層</t>
  </si>
  <si>
    <t>{role:-1},
{id:-1},{id:-1},{id:-1},{id:-1},{id:-1}
{id:40061},{id:40053},{id:40025},{id:40013},{id:40085}</t>
  </si>
  <si>
    <t>6,7</t>
  </si>
  <si>
    <t>對隨機敵方全體造成&lt;AD&gt;物攻的物理攻擊，附加防禦與魔防下降2層、爆擊下降2層、技能傷害下降2層</t>
  </si>
  <si>
    <t>綠光寶石LV.7</t>
  </si>
  <si>
    <t>8,12</t>
  </si>
  <si>
    <t>第25層</t>
  </si>
  <si>
    <t>防禦崩解•極</t>
  </si>
  <si>
    <t>{role:-1},
{id:-1},{id:-1},{id:-1},{id:-1},{id:-1}
{id:50005},{id:40007},{id:40087},{id:40084},{id:40083}</t>
  </si>
  <si>
    <t>1</t>
  </si>
  <si>
    <t>6,12</t>
  </si>
  <si>
    <t>第26層</t>
  </si>
  <si>
    <t>綠光寶石LV.8</t>
  </si>
  <si>
    <t>{role:-1},
{id:-1},{id:-1},{id:-1},{id:-1},{id:-1}
{id:40014},{id:40032},{id:40025},{id:40069},{id:40058}</t>
  </si>
  <si>
    <t>對隨機敵方全體造成&lt;AD&gt;物攻的物理攻擊，附加防禦與魔防下降2層、爆擊下降2層、技能傷害下降2層，並清除對象的上升狀態</t>
  </si>
  <si>
    <t>7</t>
  </si>
  <si>
    <t>極限斬擊★</t>
  </si>
  <si>
    <t>第27層</t>
  </si>
  <si>
    <t>{role:-1},
{id:-1},{id:-1},{id:-1},{id:-1},{id:-1}
{id:40060},{id:40032},{id:40010},{id:40057},{id:40071}</t>
  </si>
  <si>
    <t>綠光寶石LV.9</t>
  </si>
  <si>
    <t>1,2,9</t>
  </si>
  <si>
    <t>對敵方隨機1體造成&lt;AD&gt;物攻的物理攻擊，並附加爆擊抗性下降，附加自身爆擊上升</t>
  </si>
  <si>
    <t>第28層</t>
  </si>
  <si>
    <t>極限斬擊★2</t>
  </si>
  <si>
    <t>{role:-1},
{id:-1},{id:-1},{id:-1},{id:-1},{id:-1}
{id:40031},{id:40022},{id:40053},{id:40063},{id:40062}</t>
  </si>
  <si>
    <t>綠光寶石LV.10</t>
  </si>
  <si>
    <t>第29層</t>
  </si>
  <si>
    <t>琉璃寶石LV.1</t>
  </si>
  <si>
    <t>{role:-1},
{id:-1},{id:-1},{id:-1},{id:-1},{id:-1}
{id:40049},{id:40001},{id:40050},{id:40034},{id:40059}</t>
  </si>
  <si>
    <t>7,12</t>
  </si>
  <si>
    <t>對敵方隨機1體造成&lt;AD&gt;物攻的物理攻擊，並附加爆擊抗性下降，附加自身爆擊上升、行動加快</t>
  </si>
  <si>
    <t>9,11,13</t>
  </si>
  <si>
    <t>極限斬擊★3</t>
  </si>
  <si>
    <t>第30層</t>
  </si>
  <si>
    <t>{role:-1},
{id:-1},{id:-1},{id:-1},{id:-1},{id:-1}
{id:50006},{id:40063},{id:40020},{id:40025},{id:40038}</t>
  </si>
  <si>
    <t>1,9,12</t>
  </si>
  <si>
    <t>role</t>
  </si>
  <si>
    <t>琉璃寶石LV.2</t>
  </si>
  <si>
    <t>物攻</t>
  </si>
  <si>
    <t>2,3,4,5,6,7</t>
  </si>
  <si>
    <t>對敵方隨機1體造成&lt;AD&gt;物攻的物理攻擊，附加自身爆擊上升額外附加自身爆擊上升、行動加快與妖刀效果</t>
  </si>
  <si>
    <t>第31層</t>
  </si>
  <si>
    <t>{role:-1},
{id:-1},{id:-1},{id:-1},{id:-1},{id:-1}
{id:40041},{id:40008},{id:40007},{id:40075},{id:40062}</t>
  </si>
  <si>
    <t>1,3,9</t>
  </si>
  <si>
    <t>2,3,13</t>
  </si>
  <si>
    <t>極限斬擊★4</t>
  </si>
  <si>
    <t>琉璃寶石LV.3</t>
  </si>
  <si>
    <t>第32層</t>
  </si>
  <si>
    <t>{role:-1},
{id:-1},{id:-1},{id:-1},{id:-1},{id:-1}
{id:40077},{id:40009},{id:40087},{id:40031},{id:40052}</t>
  </si>
  <si>
    <t>極限斬擊•極</t>
  </si>
  <si>
    <t>琉璃寶石LV.4</t>
  </si>
  <si>
    <t>第33層</t>
  </si>
  <si>
    <t>{role:-1},
{id:-1},{id:-1},{id:-1},{id:-1},{id:-1}
{id:40077},{id:40006},{id:40080},{id:40011},{id:40054}</t>
  </si>
  <si>
    <t>9,10,13</t>
  </si>
  <si>
    <t>對敵方隨機1體造成&lt;AD&gt;物攻的物理攻擊，附加自身爆擊上升額外附加自身爆擊上升、行動加快、妖刀與妖刀●滅效果</t>
  </si>
  <si>
    <t>琉璃寶石LV.5</t>
  </si>
  <si>
    <t>4,5</t>
  </si>
  <si>
    <t>神威退魔★</t>
  </si>
  <si>
    <t>第34層</t>
  </si>
  <si>
    <t>{role:-1},
{id:-1},{id:-1},{id:-1},{id:-1},{id:-1}
{id:40086},{id:40041},{id:40031},{id:40034},{id:40051}</t>
  </si>
  <si>
    <t>琉璃寶石LV.6</t>
  </si>
  <si>
    <t>為我方2體隨機附加傷害分擔；並附加自身持續恢復效果</t>
  </si>
  <si>
    <t>5,6,8</t>
  </si>
  <si>
    <t>第35層</t>
  </si>
  <si>
    <t>神威退魔★2</t>
  </si>
  <si>
    <t>{role:-1},
{id:-1},{id:-1},{id:-1},{id:-1},{id:-1}
{id:50007},{id:40010},{id:40002},{id:40059},{id:40080}</t>
  </si>
  <si>
    <t>琉璃寶石LV.7</t>
  </si>
  <si>
    <t>2,9,13</t>
  </si>
  <si>
    <t>物防</t>
  </si>
  <si>
    <t>第36層</t>
  </si>
  <si>
    <t>{role:-1},
{id:-1},{id:-1},{id:-1},{id:-1},{id:-1}
{id:40034},{id:40017},{id:40045},{id:40009},{id:40032}</t>
  </si>
  <si>
    <t>為我方2體隨機附加傷害分擔；並附加自身持續恢復與減少受到傷害效果</t>
  </si>
  <si>
    <t>3,5</t>
  </si>
  <si>
    <t>琉璃寶石LV.8</t>
  </si>
  <si>
    <t>9,12</t>
  </si>
  <si>
    <t>神威退魔★3</t>
  </si>
  <si>
    <t>第37層</t>
  </si>
  <si>
    <t>琉璃寶石LV.9</t>
  </si>
  <si>
    <t>為我方3體隨機附加傷害分擔；並附加自身持續恢復與減少受到傷害效果</t>
  </si>
  <si>
    <t>{role:-1},
{id:-1},{id:-1},{id:-1},{id:-1},{id:-1}
{id:40039},{id:40079},{id:40084},{id:40068},{id:40002}</t>
  </si>
  <si>
    <t>神威退魔★4</t>
  </si>
  <si>
    <t>琉璃寶石LV.10</t>
  </si>
  <si>
    <t>5,9,11</t>
  </si>
  <si>
    <t>為我方3體隨機附加傷害分擔；並附加自身持續恢復與2層減少受到傷害效果</t>
  </si>
  <si>
    <t>第38層</t>
  </si>
  <si>
    <t>星空寶石LV.1</t>
  </si>
  <si>
    <t>{role:-1},
{id:-1},{id:-1},{id:-1},{id:-1},{id:-1}
{id:40034},{id:40015},{id:40014},{id:40071},{id:40020}</t>
  </si>
  <si>
    <t>神威退魔•極</t>
  </si>
  <si>
    <t>第39層</t>
  </si>
  <si>
    <t>{role:-1},
{id:-1},{id:-1},{id:-1},{id:-1},{id:-1}
{id:40044},{id:40027},{id:40082},{id:40034},{id:40065}</t>
  </si>
  <si>
    <t>為我方3體隨機附加傷害分擔；並附加自身持續恢復與2層減少受到傷害效果；額外解除凍傷效果</t>
  </si>
  <si>
    <t>1,5</t>
  </si>
  <si>
    <t>星空寶石LV.2</t>
  </si>
  <si>
    <t>陰月靈鋒★</t>
  </si>
  <si>
    <t>第40層</t>
  </si>
  <si>
    <t>{role:-1},
{id:-1},{id:-1},{id:-1},{id:-1},{id:-1}
{id:50008},{id:40055},{id:40036},{id:40006},{id:40001}</t>
  </si>
  <si>
    <t>3,13</t>
  </si>
  <si>
    <t>3,5,8</t>
  </si>
  <si>
    <t>為我方2體附加附加自身&lt;AD&gt;物攻的護盾並附加傷害分擔效果</t>
  </si>
  <si>
    <t>星空寶石LV.3</t>
  </si>
  <si>
    <t>第41層</t>
  </si>
  <si>
    <t>{role:-1},
{id:-1},{id:-1},{id:-1},{id:-1},{id:-1}
{id:40071},{id:40055},{id:40072},{id:40002},{id:40015}</t>
  </si>
  <si>
    <t>陰月靈鋒★2</t>
  </si>
  <si>
    <t>星空寶石LV.4</t>
  </si>
  <si>
    <t>第42層</t>
  </si>
  <si>
    <t>{role:-1},
{id:-1},{id:-1},{id:-1},{id:-1},{id:-1}
{id:40005},{id:40048},{id:40075},{id:40071},{id:40019}</t>
  </si>
  <si>
    <t>為我方2體附加附加自身&lt;AD&gt;物攻的護盾並附加傷害分擔效果；額外為自身附加行動加快效果</t>
  </si>
  <si>
    <t>1,3</t>
  </si>
  <si>
    <t>1,6</t>
  </si>
  <si>
    <t>星空寶石LV.5</t>
  </si>
  <si>
    <t>陰月靈鋒★3</t>
  </si>
  <si>
    <t>第43層</t>
  </si>
  <si>
    <t>{role:-1},
{id:-1},{id:-1},{id:-1},{id:-1},{id:-1}
{id:40046},{id:40027},{id:40032},{id:40086},{id:40014}</t>
  </si>
  <si>
    <t>9,13</t>
  </si>
  <si>
    <t>10,12</t>
  </si>
  <si>
    <t>星空寶石LV.6</t>
  </si>
  <si>
    <t>為我方2體附加附加自身&lt;AD&gt;物攻的護盾並附加傷害分擔效果；額外為自身附加行動加快與傷害反射效果</t>
  </si>
  <si>
    <t>第44層</t>
  </si>
  <si>
    <t>{role:-1},
{id:-1},{id:-1},{id:-1},{id:-1},{id:-1}
{id:40020},{id:40031},{id:40021},{id:40023},{id:40053}</t>
  </si>
  <si>
    <t>陰月靈鋒★4</t>
  </si>
  <si>
    <t>6,7,11</t>
  </si>
  <si>
    <t>星空寶石LV.7</t>
  </si>
  <si>
    <t>第45層</t>
  </si>
  <si>
    <t>{role:-1},
{id:-1},{id:-1},{id:-1},{id:-1},{id:-1}
{id:50009},{id:40032},{id:40035},{id:40021},{id:40014}</t>
  </si>
  <si>
    <t>為我方2體附加附加自身&lt;AD&gt;物攻的護盾、傷害分擔、魔防上升與防禦上升效果；額外為自身附加行動加快與傷害反射效果</t>
  </si>
  <si>
    <t>星空寶石LV.8</t>
  </si>
  <si>
    <t>第46層</t>
  </si>
  <si>
    <t>陰月靈鋒•極</t>
  </si>
  <si>
    <t>{role:-1},
{id:-1},{id:-1},{id:-1},{id:-1},{id:-1}
{id:40059},{id:40045},{id:40040},{id:40030},{id:40029}</t>
  </si>
  <si>
    <t>{1.7},{1.7},{0.9},{1.6},{0.9}</t>
  </si>
  <si>
    <t>為我方3體附加附加自身&lt;AD&gt;物攻的護盾、傷害分擔、魔防上升與防禦上升效果；額外為自身附加行動加快與傷害反射效果</t>
  </si>
  <si>
    <t>星空寶石LV.9</t>
  </si>
  <si>
    <t>第47層</t>
  </si>
  <si>
    <t>{role:-1},
{id:-1},{id:-1},{id:-1},{id:-1},{id:-1}
{id:40043},{id:40036},{id:40009},{id:40045},{id:40083}</t>
  </si>
  <si>
    <t>7,9,11</t>
  </si>
  <si>
    <t>聖劍光輝★</t>
  </si>
  <si>
    <t>1,2</t>
  </si>
  <si>
    <t>星空寶石LV.10</t>
  </si>
  <si>
    <t>第48層</t>
  </si>
  <si>
    <t>{role:-1},
{id:-1},{id:-1},{id:-1},{id:-1},{id:-1}
{id:40034},{id:40023},{id:40075},{id:40005},{id:40014}</t>
  </si>
  <si>
    <t>對敵方1體造成&lt;AP&gt;魔攻的魔法傷害，並50%機率灼傷；並額外自身附加魔攻上升</t>
  </si>
  <si>
    <t>6,7,12</t>
  </si>
  <si>
    <t>聖劍光輝★2</t>
  </si>
  <si>
    <t>月影彩石LV.1</t>
  </si>
  <si>
    <t>第49層</t>
  </si>
  <si>
    <t>{role:-1},
{id:-1},{id:-1},{id:-1},{id:-1},{id:-1}
{id:40015},{id:40050},{id:40074},{id:40025},{id:40033}</t>
  </si>
  <si>
    <t>1,9</t>
  </si>
  <si>
    <t>對敵方1體造成&lt;AP&gt;魔攻的魔法傷害，並100%機率灼傷；並額外自身附加魔攻上升</t>
  </si>
  <si>
    <t>第50層</t>
  </si>
  <si>
    <t>{role:-1},
{id:-1},{id:-1},{id:-1},{id:-1},{id:-1}
{id:50010},{id:40069},{id:40086},{id:40026},{id:40047}</t>
  </si>
  <si>
    <t>2,11</t>
  </si>
  <si>
    <t>聖劍光輝★3</t>
  </si>
  <si>
    <t>月影彩石LV.2</t>
  </si>
  <si>
    <t>6,10</t>
  </si>
  <si>
    <t>對敵方2體造成&lt;AP&gt;魔攻的魔法傷害，並100%機率灼傷；並額外自身附加魔攻上升</t>
  </si>
  <si>
    <t>第51層</t>
  </si>
  <si>
    <t>{role:-1},
{id:-1},{id:-1},{id:-1},{id:-1},{id:-1}
{id:40085},{id:40016},{id:40039},{id:40065},{id:40040}</t>
  </si>
  <si>
    <t>6,7,13</t>
  </si>
  <si>
    <t>聖劍光輝★4</t>
  </si>
  <si>
    <t>3,5,9</t>
  </si>
  <si>
    <t>月影彩石LV.3</t>
  </si>
  <si>
    <t>第52層</t>
  </si>
  <si>
    <t>{role:-1},
{id:-1},{id:-1},{id:-1},{id:-1},{id:-1}
{id:40025},{id:40054},{id:40086},{id:40049},{id:40087}</t>
  </si>
  <si>
    <t>對敵方2體造成&lt;AP&gt;魔攻的魔法傷害，並100%機率灼傷；並額外自身附加魔攻上升與行動加快</t>
  </si>
  <si>
    <t>3,10,12</t>
  </si>
  <si>
    <t>7,9</t>
  </si>
  <si>
    <t>聖劍光輝•極</t>
  </si>
  <si>
    <t>月影彩石LV.4</t>
  </si>
  <si>
    <t>第53層</t>
  </si>
  <si>
    <t>{role:-1},
{id:-1},{id:-1},{id:-1},{id:-1},{id:-1}
{id:40001},{id:40039},{id:40037},{id:40027},{id:40056}</t>
  </si>
  <si>
    <t>6,10,11</t>
  </si>
  <si>
    <t>8,13</t>
  </si>
  <si>
    <t>對敵方3體造成&lt;AP&gt;魔攻的魔法傷害，並100%機率灼傷；並額外自身附加魔攻上升與行動加快</t>
  </si>
  <si>
    <t>月影彩石LV.5</t>
  </si>
  <si>
    <t>第54層</t>
  </si>
  <si>
    <t>{role:-1},
{id:-1},{id:-1},{id:-1},{id:-1},{id:-1}
{id:40087},{id:40028},{id:40066},{id:40061},{id:40022}</t>
  </si>
  <si>
    <t>神威震嶽★</t>
  </si>
  <si>
    <t>2,5,9</t>
  </si>
  <si>
    <t>第55層</t>
  </si>
  <si>
    <t>{role:-1},
{id:-1},{id:-1},{id:-1},{id:-1},{id:-1}
{id:50011},{id:40012},{id:40031},{id:40087},{id:40040}</t>
  </si>
  <si>
    <t>對敵方1體造成&lt;AP&gt;魔攻的魔法傷害；並為自身附加爆擊上升與自身行動加快</t>
  </si>
  <si>
    <t>月影彩石LV.6</t>
  </si>
  <si>
    <t>神威震嶽★2</t>
  </si>
  <si>
    <t>第56層</t>
  </si>
  <si>
    <t>{role:-1},
{id:-1},{id:-1},{id:-1},{id:-1},{id:-1}
{id:40004},{id:40006},{id:40032},{id:40061},{id:40079}</t>
  </si>
  <si>
    <t>8</t>
  </si>
  <si>
    <t>月影彩石LV.7</t>
  </si>
  <si>
    <t>10,11</t>
  </si>
  <si>
    <t>對敵方1體造成&lt;AP&gt;魔攻的魔法傷害；並為自身附加爆擊上升、自身行動加快與能傷害上升</t>
  </si>
  <si>
    <t>第57層</t>
  </si>
  <si>
    <t>{role:-1},
{id:-1},{id:-1},{id:-1},{id:-1},{id:-1}
{id:40025},{id:40050},{id:40064},{id:40052},{id:40032}</t>
  </si>
  <si>
    <t>月影彩石LV.8</t>
  </si>
  <si>
    <t>1,2,7</t>
  </si>
  <si>
    <t>對敵方1體造成&lt;AP&gt;魔攻的魔法傷害；並為自身附加爆擊上升、自身行動加快、技能傷害上升與爆傷上升</t>
  </si>
  <si>
    <t>第58層</t>
  </si>
  <si>
    <t>{role:-1},
{id:-1},{id:-1},{id:-1},{id:-1},{id:-1}
{id:40029},{id:40023},{id:40067},{id:40060},{id:40007}</t>
  </si>
  <si>
    <t>月影彩石LV.9</t>
  </si>
  <si>
    <t>2,4,8</t>
  </si>
  <si>
    <t>對敵方2體造成&lt;AP&gt;魔攻的魔法傷害；並為自身附加爆擊上升、自身行動加快、技能傷害上升與爆傷上升</t>
  </si>
  <si>
    <t>第59層</t>
  </si>
  <si>
    <t>{role:-1},
{id:-1},{id:-1},{id:-1},{id:-1},{id:-1}
{id:40060},{id:40086},{id:40068},{id:40072},{id:40077}</t>
  </si>
  <si>
    <t>7,9,12</t>
  </si>
  <si>
    <t>第60層</t>
  </si>
  <si>
    <t>神威震嶽•極</t>
  </si>
  <si>
    <t>{role:-1},
{id:-1},{id:-1},{id:-1},{id:-1},{id:-1}
{id:50012},{id:40071},{id:40058},{id:40021},{id:40061}</t>
  </si>
  <si>
    <t>月影彩石LV.10</t>
  </si>
  <si>
    <t>5,8,9</t>
  </si>
  <si>
    <t>第61層</t>
  </si>
  <si>
    <t>{role:-1},
{id:-1},{id:-1},{id:-1},{id:-1},{id:-1}
{id:40081},{id:40031},{id:40036},{id:40057},{id:40010}</t>
  </si>
  <si>
    <t>對敵方2體造成&lt;AP&gt;魔攻的魔法傷害；並為自身附加自身行動加快、爆擊上升2層、技能傷害上升2層與爆傷上升2層</t>
  </si>
  <si>
    <t>4,5,13</t>
  </si>
  <si>
    <t>幻影彩石LV.1</t>
  </si>
  <si>
    <t>6,9</t>
  </si>
  <si>
    <t>血祭詛咒★</t>
  </si>
  <si>
    <t>第62層</t>
  </si>
  <si>
    <t>{role:-1},
{id:-1},{id:-1},{id:-1},{id:-1},{id:-1}
{id:40011},{id:40018},{id:40020},{id:40030},{id:40050}</t>
  </si>
  <si>
    <t>3,4,12</t>
  </si>
  <si>
    <t>對敵方1體造成&lt;AD&gt;物攻的物理傷害，並40%附加裂傷與中毒</t>
  </si>
  <si>
    <t>幻影彩石LV.2</t>
  </si>
  <si>
    <t>第63層</t>
  </si>
  <si>
    <t>{role:-1},
{id:-1},{id:-1},{id:-1},{id:-1},{id:-1}
{id:40053},{id:40043},{id:40070},{id:40060},{id:40054}</t>
  </si>
  <si>
    <t>血祭詛咒★2</t>
  </si>
  <si>
    <t>7,10</t>
  </si>
  <si>
    <t>第64層</t>
  </si>
  <si>
    <t>{role:-1},
{id:-1},{id:-1},{id:-1},{id:-1},{id:-1}
{id:40003},{id:40074},{id:40049},{id:40062},{id:40001}</t>
  </si>
  <si>
    <t>5,7</t>
  </si>
  <si>
    <t>幻影彩石LV.3</t>
  </si>
  <si>
    <t>對敵方1體造成&lt;AD&gt;物攻的物理傷害，並40%附加裂傷、中毒與灼傷</t>
  </si>
  <si>
    <t>第65層</t>
  </si>
  <si>
    <t>{role:-1},
{id:-1},{id:-1},{id:-1},{id:-1},{id:-1}
{id:50013},{id:40070},{id:40078},{id:40029},{id:40063}</t>
  </si>
  <si>
    <t>幻影彩石LV.4</t>
  </si>
  <si>
    <t>血祭詛咒★3</t>
  </si>
  <si>
    <t>幻影彩石LV.5</t>
  </si>
  <si>
    <t>第66層</t>
  </si>
  <si>
    <t>{role:-1},
{id:-1},{id:-1},{id:-1},{id:-1},{id:-1}
{id:40050},{id:40044},{id:40086},{id:40087},{id:40052}</t>
  </si>
  <si>
    <t>3,8,13</t>
  </si>
  <si>
    <t>1,7,9</t>
  </si>
  <si>
    <t>對敵方1體造成&lt;AD&gt;物攻的物理傷害，並40%附加裂傷、中毒、灼傷與凍傷</t>
  </si>
  <si>
    <t>第67層</t>
  </si>
  <si>
    <t>{role:-1},
{id:-1},{id:-1},{id:-1},{id:-1},{id:-1}
{id:40076},{id:40073},{id:40085},{id:40004},{id:40011}</t>
  </si>
  <si>
    <t>3,7,8</t>
  </si>
  <si>
    <t>血祭詛咒★4</t>
  </si>
  <si>
    <t>幻影彩石LV.6</t>
  </si>
  <si>
    <t>第68層</t>
  </si>
  <si>
    <t>{role:-1},
{id:-1},{id:-1},{id:-1},{id:-1},{id:-1}
{id:40034},{id:40049},{id:40042},{id:40028},{id:40059}</t>
  </si>
  <si>
    <t>7,13</t>
  </si>
  <si>
    <t>對敵方1體造成&lt;AD&gt;物攻的物理傷害，並50%附加裂傷、中毒、灼傷與凍傷</t>
  </si>
  <si>
    <t>第69層</t>
  </si>
  <si>
    <t>{role:-1},
{id:-1},{id:-1},{id:-1},{id:-1},{id:-1}
{id:40033},{id:40011},{id:40061},{id:40003},{id:40070}</t>
  </si>
  <si>
    <t>血祭詛咒•極</t>
  </si>
  <si>
    <t>第70層</t>
  </si>
  <si>
    <t>{role:-1},
{id:-1},{id:-1},{id:-1},{id:-1},{id:-1}
{id:50014},{id:40009},{id:40084},{id:40006},{id:40004}</t>
  </si>
  <si>
    <t>幻影彩石LV.7</t>
  </si>
  <si>
    <t>第71層</t>
  </si>
  <si>
    <t>{role:-1},
{id:-1},{id:-1},{id:-1},{id:-1},{id:-1}
{id:40020},{id:40031},{id:40017},{id:40061},{id:40086}</t>
  </si>
  <si>
    <t>對敵方1體造成&lt;AD&gt;物攻的物理傷害，並80%附加裂傷、中毒、灼傷與凍傷</t>
  </si>
  <si>
    <t>第72層</t>
  </si>
  <si>
    <t>幻影彩石LV.8</t>
  </si>
  <si>
    <t>神聖庇護★</t>
  </si>
  <si>
    <t>{role:-1},
{id:-1},{id:-1},{id:-1},{id:-1},{id:-1}
{id:40033},{id:40048},{id:40022},{id:40078},{id:40015}</t>
  </si>
  <si>
    <t>第73層</t>
  </si>
  <si>
    <t>{role:-1},
{id:-1},{id:-1},{id:-1},{id:-1},{id:-1}
{id:40004},{id:40040},{id:40074},{id:40087},{id:40049}</t>
  </si>
  <si>
    <t>4,12</t>
  </si>
  <si>
    <t>對我方2體&lt;AD&gt;物攻的護盾與附加持續回魔，自身死亡後3回合將自動重生</t>
  </si>
  <si>
    <t>第74層</t>
  </si>
  <si>
    <t>幻影彩石LV.9</t>
  </si>
  <si>
    <t>{role:-1},
{id:-1},{id:-1},{id:-1},{id:-1},{id:-1}
{id:40081},{id:40032},{id:40014},{id:40039},{id:40077}</t>
  </si>
  <si>
    <t>1,6,13</t>
  </si>
  <si>
    <t>第75層</t>
  </si>
  <si>
    <t>{role:-1},
{id:-1},{id:-1},{id:-1},{id:-1},{id:-1}
{id:50015},{id:40069},{id:40055},{id:40085},{id:40048}</t>
  </si>
  <si>
    <t>1,6,7</t>
  </si>
  <si>
    <t>對我方2體&lt;AD&gt;物攻的護盾並附加持續回魔、受護衛效果，自身死亡後3回合將自動重生</t>
  </si>
  <si>
    <t>幻影彩石LV.10</t>
  </si>
  <si>
    <t>第76層</t>
  </si>
  <si>
    <t>{role:-1},
{id:-1},{id:-1},{id:-1},{id:-1},{id:-1}
{id:40063},{id:40014},{id:40056},{id:40047},{id:40082}</t>
  </si>
  <si>
    <t>3,12</t>
  </si>
  <si>
    <t>第77層</t>
  </si>
  <si>
    <t>{role:-1},
{id:-1},{id:-1},{id:-1},{id:-1},{id:-1}
{id:40067},{id:40084},{id:40035},{id:40079},{id:40069}</t>
  </si>
  <si>
    <t>7,8</t>
  </si>
  <si>
    <t>紫凝暴晶LV.1</t>
  </si>
  <si>
    <t>5,6,10</t>
  </si>
  <si>
    <t>對我方2體&lt;AD&gt;物攻的護盾並附加持續回魔、真言與受護衛效果，自身死亡後3回合將自動重生</t>
  </si>
  <si>
    <t>第78層</t>
  </si>
  <si>
    <t>{role:-1},
{id:-1},{id:-1},{id:-1},{id:-1},{id:-1}
{id:40032},{id:40012},{id:40036},{id:40058},{id:40060}</t>
  </si>
  <si>
    <t>7,10,11</t>
  </si>
  <si>
    <t>棕熊</t>
  </si>
  <si>
    <t>monster</t>
  </si>
  <si>
    <t>第79層</t>
  </si>
  <si>
    <t>{role:-1},
{id:-1},{id:-1},{id:-1},{id:-1},{id:-1}
{id:40042},{id:40024},{id:40063},{id:40028},{id:40046}</t>
  </si>
  <si>
    <t>5,6</t>
  </si>
  <si>
    <t>紫凝暴晶LV.2</t>
  </si>
  <si>
    <t>5,9,12</t>
  </si>
  <si>
    <t>神聖庇護•極</t>
  </si>
  <si>
    <t>第80層</t>
  </si>
  <si>
    <t>紫凝暴晶LV.3</t>
  </si>
  <si>
    <t>對我方2體&lt;AD&gt;物攻的護盾並附加持續回魔、真言、真理與受護衛效果，自身死亡後3回合將自動重生</t>
  </si>
  <si>
    <t>{role:-1},
{id:-1},{id:-1},{id:-1},{id:-1},{id:-1}
{id:50001},{id:40002},{id:40067},{id:40025},{id:40011}</t>
  </si>
  <si>
    <t>龍血洗禮★</t>
  </si>
  <si>
    <t>8,9</t>
  </si>
  <si>
    <t>紫凝暴晶LV.4</t>
  </si>
  <si>
    <t>第81層</t>
  </si>
  <si>
    <t>{role:-1},
{id:-1},{id:-1},{id:-1},{id:-1},{id:-1}
{id:40031},{id:40061},{id:40083},{id:40063},{id:40058}</t>
  </si>
  <si>
    <t>4,7</t>
  </si>
  <si>
    <t>第82層</t>
  </si>
  <si>
    <t>龍血洗禮★2</t>
  </si>
  <si>
    <t>{role:-1},
{id:-1},{id:-1},{id:-1},{id:-1},{id:-1}
{id:40032},{id:40040},{id:40085},{id:40075},{id:40048}</t>
  </si>
  <si>
    <t>紫凝暴晶LV.5</t>
  </si>
  <si>
    <t>第83層</t>
  </si>
  <si>
    <t>{role:-1},
{id:-1},{id:-1},{id:-1},{id:-1},{id:-1}
{id:40071},{id:40043},{id:40046},{id:40059},{id:40035}</t>
  </si>
  <si>
    <t>第84層</t>
  </si>
  <si>
    <t>{role:-1},
{id:-1},{id:-1},{id:-1},{id:-1},{id:-1}
{id:40025},{id:40041},{id:40016},{id:40069},{id:40024}</t>
  </si>
  <si>
    <t>龍血洗禮★3</t>
  </si>
  <si>
    <t>5,8,10</t>
  </si>
  <si>
    <t>第85層</t>
  </si>
  <si>
    <t>{role:-1},
{id:-1},{id:-1},{id:-1},{id:-1},{id:-1}
{id:50002},{id:40068},{id:40077},{id:40037},{id:40013}</t>
  </si>
  <si>
    <t>紫凝暴晶LV.6</t>
  </si>
  <si>
    <t>龍血洗禮★4</t>
  </si>
  <si>
    <t>第86層</t>
  </si>
  <si>
    <t>{role:-1},
{id:-1},{id:-1},{id:-1},{id:-1},{id:-1}
{id:40023},{id:40039},{id:40002},{id:40069},{id:40017}</t>
  </si>
  <si>
    <t>灰狼</t>
  </si>
  <si>
    <t>3,5,12</t>
  </si>
  <si>
    <t>紫凝暴晶LV.7</t>
  </si>
  <si>
    <t>紫凝暴晶LV.8</t>
  </si>
  <si>
    <t>紫凝暴晶LV.9</t>
  </si>
  <si>
    <t>紫凝暴晶LV.10</t>
  </si>
  <si>
    <t>金凌暴晶LV.1</t>
  </si>
  <si>
    <t>第87層</t>
  </si>
  <si>
    <t>{role:-1},
{id:-1},{id:-1},{id:-1},{id:-1},{id:-1}
{id:40082},{id:40063},{id:40014},{id:40002},{id:40074}</t>
  </si>
  <si>
    <t>龍血洗禮•極</t>
  </si>
  <si>
    <t>金凌暴晶LV.2</t>
  </si>
  <si>
    <t>岩石怪</t>
  </si>
  <si>
    <t>第88層</t>
  </si>
  <si>
    <t>{role:-1},
{id:-1},{id:-1},{id:-1},{id:-1},{id:-1}
{id:40007},{id:40033},{id:40062},{id:40015},{id:40009}</t>
  </si>
  <si>
    <t>金凌暴晶LV.3</t>
  </si>
  <si>
    <t>2,8</t>
  </si>
  <si>
    <t>1,11,13</t>
  </si>
  <si>
    <t>第89層</t>
  </si>
  <si>
    <t>{role:-1},
{id:-1},{id:-1},{id:-1},{id:-1},{id:-1}
{id:40020},{id:40073},{id:40039},{id:40011},{id:40032}</t>
  </si>
  <si>
    <t>金凌暴晶LV.4</t>
  </si>
  <si>
    <t>10,13</t>
  </si>
  <si>
    <t>尖牙兔</t>
  </si>
  <si>
    <t>第90層</t>
  </si>
  <si>
    <t>{role:-1},
{id:-1},{id:-1},{id:-1},{id:-1},{id:-1}
{id:50003},{id:40080},{id:40029},{id:40067},{id:40049}</t>
  </si>
  <si>
    <t>金凌暴晶LV.5</t>
  </si>
  <si>
    <t>5,8</t>
  </si>
  <si>
    <t>5,7,10</t>
  </si>
  <si>
    <t>金凌暴晶LV.6</t>
  </si>
  <si>
    <t>第91層</t>
  </si>
  <si>
    <t>{role:-1},
{id:-1},{id:-1},{id:-1},{id:-1},{id:-1}
{id:40080},{id:40008},{id:40079},{id:40013},{id:40027}</t>
  </si>
  <si>
    <t>4,5,11</t>
  </si>
  <si>
    <t>金凌暴晶LV.7</t>
  </si>
  <si>
    <t>樹精</t>
  </si>
  <si>
    <t>第92層</t>
  </si>
  <si>
    <t>{role:-1},
{id:-1},{id:-1},{id:-1},{id:-1},{id:-1}
{id:40031},{id:40023},{id:40071},{id:40010},{id:40021}</t>
  </si>
  <si>
    <t>金凌暴晶LV.8</t>
  </si>
  <si>
    <t>尖刺鼠</t>
  </si>
  <si>
    <t>第93層</t>
  </si>
  <si>
    <t>{role:-1},
{id:-1},{id:-1},{id:-1},{id:-1},{id:-1}
{id:40061},{id:40038},{id:40005},{id:40030},{id:40037}</t>
  </si>
  <si>
    <t>金凌暴晶LV.9</t>
  </si>
  <si>
    <t>5,8,12</t>
  </si>
  <si>
    <t>金凌暴晶LV.10</t>
  </si>
  <si>
    <t>第94層</t>
  </si>
  <si>
    <t>{role:-1},
{id:-1},{id:-1},{id:-1},{id:-1},{id:-1}
{id:40030},{id:40034},{id:40081},{id:40076},{id:40085}</t>
  </si>
  <si>
    <t>符文龜</t>
  </si>
  <si>
    <t>第95層</t>
  </si>
  <si>
    <t>{role:-1},
{id:-1},{id:-1},{id:-1},{id:-1},{id:-1}
{id:50004},{id:40029},{id:40083},{id:40020},{id:40035}</t>
  </si>
  <si>
    <t>第96層</t>
  </si>
  <si>
    <t>{role:-1},
{id:-1},{id:-1},{id:-1},{id:-1},{id:-1}
{id:40040},{id:40077},{id:40073},{id:40037},{id:40057}</t>
  </si>
  <si>
    <t>利爪貓</t>
  </si>
  <si>
    <t>effective_count</t>
  </si>
  <si>
    <t>5,7,12</t>
  </si>
  <si>
    <t>全體上陣攻擊力+1%</t>
  </si>
  <si>
    <t>第97層</t>
  </si>
  <si>
    <t>{role:-1},
{id:-1},{id:-1},{id:-1},{id:-1},{id:-1}
{id:40035},{id:40065},{id:40070},{id:40064},{id:40057}</t>
  </si>
  <si>
    <t>第98層</t>
  </si>
  <si>
    <t>{role:-1},
{id:-1},{id:-1},{id:-1},{id:-1},{id:-1}
{id:40042},{id:40078},{id:40033},{id:40004},{id:40012}</t>
  </si>
  <si>
    <t>火焰雞</t>
  </si>
  <si>
    <t>1,10,11</t>
  </si>
  <si>
    <t>炎帝降世★</t>
  </si>
  <si>
    <t>第99層</t>
  </si>
  <si>
    <t>{role:-1},
{id:-1},{id:-1},{id:-1},{id:-1},{id:-1}
{id:40035},{id:40074},{id:40006},{id:40023},{id:40061}</t>
  </si>
  <si>
    <t>5,8,11</t>
  </si>
  <si>
    <t>炎帝降世★2</t>
  </si>
  <si>
    <t>第100層</t>
  </si>
  <si>
    <t>草精</t>
  </si>
  <si>
    <t>{role:-1},
{id:-1},{id:-1},{id:-1},{id:-1},{id:-1}
{id:50005},{id:40056},{id:40082},{id:40063},{id:40012}</t>
  </si>
  <si>
    <t>6,11</t>
  </si>
  <si>
    <t>對敵方全體造成&lt;AP&gt;魔攻的魔法傷害，並附加灼傷效果；自身額外附加炎帝效果</t>
  </si>
  <si>
    <t>天使史萊姆</t>
  </si>
  <si>
    <t>炎帝降世★3</t>
  </si>
  <si>
    <t>main</t>
  </si>
  <si>
    <t>最強戰役</t>
  </si>
  <si>
    <t>{role:-90007},{state:-60001}
{id:-10008,level:100,atk:999,def:9999},{id:-10010,level:100,def:9999},{id:-10011,level:100,def:9999},{id:-10012,level:100,def:9999},{id:-10009,level:100,def:9999},
{id:10001,level:100},{id:10013,level:100},{id:50000,level:100},{id:10014,level:100},{id:10015,level:100}</t>
  </si>
  <si>
    <t>1-1</t>
  </si>
  <si>
    <t>{role:-1},
{id:-1},{id:-1},{id:-1},{id:-1},{id:-1}
{id:40001},{id:40002}</t>
  </si>
  <si>
    <t>天氣變化</t>
  </si>
  <si>
    <t>炎帝降世★4</t>
  </si>
  <si>
    <t>場地變化</t>
  </si>
  <si>
    <t>1-2</t>
  </si>
  <si>
    <t>解鎖劍豪</t>
  </si>
  <si>
    <t>{role:-1},
{id:-1},{id:-1},{id:-1},{id:-1},{id:-1}
{id:40005},{id:40002}</t>
  </si>
  <si>
    <t>8,12,13</t>
  </si>
  <si>
    <t>史萊姆</t>
  </si>
  <si>
    <t>10,11,12</t>
  </si>
  <si>
    <t>炎帝降世•極</t>
  </si>
  <si>
    <t>1-3</t>
  </si>
  <si>
    <t>{role:-1},
{id:-1},{id:-1},{id:-1},{id:-1},{id:-1}
{id:40005},{id:40005}</t>
  </si>
  <si>
    <t>2,7,11</t>
  </si>
  <si>
    <t>2,3,5</t>
  </si>
  <si>
    <t>1-4</t>
  </si>
  <si>
    <t>對敵方全體造成&lt;AP&gt;魔攻的魔法傷害，並附加灼傷效果；自身額外附加炎帝與極•炎帝效果</t>
  </si>
  <si>
    <t>{role:-1},
{id:-1},{id:-1},{id:-1},{id:-1},{id:-1}
{id:40005},{id:40005},{id:40004}</t>
  </si>
  <si>
    <t>1-5</t>
  </si>
  <si>
    <t>冰凍史萊姆</t>
  </si>
  <si>
    <t>{role:-1},
{id:-1},{id:-1},{id:-1},{id:-1},{id:-1}
{id:40001},{id:40004},{id:40005}</t>
  </si>
  <si>
    <t>神酒破鬼陣★</t>
  </si>
  <si>
    <t>4,10</t>
  </si>
  <si>
    <t>magic_ice</t>
  </si>
  <si>
    <t>1-6</t>
  </si>
  <si>
    <t>ice</t>
  </si>
  <si>
    <t>{role:-1},
{id:-1},{id:-1},{id:-1},{id:-1},{id:-1}
{id:40002},{id:40001},{id:40003}</t>
  </si>
  <si>
    <t>2,4,9</t>
  </si>
  <si>
    <t>1,6,8</t>
  </si>
  <si>
    <t>神酒破鬼陣★2</t>
  </si>
  <si>
    <t>1-7</t>
  </si>
  <si>
    <t>火焰史萊姆</t>
  </si>
  <si>
    <t>{role:-1},
{id:-1},{id:-1},{id:-1},{id:-1},{id:-1}
{id:40004},{id:40001},{id:40002}</t>
  </si>
  <si>
    <t>1-8</t>
  </si>
  <si>
    <t>{role:-1},
{id:-1},{id:-1},{id:-1},{id:-1},{id:-1}
{id:40002},{id:40005},{id:40005}</t>
  </si>
  <si>
    <t>對敵方3體造成&lt;AP&gt;魔攻的魔法傷害，並附加魔防下降3層與凍傷效果</t>
  </si>
  <si>
    <t>沼澤史萊姆</t>
  </si>
  <si>
    <t>1-9</t>
  </si>
  <si>
    <t>{role:-1},
{id:-1},{id:-1},{id:-1},{id:-1},{id:-1}
{id:40003},{id:40003},{id:40004}</t>
  </si>
  <si>
    <t>4,6,9</t>
  </si>
  <si>
    <t>神酒破鬼陣★3</t>
  </si>
  <si>
    <t>1-10</t>
  </si>
  <si>
    <t>{role:-1},
{id:-1},{id:-1},{id:-1},{id:-1},{id:-1}
{id:40002},{id:40003},{id:40005},{id:40003}</t>
  </si>
  <si>
    <t>1-11</t>
  </si>
  <si>
    <t>{role:-1},
{id:-1},{id:-1},{id:-1},{id:-1},{id:-1}
{id:40002},{id:40005},{id:40004},{id:40004}</t>
  </si>
  <si>
    <t>金屬史萊姆</t>
  </si>
  <si>
    <t>1-12</t>
  </si>
  <si>
    <t>神酒破鬼陣★4</t>
  </si>
  <si>
    <t>{role:-1},
{id:-1},{id:-1},{id:-1},{id:-1},{id:-1}
{id:40001},{id:40001},{id:40004},{id:40002}</t>
  </si>
  <si>
    <t>8,11,13</t>
  </si>
  <si>
    <t>1-13</t>
  </si>
  <si>
    <t>{role:-1},
{id:-1},{id:-1},{id:-1},{id:-1},{id:-1}
{id:40005},{id:40003},{id:40004},{id:40001},{id:40004}</t>
  </si>
  <si>
    <t>活化魔導書</t>
  </si>
  <si>
    <t>解鎖狂戰士</t>
  </si>
  <si>
    <t>1,1</t>
  </si>
  <si>
    <t>1-14</t>
  </si>
  <si>
    <t>{role:-1},
{id:-1},{id:-1},{id:-1},{id:-1},{id:-1}
{id:40005},{id:40003},{id:40002},{id:40001},{id:40005}</t>
  </si>
  <si>
    <t>神酒破鬼陣•極</t>
  </si>
  <si>
    <t>8,9,13</t>
  </si>
  <si>
    <t>3,9</t>
  </si>
  <si>
    <t>904</t>
  </si>
  <si>
    <t>1-15</t>
  </si>
  <si>
    <t>{role:-1},
{id:-1},{id:-1},{id:-1},{id:-1},{id:-1}
{id:40003},{id:40001},{id:40003},{id:40004},{id:40001}</t>
  </si>
  <si>
    <t>魔導失控體</t>
  </si>
  <si>
    <t>2,5,6</t>
  </si>
  <si>
    <t>對敵方3體造成&lt;AP&gt;魔攻的魔法傷害，並附加魔防下降3層與3層凍傷效果</t>
  </si>
  <si>
    <t>1-16</t>
  </si>
  <si>
    <t>{role:-1},
{id:-1},{id:-1},{id:-1},{id:-1},{id:-1}
{id:40005},{id:40004},{id:40002},{id:40004},{id:40003}</t>
  </si>
  <si>
    <t>12,13</t>
  </si>
  <si>
    <t>清泉怒濤★</t>
  </si>
  <si>
    <t>1-17</t>
  </si>
  <si>
    <t>魔能水晶獸</t>
  </si>
  <si>
    <t>{role:-1},
{id:-1},{id:-1},{id:-1},{id:-1},{id:-1}
{id:40005},{id:40001},{id:40005},{id:40004},{id:40002}</t>
  </si>
  <si>
    <t>2,8,10</t>
  </si>
  <si>
    <t>清泉怒濤★2</t>
  </si>
  <si>
    <t>1-18</t>
  </si>
  <si>
    <t>{role:-1},
{id:-1},{id:-1},{id:-1},{id:-1},{id:-1}
{id:40005},{id:40004},{id:40001},{id:40001},{id:40004}</t>
  </si>
  <si>
    <t>闇影使魔</t>
  </si>
  <si>
    <t>1-19</t>
  </si>
  <si>
    <t>{role:-1},
{id:-1},{id:-1},{id:-1},{id:-1},{id:-1}
{id:40005},{id:40002},{id:40003},{id:40002},{id:40005}</t>
  </si>
  <si>
    <t>2,10</t>
  </si>
  <si>
    <t>失控魔像</t>
  </si>
  <si>
    <t>對我方全體恢復魔攻&lt;AP&gt;的HP,並額外附加攻擊上升與魔攻上升2層</t>
  </si>
  <si>
    <t>1-20</t>
  </si>
  <si>
    <t>{role:-1},
{id:-1},{id:-1},{id:-1},{id:-1},{id:-1}
{id:40004},{id:40003},{id:40002},{id:40003},{id:40003}</t>
  </si>
  <si>
    <t>5,9,10</t>
  </si>
  <si>
    <t>清泉怒濤★3</t>
  </si>
  <si>
    <t>905</t>
  </si>
  <si>
    <t>1-21</t>
  </si>
  <si>
    <t>{role:-1},
{id:-1},{id:-1},{id:-1},{id:-1},{id:-1}
{id:40002},{id:40004},{id:40002},{id:40005},{id:40001}</t>
  </si>
  <si>
    <t>失控冒險者</t>
  </si>
  <si>
    <t>6,9,10</t>
  </si>
  <si>
    <t>1,8,9</t>
  </si>
  <si>
    <t>1-22</t>
  </si>
  <si>
    <t>{role:-1},
{id:-1},{id:-1},{id:-1},{id:-1},{id:-1}
{id:40005},{id:40001},{id:40003},{id:40001},{id:40002}</t>
  </si>
  <si>
    <t>1,10,13</t>
  </si>
  <si>
    <t>1-23</t>
  </si>
  <si>
    <t>解鎖神射手</t>
  </si>
  <si>
    <t>清泉怒濤★4</t>
  </si>
  <si>
    <t>{role:-1},
{id:-1},{id:-1},{id:-1},{id:-1},{id:-1}
{id:40001},{id:40002},{id:40005},{id:40005},{id:40002}</t>
  </si>
  <si>
    <t>繃帶屍鬼</t>
  </si>
  <si>
    <t>1-24</t>
  </si>
  <si>
    <t>{role:-1},
{id:-1},{id:-1},{id:-1},{id:-1},{id:-1}
{id:40002},{id:40001},{id:40004},{id:40005},{id:40005}</t>
  </si>
  <si>
    <t>5,11</t>
  </si>
  <si>
    <t>傭兵犬</t>
  </si>
  <si>
    <t>1-25</t>
  </si>
  <si>
    <t>清泉怒濤•極</t>
  </si>
  <si>
    <t>{role:-1},
{id:-1},{id:-1},{id:-1},{id:-1},{id:-1}
{id:40003},{id:40004},{id:40005},{id:40001},{id:40001}</t>
  </si>
  <si>
    <t>1-26</t>
  </si>
  <si>
    <t>盜匪斥候</t>
  </si>
  <si>
    <t>{role:-1},
{id:-1},{id:-1},{id:-1},{id:-1},{id:-1}
{id:40002},{id:40001},{id:40005},{id:40004},{id:40004}</t>
  </si>
  <si>
    <t>對我方全體恢復魔攻&lt;AP&gt;的HP,並額外附加攻擊上升2層、魔攻上升2層、技能傷害上升與爆擊上升效果</t>
  </si>
  <si>
    <t>7,8,12</t>
  </si>
  <si>
    <t>1-27</t>
  </si>
  <si>
    <t>{role:-1},
{id:-1},{id:-1},{id:-1},{id:-1},{id:-1}
{id:40004},{id:40004},{id:40004},{id:40004},{id:40005}</t>
  </si>
  <si>
    <t>神罰裁決★1</t>
  </si>
  <si>
    <t>魔化獵犬</t>
  </si>
  <si>
    <t>1,9,11</t>
  </si>
  <si>
    <t>1-28</t>
  </si>
  <si>
    <t>{role:-1},
{id:-1},{id:-1},{id:-1},{id:-1},{id:-1}
{id:40003},{id:40003},{id:40005},{id:40001},{id:40005}</t>
  </si>
  <si>
    <t>神罰裁決★2</t>
  </si>
  <si>
    <t>黑市術士</t>
  </si>
  <si>
    <t>1-29</t>
  </si>
  <si>
    <t>{role:-1},
{id:-1},{id:-1},{id:-1},{id:-1},{id:-1}
{id:40005},{id:40002},{id:40004},{id:40005},{id:40003}</t>
  </si>
  <si>
    <t>1,2,10</t>
  </si>
  <si>
    <t>1-30</t>
  </si>
  <si>
    <t>{role:-1},
{id:-1},{id:-1},{id:-1},{id:-1},{id:-1}
{id:50001,atk:70},{id:40003},{id:40002},{id:40001},{id:40005}</t>
  </si>
  <si>
    <t>森林妖精</t>
  </si>
  <si>
    <t>2-1</t>
  </si>
  <si>
    <t>神罰裁決★3</t>
  </si>
  <si>
    <t>{role:-1},
{id:-1},{id:-1},{id:-1},{id:-1},{id:-1}
{id:40016},{id:40016}</t>
  </si>
  <si>
    <t>突發狀況</t>
  </si>
  <si>
    <t>解鎖刺客</t>
  </si>
  <si>
    <t>3,8</t>
  </si>
  <si>
    <t>毒藤獸</t>
  </si>
  <si>
    <t>魔法攻擊力+1%</t>
  </si>
  <si>
    <t>2-2</t>
  </si>
  <si>
    <t>{role:-1},
{id:-1},{id:-1},{id:-1},{id:-1},{id:-1}
{id:40015},{id:40016}</t>
  </si>
  <si>
    <t>對敵方3體造成&lt;AD&gt;物攻的物理傷害，自身附加行動加快；40%附加對象麻痺狀態</t>
  </si>
  <si>
    <t>2-3</t>
  </si>
  <si>
    <t>神罰裁決★4</t>
  </si>
  <si>
    <t>{role:-1},
{id:-1},{id:-1},{id:-1},{id:-1},{id:-1}
{id:40014},{id:40016}</t>
  </si>
  <si>
    <t>木靈</t>
  </si>
  <si>
    <t>11,13</t>
  </si>
  <si>
    <t>2-4</t>
  </si>
  <si>
    <t>{role:-1},
{id:-1},{id:-1},{id:-1},{id:-1},{id:-1}
{id:40015},{id:40016},{id:40013}</t>
  </si>
  <si>
    <t>2,12</t>
  </si>
  <si>
    <t>2,6,7</t>
  </si>
  <si>
    <t>狼群</t>
  </si>
  <si>
    <t>2-5</t>
  </si>
  <si>
    <t>神罰裁決•極</t>
  </si>
  <si>
    <t>{role:-1},
{id:-1},{id:-1},{id:-1},{id:-1},{id:-1}
{id:40014},{id:40016},{id:40015}</t>
  </si>
  <si>
    <t>1,2,3</t>
  </si>
  <si>
    <t>2-6</t>
  </si>
  <si>
    <t>{role:-1},
{id:-1},{id:-1},{id:-1},{id:-1},{id:-1}
{id:40015},{id:40012},{id:40015}</t>
  </si>
  <si>
    <t>黑翼鴉人</t>
  </si>
  <si>
    <t>2-7</t>
  </si>
  <si>
    <t>{role:-1},
{id:-1},{id:-1},{id:-1},{id:-1},{id:-1}
{id:40016},{id:40012},{id:40012}</t>
  </si>
  <si>
    <t>一刀流・破★</t>
  </si>
  <si>
    <t>2-8</t>
  </si>
  <si>
    <t>對敵方1體造成&lt;AD&gt;物攻的物理傷害，為自身附加鬼人狀態</t>
  </si>
  <si>
    <t>{role:-1},
{id:-1},{id:-1},{id:-1},{id:-1},{id:-1}
{id:40015},{id:40015},{id:40014}</t>
  </si>
  <si>
    <t>樹人幼體</t>
  </si>
  <si>
    <t>1,3,7</t>
  </si>
  <si>
    <t>一刀流・破★2</t>
  </si>
  <si>
    <t>2-9</t>
  </si>
  <si>
    <t>{role:-1},
{id:-1},{id:-1},{id:-1},{id:-1},{id:-1}
{id:40013},{id:40015},{id:40012}</t>
  </si>
  <si>
    <t>1,2,12</t>
  </si>
  <si>
    <t>魔導書靈</t>
  </si>
  <si>
    <t>2-10</t>
  </si>
  <si>
    <t>{role:-1},
{id:-1},{id:-1},{id:-1},{id:-1},{id:-1}
{id:40012},{id:40016},{id:40013},{id:40012}</t>
  </si>
  <si>
    <t>5,7,13</t>
  </si>
  <si>
    <t>5,11,12</t>
  </si>
  <si>
    <t>2-11</t>
  </si>
  <si>
    <t>{role:-1},
{id:-1},{id:-1},{id:-1},{id:-1},{id:-1}
{id:40014},{id:40014},{id:40013},{id:40014}</t>
  </si>
  <si>
    <t>2,5,11</t>
  </si>
  <si>
    <t>6,9,11</t>
  </si>
  <si>
    <t>暗影刺客</t>
  </si>
  <si>
    <t>2-12</t>
  </si>
  <si>
    <t>{role:-1},
{id:-1},{id:-1},{id:-1},{id:-1},{id:-1}
{id:40015},{id:40016},{id:40012},{id:40013}</t>
  </si>
  <si>
    <t>一刀流・破★3</t>
  </si>
  <si>
    <t>2,6</t>
  </si>
  <si>
    <t>2,3,4</t>
  </si>
  <si>
    <t>2-13</t>
  </si>
  <si>
    <t>{role:-1},
{id:-1},{id:-1},{id:-1},{id:-1},{id:-1}
{id:40013},{id:40015},{id:40013},{id:40013},{id:40014}</t>
  </si>
  <si>
    <t>水晶傀儡</t>
  </si>
  <si>
    <t>解鎖魔導士</t>
  </si>
  <si>
    <t>2-14</t>
  </si>
  <si>
    <t>{role:-1},
{id:-1},{id:-1},{id:-1},{id:-1},{id:-1}
{id:40014},{id:40013},{id:40015},{id:40016},{id:40013}</t>
  </si>
  <si>
    <t>1,7,8</t>
  </si>
  <si>
    <t>對敵方1體造成&lt;AD&gt;物攻的物理傷害，為自身附加鬼人與極意鬼人狀態</t>
  </si>
  <si>
    <t>2-15</t>
  </si>
  <si>
    <t>{role:-1},
{id:-1},{id:-1},{id:-1},{id:-1},{id:-1}
{id:40012},{id:40015},{id:40013},{id:40016},{id:40014}</t>
  </si>
  <si>
    <t>2-16</t>
  </si>
  <si>
    <t>{role:-1},
{id:-1},{id:-1},{id:-1},{id:-1},{id:-1}
{id:40012},{id:40016},{id:40013},{id:40016},{id:40013}</t>
  </si>
  <si>
    <t>1,4,7</t>
  </si>
  <si>
    <t>一刀流・破★4</t>
  </si>
  <si>
    <t>幻術妖</t>
  </si>
  <si>
    <t>2-17</t>
  </si>
  <si>
    <t>{role:-1},
{id:-1},{id:-1},{id:-1},{id:-1},{id:-1}
{id:40015},{id:40012},{id:40015},{id:40014},{id:40012}</t>
  </si>
  <si>
    <t>2-18</t>
  </si>
  <si>
    <t>{role:-1},
{id:-1},{id:-1},{id:-1},{id:-1},{id:-1}
{id:40015},{id:40013},{id:40012},{id:40012},{id:40013}</t>
  </si>
  <si>
    <t>2-19</t>
  </si>
  <si>
    <t>{role:-1},
{id:-1},{id:-1},{id:-1},{id:-1},{id:-1}
{id:40016},{id:40015},{id:40014},{id:40014},{id:40016}</t>
  </si>
  <si>
    <t>失控術士</t>
  </si>
  <si>
    <t>2,4,5</t>
  </si>
  <si>
    <t>1,10</t>
  </si>
  <si>
    <t>2-20</t>
  </si>
  <si>
    <t>{role:-1},
{id:-1},{id:-1},{id:-1},{id:-1},{id:-1}
{id:40013},{id:40013},{id:40012},{id:40016},{id:40016}</t>
  </si>
  <si>
    <t>3,11,13</t>
  </si>
  <si>
    <t>一刀流・斷</t>
  </si>
  <si>
    <t>2-21</t>
  </si>
  <si>
    <t>{role:-1},
{id:-1},{id:-1},{id:-1},{id:-1},{id:-1}
{id:40012},{id:40012},{id:40013},{id:40015},{id:40013}</t>
  </si>
  <si>
    <t>1,3,12</t>
  </si>
  <si>
    <t>2-22</t>
  </si>
  <si>
    <t>{role:-1},
{id:-1},{id:-1},{id:-1},{id:-1},{id:-1}
{id:40015},{id:40012},{id:40014},{id:40013},{id:40014}</t>
  </si>
  <si>
    <t>元素精靈</t>
  </si>
  <si>
    <t>2,3,9</t>
  </si>
  <si>
    <t>2-23</t>
  </si>
  <si>
    <t>{role:-1},
{id:-1},{id:-1},{id:-1},{id:-1},{id:-1}
{id:40013},{id:40014},{id:40015},{id:40016},{id:40016}</t>
  </si>
  <si>
    <t>5,11,13</t>
  </si>
  <si>
    <t>鏡花身法★</t>
  </si>
  <si>
    <t>2-24</t>
  </si>
  <si>
    <t>{role:-1},
{id:-1},{id:-1},{id:-1},{id:-1},{id:-1}
{id:40015},{id:40014},{id:40016},{id:40012},{id:40014}</t>
  </si>
  <si>
    <t>魔法傀儡</t>
  </si>
  <si>
    <t>2-25</t>
  </si>
  <si>
    <t>{role:-1},
{id:-1},{id:-1},{id:-1},{id:-1},{id:-1}
{id:40016},{id:40013},{id:40016},{id:40013},{id:40015}</t>
  </si>
  <si>
    <t>2-26</t>
  </si>
  <si>
    <t>{role:-1},
{id:-1},{id:-1},{id:-1},{id:-1},{id:-1}
{id:40015},{id:40013},{id:40016},{id:40016},{id:40016}</t>
  </si>
  <si>
    <t>4,5,12</t>
  </si>
  <si>
    <t>2-27</t>
  </si>
  <si>
    <t>{role:-1},
{id:-1},{id:-1},{id:-1},{id:-1},{id:-1}
{id:40016},{id:40016},{id:40013},{id:40014},{id:40012}</t>
  </si>
  <si>
    <t>2-28</t>
  </si>
  <si>
    <t>{role:-1},
{id:-1},{id:-1},{id:-1},{id:-1},{id:-1}
{id:40014},{id:40014},{id:40016},{id:40015},{id:40013}</t>
  </si>
  <si>
    <t>902</t>
  </si>
  <si>
    <t>2-29</t>
  </si>
  <si>
    <t>{role:-1},
{id:-1},{id:-1},{id:-1},{id:-1},{id:-1}
{id:40013},{id:40016},{id:40016},{id:40014},{id:40016}</t>
  </si>
  <si>
    <t>鏡花身法★2</t>
  </si>
  <si>
    <t>4,5,8</t>
  </si>
  <si>
    <t>2-30</t>
  </si>
  <si>
    <t>{role:-1},
{id:-1},{id:-1},{id:-1},{id:-1},{id:-1}
{id:50002,atk:70},{id:40012},{id:40016},{id:40014},{id:40013}</t>
  </si>
  <si>
    <t>禁術學徒</t>
  </si>
  <si>
    <t>3-1</t>
  </si>
  <si>
    <t>{role:-1},
{id:-1},{id:-1},{id:-1},{id:-1},{id:-1}
{id:40020},{id:40021}</t>
  </si>
  <si>
    <t>魔力波動</t>
  </si>
  <si>
    <t>禁術警報</t>
  </si>
  <si>
    <t>1,7</t>
  </si>
  <si>
    <t>3-2</t>
  </si>
  <si>
    <t>{role:-1},
{id:-1},{id:-1},{id:-1},{id:-1},{id:-1}
{id:40021},{id:40020}</t>
  </si>
  <si>
    <t>1,11,12</t>
  </si>
  <si>
    <t>光獸</t>
  </si>
  <si>
    <t>3-3</t>
  </si>
  <si>
    <t>{role:-1},
{id:-1},{id:-1},{id:-1},{id:-1},{id:-1}
{id:40021},{id:40017}</t>
  </si>
  <si>
    <t>1,9,13</t>
  </si>
  <si>
    <t>對我方全體附加魔攻&lt;AP&gt;的護盾；額外附加減少受到傷害1層</t>
  </si>
  <si>
    <t>3-4</t>
  </si>
  <si>
    <t>{role:-1},
{id:-1},{id:-1},{id:-1},{id:-1},{id:-1}
{id:40020},{id:40017},{id:40019}</t>
  </si>
  <si>
    <t>魔能幽魂</t>
  </si>
  <si>
    <t>3-5</t>
  </si>
  <si>
    <t>鏡花身法★3</t>
  </si>
  <si>
    <t>{role:-1},
{id:-1},{id:-1},{id:-1},{id:-1},{id:-1}
{id:40018},{id:40018},{id:40018}</t>
  </si>
  <si>
    <t>3-6</t>
  </si>
  <si>
    <t>{role:-1},
{id:-1},{id:-1},{id:-1},{id:-1},{id:-1}
{id:40018},{id:40021},{id:40021}</t>
  </si>
  <si>
    <t>異界召喚獸</t>
  </si>
  <si>
    <t>3-7</t>
  </si>
  <si>
    <t>{role:-1},
{id:-1},{id:-1},{id:-1},{id:-1},{id:-1}
{id:40021},{id:40018},{id:40017}</t>
  </si>
  <si>
    <t>11,12</t>
  </si>
  <si>
    <t>解鎖神官</t>
  </si>
  <si>
    <t>3-8</t>
  </si>
  <si>
    <t>{role:-1},
{id:-1},{id:-1},{id:-1},{id:-1},{id:-1}
{id:40018},{id:40021},{id:40017}</t>
  </si>
  <si>
    <t>903</t>
  </si>
  <si>
    <t>3,4,7</t>
  </si>
  <si>
    <t>鏡花身法★4</t>
  </si>
  <si>
    <t>3-9</t>
  </si>
  <si>
    <t>黑炎修士</t>
  </si>
  <si>
    <t>{role:-1},
{id:-1},{id:-1},{id:-1},{id:-1},{id:-1}
{id:40020},{id:40021},{id:40021}</t>
  </si>
  <si>
    <t>7,11</t>
  </si>
  <si>
    <t>3-10</t>
  </si>
  <si>
    <t>{role:-1},
{id:-1},{id:-1},{id:-1},{id:-1},{id:-1}
{id:40018},{id:40019},{id:40017},{id:40021}</t>
  </si>
  <si>
    <t>狂熱信徒</t>
  </si>
  <si>
    <t>3-11</t>
  </si>
  <si>
    <t>{role:-1},
{id:-1},{id:-1},{id:-1},{id:-1},{id:-1}
{id:40021},{id:40018},{id:40018},{id:40020}</t>
  </si>
  <si>
    <t>2,6,8</t>
  </si>
  <si>
    <t>3-12</t>
  </si>
  <si>
    <t>鏡花身法•極</t>
  </si>
  <si>
    <t>{role:-1},
{id:-1},{id:-1},{id:-1},{id:-1},{id:-1}
{id:40020},{id:40019},{id:40021},{id:40019}</t>
  </si>
  <si>
    <t>2,5</t>
  </si>
  <si>
    <t>3-13</t>
  </si>
  <si>
    <t>{role:-1},
{id:-1},{id:-1},{id:-1},{id:-1},{id:-1}
{id:40018},{id:40020},{id:40017},{id:40020},{id:40017}</t>
  </si>
  <si>
    <t>墮光騎士</t>
  </si>
  <si>
    <t>3-14</t>
  </si>
  <si>
    <t>{role:-1},
{id:-1},{id:-1},{id:-1},{id:-1},{id:-1}
{id:40019},{id:40018},{id:40018},{id:40018},{id:40019}</t>
  </si>
  <si>
    <t>3-15</t>
  </si>
  <si>
    <t>{role:-1},
{id:-1},{id:-1},{id:-1},{id:-1},{id:-1}
{id:40017},{id:40018},{id:40017},{id:40021},{id:40017}</t>
  </si>
  <si>
    <t>對我方全體附加魔攻&lt;AP&gt;的護盾；額外附加減少受到傷害3層</t>
  </si>
  <si>
    <t>3-16</t>
  </si>
  <si>
    <t>{role:-1},
{id:-1},{id:-1},{id:-1},{id:-1},{id:-1}
{id:40018},{id:40019},{id:40020},{id:40020},{id:40019}</t>
  </si>
  <si>
    <t>1,3,13</t>
  </si>
  <si>
    <t>3-17</t>
  </si>
  <si>
    <t>魂力獻祭★</t>
  </si>
  <si>
    <t>{role:-1},
{id:-1},{id:-1},{id:-1},{id:-1},{id:-1}
{id:40020},{id:40017},{id:40018},{id:40019},{id:40019}</t>
  </si>
  <si>
    <t>3-18</t>
  </si>
  <si>
    <t>{role:-1},
{id:-1},{id:-1},{id:-1},{id:-1},{id:-1}
{id:40017},{id:40021},{id:40020},{id:40019},{id:40020}</t>
  </si>
  <si>
    <t>聖光獅</t>
  </si>
  <si>
    <t>5,13</t>
  </si>
  <si>
    <t>艷陽高照</t>
  </si>
  <si>
    <t>3-19</t>
  </si>
  <si>
    <t>ATK+10%</t>
  </si>
  <si>
    <t>{role:-1},
{id:-1},{id:-1},{id:-1},{id:-1},{id:-1}
{id:40020},{id:40019},{id:40017},{id:40021},{id:40020}</t>
  </si>
  <si>
    <t>魂力獻祭★2</t>
  </si>
  <si>
    <t>聖堂亡魂</t>
  </si>
  <si>
    <t>3-20</t>
  </si>
  <si>
    <t>{role:-1},
{id:-1},{id:-1},{id:-1},{id:-1},{id:-1}
{id:40017},{id:40020},{id:40021},{id:40021},{id:40020}</t>
  </si>
  <si>
    <t>1,8,13</t>
  </si>
  <si>
    <t>3-21</t>
  </si>
  <si>
    <t>草原風</t>
  </si>
  <si>
    <t>agi+5%</t>
  </si>
  <si>
    <t>{role:-1},
{id:-1},{id:-1},{id:-1},{id:-1},{id:-1}
{id:40020},{id:40018},{id:40021},{id:40020},{id:40021}</t>
  </si>
  <si>
    <t>大雨滂沱</t>
  </si>
  <si>
    <t>雪狼</t>
  </si>
  <si>
    <t>agi-10%</t>
  </si>
  <si>
    <t>3-22</t>
  </si>
  <si>
    <t>{role:-1},
{id:-1},{id:-1},{id:-1},{id:-1},{id:-1}
{id:40017},{id:40019},{id:40021},{id:40020},{id:40021}</t>
  </si>
  <si>
    <t>為敵方隨機2體造成&lt;AP&gt;魔攻的魔法傷害，附加爆擊下降與攻擊下降效果</t>
  </si>
  <si>
    <t>6,13</t>
  </si>
  <si>
    <t>毛毛雨</t>
  </si>
  <si>
    <t>mdef-10%</t>
  </si>
  <si>
    <t>3-23</t>
  </si>
  <si>
    <t>{role:-1},
{id:-1},{id:-1},{id:-1},{id:-1},{id:-1}
{id:40020},{id:40021},{id:40017},{id:40020},{id:40020}</t>
  </si>
  <si>
    <t>魂力獻祭★3</t>
  </si>
  <si>
    <t>4,5,9</t>
  </si>
  <si>
    <t>5,6,11</t>
  </si>
  <si>
    <t>聖骸兵</t>
  </si>
  <si>
    <t>3-24</t>
  </si>
  <si>
    <t>神諭</t>
  </si>
  <si>
    <t>MATK+10%</t>
  </si>
  <si>
    <t>{role:-1},
{id:-1},{id:-1},{id:-1},{id:-1},{id:-1}
{id:40020},{id:40021},{id:40020},{id:40017},{id:40019}</t>
  </si>
  <si>
    <t>5,7,11</t>
  </si>
  <si>
    <t>3-25</t>
  </si>
  <si>
    <t>{role:-1},
{id:-1},{id:-1},{id:-1},{id:-1},{id:-1}
{id:40018},{id:40018},{id:40018},{id:40019},{id:40018}</t>
  </si>
  <si>
    <t>赤焰妖</t>
  </si>
  <si>
    <t>3-26</t>
  </si>
  <si>
    <t>{role:-1},
{id:-1},{id:-1},{id:-1},{id:-1},{id:-1}
{id:40018},{id:40020},{id:40019},{id:40018},{id:40021}</t>
  </si>
  <si>
    <t>滑動陷阱</t>
  </si>
  <si>
    <t>魂力獻祭★4</t>
  </si>
  <si>
    <t>增加受到傷害+10%</t>
  </si>
  <si>
    <t>3-27</t>
  </si>
  <si>
    <t>{role:-1},
{id:-1},{id:-1},{id:-1},{id:-1},{id:-1}
{id:40018},{id:40021},{id:40018},{id:40018},{id:40018}</t>
  </si>
  <si>
    <t>強風陷阱</t>
  </si>
  <si>
    <t>DEF/MDEF-10%</t>
  </si>
  <si>
    <t>誓約亡魂</t>
  </si>
  <si>
    <t>7,8,11</t>
  </si>
  <si>
    <t>衰弱陷阱</t>
  </si>
  <si>
    <t>ATK/MATK-10%</t>
  </si>
  <si>
    <t>3-28</t>
  </si>
  <si>
    <t>{role:-1},
{id:-1},{id:-1},{id:-1},{id:-1},{id:-1}
{id:40017},{id:40021},{id:40017},{id:40019},{id:40019}</t>
  </si>
  <si>
    <t>同伴幫助</t>
  </si>
  <si>
    <t>持續回魔10</t>
  </si>
  <si>
    <t>3-29</t>
  </si>
  <si>
    <t>{role:-1},
{id:-1},{id:-1},{id:-1},{id:-1},{id:-1}
{id:40017},{id:40021},{id:40020},{id:40019},{id:40019}</t>
  </si>
  <si>
    <t>鬼火</t>
  </si>
  <si>
    <t>魂力獻祭•極</t>
  </si>
  <si>
    <t>能量流失</t>
  </si>
  <si>
    <t>持續扣魔10</t>
  </si>
  <si>
    <t>3-30</t>
  </si>
  <si>
    <t>{role:-1},
{id:-1},{id:-1},{id:-1},{id:-1},{id:-1}
{id:50004},{id:40017},{id:40019},{id:40020},{id:40021}</t>
  </si>
  <si>
    <t>魔能外漏</t>
  </si>
  <si>
    <t>mdef-20%</t>
  </si>
  <si>
    <t>4-1</t>
  </si>
  <si>
    <t>{role:-1},
{id:-1},{id:-1},{id:-1},{id:-1},{id:-1}
{id:40026},{id:40022}</t>
  </si>
  <si>
    <t>骷髏戰士</t>
  </si>
  <si>
    <t>黑市風聲</t>
  </si>
  <si>
    <t>敵人干擾</t>
  </si>
  <si>
    <t>ATK-20%</t>
  </si>
  <si>
    <t>治安緊張</t>
  </si>
  <si>
    <t>為敵方隨機3體造成&lt;AP&gt;魔攻的魔法傷害，附加爆擊下降、攻擊下降、防禦下降與魔防下降效果</t>
  </si>
  <si>
    <t>4-2</t>
  </si>
  <si>
    <t>{role:-1},
{id:-1},{id:-1},{id:-1},{id:-1},{id:-1}
{id:40027},{id:40024}</t>
  </si>
  <si>
    <t>誓約之火★</t>
  </si>
  <si>
    <t>暗黑鳥人</t>
  </si>
  <si>
    <t>4-3</t>
  </si>
  <si>
    <t>{role:-1},
{id:-1},{id:-1},{id:-1},{id:-1},{id:-1}
{id:40022},{id:40026}</t>
  </si>
  <si>
    <t>1,5,9</t>
  </si>
  <si>
    <t>4-4</t>
  </si>
  <si>
    <t>{role:-1},
{id:-1},{id:-1},{id:-1},{id:-1},{id:-1}
{id:40026},{id:40025},{id:40026}</t>
  </si>
  <si>
    <t>4-5</t>
  </si>
  <si>
    <t>{role:-1},
{id:-1},{id:-1},{id:-1},{id:-1},{id:-1}
{id:40026},{id:40024},{id:40024}</t>
  </si>
  <si>
    <t>火岩魔像</t>
  </si>
  <si>
    <t>誓約之火★2</t>
  </si>
  <si>
    <t>4-6</t>
  </si>
  <si>
    <t>{role:-1},
{id:-1},{id:-1},{id:-1},{id:-1},{id:-1}
{id:40027},{id:40025},{id:40027}</t>
  </si>
  <si>
    <t>4-7</t>
  </si>
  <si>
    <t>{role:-1},
{id:-1},{id:-1},{id:-1},{id:-1},{id:-1}
{id:40026},{id:40024},{id:40026}</t>
  </si>
  <si>
    <t>炎翼蝙蝠</t>
  </si>
  <si>
    <t>4-8</t>
  </si>
  <si>
    <t>{role:-1},
{id:-1},{id:-1},{id:-1},{id:-1},{id:-1}
{id:40024},{id:40024},{id:40026}</t>
  </si>
  <si>
    <t>對我方全體附加魔攻上升2層與魔攻的&lt;AP&gt;護頓效果</t>
  </si>
  <si>
    <t>靈魂收割者</t>
  </si>
  <si>
    <t>4-9</t>
  </si>
  <si>
    <t>{role:-1},
{id:-1},{id:-1},{id:-1},{id:-1},{id:-1}
{id:40022},{id:40026},{id:40027}</t>
  </si>
  <si>
    <t>誓約之火★3</t>
  </si>
  <si>
    <t>4-10</t>
  </si>
  <si>
    <t>{role:-1},
{id:-1},{id:-1},{id:-1},{id:-1},{id:-1}
{id:40022},{id:40025},{id:40027},{id:40024}</t>
  </si>
  <si>
    <t>1,4,6</t>
  </si>
  <si>
    <t>8,9,11</t>
  </si>
  <si>
    <t>冰甲熊</t>
  </si>
  <si>
    <t>4-11</t>
  </si>
  <si>
    <t>{role:-1},
{id:-1},{id:-1},{id:-1},{id:-1},{id:-1}
{id:40022},{id:40026},{id:40024},{id:40025}</t>
  </si>
  <si>
    <t>1,12,13</t>
  </si>
  <si>
    <t>誓約之火★4</t>
  </si>
  <si>
    <t>4-12</t>
  </si>
  <si>
    <t>{role:-1},
{id:-1},{id:-1},{id:-1},{id:-1},{id:-1}
{id:40027},{id:40022},{id:40025},{id:40027}</t>
  </si>
  <si>
    <t>4,7,13</t>
  </si>
  <si>
    <t>寒冰精靈</t>
  </si>
  <si>
    <t>4-13</t>
  </si>
  <si>
    <t>{role:-1},
{id:-1},{id:-1},{id:-1},{id:-1},{id:-1}
{id:40027},{id:40024},{id:40025},{id:40027},{id:40024}</t>
  </si>
  <si>
    <t>4-14</t>
  </si>
  <si>
    <t>{role:-1},
{id:-1},{id:-1},{id:-1},{id:-1},{id:-1}
{id:40024},{id:40022},{id:40027},{id:40027},{id:40025}</t>
  </si>
  <si>
    <t>深淵魔兵</t>
  </si>
  <si>
    <t>2,8,9</t>
  </si>
  <si>
    <t>4-15</t>
  </si>
  <si>
    <t>誓約之火•極</t>
  </si>
  <si>
    <t>{role:-1},
{id:-1},{id:-1},{id:-1},{id:-1},{id:-1}
{id:40024},{id:40027},{id:40026},{id:40022},{id:40027}</t>
  </si>
  <si>
    <t>雪原巨魔</t>
  </si>
  <si>
    <t>4-16</t>
  </si>
  <si>
    <t>{role:-1},
{id:-1},{id:-1},{id:-1},{id:-1},{id:-1}
{id:40024},{id:40026},{id:40026},{id:40026},{id:40022}</t>
  </si>
  <si>
    <t>4-17</t>
  </si>
  <si>
    <t>{role:-1},
{id:-1},{id:-1},{id:-1},{id:-1},{id:-1}
{id:40022},{id:40026},{id:40025},{id:40022},{id:40024}</t>
  </si>
  <si>
    <t>3,8,12</t>
  </si>
  <si>
    <t>浪人武士</t>
  </si>
  <si>
    <t>4-18</t>
  </si>
  <si>
    <t>{role:-1},
{id:-1},{id:-1},{id:-1},{id:-1},{id:-1}
{id:40024},{id:40025},{id:40024},{id:40025},{id:40025}</t>
  </si>
  <si>
    <t>對我方全體附加魔攻上升2層、爆傷上升2層與魔攻的&lt;AP&gt;護頓效果</t>
  </si>
  <si>
    <t>4,8,12</t>
  </si>
  <si>
    <t>4-19</t>
  </si>
  <si>
    <t>{role:-1},
{id:-1},{id:-1},{id:-1},{id:-1},{id:-1}
{id:40027},{id:40024},{id:40025},{id:40026},{id:40027}</t>
  </si>
  <si>
    <t>震天雷霆斬★</t>
  </si>
  <si>
    <t>4-20</t>
  </si>
  <si>
    <t>{role:-1},
{id:-1},{id:-1},{id:-1},{id:-1},{id:-1}
{id:40027},{id:40022},{id:40026},{id:40025},{id:40027}</t>
  </si>
  <si>
    <t>亡靈法師</t>
  </si>
  <si>
    <t>2,11,12</t>
  </si>
  <si>
    <t>7,8,9</t>
  </si>
  <si>
    <t>4-21</t>
  </si>
  <si>
    <t>{role:-1},
{id:-1},{id:-1},{id:-1},{id:-1},{id:-1}
{id:40025},{id:40026},{id:40024},{id:40027},{id:40026}</t>
  </si>
  <si>
    <t>4-22</t>
  </si>
  <si>
    <t>{role:-1},
{id:-1},{id:-1},{id:-1},{id:-1},{id:-1}
{id:40026},{id:40027},{id:40025},{id:40024},{id:40022}</t>
  </si>
  <si>
    <t>3,6,11</t>
  </si>
  <si>
    <t>食屍鬼</t>
  </si>
  <si>
    <t>4-23</t>
  </si>
  <si>
    <t>{role:-1},
{id:-1},{id:-1},{id:-1},{id:-1},{id:-1}
{id:40026},{id:40027},{id:40022},{id:40026},{id:40027}</t>
  </si>
  <si>
    <t>震天雷霆斬★2</t>
  </si>
  <si>
    <t>1,2,8</t>
  </si>
  <si>
    <t>4-24</t>
  </si>
  <si>
    <t>{role:-1},
{id:-1},{id:-1},{id:-1},{id:-1},{id:-1}
{id:40026},{id:40026},{id:40024},{id:40027},{id:40024}</t>
  </si>
  <si>
    <t>深淵曼陀羅</t>
  </si>
  <si>
    <t>4-25</t>
  </si>
  <si>
    <t>{role:-1},
{id:-1},{id:-1},{id:-1},{id:-1},{id:-1}
{id:40022},{id:40026},{id:40022},{id:40027},{id:40027}</t>
  </si>
  <si>
    <t>1,2,4</t>
  </si>
  <si>
    <t>對敵方隨機1體造成&lt;AD&gt;物攻的物理傷害共4次，40%自身附加攻擊上升</t>
  </si>
  <si>
    <t>4-26</t>
  </si>
  <si>
    <t>{role:-1},
{id:-1},{id:-1},{id:-1},{id:-1},{id:-1}
{id:40025},{id:40024},{id:40026},{id:40025},{id:40022}</t>
  </si>
  <si>
    <t>震天雷霆斬★3</t>
  </si>
  <si>
    <t>惡魔統領</t>
  </si>
  <si>
    <t>4-27</t>
  </si>
  <si>
    <t>{role:-1},
{id:-1},{id:-1},{id:-1},{id:-1},{id:-1}
{id:40027},{id:40027},{id:40022},{id:40026},{id:40022}</t>
  </si>
  <si>
    <t>4-28</t>
  </si>
  <si>
    <t>{role:-1},
{id:-1},{id:-1},{id:-1},{id:-1},{id:-1}
{id:40024},{id:40026},{id:40026},{id:40024},{id:40024}</t>
  </si>
  <si>
    <t>4,8</t>
  </si>
  <si>
    <t>地獄使者</t>
  </si>
  <si>
    <t>4-29</t>
  </si>
  <si>
    <t>{role:-1},
{id:-1},{id:-1},{id:-1},{id:-1},{id:-1}
{id:40026},{id:40027},{id:40026},{id:40024},{id:40027}</t>
  </si>
  <si>
    <t>震天雷霆斬★4</t>
  </si>
  <si>
    <t>6,11,12</t>
  </si>
  <si>
    <t>4-30</t>
  </si>
  <si>
    <t>{role:-1},
{id:-1},{id:-1},{id:-1},{id:-1},{id:-1}
{id:50005},{id:40022},{id:40025},{id:40024},{id:40027}</t>
  </si>
  <si>
    <t>1,4</t>
  </si>
  <si>
    <t>深淵狐影</t>
  </si>
  <si>
    <t>5-1</t>
  </si>
  <si>
    <t>{role:-1},
{id:-1},{id:-1},{id:-1},{id:-1},{id:-1}
{id:40031},{id:40031}</t>
  </si>
  <si>
    <t>森林呼吸</t>
  </si>
  <si>
    <t>5,6,9</t>
  </si>
  <si>
    <t>藤蔓纏繞</t>
  </si>
  <si>
    <t>2,3,8</t>
  </si>
  <si>
    <t>5-2</t>
  </si>
  <si>
    <t>{role:-1},
{id:-1},{id:-1},{id:-1},{id:-1},{id:-1}
{id:40029},{id:40028}</t>
  </si>
  <si>
    <t>震天雷霆斬•破</t>
  </si>
  <si>
    <t>5-3</t>
  </si>
  <si>
    <t>{role:-1},
{id:-1},{id:-1},{id:-1},{id:-1},{id:-1}
{id:40028},{id:40031}</t>
  </si>
  <si>
    <t>6,7,9</t>
  </si>
  <si>
    <t>深淵巨獸</t>
  </si>
  <si>
    <t>5-4</t>
  </si>
  <si>
    <t>{role:-1},
{id:-1},{id:-1},{id:-1},{id:-1},{id:-1}
{id:40030},{id:40030},{id:40031}</t>
  </si>
  <si>
    <t>5-5</t>
  </si>
  <si>
    <t>{role:-1},
{id:-1},{id:-1},{id:-1},{id:-1},{id:-1}
{id:40028},{id:40030},{id:40033}</t>
  </si>
  <si>
    <t>6,10,13</t>
  </si>
  <si>
    <t>對敵方隨機1體造成&lt;AD&gt;物攻的物理傷害共6次，40%自身附加攻擊上升</t>
  </si>
  <si>
    <t>5-6</t>
  </si>
  <si>
    <t>{role:-1},
{id:-1},{id:-1},{id:-1},{id:-1},{id:-1}
{id:40029},{id:40028},{id:40033}</t>
  </si>
  <si>
    <t>虛空眼球</t>
  </si>
  <si>
    <t>噬魂開鋒★</t>
  </si>
  <si>
    <t>5-7</t>
  </si>
  <si>
    <t>{role:-1},
{id:-1},{id:-1},{id:-1},{id:-1},{id:-1}
{id:40031},{id:40031},{id:40029}</t>
  </si>
  <si>
    <t>5-8</t>
  </si>
  <si>
    <t>{role:-1},
{id:-1},{id:-1},{id:-1},{id:-1},{id:-1}
{id:40033},{id:40028},{id:40031}</t>
  </si>
  <si>
    <t>光蝕史萊姆</t>
  </si>
  <si>
    <t>5-9</t>
  </si>
  <si>
    <t>{role:-1},
{id:-1},{id:-1},{id:-1},{id:-1},{id:-1}
{id:40029},{id:40031},{id:40033}</t>
  </si>
  <si>
    <t>4,7,10</t>
  </si>
  <si>
    <t>噬魂開鋒★2</t>
  </si>
  <si>
    <t>1,6,11</t>
  </si>
  <si>
    <t>5-10</t>
  </si>
  <si>
    <t>{role:-1},
{id:-1},{id:-1},{id:-1},{id:-1},{id:-1}
{id:40031},{id:40030},{id:40028},{id:40033}</t>
  </si>
  <si>
    <t>11,12,13</t>
  </si>
  <si>
    <t>祈禱傀儡</t>
  </si>
  <si>
    <t>5-11</t>
  </si>
  <si>
    <t>{role:-1},
{id:-1},{id:-1},{id:-1},{id:-1},{id:-1}
{id:40031},{id:40028},{id:40029},{id:40031}</t>
  </si>
  <si>
    <t>6,11,13</t>
  </si>
  <si>
    <t>對敵方1體隨機造成&lt;AD&gt;物攻的物理傷害，額外40%附加停止與暈眩</t>
  </si>
  <si>
    <t>5-12</t>
  </si>
  <si>
    <t>墮落天使</t>
  </si>
  <si>
    <t>{role:-1},
{id:-1},{id:-1},{id:-1},{id:-1},{id:-1}
{id:40033},{id:40033},{id:40029},{id:40028}</t>
  </si>
  <si>
    <t>噬魂開鋒★3</t>
  </si>
  <si>
    <t>5-13</t>
  </si>
  <si>
    <t>{role:-1},
{id:-1},{id:-1},{id:-1},{id:-1},{id:-1}
{id:40029},{id:40028},{id:40029},{id:40030},{id:40031}</t>
  </si>
  <si>
    <t>5-14</t>
  </si>
  <si>
    <t>聖槍侍衛</t>
  </si>
  <si>
    <t>{role:-1},
{id:-1},{id:-1},{id:-1},{id:-1},{id:-1}
{id:40029},{id:40029},{id:40031},{id:40030},{id:40028}</t>
  </si>
  <si>
    <t>5-15</t>
  </si>
  <si>
    <t>{role:-1},
{id:-1},{id:-1},{id:-1},{id:-1},{id:-1}
{id:40033},{id:40030},{id:40033},{id:40030},{id:40028}</t>
  </si>
  <si>
    <t>2,8,13</t>
  </si>
  <si>
    <t>5-16</t>
  </si>
  <si>
    <t>{role:-1},
{id:-1},{id:-1},{id:-1},{id:-1},{id:-1}
{id:40033},{id:40029},{id:40030},{id:40033},{id:40030}</t>
  </si>
  <si>
    <t>神殿獵犬</t>
  </si>
  <si>
    <t>噬魂開鋒★4</t>
  </si>
  <si>
    <t>5-17</t>
  </si>
  <si>
    <t>{role:-1},
{id:-1},{id:-1},{id:-1},{id:-1},{id:-1}
{id:40031},{id:40030},{id:40029},{id:40028},{id:40031}</t>
  </si>
  <si>
    <t>3,11</t>
  </si>
  <si>
    <t>2,8,12</t>
  </si>
  <si>
    <t>5-18</t>
  </si>
  <si>
    <t>{role:-1},
{id:-1},{id:-1},{id:-1},{id:-1},{id:-1}
{id:40031},{id:40031},{id:40033},{id:40033},{id:40029}</t>
  </si>
  <si>
    <t>3,10,13</t>
  </si>
  <si>
    <t>5-19</t>
  </si>
  <si>
    <t>{role:-1},
{id:-1},{id:-1},{id:-1},{id:-1},{id:-1}
{id:40031},{id:40031},{id:40030},{id:40029},{id:40028}</t>
  </si>
  <si>
    <t>妖狐</t>
  </si>
  <si>
    <t>5-20</t>
  </si>
  <si>
    <t>{role:-1},
{id:-1},{id:-1},{id:-1},{id:-1},{id:-1}
{id:40033},{id:40029},{id:40033},{id:40028},{id:40028}</t>
  </si>
  <si>
    <t>5-21</t>
  </si>
  <si>
    <t>{role:-1},
{id:-1},{id:-1},{id:-1},{id:-1},{id:-1}
{id:40028},{id:40028},{id:40028},{id:40029},{id:40029}</t>
  </si>
  <si>
    <t>噬魂開鋒•破</t>
  </si>
  <si>
    <t>1,3,6</t>
  </si>
  <si>
    <t>5-22</t>
  </si>
  <si>
    <t>骸骨武者</t>
  </si>
  <si>
    <t>{role:-1},
{id:-1},{id:-1},{id:-1},{id:-1},{id:-1}
{id:40033},{id:40029},{id:40028},{id:40028},{id:40033}</t>
  </si>
  <si>
    <t>5-23</t>
  </si>
  <si>
    <t>{role:-1},
{id:-1},{id:-1},{id:-1},{id:-1},{id:-1}
{id:40030},{id:40030},{id:40028},{id:40030},{id:40028}</t>
  </si>
  <si>
    <t>5-24</t>
  </si>
  <si>
    <t>{role:-1},
{id:-1},{id:-1},{id:-1},{id:-1},{id:-1}
{id:40033},{id:40029},{id:40028},{id:40031},{id:40033}</t>
  </si>
  <si>
    <t>對敵方2體隨機造成&lt;AD&gt;物攻的物理傷害，額外40%附加停止、暈眩與麻痺</t>
  </si>
  <si>
    <t>5,10,12</t>
  </si>
  <si>
    <t>6,7,10</t>
  </si>
  <si>
    <t>山鬼</t>
  </si>
  <si>
    <t>5-25</t>
  </si>
  <si>
    <t>{role:-1},
{id:-1},{id:-1},{id:-1},{id:-1},{id:-1}
{id:40031},{id:40031},{id:40030},{id:40028},{id:40028}</t>
  </si>
  <si>
    <t>2,7</t>
  </si>
  <si>
    <t>4,13</t>
  </si>
  <si>
    <t>聖光衝擊★</t>
  </si>
  <si>
    <t>5-26</t>
  </si>
  <si>
    <t>{role:-1},
{id:-1},{id:-1},{id:-1},{id:-1},{id:-1}
{id:40028},{id:40031},{id:40031},{id:40031},{id:40029}</t>
  </si>
  <si>
    <t>5-27</t>
  </si>
  <si>
    <t>{role:-1},
{id:-1},{id:-1},{id:-1},{id:-1},{id:-1}
{id:40028},{id:40029},{id:40029},{id:40028},{id:40029}</t>
  </si>
  <si>
    <t>火山魔犬</t>
  </si>
  <si>
    <t>5,12</t>
  </si>
  <si>
    <t>2,3,10</t>
  </si>
  <si>
    <t>5-28</t>
  </si>
  <si>
    <t>{role:-1},
{id:-1},{id:-1},{id:-1},{id:-1},{id:-1}
{id:40029},{id:40031},{id:40031},{id:40029},{id:40031}</t>
  </si>
  <si>
    <t>聖光衝擊★2</t>
  </si>
  <si>
    <t>5-29</t>
  </si>
  <si>
    <t>{role:-1},
{id:-1},{id:-1},{id:-1},{id:-1},{id:-1}
{id:40031},{id:40033},{id:40033},{id:40029},{id:40030}</t>
  </si>
  <si>
    <t>熔岩獸</t>
  </si>
  <si>
    <t>5-30</t>
  </si>
  <si>
    <t>{role:-1},
{id:-1},{id:-1},{id:-1},{id:-1},{id:-1}
{id:50006},{id:40033},{id:40030},{id:40031},{id:40029}</t>
  </si>
  <si>
    <t>7,8,13</t>
  </si>
  <si>
    <t>6-1</t>
  </si>
  <si>
    <t>{role:-1},
{id:-1},{id:-1},{id:-1},{id:-1},{id:-1}
{id:40037},{id:40034}</t>
  </si>
  <si>
    <t>賢者庇護</t>
  </si>
  <si>
    <t>知識共鳴</t>
  </si>
  <si>
    <t>6-2</t>
  </si>
  <si>
    <t>{role:-1},
{id:-1},{id:-1},{id:-1},{id:-1},{id:-1}
{id:40037},{id:40036}</t>
  </si>
  <si>
    <t>冰霜魔犬</t>
  </si>
  <si>
    <t>對敵方1體造成&lt;AD&gt;物攻的物理傷害，造成40%暈眩；為自身附加持續回魔與持續恢復效果</t>
  </si>
  <si>
    <t>6-3</t>
  </si>
  <si>
    <t>{role:-1},
{id:-1},{id:-1},{id:-1},{id:-1},{id:-1}
{id:40034},{id:40034}</t>
  </si>
  <si>
    <t>6-4</t>
  </si>
  <si>
    <t>{role:-1},
{id:-1},{id:-1},{id:-1},{id:-1},{id:-1}
{id:40038},{id:40034}</t>
  </si>
  <si>
    <t>聖光衝擊★3</t>
  </si>
  <si>
    <t>3,8,11</t>
  </si>
  <si>
    <t>冥界騎士</t>
  </si>
  <si>
    <t>6-5</t>
  </si>
  <si>
    <t>{role:-1},
{id:-1},{id:-1},{id:-1},{id:-1},{id:-1}
{id:40036},{id:40039},{id:40034}</t>
  </si>
  <si>
    <t>6-6</t>
  </si>
  <si>
    <t>{role:-1},
{id:-1},{id:-1},{id:-1},{id:-1},{id:-1}
{id:40034},{id:40039},{id:40034}</t>
  </si>
  <si>
    <t>6-7</t>
  </si>
  <si>
    <t>瘟疫使者</t>
  </si>
  <si>
    <t>{role:-1},
{id:-1},{id:-1},{id:-1},{id:-1},{id:-1}
{id:40034},{id:40038},{id:40038}</t>
  </si>
  <si>
    <t>6-8</t>
  </si>
  <si>
    <t>{role:-1},
{id:-1},{id:-1},{id:-1},{id:-1},{id:-1}
{id:40038},{id:40036},{id:40034}</t>
  </si>
  <si>
    <t>4,10,12</t>
  </si>
  <si>
    <t>聖光衝擊★4</t>
  </si>
  <si>
    <t>6-9</t>
  </si>
  <si>
    <t>{role:-1},
{id:-1},{id:-1},{id:-1},{id:-1},{id:-1}
{id:40037},{id:40038},{id:40034}</t>
  </si>
  <si>
    <t>地獄獵犬</t>
  </si>
  <si>
    <t>8,10,11</t>
  </si>
  <si>
    <t>6-10</t>
  </si>
  <si>
    <t>{role:-1},
{id:-1},{id:-1},{id:-1},{id:-1},{id:-1}
{id:40034},{id:40036},{id:40038}</t>
  </si>
  <si>
    <t>7,9,13</t>
  </si>
  <si>
    <t>6-11</t>
  </si>
  <si>
    <t>{role:-1},
{id:-1},{id:-1},{id:-1},{id:-1},{id:-1}
{id:40039},{id:40037},{id:40037}</t>
  </si>
  <si>
    <t>聖光衝擊•破</t>
  </si>
  <si>
    <t>6-12</t>
  </si>
  <si>
    <t>{role:-1},
{id:-1},{id:-1},{id:-1},{id:-1},{id:-1}
{id:40037},{id:40037},{id:40038}</t>
  </si>
  <si>
    <t>對敵方1體造成&lt;AD&gt;物攻的物理傷害，造成100%暈眩；為自身附加持續回魔與持續恢復效果</t>
  </si>
  <si>
    <t>6-13</t>
  </si>
  <si>
    <t>{role:-1},
{id:-1},{id:-1},{id:-1},{id:-1},{id:-1}
{id:40037},{id:40036},{id:40034},{id:40038}</t>
  </si>
  <si>
    <t>英雄意志★</t>
  </si>
  <si>
    <t>6-14</t>
  </si>
  <si>
    <t>{role:-1},
{id:-1},{id:-1},{id:-1},{id:-1},{id:-1}
{id:40038},{id:40034},{id:40034},{id:40036}</t>
  </si>
  <si>
    <t>6-15</t>
  </si>
  <si>
    <t>{role:-1},
{id:-1},{id:-1},{id:-1},{id:-1},{id:-1}
{id:40034},{id:40037},{id:40037},{id:40037}</t>
  </si>
  <si>
    <t>4,5,6</t>
  </si>
  <si>
    <t>英雄意志★2</t>
  </si>
  <si>
    <t>6-16</t>
  </si>
  <si>
    <t>{role:-1},
{id:-1},{id:-1},{id:-1},{id:-1},{id:-1}
{id:40038},{id:40039},{id:40039},{id:40039}</t>
  </si>
  <si>
    <t>6-17</t>
  </si>
  <si>
    <t>{role:-1},
{id:-1},{id:-1},{id:-1},{id:-1},{id:-1}
{id:40039},{id:40034},{id:40038},{id:40034},{id:40038}</t>
  </si>
  <si>
    <t>6-18</t>
  </si>
  <si>
    <t>{role:-1},
{id:-1},{id:-1},{id:-1},{id:-1},{id:-1}
{id:40038},{id:40038},{id:40037},{id:40038},{id:40036}</t>
  </si>
  <si>
    <t>對我方1體恢復魔攻&lt;AP&gt;的hp，追加立即恢復對象mp150，並附加不屈效果</t>
  </si>
  <si>
    <t>6-19</t>
  </si>
  <si>
    <t>英雄意志★3</t>
  </si>
  <si>
    <t>{role:-1},
{id:-1},{id:-1},{id:-1},{id:-1},{id:-1}
{id:40038},{id:40036},{id:40036},{id:40037},{id:40034}</t>
  </si>
  <si>
    <t>魔王</t>
  </si>
  <si>
    <t>6-20</t>
  </si>
  <si>
    <t>{role:-1},
{id:-1},{id:-1},{id:-1},{id:-1},{id:-1}
{id:40036},{id:40038},{id:40038},{id:40034},{id:40036}</t>
  </si>
  <si>
    <t>2001,2002,2003,2004,2005,2006,2007,2008,2009,2010,2011,2012,5001,5002,5003,5004,5005,5006</t>
  </si>
  <si>
    <t>4,7,12</t>
  </si>
  <si>
    <t>400020</t>
  </si>
  <si>
    <t>6-21</t>
  </si>
  <si>
    <t>{role:-1},
{id:-1},{id:-1},{id:-1},{id:-1},{id:-1}
{id:40038},{id:40037},{id:40039},{id:40034},{id:40039}</t>
  </si>
  <si>
    <t>5,9</t>
  </si>
  <si>
    <t>2,4,13</t>
  </si>
  <si>
    <t>6-22</t>
  </si>
  <si>
    <t>{role:-1},
{id:-1},{id:-1},{id:-1},{id:-1},{id:-1}
{id:40034},{id:40034},{id:40036},{id:40038},{id:40039}</t>
  </si>
  <si>
    <t>巨型狼王</t>
  </si>
  <si>
    <t>英雄意志★4</t>
  </si>
  <si>
    <t>6-23</t>
  </si>
  <si>
    <t>{role:-1},
{id:-1},{id:-1},{id:-1},{id:-1},{id:-1}
{id:40037},{id:40039},{id:40034},{id:40039},{id:40039}</t>
  </si>
  <si>
    <t>3,9,13</t>
  </si>
  <si>
    <t>6,12,13</t>
  </si>
  <si>
    <t>6-24</t>
  </si>
  <si>
    <t>{role:-1},
{id:-1},{id:-1},{id:-1},{id:-1},{id:-1}
{id:40034},{id:40039},{id:40039},{id:40037},{id:40038}</t>
  </si>
  <si>
    <t>400016</t>
  </si>
  <si>
    <t>6-25</t>
  </si>
  <si>
    <t>{role:-1},
{id:-1},{id:-1},{id:-1},{id:-1},{id:-1}
{id:40038},{id:40036},{id:40034},{id:40038},{id:40036}</t>
  </si>
  <si>
    <t>英雄意志•堅</t>
  </si>
  <si>
    <t>6-26</t>
  </si>
  <si>
    <t>{role:-1},
{id:-1},{id:-1},{id:-1},{id:-1},{id:-1}
{id:40039},{id:40037},{id:40036},{id:40036},{id:40037}</t>
  </si>
  <si>
    <t>4,8,11</t>
  </si>
  <si>
    <t>6-27</t>
  </si>
  <si>
    <t>{role:-1},
{id:-1},{id:-1},{id:-1},{id:-1},{id:-1}
{id:40034},{id:40034},{id:40039},{id:40036},{id:40037}</t>
  </si>
  <si>
    <t>8,11,12</t>
  </si>
  <si>
    <t>對我方2恢復魔攻&lt;AP&gt;的hp，追加立即恢復對象mp150，恢復的對象額外追加現在HP30%的血量恢復</t>
  </si>
  <si>
    <t>史萊姆國王</t>
  </si>
  <si>
    <t>6-28</t>
  </si>
  <si>
    <t>{role:-1},
{id:-1},{id:-1},{id:-1},{id:-1},{id:-1}
{id:40037},{id:40036},{id:40038},{id:40036},{id:40039}</t>
  </si>
  <si>
    <t>2,9,10</t>
  </si>
  <si>
    <t>6-29</t>
  </si>
  <si>
    <t>{role:-1},
{id:-1},{id:-1},{id:-1},{id:-1},{id:-1}
{id:40037},{id:40039},{id:40038},{id:40038},{id:40038}</t>
  </si>
  <si>
    <t>2,3</t>
  </si>
  <si>
    <t>6-30</t>
  </si>
  <si>
    <t>{role:-1},
{id:-1},{id:-1},{id:-1},{id:-1},{id:-1}
{id:40039},{id:40038},{id:40036},{id:40037},{id:40038}</t>
  </si>
  <si>
    <t>伊芙莉特</t>
  </si>
  <si>
    <t>6-31</t>
  </si>
  <si>
    <t>{role:-1},
{id:-1},{id:-1},{id:-1},{id:-1},{id:-1}
{id:40039},{id:40034},{id:40036},{id:40039},{id:40037}</t>
  </si>
  <si>
    <t>7,10,13</t>
  </si>
  <si>
    <t>6-32</t>
  </si>
  <si>
    <t>{role:-1},
{id:-1},{id:-1},{id:-1},{id:-1},{id:-1}
{id:40038},{id:40034},{id:40034},{id:40037},{id:40039}</t>
  </si>
  <si>
    <t>影之竊賊</t>
  </si>
  <si>
    <t>6-33</t>
  </si>
  <si>
    <t>{role:-1},
{id:-1},{id:-1},{id:-1},{id:-1},{id:-1}
{id:40036},{id:40038},{id:40038},{id:40038},{id:40038}</t>
  </si>
  <si>
    <t>3,5,6</t>
  </si>
  <si>
    <t>6-34</t>
  </si>
  <si>
    <t>{role:-1},
{id:-1},{id:-1},{id:-1},{id:-1},{id:-1}
{id:40038},{id:40039},{id:40038},{id:40038},{id:40037}</t>
  </si>
  <si>
    <t>黑市首領</t>
  </si>
  <si>
    <t>3,7,9</t>
  </si>
  <si>
    <t>6-35</t>
  </si>
  <si>
    <t>{role:-1},
{id:-1},{id:-1},{id:-1},{id:-1},{id:-1}
{id:40039},{id:40039},{id:40038},{id:40038},{id:40037}</t>
  </si>
  <si>
    <t>古樹之王</t>
  </si>
  <si>
    <t>6-36</t>
  </si>
  <si>
    <t>{role:-1},
{id:-1},{id:-1},{id:-1},{id:-1},{id:-1}
{id:40036},{id:40038},{id:40037},{id:40034},{id:40038}</t>
  </si>
  <si>
    <t>6-37</t>
  </si>
  <si>
    <t>{role:-1},
{id:-1},{id:-1},{id:-1},{id:-1},{id:-1}
{id:40037},{id:40037},{id:40038},{id:40036},{id:40034}</t>
  </si>
  <si>
    <t>大賢者・摩爾德</t>
  </si>
  <si>
    <t>6-38</t>
  </si>
  <si>
    <t>{role:-1},
{id:-1},{id:-1},{id:-1},{id:-1},{id:-1}
{id:40038},{id:40036},{id:40036},{id:40039},{id:40036}</t>
  </si>
  <si>
    <t>6-39</t>
  </si>
  <si>
    <t>{role:-1},
{id:-1},{id:-1},{id:-1},{id:-1},{id:-1}
{id:40036},{id:40034},{id:40039},{id:40037},{id:40038}</t>
  </si>
  <si>
    <t>6,7,8</t>
  </si>
  <si>
    <t>禁術塔主</t>
  </si>
  <si>
    <t>6-40</t>
  </si>
  <si>
    <t>{role:-1},
{id:-1},{id:-1},{id:-1},{id:-1},{id:-1}
{id:50007},{id:40039},{id:40034},{id:40037},{id:40036}</t>
  </si>
  <si>
    <t>6,10,12</t>
  </si>
  <si>
    <t>野蠻衝撞</t>
  </si>
  <si>
    <t>7-1</t>
  </si>
  <si>
    <t>{role:-1},
{id:-1},{id:-1},{id:-1},{id:-1},{id:-1}
{id:40040},{id:40044}</t>
  </si>
  <si>
    <t>法陣震盪</t>
  </si>
  <si>
    <t>聖痕騎士長</t>
  </si>
  <si>
    <t>虛空侵蝕</t>
  </si>
  <si>
    <t>1,4,11</t>
  </si>
  <si>
    <t>對敵方2體造成&lt;AD&gt;物攻的物理傷害</t>
  </si>
  <si>
    <t>7-2</t>
  </si>
  <si>
    <t>{role:-1},
{id:-1},{id:-1},{id:-1},{id:-1},{id:-1}
{id:40073},{id:40044}</t>
  </si>
  <si>
    <t>2,11,13</t>
  </si>
  <si>
    <t>爪擊</t>
  </si>
  <si>
    <t>7-3</t>
  </si>
  <si>
    <t>墮落聖者</t>
  </si>
  <si>
    <t>{role:-1},
{id:-1},{id:-1},{id:-1},{id:-1},{id:-1}
{id:40073},{id:40043}</t>
  </si>
  <si>
    <t>7-4</t>
  </si>
  <si>
    <t>{role:-1},
{id:-1},{id:-1},{id:-1},{id:-1},{id:-1}
{id:40040},{id:40040}</t>
  </si>
  <si>
    <t>尖石攻擊</t>
  </si>
  <si>
    <t>7-5</t>
  </si>
  <si>
    <t>{role:-1},
{id:-1},{id:-1},{id:-1},{id:-1},{id:-1}
{id:40043},{id:40041},{id:40041}</t>
  </si>
  <si>
    <t>聖槍守護者</t>
  </si>
  <si>
    <t>8,10</t>
  </si>
  <si>
    <t>7-6</t>
  </si>
  <si>
    <t>對敵方3體造成&lt;AD&gt;物攻的物理傷害，並25%附加暈眩</t>
  </si>
  <si>
    <t>{role:-1},
{id:-1},{id:-1},{id:-1},{id:-1},{id:-1}
{id:40041},{id:40040},{id:40073}</t>
  </si>
  <si>
    <t>3,5,11</t>
  </si>
  <si>
    <t>咬痕</t>
  </si>
  <si>
    <t>7-7</t>
  </si>
  <si>
    <t>妖刀將軍</t>
  </si>
  <si>
    <t>{role:-1},
{id:-1},{id:-1},{id:-1},{id:-1},{id:-1}
{id:40041},{id:40044},{id:40073}</t>
  </si>
  <si>
    <t>1,4,5</t>
  </si>
  <si>
    <t>timing</t>
  </si>
  <si>
    <t>操作備註</t>
  </si>
  <si>
    <t>對敵方1體造成&lt;AD&gt;物攻的物理傷害，並40%附加防禦下降</t>
  </si>
  <si>
    <t>7-8</t>
  </si>
  <si>
    <t>guide</t>
  </si>
  <si>
    <t>{role:-1},
{id:-1},{id:-1},{id:-1},{id:-1},{id:-1}
{id:40073},{id:40040},{id:40044}</t>
  </si>
  <si>
    <t>遊戲一開始就獲得這給的道具；並且不顯示起始禮包領取的頁面
隱藏提供，直接進入劇情</t>
  </si>
  <si>
    <t>風刃</t>
  </si>
  <si>
    <t>炎獄巨龍</t>
  </si>
  <si>
    <t>story</t>
  </si>
  <si>
    <t>7-9</t>
  </si>
  <si>
    <t>before</t>
  </si>
  <si>
    <t>{role:-1},
{id:-1},{id:-1},{id:-1},{id:-1},{id:-1}
{id:40044},{id:40041},{id:40040}</t>
  </si>
  <si>
    <t>對敵方3體造成&lt;AP&gt;魔攻的魔法傷害</t>
  </si>
  <si>
    <t>7-10</t>
  </si>
  <si>
    <t>夜色籠罩整片魔王領域。
遠方的天空已經被黑紅色的雲層完全覆蓋。
終焉神殿懸浮在破碎的大地之上。</t>
  </si>
  <si>
    <t>{role:-1},
{id:-1},{id:-1},{id:-1},{id:-1},{id:-1}
{id:40041},{id:40073},{id:40040}</t>
  </si>
  <si>
    <t>$一開始全螢幕覆蓋魔王城的圖；直接上下遮罩開始左邊的旁白，旁白完後淡出進入戰鬥
遊戲初始開始時，像是劇情對話一樣的，下方有對話框；玩家點選一次則跑出下一條文字；文字結束後進入下一個欄位</t>
  </si>
  <si>
    <t>尖刺射擊</t>
  </si>
  <si>
    <t>冰冠大公</t>
  </si>
  <si>
    <t>出現閃爍的框供玩家點選，引導玩家使用技能來完成戰鬥
*下方的所有選單需要先進行上鎖
請點擊技能
請點擊對象
玩家點選其他的地方都會顯示"請依照引導"
$ 職業、天賦、武器、裝備、召喚全部都要鎖，按鈕都不能按</t>
  </si>
  <si>
    <t>after</t>
  </si>
  <si>
    <t>『世界正在崩塌。』
魔王：『勇者，你還是不明白。』
匿名的勇者：『我……一定會阻止你。』
魔王：『即使再來一次，你也會走上同一條路。』
匿名的勇者：『再來一次？』
永恆聖鏡：『時間回溯開始。』
匿名的勇者：『等等……我的記憶……』
『時間逆流，戰場消失，無數記憶化為光芒。』</t>
  </si>
  <si>
    <t>$戰勝後仍然回魔王城(全螢幕覆蓋&gt;上下遮罩出現)的圖接著上旁白、下對話，主角統一顯示在右邊，非主角圖案統一顯示在左
$匿名的勇者仍然是主角的立繪
$永恆聖境時；把永恆聖鏡圖放在正中央出來顯示他的對話，之後不要消失直到這段落結束
上方預計要擺人物；有名稱加上 : 的是人物，沒有的則是旁白
(1)旁白出現在上對話框
(2)說話統一顯示在下方對話框
玩家點選一次則跑出下一條文字；文字結束後進入下一個欄位</t>
  </si>
  <si>
    <t>『微風吹過草原。』
艾琳：你醒了？
匿名的勇者：這裡是哪裡？
艾琳：中央自由地帶附近。
匿名的勇者：我叫什麼？
艾琳：不知道。
匿名的勇者：但我知道一件事。
艾琳：什麼？
匿名的勇者：我是勇者。
『除此之外，腦海一片空白。』
艾琳：那還是為你取個名字吧？
匿名的勇者：嗯嗯……</t>
  </si>
  <si>
    <t>$換上中央地帶的背景</t>
  </si>
  <si>
    <t>對敵方3體造成&lt;AD&gt;物攻的物理傷害</t>
  </si>
  <si>
    <t>7-11</t>
  </si>
  <si>
    <t>玩家可以透過輸入法輸入自己的名稱(開啟網頁的輸入法；讓玩家可以打字)
$取名功能的後方依然要用全黑的遮罩(僅剩取名用的視窗)</t>
  </si>
  <si>
    <t>{role:-1},
{id:-1},{id:-1},{id:-1},{id:-1},{id:-1}
{id:40041},{id:40044},{id:40041}</t>
  </si>
  <si>
    <t>$接下來開始；劇情文本中出現的&lt;name&gt;都是玩家自己取的ID名字 要自己帶入</t>
  </si>
  <si>
    <t>1,2,11</t>
  </si>
  <si>
    <t>土石生成</t>
  </si>
  <si>
    <t>冥王使徒</t>
  </si>
  <si>
    <t>教官：劍士、戰士、弓手、盜賊、法師、祭司。
 &lt;name&gt;：我以前是哪一個？
 教官：你自己也不知道？
 &lt;name&gt;：不知道。
 教官：那就選現在的你。
 &lt;name&gt;：好。
 『玩家完成初始職業選擇。』</t>
  </si>
  <si>
    <t>選擇
劍士 
戰士 
弓劍手 
盜賊
魔法師
實習祭司
* 選擇職業時；點選各個職業要有對應不同的顯示；點選後跳出(點一次就會重新讀取一次 &gt;後的內容)
劍士 &gt;  穩定的持續輸出職業，擁有較強的戰場強化狀態
戰士 &gt;  防禦與守護強力的前鋒，具備高生命值
弓劍手 &gt;  持續輸出與控制戰場的靈活戰鬥者
盜賊 &gt;  極致爆擊與物理單體的強力輸出
魔法師 &gt;  掌控強大元素的魔法攻擊，擅長大範圍群體傷害
實習祭司 &gt; 庇護隊友與施展神聖之力的信仰初學者，擅長治療恢復與基礎防護支援
* 並且點選技能的ICON要能看到技能說明(顯示彈窗的層級至最前)
* "替換"的按鈕統一製作改成選擇
選擇職業後；獲得該職業</t>
  </si>
  <si>
    <t>7-12</t>
  </si>
  <si>
    <t>{role:-1},
{id:-1},{id:-1},{id:-1},{id:-1},{id:-1}
{id:40044},{id:40043},{id:40044}</t>
  </si>
  <si>
    <t>艾琳：『選擇好職業了嗎？』
艾琳：『但勇者，光靠空手我看可無法輕易生存呢。』
&lt;name&gt;：『這是什麼？』
艾琳：『聖遺物召喚券。』
&lt;name&gt;：『聖遺物……和我記憶裡的東西有關嗎？』
艾琳：『它們來自歷史與傳說中的名器，有些甚至曾被英雄使用。』
&lt;name&gt;：『也就是說，我可以重新選擇自己的武器。』
艾琳：『沒錯。』
&lt;name&gt;：『那就來吧。』
召喚陣：『光芒聚集。』
『勇者再次握住武器，而沉睡的身體本能，似乎認出了它。』</t>
  </si>
  <si>
    <t>*解鎖召喚頁面(看到一個鎖頭解開)
轉跳到召喚頁面開始對話
引導點選召喚武器
*召喚結果的彈窗如果玩家沒有點選關閉，就不繼續下一步；點了才跳入佈陣的引導</t>
  </si>
  <si>
    <t>引導至佈陣畫面，讓玩家點選自動佈陣
*畫面切回主介面，點選挑戰開始進入第一關
*解鎖主線頁面(看到一個鎖頭解開)</t>
  </si>
  <si>
    <t>對敵方全體造成&lt;AP&gt;魔攻的魔法傷害，並40%附加魔防下降</t>
  </si>
  <si>
    <t>公會長：平原最近有幾個商隊失聯。
 &lt;name&gt;：魔物？
 公會長：也可能只是迷路。
 露娜：我正要去做採集調查。
 &lt;name&gt;：那就一起。
 露娜：我們才第一次見面。
 &lt;name&gt;：那就從這裡開始認識。</t>
  </si>
  <si>
    <t>7-13</t>
  </si>
  <si>
    <t>{role:-1},
{id:-1},{id:-1},{id:-1},{id:-1},{id:-1}
{id:40041},{id:40040},{id:40073},{id:40044}</t>
  </si>
  <si>
    <t>2,4,10</t>
  </si>
  <si>
    <t>中毒利爪</t>
  </si>
  <si>
    <t>『夕陽下，一群灰狼突然改變方向。』
 露娜：牠們原本要往村子。
 &lt;name&gt;：現在卻往北跑。
 農夫：這幾天每天都這樣。
 &lt;name&gt;：北邊有什麼？
 農夫：只有舊獵道。
 『一隻灰狼撞上樹樁，掉下一枚生鏽的鐵牌。』
 &lt;name&gt;：這個不是狼的東西。
 露娜：上面有很舊的徽記。
 &lt;name&gt;：我好像拿過。</t>
  </si>
  <si>
    <t>魔王奧斯維德</t>
  </si>
  <si>
    <t>『岩地安靜得異常。』
 露娜：棕熊的腳印到這裡就斷了。
 &lt;name&gt;：不是被吃掉。
 露娜：你怎麼知道？
 &lt;name&gt;：我不知道……但我很確定。
 『&lt;name&gt;蹲下摸過石面。』
 &lt;name&gt;：這裡以前埋過東西。
 露娜：你又想起什麼了？
 &lt;name&gt;：沒有，只是知道怎麼找。</t>
  </si>
  <si>
    <t>7-14</t>
  </si>
  <si>
    <t>{role:-1},
{id:-1},{id:-1},{id:-1},{id:-1},{id:-1}
{id:40041},{id:40044},{id:40040},{id:40073}</t>
  </si>
  <si>
    <t>『峽谷深處傳來狼群低鳴。』
 露娜：你聽到了嗎？
 &lt;name&gt;：聽到了。
 &lt;name&gt;：這聲音……我好像在等它。
 露娜：等它做什麼？
 &lt;name&gt;：不知道。
 『&lt;name&gt;看向古老石門。』
 &lt;name&gt;：這門後面應該有東西。
 露娜：你又不能確定。
 &lt;name&gt;：但我必須看。</t>
  </si>
  <si>
    <t>對敵方2體造成&lt;AD&gt;物攻的物理傷害，並50%附加中毒</t>
  </si>
  <si>
    <t>『巨型狼王從岩壁上躍下。』
 『牠沒有說話，只是死死盯著&lt;name&gt;。』
 『狼王俯身、蓄力。』
 &lt;name&gt;：……這個動作。
 『&lt;name&gt;下意識做出防禦姿勢。』
 『戰鬥開始。』</t>
  </si>
  <si>
    <t>7-15</t>
  </si>
  <si>
    <t>{role:-1},
{id:-1},{id:-1},{id:-1},{id:-1},{id:-1}
{id:40041},{id:40040},{id:40073},{id:40040}</t>
  </si>
  <si>
    <t>『狼王倒下。』
 &lt;name&gt;：剛才那一瞬間，我看見了一座燃燒的神殿。</t>
  </si>
  <si>
    <t>火焰啄</t>
  </si>
  <si>
    <t>露娜：你剛才真的看到了什麼？
 &lt;name&gt;：一座神殿。
 露娜：哪裡？
 &lt;name&gt;：不知道。
 露娜：那為什麼要去遺跡？
 &lt;name&gt;：因為我第一次覺得，答案就在前面。
 露娜：好。
 露娜：那我們一起找。</t>
  </si>
  <si>
    <t>7-16</t>
  </si>
  <si>
    <t>{role:-1},
{id:-1},{id:-1},{id:-1},{id:-1},{id:-1}
{id:40073},{id:40040},{id:40073},{id:40073}</t>
  </si>
  <si>
    <t>對敵方1體造成&lt;AP&gt;魔攻的魔法傷害，並60%附加灼傷</t>
  </si>
  <si>
    <t>『古老石門與風雨平原的徽記完全吻合。』
 露娜：這裡至少封了幾百年。
 &lt;name&gt;：我卻覺得自己見過。
 露娜：你確定？
 &lt;name&gt;：不。
 &lt;name&gt;：只是很像一場做過很多次的夢。</t>
  </si>
  <si>
    <t>7-17</t>
  </si>
  <si>
    <t>{role:-1},
{id:-1},{id:-1},{id:-1},{id:-1},{id:-1}
{id:40040},{id:40040},{id:40041},{id:40043},{id:40044}</t>
  </si>
  <si>
    <t>絆倒</t>
  </si>
  <si>
    <t>『火焰史萊姆倒下後，露出一塊刻字石片。』
 露娜：這不是祭壇碎片。
 &lt;name&gt;：上面寫著『異界』。
 露娜：你認得這個字？
 &lt;name&gt;：認得。
 露娜：這不屬於這裡的文字。
 &lt;name&gt;：因為我看過。
 『腦海閃過一扇陌生的門。』
 &lt;name&gt;：我好像就是從那裡來的。</t>
  </si>
  <si>
    <t>7-18</t>
  </si>
  <si>
    <t>{role:-1},
{id:-1},{id:-1},{id:-1},{id:-1},{id:-1}
{id:40073},{id:40040},{id:40044},{id:40043},{id:40043}</t>
  </si>
  <si>
    <t>『水面漂著一枚舊徽章。』
 露娜：這是勇者徽章？
 &lt;name&gt;：給我。
 『&lt;name&gt;握住徽章。』
 『短暫出現數秒畫面。』
 『一名年輕的&lt;name&gt;站在陌生村莊前。』
 村民：勇者大人，歡迎你。
 &lt;name&gt;：……我以前真的來過。</t>
  </si>
  <si>
    <t>1,7,10</t>
  </si>
  <si>
    <t>『祭壇上的石像沒有五官。』
 露娜：這尊像是在等誰？
 &lt;name&gt;：像是在等我。
 『石像胸口裂開。』
 『一道光落入&lt;name&gt;手中。』
 &lt;name&gt;：這就是聖物。
 露娜：你想起什麼？
 &lt;name&gt;：有人把劍交給我。
 &lt;name&gt;：然後說，我必須活下去。</t>
  </si>
  <si>
    <t>對敵方3體造成&lt;AP&gt;魔攻的魔法傷害，並30%附加停止</t>
  </si>
  <si>
    <t>state</t>
  </si>
  <si>
    <t>『史萊姆國王巨大身軀壓過祭壇。』
 『牠只發出沉重的鳴叫。』
 『祭壇上的火焰隨著戰鬥忽明忽暗。』
 『最後一擊落下。』
 『國王倒下，祭壇中央的聖物完全甦醒。』
 &lt;name&gt;：我想起來了……一點點。</t>
  </si>
  <si>
    <t>7-19</t>
  </si>
  <si>
    <t>露娜：你現在知道自己從哪裡來了。
 &lt;name&gt;：知道一點。
 露娜：還是不知道為什麼要打魔王。
 &lt;name&gt;：對。
 露娜：那就繼續找。
 &lt;name&gt;：嗯。</t>
  </si>
  <si>
    <t>{role:-1},
{id:-1},{id:-1},{id:-1},{id:-1},{id:-1}
{id:40073},{id:40040},{id:40041},{id:40043},{id:40044}</t>
  </si>
  <si>
    <t>魔法彈</t>
  </si>
  <si>
    <t>艾德蒙：把徽章給我看看。
 &lt;name&gt;：它屬於誰？
 艾德蒙：屬於過去的勇者。
 &lt;name&gt;：也就是我？
 艾德蒙：很可能。
 露娜：那就查清楚。
 艾德蒙：研究院會把資料給你們。</t>
  </si>
  <si>
    <t>7-20</t>
  </si>
  <si>
    <t>{role:-1},
{id:-1},{id:-1},{id:-1},{id:-1},{id:-1}
{id:40044},{id:40073},{id:40043},{id:40043},{id:40044}</t>
  </si>
  <si>
    <t>『一本古書自動翻頁。』
 艾德蒙：這是上一代勇者留下的戰鬥記錄。
 &lt;name&gt;：這個姿勢……
 露娜：你認得？
 &lt;name&gt;：不是認得。
 &lt;name&gt;：是身體知道。
 『&lt;name&gt;下意識握住不存在的劍柄。』
 艾德蒙：這就是記憶殘留。</t>
  </si>
  <si>
    <t>對敵方2體造成&lt;AP&gt;魔攻的魔法傷害</t>
  </si>
  <si>
    <t>『一份泛黃研究報告掉落在地。』
 露娜：上面有你的字跡。
 &lt;name&gt;：不可能。
 露娜：日期是七年前。
 &lt;name&gt;：給我。
 『紙上只有一句話：不要相信第一次看到的真相。』
 露娜：這是你寫的。
 &lt;name&gt;：所以我以前已經知道自己會忘記。</t>
  </si>
  <si>
    <t>7-21</t>
  </si>
  <si>
    <t>{role:-1},
{id:-1},{id:-1},{id:-1},{id:-1},{id:-1}
{id:40040},{id:40073},{id:40041},{id:40044},{id:40073}</t>
  </si>
  <si>
    <t>『星圖亮起。』
 艾德蒙：這些星位是勇者隊伍的行動路線。
 &lt;name&gt;：隊伍？
 艾德蒙：你曾經不是一個人。
 『星圖投影出數道身影。』
 &lt;name&gt;：我看不清他們的臉。
 露娜：至少知道有人陪你走過。
 &lt;name&gt;：這就夠了。</t>
  </si>
  <si>
    <t>火球攻擊</t>
  </si>
  <si>
    <t>1,7,11</t>
  </si>
  <si>
    <t>『黑影掠過資料庫。』
 『對方不說話，只搶走一份卷宗。』
 &lt;name&gt;：站住！
 『黑影甩出煙幕。』
 『&lt;name&gt;追出數步，忽然停下。』
 &lt;name&gt;：他的逃跑方式……
 露娜：你認得？
 &lt;name&gt;：像是看過很多次。</t>
  </si>
  <si>
    <t>7-22</t>
  </si>
  <si>
    <t>艾德蒙：卷宗提到中央自由地帶。
 &lt;name&gt;：去那裡做什麼？
 艾德蒙：找一份你親手接過的委託。
 &lt;name&gt;：也許那就是我開始真正冒險的地方。</t>
  </si>
  <si>
    <t>{role:-1},
{id:-1},{id:-1},{id:-1},{id:-1},{id:-1}
{id:40040},{id:40043},{id:40041},{id:40043},{id:40044}</t>
  </si>
  <si>
    <t>對敵方2體造成&lt;AP&gt;魔攻的魔法傷害，40%機率附加灼傷</t>
  </si>
  <si>
    <t>『新的區域映入眼前。』
 露娜：這裡就是中央自由地帶。
 &lt;name&gt;：我有種說不出的熟悉感。
 露娜：有記憶嗎？
 &lt;name&gt;：還不到可以稱為記憶。
 露娜：那就先記住現在看到的。</t>
  </si>
  <si>
    <t>冰椎攻擊</t>
  </si>
  <si>
    <t>7-23</t>
  </si>
  <si>
    <t>{role:-1},
{id:-1},{id:-1},{id:-1},{id:-1},{id:-1}
{id:40043},{id:40040},{id:40041},{id:40073},{id:40073}</t>
  </si>
  <si>
    <t>1,3,10</t>
  </si>
  <si>
    <t>對敵方2體造成&lt;AP&gt;魔攻的魔法傷害，40%機率附加凍傷</t>
  </si>
  <si>
    <t>7-24</t>
  </si>
  <si>
    <t>『中央自由地帶的舊任務單出現在視線中。』
 露娜：你認識這個嗎？
 &lt;name&gt;：我不知道。
 『&lt;name&gt;伸手觸碰。』
 &lt;name&gt;：等一下……
 『一段短暫影像掠過。』
 露娜：你看到了什麼？
 &lt;name&gt;：一個片段。
 露娜：什麼片段？
 &lt;name&gt;：舊任務單。
 『影像消失。』</t>
  </si>
  <si>
    <t>{role:-1},
{id:-1},{id:-1},{id:-1},{id:-1},{id:-1}
{id:40073},{id:40041},{id:40043},{id:40073},{id:40040}</t>
  </si>
  <si>
    <t>毒泥濺射</t>
  </si>
  <si>
    <t>『中央自由地帶的熟悉的巷道出現在視線中。』
 露娜：你認識這個嗎？
 &lt;name&gt;：我不知道。
 『&lt;name&gt;伸手觸碰。』
 &lt;name&gt;：等一下……
 『一段短暫影像掠過。』
 露娜：你看到了什麼？
 &lt;name&gt;：一個片段。
 露娜：什麼片段？
 &lt;name&gt;：熟悉的巷道。
 『影像消失。』</t>
  </si>
  <si>
    <t>7-25</t>
  </si>
  <si>
    <t>{role:-1},
{id:-1},{id:-1},{id:-1},{id:-1},{id:-1}
{id:40044},{id:40073},{id:40043},{id:40041},{id:40044}</t>
  </si>
  <si>
    <t>『中央自由地帶的救援選擇出現在視線中。』
 露娜：你認識這個嗎？
 &lt;name&gt;：我不知道。
 『&lt;name&gt;伸手觸碰。』
 &lt;name&gt;：等一下……
 『一段短暫影像掠過。』
 露娜：你看到了什麼？
 &lt;name&gt;：一個片段。
 露娜：什麼片段？
 &lt;name&gt;：救援選擇。
 『影像消失。』</t>
  </si>
  <si>
    <t>對敵方4體造成&lt;AD&gt;物攻的物理傷害，並50%附加中毒</t>
  </si>
  <si>
    <t>『黑市首領出現在中央自由地帶最深處。』
 『牠沒有說話。』
 『戰場因牠的出現而震動。』
 &lt;name&gt;：……就是這裡。
 『&lt;name&gt;的視線短暫停在Boss身上。』
 『某個曾經經歷過的畫面與眼前重疊。』
 &lt;name&gt;：原來是這樣。
  『黑市首領倒下。』</t>
  </si>
  <si>
    <t>7-26</t>
  </si>
  <si>
    <t>{role:-1},
{id:-1},{id:-1},{id:-1},{id:-1},{id:-1}
{id:40041},{id:40043},{id:40073},{id:40043},{id:40043}</t>
  </si>
  <si>
    <t>露娜：又想起什麼了嗎？
 &lt;name&gt;：一些零散畫面。
 露娜：足夠讓你繼續了嗎？
 &lt;name&gt;：足夠。
 露娜：那就走吧。
 &lt;name&gt;：嗯。
 『下一段道路在前方展開。』</t>
  </si>
  <si>
    <t>金屬衝撞</t>
  </si>
  <si>
    <t>『新的區域映入眼前。』
 露娜：這裡就是翠影森林。
 &lt;name&gt;：我有種說不出的熟悉感。
 露娜：有記憶嗎？
 &lt;name&gt;：還不到可以稱為記憶。
 露娜：那就先記住現在看到的。</t>
  </si>
  <si>
    <t>7-27</t>
  </si>
  <si>
    <t>{role:-1},
{id:-1},{id:-1},{id:-1},{id:-1},{id:-1}
{id:40044},{id:40041},{id:40041},{id:40043},{id:40044}</t>
  </si>
  <si>
    <t>『翠影森林的篝火出現在視線中。』
 露娜：你認識這個嗎？
 &lt;name&gt;：我不知道。
 『&lt;name&gt;伸手觸碰。』
 &lt;name&gt;：等一下……
 『一段短暫影像掠過。』
 露娜：你看到了什麼？
 &lt;name&gt;：一個片段。
 露娜：什麼片段？
 &lt;name&gt;：篝火。
 『影像消失。』</t>
  </si>
  <si>
    <t>對敵方2體造成&lt;AD&gt;物攻的物理傷害，並60%附加攻擊下降</t>
  </si>
  <si>
    <t>『翠影森林的少女聲音出現在視線中。』
 露娜：你認識這個嗎？
 &lt;name&gt;：我不知道。
 『&lt;name&gt;伸手觸碰。』
 &lt;name&gt;：等一下……
 『一段短暫影像掠過。』
 露娜：你看到了什麼？
 &lt;name&gt;：一個片段。
 露娜：什麼片段？
 &lt;name&gt;：少女聲音。
 『影像消失。』</t>
  </si>
  <si>
    <t>7-28</t>
  </si>
  <si>
    <t>{role:-1},
{id:-1},{id:-1},{id:-1},{id:-1},{id:-1}
{id:40041},{id:40041},{id:40044},{id:40041},{id:40041}</t>
  </si>
  <si>
    <t>『翠影森林的舊披風出現在視線中。』
 露娜：你認識這個嗎？
 &lt;name&gt;：我不知道。
 『&lt;name&gt;伸手觸碰。』
 &lt;name&gt;：等一下……
 『一段短暫影像掠過。』
 露娜：你看到了什麼？
 &lt;name&gt;：一個片段。
 露娜：什麼片段？
 &lt;name&gt;：舊披風。
 『影像消失。』</t>
  </si>
  <si>
    <t>尖銳之爪</t>
  </si>
  <si>
    <t>4,8,13</t>
  </si>
  <si>
    <t>『古樹之王出現在翠影森林最深處。』
 『牠沒有說話。』
 『戰場因牠的出現而震動。』
 &lt;name&gt;：……就是這裡。
 『&lt;name&gt;的視線短暫停在Boss身上。』
 『某個曾經經歷過的畫面與眼前重疊。』
 &lt;name&gt;：原來是這樣。
 『戰鬥開始。』</t>
  </si>
  <si>
    <t>『古樹之王倒下。』
露娜：又想起什麼了嗎？
 &lt;name&gt;：一段影片。
 露娜：足夠讓你繼續了嗎？
 &lt;name&gt;：足夠。
 露娜：那就走吧。
 &lt;name&gt;：嗯。
 『下一段道路在前方展開。』</t>
  </si>
  <si>
    <t>7-29</t>
  </si>
  <si>
    <t>{role:-1},
{id:-1},{id:-1},{id:-1},{id:-1},{id:-1}
{id:40040},{id:40040},{id:40043},{id:40044},{id:40044}</t>
  </si>
  <si>
    <t>對敵方3體造成&lt;AD&gt;物攻的物理傷害，並40%附加裂傷</t>
  </si>
  <si>
    <t>『新的區域映入眼前。』
 露娜：這裡就是賢者之都。
 &lt;name&gt;：我有種說不出的熟悉感。
 露娜：有記憶嗎？
 &lt;name&gt;：還不到可以稱為記憶。
 露娜：那就先記住現在看到的。</t>
  </si>
  <si>
    <t>7-30</t>
  </si>
  <si>
    <t>分裂護盾</t>
  </si>
  <si>
    <t>{role:-1},
{id:-1},{id:-1},{id:-1},{id:-1},{id:-1}
{id:40040},{id:40043},{id:40043},{id:40073},{id:40043}</t>
  </si>
  <si>
    <t>『賢者之都的勇者印記出現在視線中。』
 露娜：你認識這個嗎？
 &lt;name&gt;：我不知道。
 『&lt;name&gt;伸手觸碰。』
 &lt;name&gt;：等一下……
 『一段短暫影像掠過。』
 露娜：你看到了什麼？
 &lt;name&gt;：一個片段。
 露娜：什麼片段？
 &lt;name&gt;：勇者印記。
 『影像消失。』</t>
  </si>
  <si>
    <t>4,11,13</t>
  </si>
  <si>
    <t>『賢者之都的研究報告出現在視線中。』
 露娜：你認識這個嗎？
 &lt;name&gt;：我不知道。
 『&lt;name&gt;伸手觸碰。』
 &lt;name&gt;：等一下……
 『一段短暫影像掠過。』
 露娜：你看到了什麼？
 &lt;name&gt;：一個片段。
 露娜：什麼片段？
 &lt;name&gt;：研究報告。
 『影像消失。』</t>
  </si>
  <si>
    <t>7-31</t>
  </si>
  <si>
    <t>『賢者之都的隊伍名單出現在視線中。』
 露娜：你認識這個嗎？
 &lt;name&gt;：我不知道。
 『&lt;name&gt;伸手觸碰。』
 &lt;name&gt;：等一下……
 『一段短暫影像掠過。』
 露娜：你看到了什麼？
 &lt;name&gt;：一個片段。
 露娜：什麼片段？
 &lt;name&gt;：隊伍名單。
 『影像消失。』</t>
  </si>
  <si>
    <t>{role:-1},
{id:-1},{id:-1},{id:-1},{id:-1},{id:-1}
{id:40041},{id:40073},{id:40040},{id:40073},{id:40073}</t>
  </si>
  <si>
    <t>『大賢者・摩爾德出現在賢者之都最深處。』
 『牠沒有說話。』
 『戰場因牠的出現而震動。』
 &lt;name&gt;：……就是這裡。
 『&lt;name&gt;的視線短暫停在Boss身上。』
 『某個曾經經歷過的畫面與眼前重疊。』
 &lt;name&gt;：原來是這樣。
 『戰鬥開始。』</t>
  </si>
  <si>
    <t>對我方4體恢復&lt;AP&gt;魔攻的護盾</t>
  </si>
  <si>
    <t xml:space="preserve"> 『大賢者・摩爾德倒下。』
露娜：又想起什麼了嗎？
 &lt;name&gt;：一些零散畫面。
 露娜：足夠讓你繼續了嗎？
 &lt;name&gt;：足夠。
 露娜：那就走吧。
 &lt;name&gt;：嗯。
 『下一段道路在前方展開。』</t>
  </si>
  <si>
    <t>7-32</t>
  </si>
  <si>
    <t>{role:-1},
{id:-1},{id:-1},{id:-1},{id:-1},{id:-1}
{id:40073},{id:40044},{id:40040},{id:40041},{id:40041}</t>
  </si>
  <si>
    <t>2,12,13</t>
  </si>
  <si>
    <t>萬魂悲鳴</t>
  </si>
  <si>
    <t>『新的區域映入眼前。』
露娜：這裡就是魔導塔群。
&lt;name&gt;：我有種說不出的熟悉感。
露娜：有記憶嗎？
&lt;name&gt;：還不到可以稱為記憶。
露娜：那就先記住現在看到的。</t>
  </si>
  <si>
    <t>7-33</t>
  </si>
  <si>
    <t>{role:-1},
{id:-1},{id:-1},{id:-1},{id:-1},{id:-1}
{id:40044},{id:40044},{id:40073},{id:40073},{id:40044}</t>
  </si>
  <si>
    <t>2,10,13</t>
  </si>
  <si>
    <t>『魔導塔群的防禦本能出現在視線中。』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&lt;name&gt;：防禦本能。
『影像消失。』</t>
  </si>
  <si>
    <t>7-34</t>
  </si>
  <si>
    <t>{role:-1},
{id:-1},{id:-1},{id:-1},{id:-1},{id:-1}
{id:40073},{id:40044},{id:40044},{id:40043},{id:40044}</t>
  </si>
  <si>
    <t>對敵方3體造成&lt;AP&gt;魔攻的魔法傷害，並附加灼傷與凍傷</t>
  </si>
  <si>
    <t>『魔導塔群的魔法施放本能出現在視線中。』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&lt;name&gt;：魔法施放本能。
『影像消失。』</t>
  </si>
  <si>
    <t>『魔導塔群的失敗記憶出現在視線中。』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&lt;name&gt;：失敗記憶。
『影像消失。』</t>
  </si>
  <si>
    <t>血月詛咒</t>
  </si>
  <si>
    <t>7-35</t>
  </si>
  <si>
    <t>{role:-1},
{id:-1},{id:-1},{id:-1},{id:-1},{id:-1}
{id:40040},{id:40041},{id:40040},{id:40044},{id:40040}</t>
  </si>
  <si>
    <t>『禁術塔主出現在魔導塔群最深處。』
『牠沒有說話。』
『戰場因牠的出現而震動。』
&lt;name&gt;：……就是這裡。
『&lt;name&gt;的視線短暫停在Boss身上。』
『某個曾經經歷過的畫面與眼前重疊。』
&lt;name&gt;：原來是這樣。
『戰鬥開始。』</t>
  </si>
  <si>
    <t>『禁術塔主倒下。』
露娜：又想起什麼了嗎？
&lt;name&gt;：一些零散畫面。
露娜：足夠讓你繼續了嗎？
&lt;name&gt;：足夠。
露娜：那就走吧。
&lt;name&gt;：嗯。
『下一段道路在前方展開。』</t>
  </si>
  <si>
    <t>7-36</t>
  </si>
  <si>
    <t>{role:-1},
{id:-1},{id:-1},{id:-1},{id:-1},{id:-1}
{id:40073},{id:40041},{id:40073},{id:40043},{id:40040}</t>
  </si>
  <si>
    <t>『新的區域映入眼前。』
露娜：這裡就是光輝平原。
&lt;name&gt;：我有種說不出的熟悉感。
露娜：有記憶嗎？
&lt;name&gt;：還不到可以稱為記憶。
露娜：那就先記住現在看到的。</t>
  </si>
  <si>
    <t>虛空撕裂</t>
  </si>
  <si>
    <t>『光輝平原的民眾呼喊出現在視線中。』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&lt;name&gt;：民眾呼喊。
『影像消失。』</t>
  </si>
  <si>
    <t>7-37</t>
  </si>
  <si>
    <t>{role:-1},
{id:-1},{id:-1},{id:-1},{id:-1},{id:-1}
{id:40040},{id:40073},{id:40043},{id:40043},{id:40040}</t>
  </si>
  <si>
    <t>『光輝平原的旗幟出現在視線中。』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&lt;name&gt;：旗幟。
『影像消失。』</t>
  </si>
  <si>
    <t>『光輝平原的戰場命令出現在視線中。』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&lt;name&gt;：戰場命令。
『影像消失。』</t>
  </si>
  <si>
    <t>『聖痕騎士長出現在光輝平原最深處。』
『牠沒有說話。』
『戰場因牠的出現而震動。』
&lt;name&gt;：……就是這裡。
『&lt;name&gt;的視線短暫停在Boss身上。』
『某個曾經經歷過的畫面與眼前重疊。』
&lt;name&gt;：原來是這樣。
『戰鬥開始。』</t>
  </si>
  <si>
    <t>『聖痕騎士長倒下。』
露娜：又想起什麼了嗎？
&lt;name&gt;：一段影片。
露娜：足夠讓你繼續了嗎？
&lt;name&gt;：足夠。
露娜：那就走吧。
&lt;name&gt;：嗯。
『下一段道路在前方展開。』</t>
  </si>
  <si>
    <t>7-38</t>
  </si>
  <si>
    <t>『新的區域映入眼前。』
露娜：這裡就是聖者之塔。
&lt;name&gt;：我有種說不出的熟悉感。
露娜：有記憶嗎？
&lt;name&gt;：還不到可以稱為記憶。
露娜：那就先記住現在看到的。</t>
  </si>
  <si>
    <t>{role:-1},
{id:-1},{id:-1},{id:-1},{id:-1},{id:-1}
{id:40040},{id:40041},{id:40041},{id:40040},{id:40041}</t>
  </si>
  <si>
    <t>聖光裁決</t>
  </si>
  <si>
    <t>3,5,13</t>
  </si>
  <si>
    <t>『聖者之塔的王座出現在視線中。』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&lt;name&gt;：王座。
『影像消失。』</t>
  </si>
  <si>
    <t>『聖者之塔的祈禱詞出現在視線中。』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&lt;name&gt;：祈禱詞。
『影像消失。』</t>
  </si>
  <si>
    <t>7-39</t>
  </si>
  <si>
    <t>{role:-1},
{id:-1},{id:-1},{id:-1},{id:-1},{id:-1}
{id:40041},{id:40044},{id:40073},{id:40044},{id:40040}</t>
  </si>
  <si>
    <t>召喚聖光懲戒單體敵人，造成高額法術傷害。</t>
  </si>
  <si>
    <t>『聖者之塔的拒絕加冕出現在視線中。』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&lt;name&gt;：拒絕加冕。
『影像消失。』</t>
  </si>
  <si>
    <t>『墮落聖者出現在聖者之塔最深處。』
『牠沒有說話。』
『戰場因牠的出現而震動。』
&lt;name&gt;：……就是這裡。
『&lt;name&gt;的視線短暫停在Boss身上。』
『某個曾經經歷過的畫面與眼前重疊。』
&lt;name&gt;：原來是這樣。
『戰鬥開始。』</t>
  </si>
  <si>
    <t>7-40</t>
  </si>
  <si>
    <t>{role:-1},
{id:-1},{id:-1},{id:-1},{id:-1},{id:-1}
{id:50008},{id:40041},{id:40044},{id:40073},{id:40043}</t>
  </si>
  <si>
    <t>狂怒重斬</t>
  </si>
  <si>
    <t>『墮落聖者倒下。』
露娜：又想起什麼了嗎？
&lt;name&gt;：一些零散畫面。
露娜：足夠讓你繼續了嗎？
&lt;name&gt;：足夠。
露娜：那就走吧。
&lt;name&gt;：嗯。
『下一段道路在前方展開。』</t>
  </si>
  <si>
    <t>第十章</t>
  </si>
  <si>
    <t>『新的區域映入眼前。』
露娜：這裡就是聖槍神殿。
&lt;name&gt;：我有種說不出的熟悉感。
露娜：有記憶嗎？
&lt;name&gt;：還不到可以稱為記憶。
露娜：那就先記住現在看到的。</t>
  </si>
  <si>
    <t>『聖槍神殿的撤離命令出現在視線中。』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&lt;name&gt;：撤離命令。
『影像消失。』</t>
  </si>
  <si>
    <t>『聖槍神殿的同伴背影出現在視線中。』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&lt;name&gt;：同伴背影。
『影像消失。』</t>
  </si>
  <si>
    <t>8-1</t>
  </si>
  <si>
    <t>{role:-1},
{id:-1},{id:-1},{id:-1},{id:-1},{id:-1}
{id:40074},{id:40032}</t>
  </si>
  <si>
    <t>聖光普照</t>
  </si>
  <si>
    <t>『聖槍神殿的奔跑影片出現在視線中。』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&lt;name&gt;：奔跑影片。
『影像消失。』</t>
  </si>
  <si>
    <t>蓄力對單體敵人進行重擊，造成高額物理傷害。(暈眩</t>
  </si>
  <si>
    <t>1,2,13</t>
  </si>
  <si>
    <t>光蝕侵擾</t>
  </si>
  <si>
    <t>『聖槍守護者出現在聖槍神殿最深處。』
『牠沒有說話。』
『戰場因牠的出現而震動。』
&lt;name&gt;：……就是這裡。
『&lt;name&gt;的視線短暫停在Boss身上。』
『某個曾經經歷過的畫面與眼前重疊。』
&lt;name&gt;：原來是這樣。
『戰鬥開始。』</t>
  </si>
  <si>
    <t>3,11,12</t>
  </si>
  <si>
    <t>『聖槍守護者倒下。』
露娜：又想起什麼了嗎？
&lt;name&gt;：一段影片。
露娜：足夠讓你繼續了嗎？
&lt;name&gt;：足夠。
露娜：那就走吧。
&lt;name&gt;：嗯。
『下一段道路在前方展開。』</t>
  </si>
  <si>
    <t>裂地波</t>
  </si>
  <si>
    <t>8-2</t>
  </si>
  <si>
    <t>第十一章</t>
  </si>
  <si>
    <t>{role:-1},
{id:-1},{id:-1},{id:-1},{id:-1},{id:-1}
{id:40046},{id:40042}</t>
  </si>
  <si>
    <t>『新的區域映入眼前。』
露娜：這裡就是皇都・天照城。
&lt;name&gt;：我有種說不出的熟悉感。
露娜：有記憶嗎？
&lt;name&gt;：還不到可以稱為記憶。
露娜：那就先記住現在看到的。</t>
  </si>
  <si>
    <t>『皇都・天照城的月下刀光出現在視線中。』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&lt;name&gt;：月下刀光。
『影像消失。』</t>
  </si>
  <si>
    <t>『皇都・天照城的東方同伴出現在視線中。』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&lt;name&gt;：東方同伴。
『影像消失。』</t>
  </si>
  <si>
    <t>8-3</t>
  </si>
  <si>
    <t>『皇都・天照城的茶館出現在視線中。』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&lt;name&gt;：茶館。
『影像消失。』</t>
  </si>
  <si>
    <t>{role:-1},
{id:-1},{id:-1},{id:-1},{id:-1},{id:-1}
{id:40042},{id:40047}</t>
  </si>
  <si>
    <t>猛擊地面發出衝擊波，對前排3名敵人造成物理傷害。</t>
  </si>
  <si>
    <t>『皇都・天照城的未說完的話出現在視線中。』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&lt;name&gt;：未說完的話。
『影像消失。』</t>
  </si>
  <si>
    <t>『妖刀將軍出現在皇都・天照城最深處。』
『牠沒有說話。』
『戰場因牠的出現而震動。』
&lt;name&gt;：……就是這裡。
『&lt;name&gt;的視線短暫停在Boss身上。』
『某個曾經經歷過的畫面與眼前重疊。』
&lt;name&gt;：原來是這樣。
『戰鬥開始。』</t>
  </si>
  <si>
    <t>『妖刀將軍倒下。』
露娜：又想起什麼了嗎？
&lt;name&gt;：一些零散畫面。
露娜：足夠讓你繼續了嗎？
&lt;name&gt;：足夠。
露娜：那就走吧。
&lt;name&gt;：嗯。
『下一段道路在前方展開。』</t>
  </si>
  <si>
    <t>第十二章</t>
  </si>
  <si>
    <t>『新的區域映入眼前。』
露娜：這裡就是火神山。
&lt;name&gt;：我有種說不出的熟悉感。
露娜：有記憶嗎？
&lt;name&gt;：還不到可以稱為記憶。
露娜：那就先記住現在看到的。</t>
  </si>
  <si>
    <t>寒冰吐息</t>
  </si>
  <si>
    <t>『火神山的火海救援出現在視線中。』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&lt;name&gt;：火海救援。
『影像消失。』</t>
  </si>
  <si>
    <t>8-4</t>
  </si>
  <si>
    <t>{role:-1},
{id:-1},{id:-1},{id:-1},{id:-1},{id:-1}
{id:40047},{id:40042}</t>
  </si>
  <si>
    <t>『火神山的水壺出現在視線中。』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&lt;name&gt;：水壺。
『影像消失。』</t>
  </si>
  <si>
    <t>『火神山的約定手勢出現在視線中。』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&lt;name&gt;：約定手勢。
『影像消失。』</t>
  </si>
  <si>
    <t>『火神山的誓約之環出現在視線中。』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&lt;name&gt;：誓約之環。
『影像消失。』</t>
  </si>
  <si>
    <t>『炎獄巨龍出現在火神山最深處。』
『牠沒有說話。』
『戰場因牠的出現而震動。』
&lt;name&gt;：……就是這裡。
『&lt;name&gt;的視線短暫停在Boss身上。』
『某個曾經經歷過的畫面與眼前重疊。』
&lt;name&gt;：原來是這樣。
『戰鬥開始。』</t>
  </si>
  <si>
    <t>8-5</t>
  </si>
  <si>
    <t>噴吐極寒冰霧，對3名敵人造成法術傷害。(凍傷</t>
  </si>
  <si>
    <t>{role:-1},
{id:-1},{id:-1},{id:-1},{id:-1},{id:-1}
{id:40046},{id:40032},{id:40046}</t>
  </si>
  <si>
    <t>『炎獄巨龍倒下。』
露娜：又想起什麼了嗎？
&lt;name&gt;：一段影片。
露娜：足夠讓你繼續了嗎？
&lt;name&gt;：足夠。
露娜：那就走吧。
&lt;name&gt;：嗯。
『下一段道路在前方展開。』</t>
  </si>
  <si>
    <t>第十三章</t>
  </si>
  <si>
    <t>『新的區域映入眼前。』
露娜：這裡就是凜冬要塞。
&lt;name&gt;：我有種說不出的熟悉感。
露娜：有記憶嗎？
&lt;name&gt;：還不到可以稱為記憶。
露娜：那就先記住現在看到的。</t>
  </si>
  <si>
    <t>3,4,8</t>
  </si>
  <si>
    <t>『凜冬要塞的聯軍旗出現在視線中。』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&lt;name&gt;：聯軍旗。
『影像消失。』</t>
  </si>
  <si>
    <t>『凜冬要塞的舊軍令出現在視線中。』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&lt;name&gt;：舊軍令。
『影像消失。』</t>
  </si>
  <si>
    <t>烈焰風暴</t>
  </si>
  <si>
    <t>『凜冬要塞的魔王影像出現在視線中。』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&lt;name&gt;：魔王影像。
『影像消失。』</t>
  </si>
  <si>
    <t>8-6</t>
  </si>
  <si>
    <t>{role:-1},
{id:-1},{id:-1},{id:-1},{id:-1},{id:-1}
{id:40046},{id:40046},{id:40032}</t>
  </si>
  <si>
    <t>『凜冬要塞的被刪除的名字出現在視線中。』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&lt;name&gt;：被刪除的名字。
『影像消失。』</t>
  </si>
  <si>
    <t>『冰冠大公出現在凜冬要塞最深處。』
『牠沒有說話。』
『戰場因牠的出現而震動。』
&lt;name&gt;：……就是這裡。
『&lt;name&gt;的視線短暫停在Boss身上。』
『某個曾經經歷過的畫面與眼前重疊。』
&lt;name&gt;：原來是這樣。
『戰鬥開始。』</t>
  </si>
  <si>
    <t>『冰冠大公倒下。』
露娜：又想起什麼了嗎？
&lt;name&gt;：一段影片。
露娜：足夠讓你繼續了嗎？
&lt;name&gt;：足夠。
露娜：那就走吧。
&lt;name&gt;：嗯。
『下一段道路在前方展開。』</t>
  </si>
  <si>
    <t>第十四章</t>
  </si>
  <si>
    <t>『新的區域映入眼前。』
露娜：這裡就是黑王城。
&lt;name&gt;：我有種說不出的熟悉感。
露娜：有記憶嗎？
&lt;name&gt;：還不到可以稱為記憶。
露娜：那就先記住現在看到的。</t>
  </si>
  <si>
    <t>召喚狂暴火焰風暴，對4名敵人造成法術傷害。(灼傷</t>
  </si>
  <si>
    <t>『黑王城的亡者臉孔出現在視線中。』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&lt;name&gt;：亡者臉孔。
『影像消失。』</t>
  </si>
  <si>
    <t>8-7</t>
  </si>
  <si>
    <t>『黑王城的同伴聲音出現在視線中。』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&lt;name&gt;：同伴聲音。
『影像消失。』</t>
  </si>
  <si>
    <t>{role:-1},
{id:-1},{id:-1},{id:-1},{id:-1},{id:-1}
{id:40046},{id:40042},{id:40042}</t>
  </si>
  <si>
    <t>『黑王城的仇恨來源出現在視線中。』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&lt;name&gt;：仇恨來源。
『影像消失。』</t>
  </si>
  <si>
    <t>『黑王城的最後對話出現在視線中。』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&lt;name&gt;：最後對話。
『影像消失。』</t>
  </si>
  <si>
    <t>影襲連斬</t>
  </si>
  <si>
    <t>『冥王使徒出現在黑王城最深處。』
『牠沒有說話。』
『戰場因牠的出現而震動。』
&lt;name&gt;：……就是這裡。
『&lt;name&gt;的視線短暫停在Boss身上。』
『某個曾經經歷過的畫面與眼前重疊。』
&lt;name&gt;：原來是這樣。
『戰鬥開始。』</t>
  </si>
  <si>
    <t>『冥王使徒倒下。』
露娜：又想起什麼了嗎？
&lt;name&gt;：一些零散畫面。
露娜：足夠讓你繼續了嗎？
&lt;name&gt;：足夠。
露娜：那就走吧。
&lt;name&gt;：嗯。
『下一段道路在前方展開。』</t>
  </si>
  <si>
    <t>第十五章</t>
  </si>
  <si>
    <t>8-8</t>
  </si>
  <si>
    <t>『新的區域映入眼前。』
露娜：這裡就是魔王領域。
&lt;name&gt;：我有種說不出的熟悉感。
露娜：有記憶嗎？
&lt;name&gt;：還不到可以稱為記憶。
露娜：那就先記住現在看到的。</t>
  </si>
  <si>
    <t>{role:-1},
{id:-1},{id:-1},{id:-1},{id:-1},{id:-1}
{id:40047},{id:40046},{id:40047}</t>
  </si>
  <si>
    <t>『魔王領域的舊戰場出現在視線中。』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&lt;name&gt;：舊戰場。
『影像消失。』</t>
  </si>
  <si>
    <t>9,11,12</t>
  </si>
  <si>
    <t>快速閃現連擊，對單體敵人造成3次物理傷害。</t>
  </si>
  <si>
    <t>『魔王領域的四天王遺物痕跡出現在視線中。』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&lt;name&gt;：四天王遺物痕跡。
『影像消失。』</t>
  </si>
  <si>
    <t>『魔王領域的七件聖物共鳴出現在視線中。』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&lt;name&gt;：七件聖物共鳴。
『影像消失。』</t>
  </si>
  <si>
    <t>8-9</t>
  </si>
  <si>
    <t>『魔王領域的完整戰敗影片出現在視線中。』
露娜：你認識這個嗎？
&lt;name&gt;：我不知道。
『&lt;name&gt;伸手觸碰。』
&lt;name&gt;：等一下……
『一段短暫影像掠過。』
露娜：你看到了什麼？
&lt;name&gt;：一個片段。
露娜：什麼片段？
&lt;name&gt;：完整戰敗影片。
『影像消失。』</t>
  </si>
  <si>
    <t>{role:-1},
{id:-1},{id:-1},{id:-1},{id:-1},{id:-1}
{id:40047},{id:40047},{id:40046}</t>
  </si>
  <si>
    <t>『終焉神殿的大門緩緩打開。』
『魔王奧斯維德站在王座前。』
魔王奧斯維德：你終於來了。
&lt;name&gt;：你知道我會來？
魔王奧斯維德：我不知道你會不會成功。
魔王奧斯維德：但我知道，這不是第一次。
&lt;name&gt;：……
『七件聖物同時發光。』
魔王奧斯維德：把你記得的一切帶來吧。
&lt;name&gt;：這一次，我不會再讓世界走向同樣的結局。
『最終戰開始。』</t>
  </si>
  <si>
    <t>9,10,12</t>
  </si>
  <si>
    <t>劇毒絞殺</t>
  </si>
  <si>
    <t>露娜：又想起什麼了嗎？
&lt;name&gt;：一段影片。
露娜：足夠讓你繼續了嗎？
&lt;name&gt;：足夠。
露娜：那就走吧。
&lt;name&gt;：嗯。
『下一段道路在前方展開。』</t>
  </si>
  <si>
    <t>idle_unlock</t>
  </si>
  <si>
    <t>掛機探索開放了！你的角色會持續在此關卡自動歷練，即使沒有開著遊戲畫面也會持續累積獎勵。已經幫你準備好一份獎勵，點擊「掛機」按鈕即可立即領取！</t>
  </si>
  <si>
    <t>批次3新增：系統開放檢查點引導(資料驅動，刪除此列即可關閉，功能解鎖不受影響)</t>
  </si>
  <si>
    <t>talent_intro</t>
  </si>
  <si>
    <t>「天賦」分頁已開放！這裡可以消耗天賦點強化你的職業能力，點選下方導覽列的天賦分頁看看吧。</t>
  </si>
  <si>
    <t>8-10</t>
  </si>
  <si>
    <t>{role:-1},
{id:-1},{id:-1},{id:-1},{id:-1},{id:-1}
{id:40046},{id:40047},{id:40032}</t>
  </si>
  <si>
    <t>weapon_levelup</t>
  </si>
  <si>
    <t>武器升級開放了！消耗「武器經驗」即可提升武器等級、強化戰鬥數值。已經送你一批武器經驗，快去武器分頁試試看升10級吧！</t>
  </si>
  <si>
    <t>3,7,12</t>
  </si>
  <si>
    <t>auto_next</t>
  </si>
  <si>
    <t>釋放劇毒藤蔓，對2名敵人造成物理傷害。(中毒</t>
  </si>
  <si>
    <t>現在起，戰鬥結算畫面會出現「自動下一關」開關，開啟後戰勝就會倒數3秒自動接續下一關，讓你不用每次手動點擊挑戰。</t>
  </si>
  <si>
    <t>weapon_starup</t>
  </si>
  <si>
    <t>武器升星開放了！升星能大幅提升武器的戰鬥力，已經送你一把新武器和升星材料，快去試試看吧！</t>
  </si>
  <si>
    <t>infinite_dungeon_50</t>
  </si>
  <si>
    <t>8-11</t>
  </si>
  <si>
    <t>靈魂抽取</t>
  </si>
  <si>
    <t>{role:-1},
{id:-1},{id:-1},{id:-1},{id:-1},{id:-1}
{id:40032},{id:40042},{id:40047}</t>
  </si>
  <si>
    <r>
      <rPr>
        <rFont val="微軟正黑體"/>
        <color rgb="FF000000"/>
        <sz val="10.0"/>
      </rPr>
      <t>「無限地城」開放了！挑戰</t>
    </r>
    <r>
      <rPr>
        <rFont val="Arial"/>
        <color rgb="FF000000"/>
        <sz val="10.0"/>
      </rPr>
      <t>LV.10~50</t>
    </r>
    <r>
      <rPr>
        <rFont val="微軟正黑體"/>
        <color rgb="FF000000"/>
        <sz val="10.0"/>
      </rPr>
      <t>的地城，逐層突破取得裝備與洗鍊石獎勵，通關整座地城才會一次發放獎勵。</t>
    </r>
  </si>
  <si>
    <t>class_equip</t>
  </si>
  <si>
    <t>「職業裝備」開放了！為你的職業穿上專屬裝備，強化戰鬥數值，點選「裝備」分頁內的「職業裝備」查看。</t>
  </si>
  <si>
    <t>dark_contract</t>
  </si>
  <si>
    <t>「黑暗契約」開放了！戰鬥中消耗一張契約卷，就有機會捕捉敵方魔物成為你的夥伴。已經送你10張契約卷，並幫你完成了第一次契約，快去佈陣看看你的新夥伴吧！</t>
  </si>
  <si>
    <t>speed2x</t>
  </si>
  <si>
    <t>8-12</t>
  </si>
  <si>
    <t>戰鬥中的自動戰鬥按鈕現在可以切換到2倍速了，戰鬥演出與延遲都會加快，讓你更有效率地推進關卡。</t>
  </si>
  <si>
    <t>{role:-1},
{id:-1},{id:-1},{id:-1},{id:-1},{id:-1}
{id:40074},{id:40046},{id:40042}</t>
  </si>
  <si>
    <t>侵蝕敵人靈魂，對單體敵人造成大量法術傷害。</t>
  </si>
  <si>
    <t>副本系統開放了！「試煉之塔」正式開放挑戰，從第一層開始層層突破，每層都有豐厚的鑽石獎勵。</t>
  </si>
  <si>
    <t>god_stat</t>
  </si>
  <si>
    <t>「神格」系統開放了！你可以透過神格點數為角色加點，強化六圍屬性，點選職業分頁的「神格」子分頁查看。</t>
  </si>
  <si>
    <t>god_trial</t>
  </si>
  <si>
    <t>聖槍貫穿</t>
  </si>
  <si>
    <t>「神格試煉」開放了！挑戰試煉能取得神格點與轉職推薦書碎片，已經送你一張試煉券，快去挑戰看看吧！</t>
  </si>
  <si>
    <t>8-13</t>
  </si>
  <si>
    <t>class_change</t>
  </si>
  <si>
    <t>{role:-1},
{id:-1},{id:-1},{id:-1},{id:-1},{id:-1}
{id:40074},{id:40046},{id:40042},{id:40032}</t>
  </si>
  <si>
    <t>「轉職」開放了！只要天賦點數配置足夠，就能將職業轉換為更強大的二轉職業，快去職業分頁看看有哪些新選擇！</t>
  </si>
  <si>
    <t>「殲滅任務」開放了！挑戰殲滅任務可以取得魔法石與強化石，是提升裝備的重要來源。</t>
  </si>
  <si>
    <t>infinite_dungeon_100</t>
  </si>
  <si>
    <t>無限地城的可選等級上限提升到LV.100了！更高等級的地城將帶來更豐厚的獎勵，敢挑戰嗎？</t>
  </si>
  <si>
    <t>infinite_dungeon_130</t>
  </si>
  <si>
    <t>投擲聖光長槍，對2名貫穿目標造成物理傷害。(裂傷</t>
  </si>
  <si>
    <t>8-14</t>
  </si>
  <si>
    <t>{role:-1},
{id:-1},{id:-1},{id:-1},{id:-1},{id:-1}
{id:40046},{id:40074},{id:40032},{id:40074}</t>
  </si>
  <si>
    <t>無限地城的可選等級上限提升到LV.130了！這是目前最高難度的地城等級，準備好你最強的陣容再挑戰吧！</t>
  </si>
  <si>
    <t>禁術狂潮</t>
  </si>
  <si>
    <t>8-15</t>
  </si>
  <si>
    <t>{role:-1},
{id:-1},{id:-1},{id:-1},{id:-1},{id:-1}
{id:40042},{id:40074},{id:40032},{id:40074}</t>
  </si>
  <si>
    <t>釋放失控的禁忌魔法，對全體5名敵人造成法術傷害。</t>
  </si>
  <si>
    <t>8-16</t>
  </si>
  <si>
    <t>{role:-1},
{id:-1},{id:-1},{id:-1},{id:-1},{id:-1}
{id:40074},{id:40046},{id:40047},{id:40046}</t>
  </si>
  <si>
    <t>熔岩踐踏</t>
  </si>
  <si>
    <t>8-17</t>
  </si>
  <si>
    <t>{role:-1},
{id:-1},{id:-1},{id:-1},{id:-1},{id:-1}
{id:40074},{id:40046},{id:40032},{id:40074},{id:40042}</t>
  </si>
  <si>
    <t>踩踏地面引爆火山熔岩，對3名敵人造成物理傷害。</t>
  </si>
  <si>
    <t>8-18</t>
  </si>
  <si>
    <t>{role:-1},
{id:-1},{id:-1},{id:-1},{id:-1},{id:-1}
{id:40074},{id:40047},{id:40042},{id:40042},{id:40042}</t>
  </si>
  <si>
    <t>虛空絞殺</t>
  </si>
  <si>
    <t>8-19</t>
  </si>
  <si>
    <t>{role:-1},
{id:-1},{id:-1},{id:-1},{id:-1},{id:-1}
{id:40042},{id:40047},{id:40032},{id:40047},{id:40032}</t>
  </si>
  <si>
    <t>4,11</t>
  </si>
  <si>
    <t>撕裂虛空，對2名敵人造成2次法術傷害。</t>
  </si>
  <si>
    <t>8-20</t>
  </si>
  <si>
    <t>{role:-1},
{id:-1},{id:-1},{id:-1},{id:-1},{id:-1}
{id:40074},{id:40046},{id:40032},{id:40042},{id:40047}</t>
  </si>
  <si>
    <t>冰晶刺殺</t>
  </si>
  <si>
    <t>8-21</t>
  </si>
  <si>
    <t>{role:-1},
{id:-1},{id:-1},{id:-1},{id:-1},{id:-1}
{id:40074},{id:40047},{id:40042},{id:40047},{id:40047}</t>
  </si>
  <si>
    <t>凝結冰晶進行急速刺擊，對單體敵人造成2次物理傷害。</t>
  </si>
  <si>
    <t>居合斬</t>
  </si>
  <si>
    <t>8-22</t>
  </si>
  <si>
    <t>{role:-1},
{id:-1},{id:-1},{id:-1},{id:-1},{id:-1}
{id:40074},{id:40074},{id:40042},{id:40074},{id:40046}</t>
  </si>
  <si>
    <t>2,9,12</t>
  </si>
  <si>
    <t>2,3,7</t>
  </si>
  <si>
    <t>快速拔刀斬擊，對單體敵人造成毀滅性物理傷害。</t>
  </si>
  <si>
    <t>8-23</t>
  </si>
  <si>
    <t>{role:-1},
{id:-1},{id:-1},{id:-1},{id:-1},{id:-1}
{id:40032},{id:40047},{id:40042},{id:40032},{id:40042}</t>
  </si>
  <si>
    <t>瘟疫毒雲</t>
  </si>
  <si>
    <t>8-24</t>
  </si>
  <si>
    <t>{role:-1},
{id:-1},{id:-1},{id:-1},{id:-1},{id:-1}
{id:40047},{id:40042},{id:40046},{id:40032},{id:40032}</t>
  </si>
  <si>
    <t>散播瘟疫毒氣，對4名敵人造成法術傷害。(中毒</t>
  </si>
  <si>
    <t>8-25</t>
  </si>
  <si>
    <t>{role:-1},
{id:-1},{id:-1},{id:-1},{id:-1},{id:-1}
{id:40046},{id:40047},{id:40074},{id:40047},{id:40074}</t>
  </si>
  <si>
    <t>深淵撕咬</t>
  </si>
  <si>
    <t>8-26</t>
  </si>
  <si>
    <t>{role:-1},
{id:-1},{id:-1},{id:-1},{id:-1},{id:-1}
{id:40032},{id:40046},{id:40047},{id:40042},{id:40074}</t>
  </si>
  <si>
    <t>3,6,7</t>
  </si>
  <si>
    <t>召喚深淵巨口撕咬，對單體敵人造成毀滅性物理傷害。</t>
  </si>
  <si>
    <t>5,10,11</t>
  </si>
  <si>
    <t>8-27</t>
  </si>
  <si>
    <t>{role:-1},
{id:-1},{id:-1},{id:-1},{id:-1},{id:-1}
{id:40032},{id:40042},{id:40032},{id:40032},{id:40046}</t>
  </si>
  <si>
    <t>惡魔之火</t>
  </si>
  <si>
    <t>8-28</t>
  </si>
  <si>
    <t>點燃深淵地獄火，對3名敵人造成高額法術傷害。</t>
  </si>
  <si>
    <t>{role:-1},
{id:-1},{id:-1},{id:-1},{id:-1},{id:-1}
{id:40032},{id:40046},{id:40046},{id:40074},{id:40074}</t>
  </si>
  <si>
    <t>幽魂掠奪</t>
  </si>
  <si>
    <t>8-29</t>
  </si>
  <si>
    <t>{role:-1},
{id:-1},{id:-1},{id:-1},{id:-1},{id:-1}
{id:40047},{id:40074},{id:40046},{id:40047},{id:40032}</t>
  </si>
  <si>
    <t>召喚幽魂侵襲，對2名敵人造成法術傷害。</t>
  </si>
  <si>
    <t>8-30</t>
  </si>
  <si>
    <t>{role:-1},
{id:-1},{id:-1},{id:-1},{id:-1},{id:-1}
{id:40046},{id:40042},{id:40074},{id:40042},{id:40047}</t>
  </si>
  <si>
    <t>光蝕射線</t>
  </si>
  <si>
    <t>8-31</t>
  </si>
  <si>
    <t>{role:-1},
{id:-1},{id:-1},{id:-1},{id:-1},{id:-1}
{id:40042},{id:40032},{id:40046},{id:40032},{id:40042}</t>
  </si>
  <si>
    <t>4,9,10</t>
  </si>
  <si>
    <t>發射被污染的聖光射線，對2名敵人造成法術傷害。</t>
  </si>
  <si>
    <t>8-32</t>
  </si>
  <si>
    <t>{role:-1},
{id:-1},{id:-1},{id:-1},{id:-1},{id:-1}
{id:40042},{id:40074},{id:40074},{id:40046},{id:40042}</t>
  </si>
  <si>
    <t>1,6,10</t>
  </si>
  <si>
    <t>8-33</t>
  </si>
  <si>
    <t>{role:-1},
{id:-1},{id:-1},{id:-1},{id:-1},{id:-1}
{id:40046},{id:40047},{id:40042},{id:40042},{id:40046}</t>
  </si>
  <si>
    <t>2,6,9</t>
  </si>
  <si>
    <t>8-34</t>
  </si>
  <si>
    <t>{role:-1},
{id:-1},{id:-1},{id:-1},{id:-1},{id:-1}
{id:40074},{id:40046},{id:40046},{id:40046},{id:40032}</t>
  </si>
  <si>
    <t>8-35</t>
  </si>
  <si>
    <t>{role:-1},
{id:-1},{id:-1},{id:-1},{id:-1},{id:-1}
{id:40032},{id:40032},{id:40046},{id:40042},{id:40047}</t>
  </si>
  <si>
    <t>8-36</t>
  </si>
  <si>
    <t>{role:-1},
{id:-1},{id:-1},{id:-1},{id:-1},{id:-1}
{id:40032},{id:40032},{id:40042},{id:40046},{id:40042}</t>
  </si>
  <si>
    <t>硬化皮膚</t>
  </si>
  <si>
    <t>8-37</t>
  </si>
  <si>
    <t>{role:-1},
{id:-1},{id:-1},{id:-1},{id:-1},{id:-1}
{id:40047},{id:40046},{id:40047},{id:40032},{id:40032}</t>
  </si>
  <si>
    <t>4,6,8</t>
  </si>
  <si>
    <t>prefeb_map</t>
  </si>
  <si>
    <t>list</t>
  </si>
  <si>
    <t>power</t>
  </si>
  <si>
    <t>is_end</t>
  </si>
  <si>
    <t>img</t>
  </si>
  <si>
    <t>8-38</t>
  </si>
  <si>
    <t>gate4</t>
  </si>
  <si>
    <t>{role:-1},
{id:-1},{id:-1},{id:-1},{id:-1},{id:-1}
{id:40046},{id:40042},{id:40047},{id:40074},{id:40047}</t>
  </si>
  <si>
    <t>對我方2體附加防禦上升與魔防上升</t>
  </si>
  <si>
    <t>影擊步伐</t>
  </si>
  <si>
    <t>8-39</t>
  </si>
  <si>
    <t>{role:-1},
{id:-1},{id:-1},{id:-1},{id:-1},{id:-1}
{id:40074},{id:40042},{id:40047},{id:40047},{id:40046}</t>
  </si>
  <si>
    <t>img_997351bdba4e.jpg</t>
  </si>
  <si>
    <t>gate4_2</t>
  </si>
  <si>
    <t>8-40</t>
  </si>
  <si>
    <t>對敵方1體造成&lt;AD&gt;物攻的物理傷害，並未自身附加行動加快</t>
  </si>
  <si>
    <t>{role:-1},
{id:-1},{id:-1},{id:-1},{id:-1},{id:-1}
{id:50009},{id:40074},{id:40032},{id:40047},{id:40046}</t>
  </si>
  <si>
    <t>img_719332146c38.jpg</t>
  </si>
  <si>
    <t>gate3_3</t>
  </si>
  <si>
    <t>循環砂礫</t>
  </si>
  <si>
    <t>9-1</t>
  </si>
  <si>
    <t>{role:-1},
{id:-1},{id:-1},{id:-1},{id:-1},{id:-1}
{id:40075},{id:40050}</t>
  </si>
  <si>
    <t>贖罪回聲</t>
  </si>
  <si>
    <t>img_698637ce4aaf.jpg</t>
  </si>
  <si>
    <t>3,8,9</t>
  </si>
  <si>
    <t>gate3_2</t>
  </si>
  <si>
    <t>墮落低語</t>
  </si>
  <si>
    <t>4,12,13</t>
  </si>
  <si>
    <t>img_1b6cac546b62.jpg</t>
  </si>
  <si>
    <t>gate3</t>
  </si>
  <si>
    <t>9-2</t>
  </si>
  <si>
    <t>為我方2體附加傷害分擔</t>
  </si>
  <si>
    <t>{role:-1},
{id:-1},{id:-1},{id:-1},{id:-1},{id:-1}
{id:40075},{id:40045}</t>
  </si>
  <si>
    <t>2,6,10</t>
  </si>
  <si>
    <t>img_f8b265de14e0.jpg</t>
  </si>
  <si>
    <t>高速撞擊</t>
  </si>
  <si>
    <t>gate2_3</t>
  </si>
  <si>
    <t>9-3</t>
  </si>
  <si>
    <t>9-4</t>
  </si>
  <si>
    <t>img_6bbf811bdf97.jpg</t>
  </si>
  <si>
    <t>{role:-1},
{id:-1},{id:-1},{id:-1},{id:-1},{id:-1}
{id:40052},{id:40052}</t>
  </si>
  <si>
    <t>gate2_2</t>
  </si>
  <si>
    <t>對我敵方2體造成&lt;AD&gt;物攻的物理傷害，並未自身附加行動加快</t>
  </si>
  <si>
    <t>img_58a585d1d682.jpg</t>
  </si>
  <si>
    <t>gate2</t>
  </si>
  <si>
    <t>9-5</t>
  </si>
  <si>
    <t>{role:-1},
{id:-1},{id:-1},{id:-1},{id:-1},{id:-1}
{id:40076},{id:40075},{id:40075}</t>
  </si>
  <si>
    <t>修復</t>
  </si>
  <si>
    <t>img_57813587f73b.jpg</t>
  </si>
  <si>
    <t>gate1_2</t>
  </si>
  <si>
    <t>9-6</t>
  </si>
  <si>
    <t>img_92fcaaa80572.jpg</t>
  </si>
  <si>
    <t>{role:-1},
{id:-1},{id:-1},{id:-1},{id:-1},{id:-1}
{id:40075},{id:40052},{id:40052}</t>
  </si>
  <si>
    <t>gate1</t>
  </si>
  <si>
    <t>對我方2體恢復&lt;AP&gt;的HP</t>
  </si>
  <si>
    <t>img_5d6c6ccfd6d1.jpg</t>
  </si>
  <si>
    <t>9-7</t>
  </si>
  <si>
    <t>{role:-1},
{id:-1},{id:-1},{id:-1},{id:-1},{id:-1}
{id:40075},{id:40052},{id:40045}</t>
  </si>
  <si>
    <t>刺針麻痺</t>
  </si>
  <si>
    <t>6,8</t>
  </si>
  <si>
    <t>9-8</t>
  </si>
  <si>
    <t>{role:-1},
{id:-1},{id:-1},{id:-1},{id:-1},{id:-1}
{id:40076},{id:40045},{id:40045}</t>
  </si>
  <si>
    <t>對敵方1體造成&lt;AD&gt;物攻的物理傷害，並附加麻痺效果</t>
  </si>
  <si>
    <t>9-9</t>
  </si>
  <si>
    <t>{role:-1},
{id:-1},{id:-1},{id:-1},{id:-1},{id:-1}
{id:40052},{id:40050},{id:40050}</t>
  </si>
  <si>
    <t>堅守陣地</t>
  </si>
  <si>
    <t>9-10</t>
  </si>
  <si>
    <t>{role:-1},
{id:-1},{id:-1},{id:-1},{id:-1},{id:-1}
{id:40076},{id:40050},{id:40076}</t>
  </si>
  <si>
    <t>為我方2體附加受護衛效果</t>
  </si>
  <si>
    <t>9-11</t>
  </si>
  <si>
    <t>{role:-1},
{id:-1},{id:-1},{id:-1},{id:-1},{id:-1}
{id:40052},{id:40045},{id:40052}</t>
  </si>
  <si>
    <t>爆擊強化</t>
  </si>
  <si>
    <t>9-12</t>
  </si>
  <si>
    <t>{role:-1},
{id:-1},{id:-1},{id:-1},{id:-1},{id:-1}
{id:40045},{id:40050},{id:40075}</t>
  </si>
  <si>
    <t>9-13</t>
  </si>
  <si>
    <t>為自身附加，爆擊上升與爆傷上升</t>
  </si>
  <si>
    <t>{role:-1},
{id:-1},{id:-1},{id:-1},{id:-1},{id:-1}
{id:40075},{id:40052},{id:40045},{id:40075}</t>
  </si>
  <si>
    <t>高熱氣焰</t>
  </si>
  <si>
    <t>9-14</t>
  </si>
  <si>
    <t>{role:-1},
{id:-1},{id:-1},{id:-1},{id:-1},{id:-1}
{id:40045},{id:40076},{id:40050},{id:40050}</t>
  </si>
  <si>
    <t>9-15</t>
  </si>
  <si>
    <t>為敵方3體造成&lt;AP&gt;的魔法傷害，並50%附加灼傷</t>
  </si>
  <si>
    <t>{role:-1},
{id:-1},{id:-1},{id:-1},{id:-1},{id:-1}
{id:40076},{id:40076},{id:40076},{id:40075}</t>
  </si>
  <si>
    <t>1,11</t>
  </si>
  <si>
    <t>高速生長</t>
  </si>
  <si>
    <t>9-16</t>
  </si>
  <si>
    <t>{role:-1},
{id:-1},{id:-1},{id:-1},{id:-1},{id:-1}
{id:40045},{id:40052},{id:40075},{id:40076}</t>
  </si>
  <si>
    <t>9-17</t>
  </si>
  <si>
    <t>對我方3體恢復&lt;AP&gt;的HP</t>
  </si>
  <si>
    <t>{role:-1},
{id:-1},{id:-1},{id:-1},{id:-1},{id:-1}
{id:40075},{id:40076},{id:40050},{id:40052},{id:40052}</t>
  </si>
  <si>
    <t>分裂回復</t>
  </si>
  <si>
    <t>9-18</t>
  </si>
  <si>
    <t>{role:-1},
{id:-1},{id:-1},{id:-1},{id:-1},{id:-1}
{id:40075},{id:40050},{id:40075},{id:40076},{id:40076}</t>
  </si>
  <si>
    <t>9-19</t>
  </si>
  <si>
    <t>{role:-1},
{id:-1},{id:-1},{id:-1},{id:-1},{id:-1}
{id:40052},{id:40050},{id:40076},{id:40045},{id:40076}</t>
  </si>
  <si>
    <t>3,4</t>
  </si>
  <si>
    <t>全體硬化</t>
  </si>
  <si>
    <t>9-20</t>
  </si>
  <si>
    <t>{role:-1},
{id:-1},{id:-1},{id:-1},{id:-1},{id:-1}
{id:40052},{id:40075},{id:40076},{id:40076},{id:40045}</t>
  </si>
  <si>
    <t>9-21</t>
  </si>
  <si>
    <t>{role:-1},
{id:-1},{id:-1},{id:-1},{id:-1},{id:-1}
{id:40045},{id:40045},{id:40076},{id:40075},{id:40052}</t>
  </si>
  <si>
    <t>為我方全體附加&lt;AD&gt;護盾，並附加傷害反射效果</t>
  </si>
  <si>
    <t>9-22</t>
  </si>
  <si>
    <t>{role:-1},
{id:-1},{id:-1},{id:-1},{id:-1},{id:-1}
{id:40052},{id:40076},{id:40075},{id:40052},{id:40075}</t>
  </si>
  <si>
    <t>連續爪擊</t>
  </si>
  <si>
    <t>9-23</t>
  </si>
  <si>
    <t>{role:-1},
{id:-1},{id:-1},{id:-1},{id:-1},{id:-1}
{id:40075},{id:40076},{id:40052},{id:40045},{id:40050}</t>
  </si>
  <si>
    <t>對敵方隨機1體造成&lt;AD&gt;物攻的物理傷害3次</t>
  </si>
  <si>
    <t>9-24</t>
  </si>
  <si>
    <t>{role:-1},
{id:-1},{id:-1},{id:-1},{id:-1},{id:-1}
{id:40050},{id:40052},{id:40075},{id:40052},{id:40050}</t>
  </si>
  <si>
    <t>重力魔法</t>
  </si>
  <si>
    <t>9-25</t>
  </si>
  <si>
    <t>{role:-1},
{id:-1},{id:-1},{id:-1},{id:-1},{id:-1}
{id:40050},{id:40075},{id:40076},{id:40045},{id:40045}</t>
  </si>
  <si>
    <t>為敵方全體造成&lt;AP&gt;的魔法傷害；並附加防禦下降與魔防下降</t>
  </si>
  <si>
    <t>9-26</t>
  </si>
  <si>
    <t>{role:-1},
{id:-1},{id:-1},{id:-1},{id:-1},{id:-1}
{id:40052},{id:40050},{id:40076},{id:40075},{id:40050}</t>
  </si>
  <si>
    <t>連續紅蓮</t>
  </si>
  <si>
    <t>9-27</t>
  </si>
  <si>
    <t>{role:-1},
{id:-1},{id:-1},{id:-1},{id:-1},{id:-1}
{id:40052},{id:40052},{id:40050},{id:40045},{id:40052}</t>
  </si>
  <si>
    <t>對敵方隨機1體造成&lt;AP&gt;魔攻的魔法傷害3次，並附加灼傷</t>
  </si>
  <si>
    <t>9-28</t>
  </si>
  <si>
    <t>{role:-1},
{id:-1},{id:-1},{id:-1},{id:-1},{id:-1}
{id:40076},{id:40045},{id:40045},{id:40076},{id:40050}</t>
  </si>
  <si>
    <t>9-29</t>
  </si>
  <si>
    <t>{role:-1},{state:-60013}
{id:-1},{id:-1},{id:-1},{id:-1},{id:-1}
{id:40075},{id:40045},{id:40045},{id:40050},{id:40052}</t>
  </si>
  <si>
    <t>元素祈禱</t>
  </si>
  <si>
    <t>9-30</t>
  </si>
  <si>
    <t>{role:-1},{state:-60013}
{id:-1},{id:-1},{id:-1},{id:-1},{id:-1}
{id:40052},{id:40075},{id:40052},{id:40052},{id:40045}</t>
  </si>
  <si>
    <t>吟唱元素力量，為己方恢復生命值。</t>
  </si>
  <si>
    <t>9-31</t>
  </si>
  <si>
    <t>{role:-1},{state:-60013}
{id:-1},{id:-1},{id:-1},{id:-1},{id:-1}
{id:40076},{id:40045},{id:40076},{id:40076},{id:40045}</t>
  </si>
  <si>
    <t>狂暴怒吼</t>
  </si>
  <si>
    <t>9-32</t>
  </si>
  <si>
    <t>{role:-1},{state:-60013}
{id:-1},{id:-1},{id:-1},{id:-1},{id:-1}
{id:40076},{id:40052},{id:40045},{id:40050},{id:40076}</t>
  </si>
  <si>
    <t>發出野性咆哮，提升自身攻擊力並進入狂暴狀態。</t>
  </si>
  <si>
    <t>rate_add</t>
  </si>
  <si>
    <t>guarant_min</t>
  </si>
  <si>
    <t>guarant_max</t>
  </si>
  <si>
    <t>buff_max</t>
  </si>
  <si>
    <t>9-33</t>
  </si>
  <si>
    <t>聖光庇護</t>
  </si>
  <si>
    <t>{role:-1},{state:-60013}
{id:-1},{id:-1},{id:-1},{id:-1},{id:-1}
{id:40076},{id:40076},{id:40075},{id:40052},{id:40045}</t>
  </si>
  <si>
    <t>8,9,12</t>
  </si>
  <si>
    <t>凝聚聖光能量，為己方2名隊友進行治療。</t>
  </si>
  <si>
    <t>9-34</t>
  </si>
  <si>
    <t>{role:-1},{state:-60013}
{id:-1},{id:-1},{id:-1},{id:-1},{id:-1}
{id:40050},{id:40052},{id:40075},{id:40076},{id:40045}</t>
  </si>
  <si>
    <t>詛咒詠唱</t>
  </si>
  <si>
    <t>9-35</t>
  </si>
  <si>
    <t>{role:-1},{state:-60013}
{id:-1},{id:-1},{id:-1},{id:-1},{id:-1}
{id:40076},{id:40045},{id:40050},{id:40076},{id:40075}</t>
  </si>
  <si>
    <t>1,4,12</t>
  </si>
  <si>
    <t>吟唱古老詛咒，對3名敵人施加魔法侵蝕。</t>
  </si>
  <si>
    <t>9-36</t>
  </si>
  <si>
    <t>{role:-1},{state:-60013}
{id:-1},{id:-1},{id:-1},{id:-1},{id:-1}
{id:40075},{id:40045},{id:40050},{id:40050},{id:40076}</t>
  </si>
  <si>
    <t>鋼鐵防禦</t>
  </si>
  <si>
    <t>9-37</t>
  </si>
  <si>
    <t>{role:-1},{state:-60013}
{id:-1},{id:-1},{id:-1},{id:-1},{id:-1}
{id:40050},{id:40050},{id:40045},{id:40075},{id:40052}</t>
  </si>
  <si>
    <t>進入防禦姿態，提升自身防禦力。</t>
  </si>
  <si>
    <t>9-38</t>
  </si>
  <si>
    <t>{role:-1},{state:-60013}
{id:-1},{id:-1},{id:-1},{id:-1},{id:-1}
{id:40045},{id:40076},{id:40076},{id:40076},{id:40052}</t>
  </si>
  <si>
    <t>閃電連鎖</t>
  </si>
  <si>
    <t>9-39</t>
  </si>
  <si>
    <t>{role:-1},{state:-60013}
{id:-1},{id:-1},{id:-1},{id:-1},{id:-1}
{id:40045},{id:40050},{id:40075},{id:40045},{id:40075}</t>
  </si>
  <si>
    <t>3,4,10</t>
  </si>
  <si>
    <t>釋放連鎖閃電，對3名敵人造成法術傷害。</t>
  </si>
  <si>
    <t>9-40</t>
  </si>
  <si>
    <t>{role:-1},{state:-60013}
{id:-1},{id:-1},{id:-1},{id:-1},{id:-1}
{id:50010},{id:40076},{id:40052},{id:40050},{id:40075}</t>
  </si>
  <si>
    <t>妖狐魅惑</t>
  </si>
  <si>
    <t>10-1</t>
  </si>
  <si>
    <t>{role:-1},{state:-60014}
{id:-1},{id:-1},{id:-1},{id:-1},{id:-1}
{id:40078},{id:40077}</t>
  </si>
  <si>
    <t>誓約光輝</t>
  </si>
  <si>
    <t>施展魅惑之術，對單體敵人造成法術傷害。</t>
  </si>
  <si>
    <t>神殿守護</t>
  </si>
  <si>
    <t>10-2</t>
  </si>
  <si>
    <t>{role:-1},{state:-60014}
{id:-1},{id:-1},{id:-1},{id:-1},{id:-1}
{id:40048},{id:40078}</t>
  </si>
  <si>
    <t>霜凍突襲</t>
  </si>
  <si>
    <t>10-3</t>
  </si>
  <si>
    <t>{role:-1},{state:-60014}
{id:-1},{id:-1},{id:-1},{id:-1},{id:-1}
{id:40078},{id:40078}</t>
  </si>
  <si>
    <t>帶有寒霜的突襲衝撞，對2名敵人造成物理傷害(附加冰凍</t>
  </si>
  <si>
    <t>10-4</t>
  </si>
  <si>
    <t>{role:-1},{state:-60014}
{id:-1},{id:-1},{id:-1},{id:-1},{id:-1}
{id:40048},{id:40077}</t>
  </si>
  <si>
    <t>死靈召喚</t>
  </si>
  <si>
    <t>10-5</t>
  </si>
  <si>
    <t>{role:-1},{state:-60014}
{id:-1},{id:-1},{id:-1},{id:-1},{id:-1}
{id:40078},{id:40048},{id:40049}</t>
  </si>
  <si>
    <t>吟唱亡靈咒語，對3名敵人造成法術傷害。</t>
  </si>
  <si>
    <t>5,10,13</t>
  </si>
  <si>
    <t>深淵咆哮</t>
  </si>
  <si>
    <t>10-6</t>
  </si>
  <si>
    <t>{role:-1},{state:-60014}
{id:-1},{id:-1},{id:-1},{id:-1},{id:-1}
{id:40077},{id:40049},{id:40077}</t>
  </si>
  <si>
    <t>發出深淵震懾咆哮，對4名敵人造成物理傷害。</t>
  </si>
  <si>
    <t>10-7</t>
  </si>
  <si>
    <t>{role:-1},{state:-60014}
{id:-1},{id:-1},{id:-1},{id:-1},{id:-1}
{id:40078},{id:40077},{id:40054}</t>
  </si>
  <si>
    <t>聖盾防衛</t>
  </si>
  <si>
    <t>10-8</t>
  </si>
  <si>
    <t>{role:-1},{state:-60014}
{id:-1},{id:-1},{id:-1},{id:-1},{id:-1}
{id:40077},{id:40077},{id:40048}</t>
  </si>
  <si>
    <t>舉起聖盾，大幅提升自身防禦能力；附加傷害反射</t>
  </si>
  <si>
    <t>10-9</t>
  </si>
  <si>
    <t>{role:-1},{state:-60014}
{id:-1},{id:-1},{id:-1},{id:-1},{id:-1}
{id:40048},{id:40078},{id:40078}</t>
  </si>
  <si>
    <t>鬼火纏身</t>
  </si>
  <si>
    <t>10-10</t>
  </si>
  <si>
    <t>{role:-1},{state:-60014}
{id:-1},{id:-1},{id:-1},{id:-1},{id:-1}
{id:40054},{id:40049},{id:40078}</t>
  </si>
  <si>
    <t>召喚陰森鬼火，對2名敵人造成法術傷害。</t>
  </si>
  <si>
    <t>冰甲護體</t>
  </si>
  <si>
    <t>10-11</t>
  </si>
  <si>
    <t>{role:-1},{state:-60014}
{id:-1},{id:-1},{id:-1},{id:-1},{id:-1}
{id:40077},{id:40054},{id:40077}</t>
  </si>
  <si>
    <t>3,8,10</t>
  </si>
  <si>
    <t>凝聚極寒冰甲，大幅提升自身防護。</t>
  </si>
  <si>
    <t>10-12</t>
  </si>
  <si>
    <t>{role:-1},{state:-60014}
{id:-1},{id:-1},{id:-1},{id:-1},{id:-1}
{id:40077},{id:40078},{id:40054}</t>
  </si>
  <si>
    <t>停止攻擊</t>
  </si>
  <si>
    <t>10-13</t>
  </si>
  <si>
    <t>{role:-1},{state:-60014}
{id:-1},{id:-1},{id:-1},{id:-1},{id:-1}
{id:40054},{id:40054},{id:40048},{id:40049}</t>
  </si>
  <si>
    <t>2,8,11</t>
  </si>
  <si>
    <t>汲取敵方生命能量，對單體造成傷害並治療自身。</t>
  </si>
  <si>
    <t>10-14</t>
  </si>
  <si>
    <t>{role:-1},{state:-60014}
{id:-1},{id:-1},{id:-1},{id:-1},{id:-1}
{id:40054},{id:40048},{id:40048},{id:40054}</t>
  </si>
  <si>
    <t>滅世浩劫</t>
  </si>
  <si>
    <t>10-15</t>
  </si>
  <si>
    <t>{role:-1},{state:-60014}
{id:-1},{id:-1},{id:-1},{id:-1},{id:-1}
{id:40054},{id:40054},{id:40077},{id:40078}</t>
  </si>
  <si>
    <t>觸發終極毁滅魔法，對全體5名敵人造成巨額法術傷害。</t>
  </si>
  <si>
    <t>10-16</t>
  </si>
  <si>
    <t>{role:-1},{state:-60014}
{id:-1},{id:-1},{id:-1},{id:-1},{id:-1}
{id:40054},{id:40078},{id:40054},{id:40049}</t>
  </si>
  <si>
    <t>滅殺連斬</t>
  </si>
  <si>
    <t>10-17</t>
  </si>
  <si>
    <t>{role:-1},{state:-60014}
{id:-1},{id:-1},{id:-1},{id:-1},{id:-1}
{id:40049},{id:40054},{id:40077},{id:40078},{id:40077}</t>
  </si>
  <si>
    <t>釋放終極連擊，對單體敵人造成致命物理傷害。</t>
  </si>
  <si>
    <t>10-18</t>
  </si>
  <si>
    <t>{role:-1},{state:-60014}
{id:-1},{id:-1},{id:-1},{id:-1},{id:-1}
{id:40077},{id:40054},{id:40054},{id:40049},{id:40078}</t>
  </si>
  <si>
    <t>10-19</t>
  </si>
  <si>
    <t>{role:-1},{state:-60014}
{id:-1},{id:-1},{id:-1},{id:-1},{id:-1}
{id:40077},{id:40048},{id:40078},{id:40054},{id:40048}</t>
  </si>
  <si>
    <t>10-20</t>
  </si>
  <si>
    <t>{role:-1},{state:-60014}
{id:-1},{id:-1},{id:-1},{id:-1},{id:-1}
{id:40077},{id:40078},{id:40049},{id:40078},{id:40054}</t>
  </si>
  <si>
    <t>10-21</t>
  </si>
  <si>
    <t>{role:-1},{state:-60014}
{id:-1},{id:-1},{id:-1},{id:-1},{id:-1}
{id:40077},{id:40078},{id:40078},{id:40078},{id:40078}</t>
  </si>
  <si>
    <t>10-22</t>
  </si>
  <si>
    <t>{role:-1},{state:-60014}
{id:-1},{id:-1},{id:-1},{id:-1},{id:-1}
{id:40078},{id:40078},{id:40078},{id:40078},{id:40049}</t>
  </si>
  <si>
    <t>5,6,12</t>
  </si>
  <si>
    <t>10-23</t>
  </si>
  <si>
    <t>{role:-1},{state:-60014}
{id:-1},{id:-1},{id:-1},{id:-1},{id:-1}
{id:40049},{id:40078},{id:40078},{id:40054},{id:40078}</t>
  </si>
  <si>
    <t>10-24</t>
  </si>
  <si>
    <t>{role:-1},{state:-60014}
{id:-1},{id:-1},{id:-1},{id:-1},{id:-1}
{id:40049},{id:40049},{id:40048},{id:40049},{id:40054}</t>
  </si>
  <si>
    <t>10-25</t>
  </si>
  <si>
    <t>{role:-1},{state:-60014}
{id:-1},{id:-1},{id:-1},{id:-1},{id:-1}
{id:40049},{id:40078},{id:40078},{id:40048},{id:40048}</t>
  </si>
  <si>
    <t>7,12,13</t>
  </si>
  <si>
    <t>10-26</t>
  </si>
  <si>
    <t>{role:-1},{state:-60014}
{id:-1},{id:-1},{id:-1},{id:-1},{id:-1}
{id:40048},{id:40048},{id:40054},{id:40049},{id:40048}</t>
  </si>
  <si>
    <t>10-27</t>
  </si>
  <si>
    <t>{role:-1},{state:-60014}
{id:-1},{id:-1},{id:-1},{id:-1},{id:-1}
{id:40048},{id:40054},{id:40048},{id:40078},{id:40048}</t>
  </si>
  <si>
    <t>3,6,8</t>
  </si>
  <si>
    <t>10-28</t>
  </si>
  <si>
    <t>{role:-1},{state:-60014}
{id:-1},{id:-1},{id:-1},{id:-1},{id:-1}
{id:40078},{id:40048},{id:40048},{id:40048},{id:40078}</t>
  </si>
  <si>
    <t>10-29</t>
  </si>
  <si>
    <t>{role:-1},{state:-60014}
{id:-1},{id:-1},{id:-1},{id:-1},{id:-1}
{id:40077},{id:40078},{id:40048},{id:40078},{id:40078}</t>
  </si>
  <si>
    <t>3,6,13</t>
  </si>
  <si>
    <t>10-30</t>
  </si>
  <si>
    <t>{role:-1},{state:-60014}
{id:-1},{id:-1},{id:-1},{id:-1},{id:-1}
{id:40077},{id:40049},{id:40077},{id:40077},{id:40054}</t>
  </si>
  <si>
    <t>10-31</t>
  </si>
  <si>
    <t>{role:-1},{state:-60014}
{id:-1},{id:-1},{id:-1},{id:-1},{id:-1}
{id:40077},{id:40054},{id:40078},{id:40049},{id:40077}</t>
  </si>
  <si>
    <t>2,10,11</t>
  </si>
  <si>
    <t>1,4,13</t>
  </si>
  <si>
    <t>10-32</t>
  </si>
  <si>
    <t>{role:-1},{state:-60014}
{id:-1},{id:-1},{id:-1},{id:-1},{id:-1}
{id:40077},{id:40049},{id:40078},{id:40049},{id:40078}</t>
  </si>
  <si>
    <t>10-33</t>
  </si>
  <si>
    <t>{role:-1},{state:-60014}
{id:-1},{id:-1},{id:-1},{id:-1},{id:-1}
{id:40077},{id:40049},{id:40077},{id:40077},{id:40048}</t>
  </si>
  <si>
    <t>10-34</t>
  </si>
  <si>
    <t>{role:-1},{state:-60014}
{id:-1},{id:-1},{id:-1},{id:-1},{id:-1}
{id:40077},{id:40049},{id:40048},{id:40078},{id:40049}</t>
  </si>
  <si>
    <t>10-35</t>
  </si>
  <si>
    <t>{role:-1},{state:-60014}
{id:-1},{id:-1},{id:-1},{id:-1},{id:-1}
{id:40077},{id:40049},{id:40078},{id:40078},{id:40048}</t>
  </si>
  <si>
    <t>10-36</t>
  </si>
  <si>
    <t>{role:-1},{state:-60014}
{id:-1},{id:-1},{id:-1},{id:-1},{id:-1}
{id:40078},{id:40048},{id:40077},{id:40077},{id:40077}</t>
  </si>
  <si>
    <t>10-37</t>
  </si>
  <si>
    <t>{role:-1},{state:-60014}
{id:-1},{id:-1},{id:-1},{id:-1},{id:-1}
{id:40054},{id:40049},{id:40049},{id:40078},{id:40049}</t>
  </si>
  <si>
    <t>10-38</t>
  </si>
  <si>
    <t>{role:-1},{state:-60014}
{id:-1},{id:-1},{id:-1},{id:-1},{id:-1}
{id:40048},{id:40054},{id:40077},{id:40049},{id:40049}</t>
  </si>
  <si>
    <t>10-39</t>
  </si>
  <si>
    <t>{role:-1},{state:-60014}
{id:-1},{id:-1},{id:-1},{id:-1},{id:-1}
{id:40048},{id:40077},{id:40077},{id:40054},{id:40077}</t>
  </si>
  <si>
    <t>10-40</t>
  </si>
  <si>
    <t>{role:-1},{state:-60014}
{id:-1},{id:-1},{id:-1},{id:-1},{id:-1}
{id:50011},{id:40048},{id:40054},{id:40077},{id:40078}</t>
  </si>
  <si>
    <t>11-1</t>
  </si>
  <si>
    <t>{role:-1},{state:-60015}
{id:-1},{id:-1},{id:-1},{id:-1},{id:-1}
{id:40080},{id:40080}</t>
  </si>
  <si>
    <t>武士之魂</t>
  </si>
  <si>
    <t>妖氣繚繞</t>
  </si>
  <si>
    <t>11-2</t>
  </si>
  <si>
    <t>{role:-1},{state:-60015}
{id:-1},{id:-1},{id:-1},{id:-1},{id:-1}
{id:40079},{id:40065}</t>
  </si>
  <si>
    <t>11-3</t>
  </si>
  <si>
    <t>{role:-1},{state:-60015}
{id:-1},{id:-1},{id:-1},{id:-1},{id:-1}
{id:40081},{id:40080}</t>
  </si>
  <si>
    <t>11-4</t>
  </si>
  <si>
    <t>{role:-1},{state:-60015}
{id:-1},{id:-1},{id:-1},{id:-1},{id:-1}
{id:40065},{id:40080}</t>
  </si>
  <si>
    <t>11-5</t>
  </si>
  <si>
    <t>11-6</t>
  </si>
  <si>
    <t>{role:-1},{state:-60015}
{id:-1},{id:-1},{id:-1},{id:-1},{id:-1}
{id:40079},{id:40080},{id:40079}</t>
  </si>
  <si>
    <t>11-7</t>
  </si>
  <si>
    <t>{role:-1},{state:-60015}
{id:-1},{id:-1},{id:-1},{id:-1},{id:-1}
{id:40079},{id:40079},{id:40080}</t>
  </si>
  <si>
    <t>11-8</t>
  </si>
  <si>
    <t>{role:-1},{state:-60015}
{id:-1},{id:-1},{id:-1},{id:-1},{id:-1}
{id:40055},{id:40065},{id:40055}</t>
  </si>
  <si>
    <t>11-9</t>
  </si>
  <si>
    <t>{role:-1},{state:-60015}
{id:-1},{id:-1},{id:-1},{id:-1},{id:-1}
{id:40065},{id:40081},{id:40081}</t>
  </si>
  <si>
    <t>4,9,12</t>
  </si>
  <si>
    <t>11-10</t>
  </si>
  <si>
    <t>{role:-1},{state:-60015}
{id:-1},{id:-1},{id:-1},{id:-1},{id:-1}
{id:40079},{id:40055},{id:40081}</t>
  </si>
  <si>
    <t>11-11</t>
  </si>
  <si>
    <t>{role:-1},{state:-60015}
{id:-1},{id:-1},{id:-1},{id:-1},{id:-1}
{id:40079},{id:40055},{id:40079}</t>
  </si>
  <si>
    <t>11-12</t>
  </si>
  <si>
    <t>{role:-1},{state:-60015}
{id:-1},{id:-1},{id:-1},{id:-1},{id:-1}
{id:40081},{id:40080},{id:40065}</t>
  </si>
  <si>
    <t>11-13</t>
  </si>
  <si>
    <t>{role:-1},{state:-60015}
{id:-1},{id:-1},{id:-1},{id:-1},{id:-1}
{id:40081},{id:40065},{id:40081}</t>
  </si>
  <si>
    <t>11-14</t>
  </si>
  <si>
    <t>{role:-1},{state:-60015}
{id:-1},{id:-1},{id:-1},{id:-1},{id:-1}
{id:40079},{id:40081},{id:40081}</t>
  </si>
  <si>
    <t>3,4,11</t>
  </si>
  <si>
    <t>11-15</t>
  </si>
  <si>
    <t>{role:-1},{state:-60015}
{id:-1},{id:-1},{id:-1},{id:-1},{id:-1}
{id:40055},{id:40055},{id:40080}</t>
  </si>
  <si>
    <t>11-16</t>
  </si>
  <si>
    <t>{role:-1},{state:-60015}
{id:-1},{id:-1},{id:-1},{id:-1},{id:-1}
{id:40055},{id:40055},{id:40080},{id:40055}</t>
  </si>
  <si>
    <t>9,12,13</t>
  </si>
  <si>
    <t>11-17</t>
  </si>
  <si>
    <t>{role:-1},{state:-60015}
{id:-1},{id:-1},{id:-1},{id:-1},{id:-1}
{id:40080},{id:40079},{id:40065},{id:40080}</t>
  </si>
  <si>
    <t>11-18</t>
  </si>
  <si>
    <t>{role:-1},{state:-60015}
{id:-1},{id:-1},{id:-1},{id:-1},{id:-1}
{id:40080},{id:40080},{id:40055},{id:40065}</t>
  </si>
  <si>
    <t>11-19</t>
  </si>
  <si>
    <t>{role:-1},{state:-60015}
{id:-1},{id:-1},{id:-1},{id:-1},{id:-1}
{id:40079},{id:40065},{id:40065},{id:40055}</t>
  </si>
  <si>
    <t>11-20</t>
  </si>
  <si>
    <t>{role:-1},{state:-60015}
{id:-1},{id:-1},{id:-1},{id:-1},{id:-1}
{id:40065},{id:40080},{id:40079},{id:40065}</t>
  </si>
  <si>
    <t>11-21</t>
  </si>
  <si>
    <t>{role:-1},{state:-60015}
{id:-1},{id:-1},{id:-1},{id:-1},{id:-1}
{id:40081},{id:40079},{id:40079},{id:40079},{id:40080}</t>
  </si>
  <si>
    <t>8,9,10</t>
  </si>
  <si>
    <t>11-22</t>
  </si>
  <si>
    <t>{role:-1},{state:-60015}
{id:-1},{id:-1},{id:-1},{id:-1},{id:-1}
{id:40065},{id:40079},{id:40055},{id:40080},{id:40065}</t>
  </si>
  <si>
    <t>11-23</t>
  </si>
  <si>
    <t>{role:-1},{state:-60015}
{id:-1},{id:-1},{id:-1},{id:-1},{id:-1}
{id:40079},{id:40081},{id:40055},{id:40081},{id:40055}</t>
  </si>
  <si>
    <t>11-24</t>
  </si>
  <si>
    <t>{role:-1},{state:-60015}
{id:-1},{id:-1},{id:-1},{id:-1},{id:-1}
{id:40055},{id:40065},{id:40055},{id:40081},{id:40079}</t>
  </si>
  <si>
    <t>11-25</t>
  </si>
  <si>
    <t>{role:-1},{state:-60015}
{id:-1},{id:-1},{id:-1},{id:-1},{id:-1}
{id:40080},{id:40080},{id:40080},{id:40079},{id:40080}</t>
  </si>
  <si>
    <t>11-26</t>
  </si>
  <si>
    <t>{role:-1},{state:-60015}
{id:-1},{id:-1},{id:-1},{id:-1},{id:-1}
{id:40080},{id:40055},{id:40079},{id:40081},{id:40081}</t>
  </si>
  <si>
    <t>11-27</t>
  </si>
  <si>
    <t>{role:-1},{state:-60015}
{id:-1},{id:-1},{id:-1},{id:-1},{id:-1}
{id:40081},{id:40081},{id:40065},{id:40080},{id:40081}</t>
  </si>
  <si>
    <t>1,3,11</t>
  </si>
  <si>
    <t>id</t>
  </si>
  <si>
    <t>11-28</t>
  </si>
  <si>
    <t>{role:-1},{state:-60015}
{id:-1},{id:-1},{id:-1},{id:-1},{id:-1}
{id:40065},{id:40055},{id:40065},{id:40065},{id:40080}</t>
  </si>
  <si>
    <t>recipe</t>
  </si>
  <si>
    <t>recipe_rate</t>
  </si>
  <si>
    <t>11-29</t>
  </si>
  <si>
    <t>buff_pasive</t>
  </si>
  <si>
    <t>{role:-1},{state:-60015}
{id:-1},{id:-1},{id:-1},{id:-1},{id:-1}
{id:40055},{id:40065},{id:40055},{id:40079},{id:40065}</t>
  </si>
  <si>
    <t>refine_id</t>
  </si>
  <si>
    <t>1,2,6</t>
  </si>
  <si>
    <t>cost_id</t>
  </si>
  <si>
    <t>build</t>
  </si>
  <si>
    <t>11-30</t>
  </si>
  <si>
    <t>{role:-1},{state:-60015}
{id:-1},{id:-1},{id:-1},{id:-1},{id:-1}
{id:40081},{id:40065},{id:40080},{id:40055},{id:40065}</t>
  </si>
  <si>
    <t>gem</t>
  </si>
  <si>
    <t>11-31</t>
  </si>
  <si>
    <t>{role:-1},{state:-60015}
{id:-1},{id:-1},{id:-1},{id:-1},{id:-1}
{id:40065},{id:40065},{id:40055},{id:40081},{id:40080}</t>
  </si>
  <si>
    <t>11-32</t>
  </si>
  <si>
    <t>{role:-1},{state:-60015}
{id:-1},{id:-1},{id:-1},{id:-1},{id:-1}
{id:40055},{id:40065},{id:40055},{id:40065},{id:40080}</t>
  </si>
  <si>
    <t>11-33</t>
  </si>
  <si>
    <t>{role:-1},{state:-60015}
{id:-1},{id:-1},{id:-1},{id:-1},{id:-1}
{id:40081},{id:40079},{id:40079},{id:40080},{id:40055}</t>
  </si>
  <si>
    <t>11-34</t>
  </si>
  <si>
    <t>{role:-1},{state:-60015}
{id:-1},{id:-1},{id:-1},{id:-1},{id:-1}
{id:40079},{id:40055},{id:40055},{id:40080},{id:40055}</t>
  </si>
  <si>
    <t>11-35</t>
  </si>
  <si>
    <t>{role:-1},{state:-60015}
{id:-1},{id:-1},{id:-1},{id:-1},{id:-1}
{id:40079},{id:40055},{id:40065},{id:40055},{id:40065}</t>
  </si>
  <si>
    <t>4,11,12</t>
  </si>
  <si>
    <t>11-36</t>
  </si>
  <si>
    <t>{role:-1},{state:-60015}
{id:-1},{id:-1},{id:-1},{id:-1},{id:-1}
{id:40079},{id:40079},{id:40081},{id:40079},{id:40080}</t>
  </si>
  <si>
    <t>6,9,12</t>
  </si>
  <si>
    <t>11-37</t>
  </si>
  <si>
    <t>{role:-1},{state:-60015}
{id:-1},{id:-1},{id:-1},{id:-1},{id:-1}
{id:40081},{id:40065},{id:40055},{id:40081},{id:40079}</t>
  </si>
  <si>
    <t>11-38</t>
  </si>
  <si>
    <t>{role:-1},{state:-60015}
{id:-1},{id:-1},{id:-1},{id:-1},{id:-1}
{id:40055},{id:40081},{id:40080},{id:40079},{id:40081}</t>
  </si>
  <si>
    <t>11-39</t>
  </si>
  <si>
    <t>{role:-1},{state:-60015}
{id:-1},{id:-1},{id:-1},{id:-1},{id:-1}
{id:40065},{id:40079},{id:40080},{id:40081},{id:40079}</t>
  </si>
  <si>
    <t>11-40</t>
  </si>
  <si>
    <t>{role:-1},{state:-60015}
{id:-1},{id:-1},{id:-1},{id:-1},{id:-1}
{id:40079},{id:40080},{id:40081},{id:40079},{id:40065}</t>
  </si>
  <si>
    <t>11-41</t>
  </si>
  <si>
    <t>{role:-1},{state:-60015}
{id:-1},{id:-1},{id:-1},{id:-1},{id:-1}
{id:40079},{id:40055},{id:40080},{id:40065},{id:40079}</t>
  </si>
  <si>
    <t>11-42</t>
  </si>
  <si>
    <t>{role:-1},{state:-60015}
{id:-1},{id:-1},{id:-1},{id:-1},{id:-1}
{id:40079},{id:40081},{id:40079},{id:40080},{id:40055}</t>
  </si>
  <si>
    <t>11-43</t>
  </si>
  <si>
    <t>{role:-1},{state:-60015}
{id:-1},{id:-1},{id:-1},{id:-1},{id:-1}
{id:40081},{id:40065},{id:40081},{id:40079},{id:40065}</t>
  </si>
  <si>
    <t>1,7,13</t>
  </si>
  <si>
    <t>11-44</t>
  </si>
  <si>
    <t>{role:-1},{state:-60015}
{id:-1},{id:-1},{id:-1},{id:-1},{id:-1}
{id:40081},{id:40055},{id:40080},{id:40081},{id:40081}</t>
  </si>
  <si>
    <t>11-45</t>
  </si>
  <si>
    <t>{role:-1},{state:-60015}
{id:-1},{id:-1},{id:-1},{id:-1},{id:-1}
{id:40065},{id:40081},{id:40055},{id:40065},{id:40079}</t>
  </si>
  <si>
    <t>11-46</t>
  </si>
  <si>
    <t>{role:-1},{state:-60015}
{id:-1},{id:-1},{id:-1},{id:-1},{id:-1}
{id:40080},{id:40055},{id:40080},{id:40079},{id:40055}</t>
  </si>
  <si>
    <t>11-47</t>
  </si>
  <si>
    <t>{role:-1},{state:-60015}
{id:-1},{id:-1},{id:-1},{id:-1},{id:-1}
{id:40081},{id:40055},{id:40081},{id:40065},{id:40055}</t>
  </si>
  <si>
    <t>1,9,10</t>
  </si>
  <si>
    <t>11-48</t>
  </si>
  <si>
    <t>{role:-1},{state:-60015}
{id:-1},{id:-1},{id:-1},{id:-1},{id:-1}
{id:40055},{id:40081},{id:40080},{id:40081},{id:40065}</t>
  </si>
  <si>
    <t>11-49</t>
  </si>
  <si>
    <t>{role:-1},{state:-60015}
{id:-1},{id:-1},{id:-1},{id:-1},{id:-1}
{id:40079},{id:40081},{id:40079},{id:40079},{id:40065}</t>
  </si>
  <si>
    <t>11-50</t>
  </si>
  <si>
    <t>{role:-1},{state:-60015}
{id:-1},{id:-1},{id:-1},{id:-1},{id:-1}
{id:50012},{id:40055},{id:40081},{id:40079},{id:40080}</t>
  </si>
  <si>
    <t>10,12,13</t>
  </si>
  <si>
    <t>12-1</t>
  </si>
  <si>
    <t>{role:-1},{state:-60016}
{id:-1},{id:-1},{id:-1},{id:-1},{id:-1}
{id:40059},{id:40083}</t>
  </si>
  <si>
    <t>熔岩噴發</t>
  </si>
  <si>
    <t>灼熱風暴</t>
  </si>
  <si>
    <t>12-2</t>
  </si>
  <si>
    <t>{role:-1},{state:-60016}
{id:-1},{id:-1},{id:-1},{id:-1},{id:-1}
{id:40053},{id:40053}</t>
  </si>
  <si>
    <t>12-3</t>
  </si>
  <si>
    <t>{role:-1},{state:-60016}
{id:-1},{id:-1},{id:-1},{id:-1},{id:-1}
{id:40053},{id:40083}</t>
  </si>
  <si>
    <t>12-4</t>
  </si>
  <si>
    <t>12-5</t>
  </si>
  <si>
    <t>12-6</t>
  </si>
  <si>
    <t>{role:-1},{state:-60016}
{id:-1},{id:-1},{id:-1},{id:-1},{id:-1}
{id:40053},{id:40083},{id:40053}</t>
  </si>
  <si>
    <t>12-7</t>
  </si>
  <si>
    <t>{role:-1},{state:-60016}
{id:-1},{id:-1},{id:-1},{id:-1},{id:-1}
{id:40083},{id:40059},{id:40082}</t>
  </si>
  <si>
    <t>12-8</t>
  </si>
  <si>
    <t>{role:-1},{state:-60016}
{id:-1},{id:-1},{id:-1},{id:-1},{id:-1}
{id:40082},{id:40059},{id:40059}</t>
  </si>
  <si>
    <t>2,7,9</t>
  </si>
  <si>
    <t>12-9</t>
  </si>
  <si>
    <t>{role:-1},{state:-60016}
{id:-1},{id:-1},{id:-1},{id:-1},{id:-1}
{id:40059},{id:40059},{id:40058}</t>
  </si>
  <si>
    <t>12-10</t>
  </si>
  <si>
    <t>{role:-1},{state:-60016}
{id:-1},{id:-1},{id:-1},{id:-1},{id:-1}
{id:40059},{id:40058},{id:40083}</t>
  </si>
  <si>
    <t>12-11</t>
  </si>
  <si>
    <t>{role:-1},{state:-60016}
{id:-1},{id:-1},{id:-1},{id:-1},{id:-1}
{id:40058},{id:40083},{id:40083}</t>
  </si>
  <si>
    <t>12-12</t>
  </si>
  <si>
    <t>12-13</t>
  </si>
  <si>
    <t>{role:-1},{state:-60016}
{id:-1},{id:-1},{id:-1},{id:-1},{id:-1}
{id:40059},{id:40059},{id:40082}</t>
  </si>
  <si>
    <t>12-14</t>
  </si>
  <si>
    <t>{role:-1},{state:-60016}
{id:-1},{id:-1},{id:-1},{id:-1},{id:-1}
{id:40053},{id:40059},{id:40059}</t>
  </si>
  <si>
    <t>12-15</t>
  </si>
  <si>
    <t>{role:-1},{state:-60016}
{id:-1},{id:-1},{id:-1},{id:-1},{id:-1}
{id:40059},{id:40083},{id:40058}</t>
  </si>
  <si>
    <t>12-16</t>
  </si>
  <si>
    <t>{role:-1},{state:-60016}
{id:-1},{id:-1},{id:-1},{id:-1},{id:-1}
{id:40082},{id:40053},{id:40053},{id:40059}</t>
  </si>
  <si>
    <t>12-17</t>
  </si>
  <si>
    <t>{role:-1},{state:-60016}
{id:-1},{id:-1},{id:-1},{id:-1},{id:-1}
{id:40082},{id:40058},{id:40082},{id:40053}</t>
  </si>
  <si>
    <t>12-18</t>
  </si>
  <si>
    <t>{role:-1},{state:-60016}
{id:-1},{id:-1},{id:-1},{id:-1},{id:-1}
{id:40053},{id:40053},{id:40053},{id:40058}</t>
  </si>
  <si>
    <t>12-19</t>
  </si>
  <si>
    <t>{role:-1},{state:-60016}
{id:-1},{id:-1},{id:-1},{id:-1},{id:-1}
{id:40053},{id:40059},{id:40053},{id:40083}</t>
  </si>
  <si>
    <t>12-20</t>
  </si>
  <si>
    <t>{role:-1},{state:-60016}
{id:-1},{id:-1},{id:-1},{id:-1},{id:-1}
{id:40059},{id:40053},{id:40083},{id:40053}</t>
  </si>
  <si>
    <t>12-21</t>
  </si>
  <si>
    <t>{role:-1},{state:-60016}
{id:-1},{id:-1},{id:-1},{id:-1},{id:-1}
{id:40058},{id:40058},{id:40058},{id:40082},{id:40059}</t>
  </si>
  <si>
    <t>2,5,12</t>
  </si>
  <si>
    <t>12-22</t>
  </si>
  <si>
    <t>{role:-1},{state:-60016}
{id:-1},{id:-1},{id:-1},{id:-1},{id:-1}
{id:40053},{id:40059},{id:40082},{id:40082},{id:40059}</t>
  </si>
  <si>
    <t>12-23</t>
  </si>
  <si>
    <t>{role:-1},{state:-60016}
{id:-1},{id:-1},{id:-1},{id:-1},{id:-1}
{id:40082},{id:40053},{id:40053},{id:40083},{id:40082}</t>
  </si>
  <si>
    <t>12-24</t>
  </si>
  <si>
    <t>{role:-1},{state:-60016}
{id:-1},{id:-1},{id:-1},{id:-1},{id:-1}
{id:40083},{id:40083},{id:40082},{id:40082},{id:40083}</t>
  </si>
  <si>
    <t>12-25</t>
  </si>
  <si>
    <t>{role:-1},{state:-60016}
{id:-1},{id:-1},{id:-1},{id:-1},{id:-1}
{id:40059},{id:40083},{id:40058},{id:40059},{id:40083}</t>
  </si>
  <si>
    <t>12-26</t>
  </si>
  <si>
    <t>{role:-1},{state:-60016}
{id:-1},{id:-1},{id:-1},{id:-1},{id:-1}
{id:40053},{id:40059},{id:40053},{id:40083},{id:40083}</t>
  </si>
  <si>
    <t>12-27</t>
  </si>
  <si>
    <t>{role:-1},{state:-60016}
{id:-1},{id:-1},{id:-1},{id:-1},{id:-1}
{id:40059},{id:40059},{id:40058},{id:40083},{id:40053}</t>
  </si>
  <si>
    <t>12-28</t>
  </si>
  <si>
    <t>{role:-1},{state:-60016}
{id:-1},{id:-1},{id:-1},{id:-1},{id:-1}
{id:40082},{id:40083},{id:40059},{id:40058},{id:40082}</t>
  </si>
  <si>
    <t>12-29</t>
  </si>
  <si>
    <t>{role:-1},{state:-60016}
{id:-1},{id:-1},{id:-1},{id:-1},{id:-1}
{id:40059},{id:40053},{id:40059},{id:40083},{id:40058}</t>
  </si>
  <si>
    <t>12-30</t>
  </si>
  <si>
    <t>{role:-1},{state:-60016}
{id:-1},{id:-1},{id:-1},{id:-1},{id:-1}
{id:40053},{id:40083},{id:40082},{id:40083},{id:40083}</t>
  </si>
  <si>
    <t>12-31</t>
  </si>
  <si>
    <t>{role:-1},{state:-60016}
{id:-1},{id:-1},{id:-1},{id:-1},{id:-1}
{id:40053},{id:40059},{id:40058},{id:40082},{id:40058}</t>
  </si>
  <si>
    <t>12-32</t>
  </si>
  <si>
    <t>{role:-1},{state:-60016}
{id:-1},{id:-1},{id:-1},{id:-1},{id:-1}
{id:40059},{id:40083},{id:40053},{id:40083},{id:40059}</t>
  </si>
  <si>
    <t>12-33</t>
  </si>
  <si>
    <t>{role:-1},{state:-60016}
{id:-1},{id:-1},{id:-1},{id:-1},{id:-1}
{id:40083},{id:40082},{id:40059},{id:40082},{id:40053}</t>
  </si>
  <si>
    <t>12-34</t>
  </si>
  <si>
    <t>{role:-1},{state:-60016}
{id:-1},{id:-1},{id:-1},{id:-1},{id:-1}
{id:40059},{id:40083},{id:40083},{id:40083},{id:40083}</t>
  </si>
  <si>
    <t>12-35</t>
  </si>
  <si>
    <t>{role:-1},{state:-60016}
{id:-1},{id:-1},{id:-1},{id:-1},{id:-1}
{id:40059},{id:40058},{id:40059},{id:40058},{id:40059}</t>
  </si>
  <si>
    <t>12-36</t>
  </si>
  <si>
    <t>{role:-1},{state:-60016}
{id:-1},{id:-1},{id:-1},{id:-1},{id:-1}
{id:40083},{id:40083},{id:40083},{id:40053},{id:40059}</t>
  </si>
  <si>
    <t>1,4,8</t>
  </si>
  <si>
    <t>12-37</t>
  </si>
  <si>
    <t>{role:-1},{state:-60016}
{id:-1},{id:-1},{id:-1},{id:-1},{id:-1}
{id:40082},{id:40058},{id:40083},{id:40083},{id:40059}</t>
  </si>
  <si>
    <t>12-38</t>
  </si>
  <si>
    <t>{role:-1},{state:-60016}
{id:-1},{id:-1},{id:-1},{id:-1},{id:-1}
{id:40058},{id:40058},{id:40059},{id:40059},{id:40082}</t>
  </si>
  <si>
    <t>3,6,12</t>
  </si>
  <si>
    <t>12-39</t>
  </si>
  <si>
    <t>{role:-1},{state:-60016}
{id:-1},{id:-1},{id:-1},{id:-1},{id:-1}
{id:40083},{id:40082},{id:40083},{id:40058},{id:40059}</t>
  </si>
  <si>
    <t>12-40</t>
  </si>
  <si>
    <t>{role:-1},{state:-60016}
{id:-1},{id:-1},{id:-1},{id:-1},{id:-1}
{id:40082},{id:40083},{id:40053},{id:40058},{id:40082}</t>
  </si>
  <si>
    <t>12-41</t>
  </si>
  <si>
    <t>{role:-1},{state:-60016}
{id:-1},{id:-1},{id:-1},{id:-1},{id:-1}
{id:40082},{id:40082},{id:40053},{id:40083},{id:40053}</t>
  </si>
  <si>
    <t>12-42</t>
  </si>
  <si>
    <t>{role:-1},{state:-60016}
{id:-1},{id:-1},{id:-1},{id:-1},{id:-1}
{id:40058},{id:40083},{id:40059},{id:40058},{id:40058}</t>
  </si>
  <si>
    <t>12-43</t>
  </si>
  <si>
    <t>{role:-1},{state:-60016}
{id:-1},{id:-1},{id:-1},{id:-1},{id:-1}
{id:40058},{id:40058},{id:40053},{id:40083},{id:40059}</t>
  </si>
  <si>
    <t>5,9,13</t>
  </si>
  <si>
    <t>12-44</t>
  </si>
  <si>
    <t>{role:-1},{state:-60016}
{id:-1},{id:-1},{id:-1},{id:-1},{id:-1}
{id:40083},{id:40059},{id:40059},{id:40059},{id:40059}</t>
  </si>
  <si>
    <t>2,7,10</t>
  </si>
  <si>
    <t>12-45</t>
  </si>
  <si>
    <t>{role:-1},{state:-60016}
{id:-1},{id:-1},{id:-1},{id:-1},{id:-1}
{id:40053},{id:40083},{id:40058},{id:40053},{id:40058}</t>
  </si>
  <si>
    <t>6,8,13</t>
  </si>
  <si>
    <t>5,7,8</t>
  </si>
  <si>
    <t>12-46</t>
  </si>
  <si>
    <t>{role:-1},{state:-60016}
{id:-1},{id:-1},{id:-1},{id:-1},{id:-1}
{id:40082},{id:40059},{id:40058},{id:40053},{id:40059}</t>
  </si>
  <si>
    <t>12-47</t>
  </si>
  <si>
    <t>{role:-1},{state:-60016}
{id:-1},{id:-1},{id:-1},{id:-1},{id:-1}
{id:40058},{id:40053},{id:40059},{id:40058},{id:40058}</t>
  </si>
  <si>
    <t>12-48</t>
  </si>
  <si>
    <t>{role:-1},{state:-60016}
{id:-1},{id:-1},{id:-1},{id:-1},{id:-1}
{id:40082},{id:40083},{id:40053},{id:40059},{id:40053}</t>
  </si>
  <si>
    <t>12-49</t>
  </si>
  <si>
    <t>{role:-1},{state:-60016}
{id:-1},{id:-1},{id:-1},{id:-1},{id:-1}
{id:40053},{id:40082},{id:40058},{id:40053},{id:40053}</t>
  </si>
  <si>
    <t>12-50</t>
  </si>
  <si>
    <t>{role:-1},{state:-60016}
{id:-1},{id:-1},{id:-1},{id:-1},{id:-1}
{id:50013},{id:40083},{id:40059},{id:40082},{id:40058}</t>
  </si>
  <si>
    <t>13-1</t>
  </si>
  <si>
    <t>{role:-1},{state:-60017}
{id:-1},{id:-1},{id:-1},{id:-1},{id:-1}
{id:40064},{id:40062}</t>
  </si>
  <si>
    <t>暴風雪</t>
  </si>
  <si>
    <t>寒氣侵襲</t>
  </si>
  <si>
    <t>13-2</t>
  </si>
  <si>
    <t>{role:-1},{state:-60017}
{id:-1},{id:-1},{id:-1},{id:-1},{id:-1}
{id:40084},{id:40064}</t>
  </si>
  <si>
    <t>13-3</t>
  </si>
  <si>
    <t>{role:-1},{state:-60017}
{id:-1},{id:-1},{id:-1},{id:-1},{id:-1}
{id:40062},{id:40061}</t>
  </si>
  <si>
    <t>13-4</t>
  </si>
  <si>
    <t>{role:-1},{state:-60017}
{id:-1},{id:-1},{id:-1},{id:-1},{id:-1}
{id:40084},{id:40061}</t>
  </si>
  <si>
    <t>13-5</t>
  </si>
  <si>
    <t>{role:-1},{state:-60017}
{id:-1},{id:-1},{id:-1},{id:-1},{id:-1}
{id:40084},{id:40084}</t>
  </si>
  <si>
    <t>13-6</t>
  </si>
  <si>
    <t>{role:-1},{state:-60017}
{id:-1},{id:-1},{id:-1},{id:-1},{id:-1}
{id:40064},{id:40051},{id:40062}</t>
  </si>
  <si>
    <t>13-7</t>
  </si>
  <si>
    <t>{role:-1},{state:-60017}
{id:-1},{id:-1},{id:-1},{id:-1},{id:-1}
{id:40064},{id:40084},{id:40051}</t>
  </si>
  <si>
    <t>13-8</t>
  </si>
  <si>
    <t>{role:-1},{state:-60017}
{id:-1},{id:-1},{id:-1},{id:-1},{id:-1}
{id:40062},{id:40051},{id:40084}</t>
  </si>
  <si>
    <t>13-9</t>
  </si>
  <si>
    <t>13-10</t>
  </si>
  <si>
    <t>{role:-1},{state:-60017}
{id:-1},{id:-1},{id:-1},{id:-1},{id:-1}
{id:40084},{id:40061},{id:40051}</t>
  </si>
  <si>
    <t>13-11</t>
  </si>
  <si>
    <t>{role:-1},{state:-60017}
{id:-1},{id:-1},{id:-1},{id:-1},{id:-1}
{id:40051},{id:40084},{id:40062}</t>
  </si>
  <si>
    <t>13-12</t>
  </si>
  <si>
    <t>{role:-1},{state:-60017}
{id:-1},{id:-1},{id:-1},{id:-1},{id:-1}
{id:40062},{id:40061},{id:40051}</t>
  </si>
  <si>
    <t>13-13</t>
  </si>
  <si>
    <t>{role:-1},{state:-60017}
{id:-1},{id:-1},{id:-1},{id:-1},{id:-1}
{id:40084},{id:40084},{id:40051}</t>
  </si>
  <si>
    <t>13-14</t>
  </si>
  <si>
    <t>{role:-1},{state:-60017}
{id:-1},{id:-1},{id:-1},{id:-1},{id:-1}
{id:40062},{id:40062},{id:40084}</t>
  </si>
  <si>
    <t>13-15</t>
  </si>
  <si>
    <t>{role:-1},{state:-60017}
{id:-1},{id:-1},{id:-1},{id:-1},{id:-1}
{id:40084},{id:40061},{id:40064}</t>
  </si>
  <si>
    <t>3,9,11</t>
  </si>
  <si>
    <t>6,9,13</t>
  </si>
  <si>
    <t>13-16</t>
  </si>
  <si>
    <t>{role:-1},{state:-60017}
{id:-1},{id:-1},{id:-1},{id:-1},{id:-1}
{id:40084},{id:40062},{id:40064},{id:40062}</t>
  </si>
  <si>
    <t>13-17</t>
  </si>
  <si>
    <t>{role:-1},{state:-60017}
{id:-1},{id:-1},{id:-1},{id:-1},{id:-1}
{id:40062},{id:40064},{id:40061},{id:40084}</t>
  </si>
  <si>
    <t>13-18</t>
  </si>
  <si>
    <t>{role:-1},{state:-60017}
{id:-1},{id:-1},{id:-1},{id:-1},{id:-1}
{id:40061},{id:40084},{id:40061},{id:40084}</t>
  </si>
  <si>
    <t>13-19</t>
  </si>
  <si>
    <t>{role:-1},{state:-60017}
{id:-1},{id:-1},{id:-1},{id:-1},{id:-1}
{id:40064},{id:40064},{id:40064},{id:40061}</t>
  </si>
  <si>
    <t>13-20</t>
  </si>
  <si>
    <t>{role:-1},{state:-60017}
{id:-1},{id:-1},{id:-1},{id:-1},{id:-1}
{id:40062},{id:40062},{id:40051},{id:40084}</t>
  </si>
  <si>
    <t>3,9,12</t>
  </si>
  <si>
    <t>13-21</t>
  </si>
  <si>
    <t>{role:-1},{state:-60017}
{id:-1},{id:-1},{id:-1},{id:-1},{id:-1}
{id:40064},{id:40064},{id:40061},{id:40064},{id:40084}</t>
  </si>
  <si>
    <t>8,10,12</t>
  </si>
  <si>
    <t>13-22</t>
  </si>
  <si>
    <t>{role:-1},{state:-60017}
{id:-1},{id:-1},{id:-1},{id:-1},{id:-1}
{id:40061},{id:40051},{id:40084},{id:40051},{id:40064}</t>
  </si>
  <si>
    <t>13-23</t>
  </si>
  <si>
    <t>{role:-1},{state:-60017}
{id:-1},{id:-1},{id:-1},{id:-1},{id:-1}
{id:40064},{id:40061},{id:40064},{id:40064},{id:40061}</t>
  </si>
  <si>
    <t>4,5,10</t>
  </si>
  <si>
    <t>13-24</t>
  </si>
  <si>
    <t>{role:-1},{state:-60017}
{id:-1},{id:-1},{id:-1},{id:-1},{id:-1}
{id:40051},{id:40064},{id:40064},{id:40064},{id:40064}</t>
  </si>
  <si>
    <t>2,5,7</t>
  </si>
  <si>
    <t>13-25</t>
  </si>
  <si>
    <t>{role:-1},{state:-60017}
{id:-1},{id:-1},{id:-1},{id:-1},{id:-1}
{id:40051},{id:40061},{id:40061},{id:40061},{id:40064}</t>
  </si>
  <si>
    <t>13-26</t>
  </si>
  <si>
    <t>{role:-1},{state:-60017}
{id:-1},{id:-1},{id:-1},{id:-1},{id:-1}
{id:40051},{id:40084},{id:40061},{id:40051},{id:40064}</t>
  </si>
  <si>
    <t>13-27</t>
  </si>
  <si>
    <t>{role:-1},{state:-60017}
{id:-1},{id:-1},{id:-1},{id:-1},{id:-1}
{id:40061},{id:40051},{id:40051},{id:40051},{id:40064}</t>
  </si>
  <si>
    <t>13-28</t>
  </si>
  <si>
    <t>{role:-1},{state:-60017}
{id:-1},{id:-1},{id:-1},{id:-1},{id:-1}
{id:40084},{id:40084},{id:40051},{id:40064},{id:40084}</t>
  </si>
  <si>
    <t>13-29</t>
  </si>
  <si>
    <t>{role:-1},{state:-60017}
{id:-1},{id:-1},{id:-1},{id:-1},{id:-1}
{id:40062},{id:40062},{id:40084},{id:40084},{id:40062}</t>
  </si>
  <si>
    <t>13-30</t>
  </si>
  <si>
    <t>{role:-1},{state:-60017}
{id:-1},{id:-1},{id:-1},{id:-1},{id:-1}
{id:40062},{id:40084},{id:40062},{id:40062},{id:40061}</t>
  </si>
  <si>
    <t>3,7,10</t>
  </si>
  <si>
    <t>13-31</t>
  </si>
  <si>
    <t>{role:-1},{state:-60017}
{id:-1},{id:-1},{id:-1},{id:-1},{id:-1}
{id:40061},{id:40084},{id:40061},{id:40064},{id:40051}</t>
  </si>
  <si>
    <t>13-32</t>
  </si>
  <si>
    <t>{role:-1},{state:-60017}
{id:-1},{id:-1},{id:-1},{id:-1},{id:-1}
{id:40061},{id:40061},{id:40062},{id:40061},{id:40061}</t>
  </si>
  <si>
    <t>13-33</t>
  </si>
  <si>
    <t>{role:-1},{state:-60017}
{id:-1},{id:-1},{id:-1},{id:-1},{id:-1}
{id:40051},{id:40084},{id:40064},{id:40064},{id:40051}</t>
  </si>
  <si>
    <t>13-34</t>
  </si>
  <si>
    <t>{role:-1},{state:-60017}
{id:-1},{id:-1},{id:-1},{id:-1},{id:-1}
{id:40064},{id:40064},{id:40062},{id:40062},{id:40084}</t>
  </si>
  <si>
    <t>13-35</t>
  </si>
  <si>
    <t>{role:-1},{state:-60017}
{id:-1},{id:-1},{id:-1},{id:-1},{id:-1}
{id:40061},{id:40051},{id:40064},{id:40051},{id:40064}</t>
  </si>
  <si>
    <t>13-36</t>
  </si>
  <si>
    <t>{role:-1},{state:-60017}
{id:-1},{id:-1},{id:-1},{id:-1},{id:-1}
{id:40064},{id:40064},{id:40084},{id:40061},{id:40061}</t>
  </si>
  <si>
    <t>13-37</t>
  </si>
  <si>
    <t>{role:-1},{state:-60017}
{id:-1},{id:-1},{id:-1},{id:-1},{id:-1}
{id:40051},{id:40064},{id:40061},{id:40061},{id:40084}</t>
  </si>
  <si>
    <t>13-38</t>
  </si>
  <si>
    <t>{role:-1},{state:-60017}
{id:-1},{id:-1},{id:-1},{id:-1},{id:-1}
{id:40064},{id:40051},{id:40061},{id:40064},{id:40064}</t>
  </si>
  <si>
    <t>13-39</t>
  </si>
  <si>
    <t>{role:-1},{state:-60017}
{id:-1},{id:-1},{id:-1},{id:-1},{id:-1}
{id:40062},{id:40051},{id:40064},{id:40064},{id:40061}</t>
  </si>
  <si>
    <t>4,6,10</t>
  </si>
  <si>
    <t>13-40</t>
  </si>
  <si>
    <t>{role:-1},{state:-60017}
{id:-1},{id:-1},{id:-1},{id:-1},{id:-1}
{id:40084},{id:40062},{id:40051},{id:40064},{id:40061}</t>
  </si>
  <si>
    <t>13-41</t>
  </si>
  <si>
    <t>{role:-1},{state:-60017}
{id:-1},{id:-1},{id:-1},{id:-1},{id:-1}
{id:40062},{id:40084},{id:40051},{id:40062},{id:40064}</t>
  </si>
  <si>
    <t>13-42</t>
  </si>
  <si>
    <t>{role:-1},{state:-60017}
{id:-1},{id:-1},{id:-1},{id:-1},{id:-1}
{id:40062},{id:40051},{id:40062},{id:40061},{id:40064}</t>
  </si>
  <si>
    <t>13-43</t>
  </si>
  <si>
    <t>{role:-1},{state:-60017}
{id:-1},{id:-1},{id:-1},{id:-1},{id:-1}
{id:40084},{id:40064},{id:40061},{id:40064},{id:40084}</t>
  </si>
  <si>
    <t>13-44</t>
  </si>
  <si>
    <t>{role:-1},{state:-60017}
{id:-1},{id:-1},{id:-1},{id:-1},{id:-1}
{id:40084},{id:40064},{id:40051},{id:40084},{id:40064}</t>
  </si>
  <si>
    <t>13-45</t>
  </si>
  <si>
    <t>{role:-1},{state:-60017}
{id:-1},{id:-1},{id:-1},{id:-1},{id:-1}
{id:40061},{id:40064},{id:40062},{id:40084},{id:40051}</t>
  </si>
  <si>
    <t>13-46</t>
  </si>
  <si>
    <t>{role:-1},{state:-60017}
{id:-1},{id:-1},{id:-1},{id:-1},{id:-1}
{id:40051},{id:40051},{id:40084},{id:40051},{id:40084}</t>
  </si>
  <si>
    <t>13-47</t>
  </si>
  <si>
    <t>{role:-1},{state:-60017}
{id:-1},{id:-1},{id:-1},{id:-1},{id:-1}
{id:40061},{id:40051},{id:40051},{id:40062},{id:40061}</t>
  </si>
  <si>
    <t>13-48</t>
  </si>
  <si>
    <t>{role:-1},{state:-60017}
{id:-1},{id:-1},{id:-1},{id:-1},{id:-1}
{id:40062},{id:40084},{id:40061},{id:40084},{id:40084}</t>
  </si>
  <si>
    <t>13-49</t>
  </si>
  <si>
    <t>{role:-1},{state:-60017}
{id:-1},{id:-1},{id:-1},{id:-1},{id:-1}
{id:40051},{id:40062},{id:40061},{id:40061},{id:40051}</t>
  </si>
  <si>
    <t>13-50</t>
  </si>
  <si>
    <t>{role:-1},{state:-60017}
{id:-1},{id:-1},{id:-1},{id:-1},{id:-1}
{id:50014},{id:40051},{id:40084},{id:40061},{id:40064}</t>
  </si>
  <si>
    <t>6,8,11</t>
  </si>
  <si>
    <t>14-1</t>
  </si>
  <si>
    <t>{role:-1},{state:-60018}
{id:-1},{id:-1},{id:-1},{id:-1},{id:-1}
{id:40060},{id:40056}</t>
  </si>
  <si>
    <t>亡靈低語</t>
  </si>
  <si>
    <t>黑暗籠罩</t>
  </si>
  <si>
    <t>14-2</t>
  </si>
  <si>
    <t>{role:-1},{state:-60018}
{id:-1},{id:-1},{id:-1},{id:-1},{id:-1}
{id:40060},{id:40085}</t>
  </si>
  <si>
    <t>7,8,10</t>
  </si>
  <si>
    <t>14-3</t>
  </si>
  <si>
    <t>{role:-1},{state:-60018}
{id:-1},{id:-1},{id:-1},{id:-1},{id:-1}
{id:40066},{id:40066}</t>
  </si>
  <si>
    <t>14-4</t>
  </si>
  <si>
    <t>{role:-1},{state:-60018}
{id:-1},{id:-1},{id:-1},{id:-1},{id:-1}
{id:40067},{id:40085}</t>
  </si>
  <si>
    <t>group_id</t>
  </si>
  <si>
    <t>14-5</t>
  </si>
  <si>
    <t>{role:-1},{state:-60018}
{id:-1},{id:-1},{id:-1},{id:-1},{id:-1}
{id:40060},{id:40066}</t>
  </si>
  <si>
    <t>14-6</t>
  </si>
  <si>
    <t>{role:-1},{state:-60018}
{id:-1},{id:-1},{id:-1},{id:-1},{id:-1}
{id:40056},{id:40085},{id:40085}</t>
  </si>
  <si>
    <t>14-7</t>
  </si>
  <si>
    <t>{role:-1},{state:-60018}
{id:-1},{id:-1},{id:-1},{id:-1},{id:-1}
{id:40066},{id:40060},{id:40056}</t>
  </si>
  <si>
    <t>3,10</t>
  </si>
  <si>
    <t>14-8</t>
  </si>
  <si>
    <t>{role:-1},{state:-60018}
{id:-1},{id:-1},{id:-1},{id:-1},{id:-1}
{id:40056},{id:40060},{id:40067}</t>
  </si>
  <si>
    <t>value_offset</t>
  </si>
  <si>
    <t>14-9</t>
  </si>
  <si>
    <t>{role:-1},{state:-60018}
{id:-1},{id:-1},{id:-1},{id:-1},{id:-1}
{id:40056},{id:40066},{id:40060}</t>
  </si>
  <si>
    <t>2,4,6</t>
  </si>
  <si>
    <t>14-10</t>
  </si>
  <si>
    <t>14-11</t>
  </si>
  <si>
    <t>{role:-1},{state:-60018}
{id:-1},{id:-1},{id:-1},{id:-1},{id:-1}
{id:40066},{id:40085},{id:40066}</t>
  </si>
  <si>
    <t>14-12</t>
  </si>
  <si>
    <t>{role:-1},{state:-60018}
{id:-1},{id:-1},{id:-1},{id:-1},{id:-1}
{id:40066},{id:40067},{id:40056}</t>
  </si>
  <si>
    <t>羽扇</t>
  </si>
  <si>
    <t>14-13</t>
  </si>
  <si>
    <t>{role:-1},{state:-60018}
{id:-1},{id:-1},{id:-1},{id:-1},{id:-1}
{id:40060},{id:40085},{id:40066}</t>
  </si>
  <si>
    <t>14-14</t>
  </si>
  <si>
    <t>{role:-1},{state:-60018}
{id:-1},{id:-1},{id:-1},{id:-1},{id:-1}
{id:40056},{id:40085},{id:40056}</t>
  </si>
  <si>
    <t>3,10,11</t>
  </si>
  <si>
    <t>14-15</t>
  </si>
  <si>
    <t>{role:-1},{state:-60018}
{id:-1},{id:-1},{id:-1},{id:-1},{id:-1}
{id:40066},{id:40067},{id:40067}</t>
  </si>
  <si>
    <t>head</t>
  </si>
  <si>
    <t>14-16</t>
  </si>
  <si>
    <t>{role:-1},{state:-60018}
{id:-1},{id:-1},{id:-1},{id:-1},{id:-1}
{id:40067},{id:40066},{id:40056},{id:40067}</t>
  </si>
  <si>
    <t>armor</t>
  </si>
  <si>
    <t>絲質布帽</t>
  </si>
  <si>
    <t>14-17</t>
  </si>
  <si>
    <t>{role:-1},{state:-60018}
{id:-1},{id:-1},{id:-1},{id:-1},{id:-1}
{id:40056},{id:40085},{id:40085},{id:40060}</t>
  </si>
  <si>
    <t>2,4,11</t>
  </si>
  <si>
    <t>shoe</t>
  </si>
  <si>
    <t>絲質長靴</t>
  </si>
  <si>
    <t>14-18</t>
  </si>
  <si>
    <t>{role:-1},{state:-60018}
{id:-1},{id:-1},{id:-1},{id:-1},{id:-1}
{id:40056},{id:40060},{id:40085},{id:40085}</t>
  </si>
  <si>
    <t>id_amount</t>
  </si>
  <si>
    <t>14-19</t>
  </si>
  <si>
    <t>{role:-1},{state:-60018}
{id:-1},{id:-1},{id:-1},{id:-1},{id:-1}
{id:40067},{id:40067},{id:40067},{id:40056}</t>
  </si>
  <si>
    <t>cloak</t>
  </si>
  <si>
    <t>絲質披風</t>
  </si>
  <si>
    <t>14-20</t>
  </si>
  <si>
    <t>{role:-1},{state:-60018}
{id:-1},{id:-1},{id:-1},{id:-1},{id:-1}
{id:40056},{id:40085},{id:40056},{id:40060}</t>
  </si>
  <si>
    <t>Pants</t>
  </si>
  <si>
    <t>絲質褲</t>
  </si>
  <si>
    <t>14-21</t>
  </si>
  <si>
    <t>{role:-1},{state:-60018}
{id:-1},{id:-1},{id:-1},{id:-1},{id:-1}
{id:40085},{id:40056},{id:40085},{id:40060},{id:40060}</t>
  </si>
  <si>
    <t>14-22</t>
  </si>
  <si>
    <t>{role:-1},{state:-60018}
{id:-1},{id:-1},{id:-1},{id:-1},{id:-1}
{id:40085},{id:40066},{id:40067},{id:40060},{id:40060}</t>
  </si>
  <si>
    <t>流光扇</t>
  </si>
  <si>
    <t>14-23</t>
  </si>
  <si>
    <t>{role:-1},{state:-60018}
{id:-1},{id:-1},{id:-1},{id:-1},{id:-1}
{id:40067},{id:40066},{id:40067},{id:40060},{id:40066}</t>
  </si>
  <si>
    <t>14-24</t>
  </si>
  <si>
    <t>{role:-1},{state:-60018}
{id:-1},{id:-1},{id:-1},{id:-1},{id:-1}
{id:40066},{id:40060},{id:40056},{id:40066},{id:40056}</t>
  </si>
  <si>
    <t>14-25</t>
  </si>
  <si>
    <t>{role:-1},{state:-60018}
{id:-1},{id:-1},{id:-1},{id:-1},{id:-1}
{id:40066},{id:40056},{id:40066},{id:40066},{id:40060}</t>
  </si>
  <si>
    <t>5,12,13</t>
  </si>
  <si>
    <t>琉光布帽</t>
  </si>
  <si>
    <t>14-26</t>
  </si>
  <si>
    <t>{role:-1},{state:-60018}
{id:-1},{id:-1},{id:-1},{id:-1},{id:-1}
{id:40067},{id:40066},{id:40056},{id:40067},{id:40067}</t>
  </si>
  <si>
    <t>14-27</t>
  </si>
  <si>
    <t>{role:-1},{state:-60018}
{id:-1},{id:-1},{id:-1},{id:-1},{id:-1}
{id:40056},{id:40056},{id:40056},{id:40056},{id:40060}</t>
  </si>
  <si>
    <t>14-28</t>
  </si>
  <si>
    <t>{role:-1},{state:-60018}
{id:-1},{id:-1},{id:-1},{id:-1},{id:-1}
{id:40066},{id:40056},{id:40066},{id:40056},{id:40060}</t>
  </si>
  <si>
    <t>7,11,13</t>
  </si>
  <si>
    <t>14-29</t>
  </si>
  <si>
    <t>{role:-1},{state:-60018}
{id:-1},{id:-1},{id:-1},{id:-1},{id:-1}
{id:40060},{id:40056},{id:40056},{id:40056},{id:40067}</t>
  </si>
  <si>
    <t>14-30</t>
  </si>
  <si>
    <t>{role:-1},{state:-60018}
{id:-1},{id:-1},{id:-1},{id:-1},{id:-1}
{id:40056},{id:40056},{id:40056},{id:40085},{id:40060}</t>
  </si>
  <si>
    <t>琉光布衣</t>
  </si>
  <si>
    <t>14-31</t>
  </si>
  <si>
    <t>{role:-1},{state:-60018}
{id:-1},{id:-1},{id:-1},{id:-1},{id:-1}
{id:40066},{id:40085},{id:40066},{id:40066},{id:40085}</t>
  </si>
  <si>
    <t>1,6,9</t>
  </si>
  <si>
    <t>14-32</t>
  </si>
  <si>
    <t>{role:-1},{state:-60018}
{id:-1},{id:-1},{id:-1},{id:-1},{id:-1}
{id:40085},{id:40085},{id:40067},{id:40085},{id:40056}</t>
  </si>
  <si>
    <t>14-33</t>
  </si>
  <si>
    <t>{role:-1},{state:-60018}
{id:-1},{id:-1},{id:-1},{id:-1},{id:-1}
{id:40066},{id:40067},{id:40085},{id:40060},{id:40067}</t>
  </si>
  <si>
    <t>琉光長靴</t>
  </si>
  <si>
    <t>14-34</t>
  </si>
  <si>
    <t>{role:-1},{state:-60018}
{id:-1},{id:-1},{id:-1},{id:-1},{id:-1}
{id:40060},{id:40085},{id:40085},{id:40067},{id:40066}</t>
  </si>
  <si>
    <t>14-35</t>
  </si>
  <si>
    <t>{role:-1},{state:-60018}
{id:-1},{id:-1},{id:-1},{id:-1},{id:-1}
{id:40056},{id:40067},{id:40085},{id:40085},{id:40060}</t>
  </si>
  <si>
    <t>14-36</t>
  </si>
  <si>
    <t>{role:-1},{state:-60018}
{id:-1},{id:-1},{id:-1},{id:-1},{id:-1}
{id:40066},{id:40066},{id:40060},{id:40085},{id:40066}</t>
  </si>
  <si>
    <t>琉光長批</t>
  </si>
  <si>
    <t>14-37</t>
  </si>
  <si>
    <t>{role:-1},{state:-60018}
{id:-1},{id:-1},{id:-1},{id:-1},{id:-1}
{id:40085},{id:40060},{id:40067},{id:40067},{id:40067}</t>
  </si>
  <si>
    <t>5,7,9</t>
  </si>
  <si>
    <t>14-38</t>
  </si>
  <si>
    <t>{role:-1},{state:-60018}
{id:-1},{id:-1},{id:-1},{id:-1},{id:-1}
{id:40060},{id:40060},{id:40067},{id:40056},{id:40085}</t>
  </si>
  <si>
    <t>名稱</t>
  </si>
  <si>
    <t>usage</t>
  </si>
  <si>
    <t>14-39</t>
  </si>
  <si>
    <t>{role:-1},{state:-60018}
{id:-1},{id:-1},{id:-1},{id:-1},{id:-1}
{id:40060},{id:40060},{id:40066},{id:40056},{id:40067}</t>
  </si>
  <si>
    <t>琉光褲</t>
  </si>
  <si>
    <t>天賦點數</t>
  </si>
  <si>
    <t>魔物經驗</t>
  </si>
  <si>
    <t>14-40</t>
  </si>
  <si>
    <t>屬性點數</t>
  </si>
  <si>
    <t>{role:-1},{state:-60018}
{id:-1},{id:-1},{id:-1},{id:-1},{id:-1}
{id:40067},{id:40066},{id:40067},{id:40056},{id:40066}</t>
  </si>
  <si>
    <t>金幣</t>
  </si>
  <si>
    <t>鑽石</t>
  </si>
  <si>
    <t>寶石強化石</t>
  </si>
  <si>
    <t>裝備強化石</t>
  </si>
  <si>
    <t>14-41</t>
  </si>
  <si>
    <t>{role:-1},{state:-60018}
{id:-1},{id:-1},{id:-1},{id:-1},{id:-1}
{id:40085},{id:40060},{id:40060},{id:40067},{id:40056}</t>
  </si>
  <si>
    <t>裝備洗鍊石</t>
  </si>
  <si>
    <t>彩石強化石</t>
  </si>
  <si>
    <t>暴晶強化石</t>
  </si>
  <si>
    <t>無限地城之鑰</t>
  </si>
  <si>
    <t>14-42</t>
  </si>
  <si>
    <t>{role:-1},{state:-60018}
{id:-1},{id:-1},{id:-1},{id:-1},{id:-1}
{id:40060},{id:40085},{id:40085},{id:40056},{id:40067}</t>
  </si>
  <si>
    <t>神格試煉卷</t>
  </si>
  <si>
    <t>翠影流雲短劍</t>
  </si>
  <si>
    <t>暗黑契約卷</t>
  </si>
  <si>
    <t>破碎的轉職推薦書</t>
  </si>
  <si>
    <t>破碎的皇宮推薦信</t>
  </si>
  <si>
    <t>14-43</t>
  </si>
  <si>
    <t>魔石碎片</t>
  </si>
  <si>
    <t>{role:-1},{state:-60018}
{id:-1},{id:-1},{id:-1},{id:-1},{id:-1}
{id:40067},{id:40066},{id:40085},{id:40067},{id:40060}</t>
  </si>
  <si>
    <t>14-44</t>
  </si>
  <si>
    <t>{role:-1},{state:-60018}
{id:-1},{id:-1},{id:-1},{id:-1},{id:-1}
{id:40060},{id:40085},{id:40056},{id:40066},{id:40067}</t>
  </si>
  <si>
    <t>1,8,11</t>
  </si>
  <si>
    <t>火之迦具土神劍碎片</t>
  </si>
  <si>
    <t>14-45</t>
  </si>
  <si>
    <t>翠影流雲帽</t>
  </si>
  <si>
    <t>{role:-1},{state:-60018}
{id:-1},{id:-1},{id:-1},{id:-1},{id:-1}
{id:40060},{id:40060},{id:40056},{id:40060},{id:40067}</t>
  </si>
  <si>
    <t>童子切安綱碎片</t>
  </si>
  <si>
    <t>14-46</t>
  </si>
  <si>
    <t>{role:-1},{state:-60018}
{id:-1},{id:-1},{id:-1},{id:-1},{id:-1}
{id:40067},{id:40085},{id:40056},{id:40066},{id:40066}</t>
  </si>
  <si>
    <t>村雨碎片</t>
  </si>
  <si>
    <t>隆基努斯之槍碎片</t>
  </si>
  <si>
    <t>14-47</t>
  </si>
  <si>
    <t>{role:-1},{state:-60018}
{id:-1},{id:-1},{id:-1},{id:-1},{id:-1}
{id:40066},{id:40056},{id:40066},{id:40056},{id:40066}</t>
  </si>
  <si>
    <t>村正碎片</t>
  </si>
  <si>
    <t>14-48</t>
  </si>
  <si>
    <t>{role:-1},{state:-60018}
{id:-1},{id:-1},{id:-1},{id:-1},{id:-1}
{id:40060},{id:40060},{id:40085},{id:40056},{id:40067}</t>
  </si>
  <si>
    <t>翠影流雲長衣</t>
  </si>
  <si>
    <t>天叢雲劍碎片</t>
  </si>
  <si>
    <t>干將莫邪碎片</t>
  </si>
  <si>
    <t>14-49</t>
  </si>
  <si>
    <t>{role:-1},{state:-60018}
{id:-1},{id:-1},{id:-1},{id:-1},{id:-1}
{id:40067},{id:40085},{id:40056},{id:40060},{id:40085}</t>
  </si>
  <si>
    <t>埃斯卡利巴碎片</t>
  </si>
  <si>
    <t>14-50</t>
  </si>
  <si>
    <t>{role:-1},{state:-60018}
{id:-1},{id:-1},{id:-1},{id:-1},{id:-1}
{id:50015},{id:40060},{id:40085},{id:40056},{id:40066}</t>
  </si>
  <si>
    <t>布都御魂碎片</t>
  </si>
  <si>
    <t>15-1</t>
  </si>
  <si>
    <t>提爾鋒碎片</t>
  </si>
  <si>
    <t>{role:-1},{state:-60019}
{id:-1},{id:-1},{id:-1},{id:-1},{id:-1}
{id:40063},{id:40086}</t>
  </si>
  <si>
    <t>魔王威壓</t>
  </si>
  <si>
    <t>深淵絕望</t>
  </si>
  <si>
    <t>真十字架碎片</t>
  </si>
  <si>
    <t>15-2</t>
  </si>
  <si>
    <t>{role:-1},{state:-60019}
{id:-1},{id:-1},{id:-1},{id:-1},{id:-1}
{id:40072},{id:40063}</t>
  </si>
  <si>
    <t>翠影流雲靴</t>
  </si>
  <si>
    <t>阿斯卡隆碎片</t>
  </si>
  <si>
    <t>15-3</t>
  </si>
  <si>
    <t>{role:-1},{state:-60019}
{id:-1},{id:-1},{id:-1},{id:-1},{id:-1}
{id:40069},{id:40086}</t>
  </si>
  <si>
    <t>鬼丸國綱碎片</t>
  </si>
  <si>
    <t>阿隆戴特碎片</t>
  </si>
  <si>
    <t>15-4</t>
  </si>
  <si>
    <t>{role:-1},{state:-60019}
{id:-1},{id:-1},{id:-1},{id:-1},{id:-1}
{id:40072},{id:40072}</t>
  </si>
  <si>
    <t>哈迪斯之盔碎片</t>
  </si>
  <si>
    <t>15-5</t>
  </si>
  <si>
    <t>封印之書碎片</t>
  </si>
  <si>
    <t>翠影流雲批風</t>
  </si>
  <si>
    <t>永恆聖鏡碎片</t>
  </si>
  <si>
    <t>15-6</t>
  </si>
  <si>
    <t>{role:-1},{state:-60019}
{id:-1},{id:-1},{id:-1},{id:-1},{id:-1}
{id:40087},{id:40069},{id:40063}</t>
  </si>
  <si>
    <t>熔岩之鼎碎片</t>
  </si>
  <si>
    <t>15-7</t>
  </si>
  <si>
    <t>{role:-1},{state:-60019}
{id:-1},{id:-1},{id:-1},{id:-1},{id:-1}
{id:40072},{id:40072},{id:40063}</t>
  </si>
  <si>
    <t>布里歐納克碎片</t>
  </si>
  <si>
    <t>美杜莎之盾碎片</t>
  </si>
  <si>
    <t>15-8</t>
  </si>
  <si>
    <t>{role:-1},{state:-60019}
{id:-1},{id:-1},{id:-1},{id:-1},{id:-1}
{id:40087},{id:40087},{id:40072}</t>
  </si>
  <si>
    <t>翠影流雲褲</t>
  </si>
  <si>
    <t>赫格尼之劍碎片</t>
  </si>
  <si>
    <t>15-9</t>
  </si>
  <si>
    <t>{role:-1},{state:-60019}
{id:-1},{id:-1},{id:-1},{id:-1},{id:-1}
{id:40086},{id:40069},{id:40069}</t>
  </si>
  <si>
    <t>堅鐵長矛碎片</t>
  </si>
  <si>
    <t>15-10</t>
  </si>
  <si>
    <t>{role:-1},{state:-60019}
{id:-1},{id:-1},{id:-1},{id:-1},{id:-1}
{id:40063},{id:40086},{id:40069}</t>
  </si>
  <si>
    <t>尖刺短刀碎片</t>
  </si>
  <si>
    <t>學徒法杖碎片</t>
  </si>
  <si>
    <t>15-11</t>
  </si>
  <si>
    <t>{role:-1},{state:-60019}
{id:-1},{id:-1},{id:-1},{id:-1},{id:-1}
{id:40063},{id:40087},{id:40086}</t>
  </si>
  <si>
    <t>星辰暗月球</t>
  </si>
  <si>
    <t>枯木魔杖碎片</t>
  </si>
  <si>
    <t>2,5,10</t>
  </si>
  <si>
    <t>十字堅盾碎片</t>
  </si>
  <si>
    <t>15-12</t>
  </si>
  <si>
    <t>{role:-1},{state:-60019}
{id:-1},{id:-1},{id:-1},{id:-1},{id:-1}
{id:40063},{id:40069},{id:40072}</t>
  </si>
  <si>
    <t>15-13</t>
  </si>
  <si>
    <t>{role:-1},{state:-60019}
{id:-1},{id:-1},{id:-1},{id:-1},{id:-1}
{id:40072},{id:40069},{id:40072}</t>
  </si>
  <si>
    <t>獵人之弓碎片</t>
  </si>
  <si>
    <t>修行者法球碎片</t>
  </si>
  <si>
    <t>15-14</t>
  </si>
  <si>
    <t>{role:-1},{state:-60019}
{id:-1},{id:-1},{id:-1},{id:-1},{id:-1}
{id:40086},{id:40086},{id:40086}</t>
  </si>
  <si>
    <t>暗月星辰帽</t>
  </si>
  <si>
    <t>迴旋鏈刃碎片</t>
  </si>
  <si>
    <t>15-15</t>
  </si>
  <si>
    <t>{role:-1},{state:-60019}
{id:-1},{id:-1},{id:-1},{id:-1},{id:-1}
{id:40072},{id:40086},{id:40063}</t>
  </si>
  <si>
    <t>晨星鎚碎片</t>
  </si>
  <si>
    <t>15-16</t>
  </si>
  <si>
    <t>{role:-1},{state:-60019}
{id:-1},{id:-1},{id:-1},{id:-1},{id:-1}
{id:40087},{id:40069},{id:40087},{id:40086}</t>
  </si>
  <si>
    <t>戰鬥者長劍碎片</t>
  </si>
  <si>
    <t>15-17</t>
  </si>
  <si>
    <t>{role:-1},{state:-60019}
{id:-1},{id:-1},{id:-1},{id:-1},{id:-1}
{id:40086},{id:40087},{id:40069},{id:40063}</t>
  </si>
  <si>
    <t>15-18</t>
  </si>
  <si>
    <t>{role:-1},{state:-60019}
{id:-1},{id:-1},{id:-1},{id:-1},{id:-1}
{id:40069},{id:40072},{id:40069},{id:40086}</t>
  </si>
  <si>
    <t>暗月星辰長衣</t>
  </si>
  <si>
    <t>15-19</t>
  </si>
  <si>
    <t>{role:-1},{state:-60019}
{id:-1},{id:-1},{id:-1},{id:-1},{id:-1}
{id:40087},{id:40086},{id:40063},{id:40087}</t>
  </si>
  <si>
    <t>15-20</t>
  </si>
  <si>
    <t>{role:-1},{state:-60019}
{id:-1},{id:-1},{id:-1},{id:-1},{id:-1}
{id:40063},{id:40086},{id:40087},{id:40087}</t>
  </si>
  <si>
    <t>15-21</t>
  </si>
  <si>
    <t>{role:-1},{state:-60019}
{id:-1},{id:-1},{id:-1},{id:-1},{id:-1}
{id:40087},{id:40072},{id:40063},{id:40072},{id:40086}</t>
  </si>
  <si>
    <t>暗月星辰長靴</t>
  </si>
  <si>
    <t>15-22</t>
  </si>
  <si>
    <t>{role:-1},{state:-60019}
{id:-1},{id:-1},{id:-1},{id:-1},{id:-1}
{id:40072},{id:40063},{id:40069},{id:40063},{id:40072}</t>
  </si>
  <si>
    <t>4,8,9</t>
  </si>
  <si>
    <t>15-23</t>
  </si>
  <si>
    <t>{role:-1},{state:-60019}
{id:-1},{id:-1},{id:-1},{id:-1},{id:-1}
{id:40086},{id:40086},{id:40063},{id:40063},{id:40072}</t>
  </si>
  <si>
    <t>15-24</t>
  </si>
  <si>
    <t>{role:-1},{state:-60019}
{id:-1},{id:-1},{id:-1},{id:-1},{id:-1}
{id:40069},{id:40069},{id:40087},{id:40086},{id:40087}</t>
  </si>
  <si>
    <t>15-25</t>
  </si>
  <si>
    <t>{role:-1},{state:-60019}
{id:-1},{id:-1},{id:-1},{id:-1},{id:-1}
{id:40072},{id:40072},{id:40087},{id:40087},{id:40087}</t>
  </si>
  <si>
    <t>15-26</t>
  </si>
  <si>
    <t>{role:-1},{state:-60019}
{id:-1},{id:-1},{id:-1},{id:-1},{id:-1}
{id:40069},{id:40072},{id:40063},{id:40072},{id:40086}</t>
  </si>
  <si>
    <t>15-27</t>
  </si>
  <si>
    <t>{role:-1},{state:-60019}
{id:-1},{id:-1},{id:-1},{id:-1},{id:-1}
{id:40086},{id:40086},{id:40069},{id:40069},{id:40063}</t>
  </si>
  <si>
    <t>暗月星辰披肩</t>
  </si>
  <si>
    <t>15-28</t>
  </si>
  <si>
    <t>{role:-1},{state:-60019}
{id:-1},{id:-1},{id:-1},{id:-1},{id:-1}
{id:40072},{id:40086},{id:40072},{id:40063},{id:40087}</t>
  </si>
  <si>
    <t>15-29</t>
  </si>
  <si>
    <t>{role:-1},{state:-60019}
{id:-1},{id:-1},{id:-1},{id:-1},{id:-1}
{id:40063},{id:40072},{id:40086},{id:40086},{id:40086}</t>
  </si>
  <si>
    <t>15-30</t>
  </si>
  <si>
    <t>{role:-1},{state:-60019}
{id:-1},{id:-1},{id:-1},{id:-1},{id:-1}
{id:40087},{id:40086},{id:40072},{id:40063},{id:40086}</t>
  </si>
  <si>
    <t>暗月星辰褲</t>
  </si>
  <si>
    <t>15-31</t>
  </si>
  <si>
    <t>{role:-1},{state:-60019}
{id:-1},{id:-1},{id:-1},{id:-1},{id:-1}
{id:40087},{id:40069},{id:40086},{id:40086},{id:40087}</t>
  </si>
  <si>
    <t>15-32</t>
  </si>
  <si>
    <t>{role:-1},{state:-60019}
{id:-1},{id:-1},{id:-1},{id:-1},{id:-1}
{id:40069},{id:40072},{id:40069},{id:40072},{id:40072}</t>
  </si>
  <si>
    <t>狼牙匕首</t>
  </si>
  <si>
    <t>15-33</t>
  </si>
  <si>
    <t>{role:-1},{state:-60019}
{id:-1},{id:-1},{id:-1},{id:-1},{id:-1}
{id:40087},{id:40069},{id:40072},{id:40063},{id:40069}</t>
  </si>
  <si>
    <t>random_play</t>
  </si>
  <si>
    <t>idlereward1_id</t>
  </si>
  <si>
    <t>15-34</t>
  </si>
  <si>
    <t>idlereward1_amount</t>
  </si>
  <si>
    <t>idlereward1_rate</t>
  </si>
  <si>
    <t>{role:-1},{state:-60019}
{id:-1},{id:-1},{id:-1},{id:-1},{id:-1}
{id:40086},{id:40072},{id:40087},{id:40069},{id:40069}</t>
  </si>
  <si>
    <t>狼皮頭套</t>
  </si>
  <si>
    <t>idlereward2_id</t>
  </si>
  <si>
    <t>idlereward2_amount</t>
  </si>
  <si>
    <t>idlereward2_rate</t>
  </si>
  <si>
    <t>idlereward3_id</t>
  </si>
  <si>
    <t>idlereward3_amount</t>
  </si>
  <si>
    <t>idlereward3_rate</t>
  </si>
  <si>
    <t>idlereward4_id</t>
  </si>
  <si>
    <t>idlereward4_amount</t>
  </si>
  <si>
    <t>idlereward4_rate</t>
  </si>
  <si>
    <t>idlereward5_id</t>
  </si>
  <si>
    <t>idlereward5_amount</t>
  </si>
  <si>
    <t>idlereward5_rate</t>
  </si>
  <si>
    <t>15-35</t>
  </si>
  <si>
    <t>idlereward6_id</t>
  </si>
  <si>
    <t>idlereward6_amount</t>
  </si>
  <si>
    <t>{role:-1},{state:-60019}
{id:-1},{id:-1},{id:-1},{id:-1},{id:-1}
{id:40069},{id:40087},{id:40087},{id:40063},{id:40086}</t>
  </si>
  <si>
    <t>idlereward6_rate</t>
  </si>
  <si>
    <t>idlereward7_id</t>
  </si>
  <si>
    <t>idlereward7_amount</t>
  </si>
  <si>
    <t>idlereward7_rate</t>
  </si>
  <si>
    <t>狼皮長大衣</t>
  </si>
  <si>
    <t>idlereward8_id</t>
  </si>
  <si>
    <t>idlereward8_amount</t>
  </si>
  <si>
    <t>idlereward8_rate</t>
  </si>
  <si>
    <t>40001,40002</t>
  </si>
  <si>
    <t>15-36</t>
  </si>
  <si>
    <t>70001,70002,70003,70004,70005,70006,70007,70011,70012,70013,70014,70015,70016,70017,70021,70022,70023,70024,70025,70026,70027,70031,70032,70033,70034,70035,70036,70037,70041,70042,70043,70044,70045,70046,70047,70051,70052,70053,70054,70055,70056,70057,70061,70062,70063,70064,70065,70066,70067,70071,70072,70073,70074,70075,70076,70077,80001,81001,82001,83001,84001,85001,88000,88001,88002,88003,88004,88005,88006,88007,88008,88009,88010,88011,88012,88013,88014,88015,88016,88017,88018,88019,88020,88021,88022,88023,88024,88025,88026,88027,88028,88029,88030,88031,88040</t>
  </si>
  <si>
    <t>{role:-1},{state:-60019}
{id:-1},{id:-1},{id:-1},{id:-1},{id:-1}
{id:40069},{id:40086},{id:40087},{id:40072},{id:40072}</t>
  </si>
  <si>
    <t>狼皮硬長靴</t>
  </si>
  <si>
    <t>2001,2002</t>
  </si>
  <si>
    <t>15-37</t>
  </si>
  <si>
    <t>{role:-1},{state:-60019}
{id:-1},{id:-1},{id:-1},{id:-1},{id:-1}
{id:40086},{id:40087},{id:40069},{id:40069},{id:40086}</t>
  </si>
  <si>
    <t>40005,40002</t>
  </si>
  <si>
    <t>狼皮硬斗篷</t>
  </si>
  <si>
    <t>15-38</t>
  </si>
  <si>
    <t>{role:-1},{state:-60019}
{id:-1},{id:-1},{id:-1},{id:-1},{id:-1}
{id:40072},{id:40069},{id:40072},{id:40063},{id:40072}</t>
  </si>
  <si>
    <t>40005</t>
  </si>
  <si>
    <t>狼皮長褲</t>
  </si>
  <si>
    <t>15-39</t>
  </si>
  <si>
    <t>{role:-1},{state:-60019}
{id:-1},{id:-1},{id:-1},{id:-1},{id:-1}
{id:40087},{id:40063},{id:40072},{id:40072},{id:40069}</t>
  </si>
  <si>
    <t>40005,40004</t>
  </si>
  <si>
    <t>虹赤焰短劍</t>
  </si>
  <si>
    <t>40001,40004,40005</t>
  </si>
  <si>
    <t>15-40</t>
  </si>
  <si>
    <t>{role:-1},{state:-60019}
{id:-1},{id:-1},{id:-1},{id:-1},{id:-1}
{id:40086},{id:40069},{id:40063},{id:40069},{id:40087}</t>
  </si>
  <si>
    <t>40002,40001,40003</t>
  </si>
  <si>
    <t>15-41</t>
  </si>
  <si>
    <t>{role:-1},{state:-60019}
{id:-1},{id:-1},{id:-1},{id:-1},{id:-1}
{id:40069},{id:40086},{id:40086},{id:40072},{id:40086}</t>
  </si>
  <si>
    <t>3,7,13</t>
  </si>
  <si>
    <t>40004,40001,40002</t>
  </si>
  <si>
    <t>15-42</t>
  </si>
  <si>
    <t>{role:-1},{state:-60019}
{id:-1},{id:-1},{id:-1},{id:-1},{id:-1}
{id:40087},{id:40063},{id:40072},{id:40069},{id:40072}</t>
  </si>
  <si>
    <t>赤焰皮帽</t>
  </si>
  <si>
    <t>40002,40005</t>
  </si>
  <si>
    <t>15-43</t>
  </si>
  <si>
    <t>{role:-1},{state:-60019}
{id:-1},{id:-1},{id:-1},{id:-1},{id:-1}
{id:40086},{id:40087},{id:40072},{id:40069},{id:40086}</t>
  </si>
  <si>
    <t>40003,40004</t>
  </si>
  <si>
    <t>15-44</t>
  </si>
  <si>
    <t>{role:-1},{state:-60019}
{id:-1},{id:-1},{id:-1},{id:-1},{id:-1}
{id:40072},{id:40087},{id:40069},{id:40087},{id:40069}</t>
  </si>
  <si>
    <t>40002,40003,40005</t>
  </si>
  <si>
    <t>赤焰皮大衣</t>
  </si>
  <si>
    <t>15-45</t>
  </si>
  <si>
    <t>{role:-1},{state:-60019}
{id:-1},{id:-1},{id:-1},{id:-1},{id:-1}
{id:40063},{id:40087},{id:40072},{id:40086},{id:40086}</t>
  </si>
  <si>
    <t>40002,40005,40004</t>
  </si>
  <si>
    <t>15-46</t>
  </si>
  <si>
    <t>{role:-1},{state:-60019}
{id:-1},{id:-1},{id:-1},{id:-1},{id:-1}
{id:40086},{id:40086},{id:40072},{id:40086},{id:40086}</t>
  </si>
  <si>
    <t>40001,40004,40002</t>
  </si>
  <si>
    <t>15-47</t>
  </si>
  <si>
    <t>{role:-1},{state:-60019}
{id:-1},{id:-1},{id:-1},{id:-1},{id:-1}
{id:40086},{id:40086},{id:40072},{id:40087},{id:40069}</t>
  </si>
  <si>
    <t>赤焰皮鞋</t>
  </si>
  <si>
    <t>1,4,10</t>
  </si>
  <si>
    <t>40005,40003,40004,40001</t>
  </si>
  <si>
    <t>15-48</t>
  </si>
  <si>
    <t>{role:-1},{state:-60019}
{id:-1},{id:-1},{id:-1},{id:-1},{id:-1}
{id:40072},{id:40069},{id:40063},{id:40069},{id:40086}</t>
  </si>
  <si>
    <t>40005,40003,40002,40001</t>
  </si>
  <si>
    <t>15-49</t>
  </si>
  <si>
    <t>{role:-1},{state:-60019}
{id:-1},{id:-1},{id:-1},{id:-1},{id:-1}
{id:40069},{id:40069},{id:40069},{id:40063},{id:40087}</t>
  </si>
  <si>
    <t>赤焰短批</t>
  </si>
  <si>
    <t>40003,40001,40004</t>
  </si>
  <si>
    <t>15-50</t>
  </si>
  <si>
    <t>{role:-1},{state:-60020}
{id:-1},{id:-1},{id:-1},{id:-1},{id:-1}
{id:50000},{id:40063},{id:40072},{id:40086},{id:40069}</t>
  </si>
  <si>
    <t>40005,40004,40002,40003</t>
  </si>
  <si>
    <t>40005,40001,40004,40002</t>
  </si>
  <si>
    <t>赤焰長褲</t>
  </si>
  <si>
    <t>godcharacter</t>
  </si>
  <si>
    <t>普通・限定「野獸」</t>
  </si>
  <si>
    <t>{role:-1},
{id:-1},{id:-1},{id:-1},{id:-1},{id:-1}, {id:40001},{id:40002},{id:40004},{id:40006},{id:40008}</t>
  </si>
  <si>
    <t>40005,40004,40001</t>
  </si>
  <si>
    <t>普通・限定「史萊姆」</t>
  </si>
  <si>
    <t>{role:-1},
{id:-1},{id:-1},{id:-1},{id:-1},{id:-1}, {id:40011},{id:40012},{id:40013},{id:40014},{id:40015}</t>
  </si>
  <si>
    <t>40005,40002,40003</t>
  </si>
  <si>
    <t>普通・限定「精靈元素」</t>
  </si>
  <si>
    <t>{role:-1},
{id:-1},{id:-1},{id:-1},{id:-1},{id:-1}, {id:40005},{id:40009},{id:40010},{id:40028},{id:40029}</t>
  </si>
  <si>
    <t>金凌刃環</t>
  </si>
  <si>
    <t>普通・限定「不死亡靈」</t>
  </si>
  <si>
    <t>{role:-1},
{id:-1},{id:-1},{id:-1},{id:-1},{id:-1}, {id:40023},{id:40043},{id:40050},{id:40054},{id:40055}</t>
  </si>
  <si>
    <t>40004,40003,40002</t>
  </si>
  <si>
    <t>普通・限定「魔族深淵」</t>
  </si>
  <si>
    <t>{role:-1},
{id:-1},{id:-1},{id:-1},{id:-1},{id:-1}, {id:40020},{id:40035},{id:40044},{id:40063},{id:40068}</t>
  </si>
  <si>
    <t>普通・限定「構裝傀儡」</t>
  </si>
  <si>
    <t>40002,40004,40005,40001</t>
  </si>
  <si>
    <t>{role:-1},
{id:-1},{id:-1},{id:-1},{id:-1},{id:-1}, {id:40003},{id:40007},{id:40017},{id:40018},{id:40019}</t>
  </si>
  <si>
    <t>普通・限定「盜賊術士」</t>
  </si>
  <si>
    <t>{role:-1},
{id:-1},{id:-1},{id:-1},{id:-1},{id:-1}, {id:40022},{id:40025},{id:40027},{id:40032},{id:40037}</t>
  </si>
  <si>
    <t>金凌獵皮盔</t>
  </si>
  <si>
    <t>40005,40001,40003,40002</t>
  </si>
  <si>
    <t>普通・限定「騎士聖光」</t>
  </si>
  <si>
    <t>{role:-1},
{id:-1},{id:-1},{id:-1},{id:-1},{id:-1}, {id:40047},{id:40048},{id:40049},{id:40077},{id:50009}</t>
  </si>
  <si>
    <t>40001,40002,40005</t>
  </si>
  <si>
    <t>中等・限定「野獸」</t>
  </si>
  <si>
    <t>中等・限定「史萊姆」</t>
  </si>
  <si>
    <t>40002,40001,40004,40005</t>
  </si>
  <si>
    <t>中等・限定「精靈元素」</t>
  </si>
  <si>
    <t>金凌獵戰甲</t>
  </si>
  <si>
    <t>40003,40004,40005,40001</t>
  </si>
  <si>
    <t>中等・限定「不死亡靈」</t>
  </si>
  <si>
    <t>中等・限定「魔族深淵」</t>
  </si>
  <si>
    <t>40002,40001,40005,40004</t>
  </si>
  <si>
    <t>中等・限定「構裝傀儡」</t>
  </si>
  <si>
    <t>中等・限定「盜賊術士」</t>
  </si>
  <si>
    <t>40004,40005</t>
  </si>
  <si>
    <t>中等・限定「騎士聖光」</t>
  </si>
  <si>
    <t>金凌獵皮靴</t>
  </si>
  <si>
    <t>高級・限定「野獸」</t>
  </si>
  <si>
    <t>40003,40005,40001</t>
  </si>
  <si>
    <t>高級・限定「史萊姆」</t>
  </si>
  <si>
    <t>40005,40002,40004,40003</t>
  </si>
  <si>
    <t>高級・限定「精靈元素」</t>
  </si>
  <si>
    <t>高級・限定「不死亡靈」</t>
  </si>
  <si>
    <t>50001,40003,40002,40001,40005</t>
  </si>
  <si>
    <t>高級・限定「魔族深淵」</t>
  </si>
  <si>
    <t>金凌斗篷</t>
  </si>
  <si>
    <t>高級・限定「構裝傀儡」</t>
  </si>
  <si>
    <t>40016</t>
  </si>
  <si>
    <t>高級・限定「盜賊術士」</t>
  </si>
  <si>
    <t>40015,40016</t>
  </si>
  <si>
    <t>高級・限定「騎士聖光」</t>
  </si>
  <si>
    <t>惡夢・限定「野獸」</t>
  </si>
  <si>
    <t>40014,40016</t>
  </si>
  <si>
    <t>金凌獵皮褲</t>
  </si>
  <si>
    <t>惡夢・限定「史萊姆」</t>
  </si>
  <si>
    <t>惡夢・限定「精靈元素」</t>
  </si>
  <si>
    <t>40015,40016,40013</t>
  </si>
  <si>
    <t>惡夢・限定「不死亡靈」</t>
  </si>
  <si>
    <t>惡夢・限定「魔族深淵」</t>
  </si>
  <si>
    <t>40014,40016,40015</t>
  </si>
  <si>
    <t>月影奇襲短刃</t>
  </si>
  <si>
    <t>惡夢・限定「構裝傀儡」</t>
  </si>
  <si>
    <t>40015,40012</t>
  </si>
  <si>
    <t>惡夢・限定「盜賊術士」</t>
  </si>
  <si>
    <t>惡夢・限定「騎士聖光」</t>
  </si>
  <si>
    <t>40016,40012</t>
  </si>
  <si>
    <t>40015,40014</t>
  </si>
  <si>
    <t>月影奇襲皮盔</t>
  </si>
  <si>
    <t>連續3wave</t>
  </si>
  <si>
    <t>{role:-1},
{id:-1},{id:-1},{id:-1},{id:-1},{id:-1}
{id:40042,level:20,wave="1"},{id:40020,level:20,wave="1"},{id:40051,level:20,wave="1"},{id:40084,level:20,wave="1"},{id:40007,level:20,wave="1"}
{id:40042,level:20,wave="2"},{id:40020,level:20,wave="2"},{id:40051,level:20,wave="2"},{id:40084,level:20,wave="2"},{id:40007,level:20,wave="2"}
{id:40042,level:20,wave="3"},{id:40020,level:20,wave="3"},{id:40051,level:20,wave="3"},{id:40084,level:20,wave="3"},{id:40007,level:20,wave="3"}</t>
  </si>
  <si>
    <t>40013,40015,40012</t>
  </si>
  <si>
    <t>2003,2004</t>
  </si>
  <si>
    <t>連續5wave</t>
  </si>
  <si>
    <t>{role:-1},
{id:-1},{id:-1},{id:-1},{id:-1},{id:-1}
{id:40010,level:30,wave="1"},{id:40069,level:30,wave="1"},{id:40013,level:30,wave="1"},{id:40047,level:30,wave="1"},{id:40075,level:30,wave="1"}
{id:40010,level:30,wave="2"},{id:40069,level:30,wave="2"},{id:40013,level:30,wave="2"},{id:40047,level:30,wave="2"},{id:40075,level:30,wave="2"}
{id:40010,level:30,wave="3"},{id:40069,level:30,wave="3"},{id:40013,level:30,wave="3"},{id:40047,level:30,wave="3"},{id:40075,level:30,wave="3"}
{id:40010,level:30,wave="4"},{id:40069,level:30,wave="4"},{id:40013,level:30,wave="4"},{id:40047,level:30,wave="4"},{id:40075,level:30,wave="4"}
{id:40010,level:30,wave="5"},{id:40069,level:30,wave="5"},{id:40013,level:30,wave="5"},{id:40047,level:30,wave="5"},{id:40075,level:30,wave="5"}</t>
  </si>
  <si>
    <t>40012,40016,40013</t>
  </si>
  <si>
    <t>月影奇襲甲</t>
  </si>
  <si>
    <t>連續7wave</t>
  </si>
  <si>
    <t>{role:-1},
{id:-1},{id:-1},{id:-1},{id:-1},{id:-1}
{id:40008,level:40,wave="1"},{id:40065,level:40,wave="1"},{id:40028,level:40,wave="1"},{id:40005,level:40,wave="1"},{id:40012,level:40,wave="1"}
{id:40008,level:40,wave="2"},{id:40065,level:40,wave="2"},{id:40028,level:40,wave="2"},{id:40005,level:40,wave="2"},{id:40012,level:40,wave="2"}
{id:40008,level:40,wave="3"},{id:40065,level:40,wave="3"},{id:40028,level:40,wave="3"},{id:40005,level:40,wave="3"},{id:40012,level:40,wave="3"}
{id:40008,level:40,wave="4"},{id:40065,level:40,wave="4"},{id:40028,level:40,wave="4"},{id:40005,level:40,wave="4"},{id:40012,level:40,wave="4"}
{id:40008,level:40,wave="5"},{id:40065,level:40,wave="5"},{id:40028,level:40,wave="5"},{id:40005,level:40,wave="5"},{id:40012,level:40,wave="5"}
{id:40008,level:40,wave="6"},{id:40065,level:40,wave="6"},{id:40028,level:40,wave="6"},{id:40005,level:40,wave="6"},{id:40012,level:40,wave="6"}
{id:40008,level:40,wave="7"},{id:40065,level:40,wave="7"},{id:40028,level:40,wave="7"},{id:40005,level:40,wave="7"},{id:40012,level:40,wave="7"}</t>
  </si>
  <si>
    <t>40014,40013</t>
  </si>
  <si>
    <t>連續9wave</t>
  </si>
  <si>
    <t>40015,40016,40012,40013</t>
  </si>
  <si>
    <t>{role:-1},
{id:-1},{id:-1},{id:-1},{id:-1},{id:-1}
{id:40056,level:50,wave="1"},{id:40054,level:50,wave="1"},{id:40009,level:50,wave="1"},{id:40031,level:50,wave="1"},{id:40012,level:50,wave="1"}
{id:40056,level:50,wave="2"},{id:40054,level:50,wave="2"},{id:40009,level:50,wave="2"},{id:40031,level:50,wave="2"},{id:40012,level:50,wave="2"}
{id:40056,level:50,wave="3"},{id:40054,level:50,wave="3"},{id:40009,level:50,wave="3"},{id:40031,level:50,wave="3"},{id:40012,level:50,wave="3"}
{id:40056,level:50,wave="4"},{id:40054,level:50,wave="4"},{id:40009,level:50,wave="4"},{id:40031,level:50,wave="4"},{id:40012,level:50,wave="4"}
{id:40056,level:50,wave="5"},{id:40054,level:50,wave="5"},{id:40009,level:50,wave="5"},{id:40031,level:50,wave="5"},{id:40012,level:50,wave="5"}
{id:40056,level:50,wave="6"},{id:40054,level:50,wave="6"},{id:40009,level:50,wave="6"},{id:40031,level:50,wave="6"},{id:40012,level:50,wave="6"}
{id:40056,level:50,wave="7"},{id:40054,level:50,wave="7"},{id:40009,level:50,wave="7"},{id:40031,level:50,wave="7"},{id:40012,level:50,wave="7"}
{id:40056,level:50,wave="8"},{id:40054,level:50,wave="8"},{id:40009,level:50,wave="8"},{id:40031,level:50,wave="8"},{id:40012,level:50,wave="8"}
{id:40056,level:50,wave="9"},{id:40054,level:50,wave="9"},{id:40009,level:50,wave="9"},{id:40031,level:50,wave="9"},{id:40012,level:50,wave="9"}</t>
  </si>
  <si>
    <t>月影奇襲皮靴</t>
  </si>
  <si>
    <t>連續11wave</t>
  </si>
  <si>
    <t>40013,40015,40014</t>
  </si>
  <si>
    <t>{role:-1},
{id:-1},{id:-1},{id:-1},{id:-1},{id:-1}
{id:40071,level:60,wave="1"},{id:40055,level:60,wave="1"},{id:40008,level:60,wave="1"},{id:40073,level:60,wave="1"},{id:40016,level:60,wave="1"}
{id:40071,level:60,wave="2"},{id:40055,level:60,wave="2"},{id:40008,level:60,wave="2"},{id:40073,level:60,wave="2"},{id:40016,level:60,wave="2"}
{id:40071,level:60,wave="3"},{id:40055,level:60,wave="3"},{id:40008,level:60,wave="3"},{id:40073,level:60,wave="3"},{id:40016,level:60,wave="3"}
{id:40071,level:60,wave="4"},{id:40055,level:60,wave="4"},{id:40008,level:60,wave="4"},{id:40073,level:60,wave="4"},{id:40016,level:60,wave="4"}
{id:40071,level:60,wave="5"},{id:40055,level:60,wave="5"},{id:40008,level:60,wave="5"},{id:40073,level:60,wave="5"},{id:40016,level:60,wave="5"}
{id:40071,level:60,wave="6"},{id:40055,level:60,wave="6"},{id:40008,level:60,wave="6"},{id:40073,level:60,wave="6"},{id:40016,level:60,wave="6"}
{id:40071,level:60,wave="7"},{id:40055,level:60,wave="7"},{id:40008,level:60,wave="7"},{id:40073,level:60,wave="7"},{id:40016,level:60,wave="7"}
{id:40071,level:60,wave="8"},{id:40055,level:60,wave="8"},{id:40008,level:60,wave="8"},{id:40073,level:60,wave="8"},{id:40016,level:60,wave="8"}
{id:40071,level:60,wave="9"},{id:40055,level:60,wave="9"},{id:40008,level:60,wave="9"},{id:40073,level:60,wave="9"},{id:40016,level:60,wave="9"}
{id:40071,level:60,wave="10"},{id:40055,level:60,wave="10"},{id:40008,level:60,wave="10"},{id:40073,level:60,wave="10"},{id:40016,level:60,wave="10"}
{id:40071,level:60,wave="11"},{id:40055,level:60,wave="11"},{id:40008,level:60,wave="11"},{id:40073,level:60,wave="11"},{id:40016,level:60,wave="11"}</t>
  </si>
  <si>
    <t>40014,40013,40015,40016</t>
  </si>
  <si>
    <t>連續13wave</t>
  </si>
  <si>
    <t>{role:-1},
{id:-1},{id:-1},{id:-1},{id:-1},{id:-1}
{id:40029,level:70,wave="1"},{id:40081,level:70,wave="1"},{id:40075,level:70,wave="1"},{id:40008,level:70,wave="1"},{id:40074,level:70,wave="1"}
{id:40029,level:70,wave="2"},{id:40081,level:70,wave="2"},{id:40075,level:70,wave="2"},{id:40008,level:70,wave="2"},{id:40074,level:70,wave="2"}
{id:40029,level:70,wave="3"},{id:40081,level:70,wave="3"},{id:40075,level:70,wave="3"},{id:40008,level:70,wave="3"},{id:40074,level:70,wave="3"}
{id:40029,level:70,wave="4"},{id:40081,level:70,wave="4"},{id:40075,level:70,wave="4"},{id:40008,level:70,wave="4"},{id:40074,level:70,wave="4"}
{id:40029,level:70,wave="5"},{id:40081,level:70,wave="5"},{id:40075,level:70,wave="5"},{id:40008,level:70,wave="5"},{id:40074,level:70,wave="5"}
{id:40029,level:70,wave="6"},{id:40081,level:70,wave="6"},{id:40075,level:70,wave="6"},{id:40008,level:70,wave="6"},{id:40074,level:70,wave="6"}
{id:40029,level:70,wave="7"},{id:40081,level:70,wave="7"},{id:40075,level:70,wave="7"},{id:40008,level:70,wave="7"},{id:40074,level:70,wave="7"}
{id:40029,level:70,wave="8"},{id:40081,level:70,wave="8"},{id:40075,level:70,wave="8"},{id:40008,level:70,wave="8"},{id:40074,level:70,wave="8"}
{id:40029,level:70,wave="9"},{id:40081,level:70,wave="9"},{id:40075,level:70,wave="9"},{id:40008,level:70,wave="9"},{id:40074,level:70,wave="9"}
{id:40029,level:70,wave="10"},{id:40081,level:70,wave="10"},{id:40075,level:70,wave="10"},{id:40008,level:70,wave="10"},{id:40074,level:70,wave="10"}
{id:40029,level:70,wave="11"},{id:40081,level:70,wave="11"},{id:40075,level:70,wave="11"},{id:40008,level:70,wave="11"},{id:40074,level:70,wave="11"}
{id:40029,level:70,wave="12"},{id:40081,level:70,wave="12"},{id:40075,level:70,wave="12"},{id:40008,level:70,wave="12"},{id:40074,level:70,wave="12"}
{id:40029,level:70,wave="13"},{id:40081,level:70,wave="13"},{id:40075,level:70,wave="13"},{id:40008,level:70,wave="13"},{id:40074,level:70,wave="13"}</t>
  </si>
  <si>
    <t>40012,40015,40013,40016,40014</t>
  </si>
  <si>
    <t>連續15wave</t>
  </si>
  <si>
    <t>月影奇襲斗篷</t>
  </si>
  <si>
    <t>{role:-1},
{id:-1},{id:-1},{id:-1},{id:-1},{id:-1}
{id:40075,level:80,wave="1"},{id:40051,level:80,wave="1"},{id:40007,level:80,wave="1"},{id:40029,level:80,wave="1"},{id:40006,level:80,wave="1"}
{id:40075,level:80,wave="2"},{id:40051,level:80,wave="2"},{id:40007,level:80,wave="2"},{id:40029,level:80,wave="2"},{id:40006,level:80,wave="2"}
{id:40075,level:80,wave="3"},{id:40051,level:80,wave="3"},{id:40007,level:80,wave="3"},{id:40029,level:80,wave="3"},{id:40006,level:80,wave="3"}
{id:40075,level:80,wave="4"},{id:40051,level:80,wave="4"},{id:40007,level:80,wave="4"},{id:40029,level:80,wave="4"},{id:40006,level:80,wave="4"}
{id:40075,level:80,wave="5"},{id:40051,level:80,wave="5"},{id:40007,level:80,wave="5"},{id:40029,level:80,wave="5"},{id:40006,level:80,wave="5"}
{id:40075,level:80,wave="6"},{id:40051,level:80,wave="6"},{id:40007,level:80,wave="6"},{id:40029,level:80,wave="6"},{id:40006,level:80,wave="6"}
{id:40075,level:80,wave="7"},{id:40051,level:80,wave="7"},{id:40007,level:80,wave="7"},{id:40029,level:80,wave="7"},{id:40006,level:80,wave="7"}
{id:40075,level:80,wave="8"},{id:40051,level:80,wave="8"},{id:40007,level:80,wave="8"},{id:40029,level:80,wave="8"},{id:40006,level:80,wave="8"}
{id:40075,level:80,wave="9"},{id:40051,level:80,wave="9"},{id:40007,level:80,wave="9"},{id:40029,level:80,wave="9"},{id:40006,level:80,wave="9"}
{id:40075,level:80,wave="10"},{id:40051,level:80,wave="10"},{id:40007,level:80,wave="10"},{id:40029,level:80,wave="10"},{id:40006,level:80,wave="10"}
{id:40075,level:80,wave="11"},{id:40051,level:80,wave="11"},{id:40007,level:80,wave="11"},{id:40029,level:80,wave="11"},{id:40006,level:80,wave="11"}
{id:40075,level:80,wave="12"},{id:40051,level:80,wave="12"},{id:40007,level:80,wave="12"},{id:40029,level:80,wave="12"},{id:40006,level:80,wave="12"}
{id:40075,level:80,wave="13"},{id:40051,level:80,wave="13"},{id:40007,level:80,wave="13"},{id:40029,level:80,wave="13"},{id:40006,level:80,wave="13"}
{id:40075,level:80,wave="14"},{id:40051,level:80,wave="14"},{id:40007,level:80,wave="14"},{id:40029,level:80,wave="14"},{id:40006,level:80,wave="14"}
{id:40075,level:80,wave="15"},{id:40051,level:80,wave="15"},{id:40007,level:80,wave="15"},{id:40029,level:80,wave="15"},{id:40006,level:80,wave="15"}</t>
  </si>
  <si>
    <t>連續17wave</t>
  </si>
  <si>
    <t>{role:-1},
{id:-1},{id:-1},{id:-1},{id:-1},{id:-1}
{id:40072,level:90,wave="1"},{id:40018,level:90,wave="1"},{id:40038,level:90,wave="1"},{id:40054,level:90,wave="1"},{id:40019,level:90,wave="1"}
{id:40072,level:90,wave="2"},{id:40018,level:90,wave="2"},{id:40038,level:90,wave="2"},{id:40054,level:90,wave="2"},{id:40019,level:90,wave="2"}
{id:40072,level:90,wave="3"},{id:40018,level:90,wave="3"},{id:40038,level:90,wave="3"},{id:40054,level:90,wave="3"},{id:40019,level:90,wave="3"}
{id:40072,level:90,wave="4"},{id:40018,level:90,wave="4"},{id:40038,level:90,wave="4"},{id:40054,level:90,wave="4"},{id:40019,level:90,wave="4"}
{id:40072,level:90,wave="5"},{id:40018,level:90,wave="5"},{id:40038,level:90,wave="5"},{id:40054,level:90,wave="5"},{id:40019,level:90,wave="5"}
{id:40072,level:90,wave="6"},{id:40018,level:90,wave="6"},{id:40038,level:90,wave="6"},{id:40054,level:90,wave="6"},{id:40019,level:90,wave="6"}
{id:40072,level:90,wave="7"},{id:40018,level:90,wave="7"},{id:40038,level:90,wave="7"},{id:40054,level:90,wave="7"},{id:40019,level:90,wave="7"}
{id:40072,level:90,wave="8"},{id:40018,level:90,wave="8"},{id:40038,level:90,wave="8"},{id:40054,level:90,wave="8"},{id:40019,level:90,wave="8"}
{id:40072,level:90,wave="9"},{id:40018,level:90,wave="9"},{id:40038,level:90,wave="9"},{id:40054,level:90,wave="9"},{id:40019,level:90,wave="9"}
{id:40072,level:90,wave="10"},{id:40018,level:90,wave="10"},{id:40038,level:90,wave="10"},{id:40054,level:90,wave="10"},{id:40019,level:90,wave="10"}
{id:40072,level:90,wave="11"},{id:40018,level:90,wave="11"},{id:40038,level:90,wave="11"},{id:40054,level:90,wave="11"},{id:40019,level:90,wave="11"}
{id:40072,level:90,wave="12"},{id:40018,level:90,wave="12"},{id:40038,level:90,wave="12"},{id:40054,level:90,wave="12"},{id:40019,level:90,wave="12"}
{id:40072,level:90,wave="13"},{id:40018,level:90,wave="13"},{id:40038,level:90,wave="13"},{id:40054,level:90,wave="13"},{id:40019,level:90,wave="13"}
{id:40072,level:90,wave="14"},{id:40018,level:90,wave="14"},{id:40038,level:90,wave="14"},{id:40054,level:90,wave="14"},{id:40019,level:90,wave="14"}
{id:40072,level:90,wave="15"},{id:40018,level:90,wave="15"},{id:40038,level:90,wave="15"},{id:40054,level:90,wave="15"},{id:40019,level:90,wave="15"}
{id:40072,level:90,wave="16"},{id:40018,level:90,wave="16"},{id:40038,level:90,wave="16"},{id:40054,level:90,wave="16"},{id:40019,level:90,wave="16"}
{id:40072,level:90,wave="17"},{id:40018,level:90,wave="17"},{id:40038,level:90,wave="17"},{id:40054,level:90,wave="17"},{id:40019,level:90,wave="17"}</t>
  </si>
  <si>
    <t>40015,40012,40014</t>
  </si>
  <si>
    <t>連續19wave</t>
  </si>
  <si>
    <t>月影奇襲皮褲</t>
  </si>
  <si>
    <t>40015,40013,40012</t>
  </si>
  <si>
    <t>{role:-1},
{id:-1},{id:-1},{id:-1},{id:-1},{id:-1}
{id:40070,level:100,wave="1"},{id:40016,level:100,wave="1"},{id:40074,level:100,wave="1"},{id:40040,level:100,wave="1"},{id:40072,level:100,wave="1"}
{id:40070,level:100,wave="2"},{id:40016,level:100,wave="2"},{id:40074,level:100,wave="2"},{id:40040,level:100,wave="2"},{id:40072,level:100,wave="2"}
{id:40070,level:100,wave="3"},{id:40016,level:100,wave="3"},{id:40074,level:100,wave="3"},{id:40040,level:100,wave="3"},{id:40072,level:100,wave="3"}
{id:40070,level:100,wave="4"},{id:40016,level:100,wave="4"},{id:40074,level:100,wave="4"},{id:40040,level:100,wave="4"},{id:40072,level:100,wave="4"}
{id:40070,level:100,wave="5"},{id:40016,level:100,wave="5"},{id:40074,level:100,wave="5"},{id:40040,level:100,wave="5"},{id:40072,level:100,wave="5"}
{id:40070,level:100,wave="6"},{id:40016,level:100,wave="6"},{id:40074,level:100,wave="6"},{id:40040,level:100,wave="6"},{id:40072,level:100,wave="6"}
{id:40070,level:100,wave="7"},{id:40016,level:100,wave="7"},{id:40074,level:100,wave="7"},{id:40040,level:100,wave="7"},{id:40072,level:100,wave="7"}
{id:40070,level:100,wave="8"},{id:40016,level:100,wave="8"},{id:40074,level:100,wave="8"},{id:40040,level:100,wave="8"},{id:40072,level:100,wave="8"}
{id:40070,level:100,wave="9"},{id:40016,level:100,wave="9"},{id:40074,level:100,wave="9"},{id:40040,level:100,wave="9"},{id:40072,level:100,wave="9"}
{id:40070,level:100,wave="10"},{id:40016,level:100,wave="10"},{id:40074,level:100,wave="10"},{id:40040,level:100,wave="10"},{id:40072,level:100,wave="10"}
{id:40070,level:100,wave="11"},{id:40016,level:100,wave="11"},{id:40074,level:100,wave="11"},{id:40040,level:100,wave="11"},{id:40072,level:100,wave="11"}
{id:40070,level:100,wave="12"},{id:40016,level:100,wave="12"},{id:40074,level:100,wave="12"},{id:40040,level:100,wave="12"},{id:40072,level:100,wave="12"}
{id:40070,level:100,wave="13"},{id:40016,level:100,wave="13"},{id:40074,level:100,wave="13"},{id:40040,level:100,wave="13"},{id:40072,level:100,wave="13"}
{id:40070,level:100,wave="14"},{id:40016,level:100,wave="14"},{id:40074,level:100,wave="14"},{id:40040,level:100,wave="14"},{id:40072,level:100,wave="14"}
{id:40070,level:100,wave="15"},{id:40016,level:100,wave="15"},{id:40074,level:100,wave="15"},{id:40040,level:100,wave="15"},{id:40072,level:100,wave="15"}
{id:40070,level:100,wave="16"},{id:40016,level:100,wave="16"},{id:40074,level:100,wave="16"},{id:40040,level:100,wave="16"},{id:40072,level:100,wave="16"}
{id:40070,level:100,wave="17"},{id:40016,level:100,wave="17"},{id:40074,level:100,wave="17"},{id:40040,level:100,wave="17"},{id:40072,level:100,wave="17"}
{id:40070,level:100,wave="18"},{id:40016,level:100,wave="18"},{id:40074,level:100,wave="18"},{id:40040,level:100,wave="18"},{id:40072,level:100,wave="18"}
{id:40070,level:100,wave="19"},{id:40016,level:100,wave="19"},{id:40074,level:100,wave="19"},{id:40040,level:100,wave="19"},{id:40072,level:100,wave="19"}</t>
  </si>
  <si>
    <t>40016,40015,40014</t>
  </si>
  <si>
    <t>連續21wave</t>
  </si>
  <si>
    <t>40013,40012,40016</t>
  </si>
  <si>
    <t>青銅長劍</t>
  </si>
  <si>
    <t>{role:-1},
{id:-1},{id:-1},{id:-1},{id:-1},{id:-1}
{id:40024,level:110,wave="1"},{id:40014,level:110,wave="1"},{id:40075,level:110,wave="1"},{id:40074,level:110,wave="1"},{id:40082,level:110,wave="1"}
{id:40024,level:110,wave="2"},{id:40014,level:110,wave="2"},{id:40075,level:110,wave="2"},{id:40074,level:110,wave="2"},{id:40082,level:110,wave="2"}
{id:40024,level:110,wave="3"},{id:40014,level:110,wave="3"},{id:40075,level:110,wave="3"},{id:40074,level:110,wave="3"},{id:40082,level:110,wave="3"}
{id:40024,level:110,wave="4"},{id:40014,level:110,wave="4"},{id:40075,level:110,wave="4"},{id:40074,level:110,wave="4"},{id:40082,level:110,wave="4"}
{id:40024,level:110,wave="5"},{id:40014,level:110,wave="5"},{id:40075,level:110,wave="5"},{id:40074,level:110,wave="5"},{id:40082,level:110,wave="5"}
{id:40024,level:110,wave="6"},{id:40014,level:110,wave="6"},{id:40075,level:110,wave="6"},{id:40074,level:110,wave="6"},{id:40082,level:110,wave="6"}
{id:40024,level:110,wave="7"},{id:40014,level:110,wave="7"},{id:40075,level:110,wave="7"},{id:40074,level:110,wave="7"},{id:40082,level:110,wave="7"}
{id:40024,level:110,wave="8"},{id:40014,level:110,wave="8"},{id:40075,level:110,wave="8"},{id:40074,level:110,wave="8"},{id:40082,level:110,wave="8"}
{id:40024,level:110,wave="9"},{id:40014,level:110,wave="9"},{id:40075,level:110,wave="9"},{id:40074,level:110,wave="9"},{id:40082,level:110,wave="9"}
{id:40024,level:110,wave="10"},{id:40014,level:110,wave="10"},{id:40075,level:110,wave="10"},{id:40074,level:110,wave="10"},{id:40082,level:110,wave="10"}
{id:40024,level:110,wave="11"},{id:40014,level:110,wave="11"},{id:40075,level:110,wave="11"},{id:40074,level:110,wave="11"},{id:40082,level:110,wave="11"}
{id:40024,level:110,wave="12"},{id:40014,level:110,wave="12"},{id:40075,level:110,wave="12"},{id:40074,level:110,wave="12"},{id:40082,level:110,wave="12"}
{id:40024,level:110,wave="13"},{id:40014,level:110,wave="13"},{id:40075,level:110,wave="13"},{id:40074,level:110,wave="13"},{id:40082,level:110,wave="13"}
{id:40024,level:110,wave="14"},{id:40014,level:110,wave="14"},{id:40075,level:110,wave="14"},{id:40074,level:110,wave="14"},{id:40082,level:110,wave="14"}
{id:40024,level:110,wave="15"},{id:40014,level:110,wave="15"},{id:40075,level:110,wave="15"},{id:40074,level:110,wave="15"},{id:40082,level:110,wave="15"}
{id:40024,level:110,wave="16"},{id:40014,level:110,wave="16"},{id:40075,level:110,wave="16"},{id:40074,level:110,wave="16"},{id:40082,level:110,wave="16"}
{id:40024,level:110,wave="17"},{id:40014,level:110,wave="17"},{id:40075,level:110,wave="17"},{id:40074,level:110,wave="17"},{id:40082,level:110,wave="17"}
{id:40024,level:110,wave="18"},{id:40014,level:110,wave="18"},{id:40075,level:110,wave="18"},{id:40074,level:110,wave="18"},{id:40082,level:110,wave="18"}
{id:40024,level:110,wave="19"},{id:40014,level:110,wave="19"},{id:40075,level:110,wave="19"},{id:40074,level:110,wave="19"},{id:40082,level:110,wave="19"}
{id:40024,level:110,wave="20"},{id:40014,level:110,wave="20"},{id:40075,level:110,wave="20"},{id:40074,level:110,wave="20"},{id:40082,level:110,wave="20"}
{id:40024,level:110,wave="21"},{id:40014,level:110,wave="21"},{id:40075,level:110,wave="21"},{id:40074,level:110,wave="21"},{id:40082,level:110,wave="21"}</t>
  </si>
  <si>
    <t>40012,40013,40015</t>
  </si>
  <si>
    <t>連續23wave</t>
  </si>
  <si>
    <t>青銅頭盔</t>
  </si>
  <si>
    <t>{role:-1},
{id:-1},{id:-1},{id:-1},{id:-1},{id:-1}
{id:40025,level:120,wave="1"},{id:40048,level:120,wave="1"},{id:40013,level:120,wave="1"},{id:40071,level:120,wave="1"},{id:40009,level:120,wave="1"}
{id:40025,level:120,wave="2"},{id:40048,level:120,wave="2"},{id:40013,level:120,wave="2"},{id:40071,level:120,wave="2"},{id:40009,level:120,wave="2"}
{id:40025,level:120,wave="3"},{id:40048,level:120,wave="3"},{id:40013,level:120,wave="3"},{id:40071,level:120,wave="3"},{id:40009,level:120,wave="3"}
{id:40025,level:120,wave="4"},{id:40048,level:120,wave="4"},{id:40013,level:120,wave="4"},{id:40071,level:120,wave="4"},{id:40009,level:120,wave="4"}
{id:40025,level:120,wave="5"},{id:40048,level:120,wave="5"},{id:40013,level:120,wave="5"},{id:40071,level:120,wave="5"},{id:40009,level:120,wave="5"}
{id:40025,level:120,wave="6"},{id:40048,level:120,wave="6"},{id:40013,level:120,wave="6"},{id:40071,level:120,wave="6"},{id:40009,level:120,wave="6"}
{id:40025,level:120,wave="7"},{id:40048,level:120,wave="7"},{id:40013,level:120,wave="7"},{id:40071,level:120,wave="7"},{id:40009,level:120,wave="7"}
{id:40025,level:120,wave="8"},{id:40048,level:120,wave="8"},{id:40013,level:120,wave="8"},{id:40071,level:120,wave="8"},{id:40009,level:120,wave="8"}
{id:40025,level:120,wave="9"},{id:40048,level:120,wave="9"},{id:40013,level:120,wave="9"},{id:40071,level:120,wave="9"},{id:40009,level:120,wave="9"}
{id:40025,level:120,wave="10"},{id:40048,level:120,wave="10"},{id:40013,level:120,wave="10"},{id:40071,level:120,wave="10"},{id:40009,level:120,wave="10"}
{id:40025,level:120,wave="11"},{id:40048,level:120,wave="11"},{id:40013,level:120,wave="11"},{id:40071,level:120,wave="11"},{id:40009,level:120,wave="11"}
{id:40025,level:120,wave="12"},{id:40048,level:120,wave="12"},{id:40013,level:120,wave="12"},{id:40071,level:120,wave="12"},{id:40009,level:120,wave="12"}
{id:40025,level:120,wave="13"},{id:40048,level:120,wave="13"},{id:40013,level:120,wave="13"},{id:40071,level:120,wave="13"},{id:40009,level:120,wave="13"}
{id:40025,level:120,wave="14"},{id:40048,level:120,wave="14"},{id:40013,level:120,wave="14"},{id:40071,level:120,wave="14"},{id:40009,level:120,wave="14"}
{id:40025,level:120,wave="15"},{id:40048,level:120,wave="15"},{id:40013,level:120,wave="15"},{id:40071,level:120,wave="15"},{id:40009,level:120,wave="15"}
{id:40025,level:120,wave="16"},{id:40048,level:120,wave="16"},{id:40013,level:120,wave="16"},{id:40071,level:120,wave="16"},{id:40009,level:120,wave="16"}
{id:40025,level:120,wave="17"},{id:40048,level:120,wave="17"},{id:40013,level:120,wave="17"},{id:40071,level:120,wave="17"},{id:40009,level:120,wave="17"}
{id:40025,level:120,wave="18"},{id:40048,level:120,wave="18"},{id:40013,level:120,wave="18"},{id:40071,level:120,wave="18"},{id:40009,level:120,wave="18"}
{id:40025,level:120,wave="19"},{id:40048,level:120,wave="19"},{id:40013,level:120,wave="19"},{id:40071,level:120,wave="19"},{id:40009,level:120,wave="19"}
{id:40025,level:120,wave="20"},{id:40048,level:120,wave="20"},{id:40013,level:120,wave="20"},{id:40071,level:120,wave="20"},{id:40009,level:120,wave="20"}
{id:40025,level:120,wave="21"},{id:40048,level:120,wave="21"},{id:40013,level:120,wave="21"},{id:40071,level:120,wave="21"},{id:40009,level:120,wave="21"}
{id:40025,level:120,wave="22"},{id:40048,level:120,wave="22"},{id:40013,level:120,wave="22"},{id:40071,level:120,wave="22"},{id:40009,level:120,wave="22"}
{id:40025,level:120,wave="23"},{id:40048,level:120,wave="23"},{id:40013,level:120,wave="23"},{id:40071,level:120,wave="23"},{id:40009,level:120,wave="23"}</t>
  </si>
  <si>
    <t>40015,40012,40014,40013</t>
  </si>
  <si>
    <t>連續25wave</t>
  </si>
  <si>
    <t>40013,40014,40015,40016</t>
  </si>
  <si>
    <t>{role:-1},
{id:-1},{id:-1},{id:-1},{id:-1},{id:-1}
{id:40073,level:130,wave="1"},{id:40008,level:130,wave="1"},{id:40080,level:130,wave="1"},{id:40027,level:130,wave="1"},{id:40064,level:130,wave="1"}
{id:40073,level:130,wave="2"},{id:40008,level:130,wave="2"},{id:40080,level:130,wave="2"},{id:40027,level:130,wave="2"},{id:40064,level:130,wave="2"}
{id:40073,level:130,wave="3"},{id:40008,level:130,wave="3"},{id:40080,level:130,wave="3"},{id:40027,level:130,wave="3"},{id:40064,level:130,wave="3"}
{id:40073,level:130,wave="4"},{id:40008,level:130,wave="4"},{id:40080,level:130,wave="4"},{id:40027,level:130,wave="4"},{id:40064,level:130,wave="4"}
{id:40073,level:130,wave="5"},{id:40008,level:130,wave="5"},{id:40080,level:130,wave="5"},{id:40027,level:130,wave="5"},{id:40064,level:130,wave="5"}
{id:40073,level:130,wave="6"},{id:40008,level:130,wave="6"},{id:40080,level:130,wave="6"},{id:40027,level:130,wave="6"},{id:40064,level:130,wave="6"}
{id:40073,level:130,wave="7"},{id:40008,level:130,wave="7"},{id:40080,level:130,wave="7"},{id:40027,level:130,wave="7"},{id:40064,level:130,wave="7"}
{id:40073,level:130,wave="8"},{id:40008,level:130,wave="8"},{id:40080,level:130,wave="8"},{id:40027,level:130,wave="8"},{id:40064,level:130,wave="8"}
{id:40073,level:130,wave="9"},{id:40008,level:130,wave="9"},{id:40080,level:130,wave="9"},{id:40027,level:130,wave="9"},{id:40064,level:130,wave="9"}
{id:40073,level:130,wave="10"},{id:40008,level:130,wave="10"},{id:40080,level:130,wave="10"},{id:40027,level:130,wave="10"},{id:40064,level:130,wave="10"}
{id:40073,level:130,wave="11"},{id:40008,level:130,wave="11"},{id:40080,level:130,wave="11"},{id:40027,level:130,wave="11"},{id:40064,level:130,wave="11"}
{id:40073,level:130,wave="12"},{id:40008,level:130,wave="12"},{id:40080,level:130,wave="12"},{id:40027,level:130,wave="12"},{id:40064,level:130,wave="12"}
{id:40073,level:130,wave="13"},{id:40008,level:130,wave="13"},{id:40080,level:130,wave="13"},{id:40027,level:130,wave="13"},{id:40064,level:130,wave="13"}
{id:40073,level:130,wave="14"},{id:40008,level:130,wave="14"},{id:40080,level:130,wave="14"},{id:40027,level:130,wave="14"},{id:40064,level:130,wave="14"}
{id:40073,level:130,wave="15"},{id:40008,level:130,wave="15"},{id:40080,level:130,wave="15"},{id:40027,level:130,wave="15"},{id:40064,level:130,wave="15"}
{id:40073,level:130,wave="16"},{id:40008,level:130,wave="16"},{id:40080,level:130,wave="16"},{id:40027,level:130,wave="16"},{id:40064,level:130,wave="16"}
{id:40073,level:130,wave="17"},{id:40008,level:130,wave="17"},{id:40080,level:130,wave="17"},{id:40027,level:130,wave="17"},{id:40064,level:130,wave="17"}
{id:40073,level:130,wave="18"},{id:40008,level:130,wave="18"},{id:40080,level:130,wave="18"},{id:40027,level:130,wave="18"},{id:40064,level:130,wave="18"}
{id:40073,level:130,wave="19"},{id:40008,level:130,wave="19"},{id:40080,level:130,wave="19"},{id:40027,level:130,wave="19"},{id:40064,level:130,wave="19"}
{id:40073,level:130,wave="20"},{id:40008,level:130,wave="20"},{id:40080,level:130,wave="20"},{id:40027,level:130,wave="20"},{id:40064,level:130,wave="20"}
{id:40073,level:130,wave="21"},{id:40008,level:130,wave="21"},{id:40080,level:130,wave="21"},{id:40027,level:130,wave="21"},{id:40064,level:130,wave="21"}
{id:40073,level:130,wave="22"},{id:40008,level:130,wave="22"},{id:40080,level:130,wave="22"},{id:40027,level:130,wave="22"},{id:40064,level:130,wave="22"}
{id:40073,level:130,wave="23"},{id:40008,level:130,wave="23"},{id:40080,level:130,wave="23"},{id:40027,level:130,wave="23"},{id:40064,level:130,wave="23"}
{id:40073,level:130,wave="24"},{id:40008,level:130,wave="24"},{id:40080,level:130,wave="24"},{id:40027,level:130,wave="24"},{id:40064,level:130,wave="24"}
{id:40073,level:130,wave="25"},{id:40008,level:130,wave="25"},{id:40080,level:130,wave="25"},{id:40027,level:130,wave="25"},{id:40064,level:130,wave="25"}</t>
  </si>
  <si>
    <t>青銅金屬靴</t>
  </si>
  <si>
    <t>40015,40014,40016,40012</t>
  </si>
  <si>
    <t>連續27wave</t>
  </si>
  <si>
    <t>{role:-1},
{id:-1},{id:-1},{id:-1},{id:-1},{id:-1}
{id:40069,level:140,wave="1"},{id:40055,level:140,wave="1"},{id:40041,level:140,wave="1"},{id:40060,level:140,wave="1"},{id:40075,level:140,wave="1"}
{id:40069,level:140,wave="2"},{id:40055,level:140,wave="2"},{id:40041,level:140,wave="2"},{id:40060,level:140,wave="2"},{id:40075,level:140,wave="2"}
{id:40069,level:140,wave="3"},{id:40055,level:140,wave="3"},{id:40041,level:140,wave="3"},{id:40060,level:140,wave="3"},{id:40075,level:140,wave="3"}
{id:40069,level:140,wave="4"},{id:40055,level:140,wave="4"},{id:40041,level:140,wave="4"},{id:40060,level:140,wave="4"},{id:40075,level:140,wave="4"}
{id:40069,level:140,wave="5"},{id:40055,level:140,wave="5"},{id:40041,level:140,wave="5"},{id:40060,level:140,wave="5"},{id:40075,level:140,wave="5"}
{id:40069,level:140,wave="6"},{id:40055,level:140,wave="6"},{id:40041,level:140,wave="6"},{id:40060,level:140,wave="6"},{id:40075,level:140,wave="6"}
{id:40069,level:140,wave="7"},{id:40055,level:140,wave="7"},{id:40041,level:140,wave="7"},{id:40060,level:140,wave="7"},{id:40075,level:140,wave="7"}
{id:40069,level:140,wave="8"},{id:40055,level:140,wave="8"},{id:40041,level:140,wave="8"},{id:40060,level:140,wave="8"},{id:40075,level:140,wave="8"}
{id:40069,level:140,wave="9"},{id:40055,level:140,wave="9"},{id:40041,level:140,wave="9"},{id:40060,level:140,wave="9"},{id:40075,level:140,wave="9"}
{id:40069,level:140,wave="10"},{id:40055,level:140,wave="10"},{id:40041,level:140,wave="10"},{id:40060,level:140,wave="10"},{id:40075,level:140,wave="10"}
{id:40069,level:140,wave="11"},{id:40055,level:140,wave="11"},{id:40041,level:140,wave="11"},{id:40060,level:140,wave="11"},{id:40075,level:140,wave="11"}
{id:40069,level:140,wave="12"},{id:40055,level:140,wave="12"},{id:40041,level:140,wave="12"},{id:40060,level:140,wave="12"},{id:40075,level:140,wave="12"}
{id:40069,level:140,wave="13"},{id:40055,level:140,wave="13"},{id:40041,level:140,wave="13"},{id:40060,level:140,wave="13"},{id:40075,level:140,wave="13"}
{id:40069,level:140,wave="14"},{id:40055,level:140,wave="14"},{id:40041,level:140,wave="14"},{id:40060,level:140,wave="14"},{id:40075,level:140,wave="14"}
{id:40069,level:140,wave="15"},{id:40055,level:140,wave="15"},{id:40041,level:140,wave="15"},{id:40060,level:140,wave="15"},{id:40075,level:140,wave="15"}
{id:40069,level:140,wave="16"},{id:40055,level:140,wave="16"},{id:40041,level:140,wave="16"},{id:40060,level:140,wave="16"},{id:40075,level:140,wave="16"}
{id:40069,level:140,wave="17"},{id:40055,level:140,wave="17"},{id:40041,level:140,wave="17"},{id:40060,level:140,wave="17"},{id:40075,level:140,wave="17"}
{id:40069,level:140,wave="18"},{id:40055,level:140,wave="18"},{id:40041,level:140,wave="18"},{id:40060,level:140,wave="18"},{id:40075,level:140,wave="18"}
{id:40069,level:140,wave="19"},{id:40055,level:140,wave="19"},{id:40041,level:140,wave="19"},{id:40060,level:140,wave="19"},{id:40075,level:140,wave="19"}
{id:40069,level:140,wave="20"},{id:40055,level:140,wave="20"},{id:40041,level:140,wave="20"},{id:40060,level:140,wave="20"},{id:40075,level:140,wave="20"}
{id:40069,level:140,wave="21"},{id:40055,level:140,wave="21"},{id:40041,level:140,wave="21"},{id:40060,level:140,wave="21"},{id:40075,level:140,wave="21"}
{id:40069,level:140,wave="22"},{id:40055,level:140,wave="22"},{id:40041,level:140,wave="22"},{id:40060,level:140,wave="22"},{id:40075,level:140,wave="22"}
{id:40069,level:140,wave="23"},{id:40055,level:140,wave="23"},{id:40041,level:140,wave="23"},{id:40060,level:140,wave="23"},{id:40075,level:140,wave="23"}
{id:40069,level:140,wave="24"},{id:40055,level:140,wave="24"},{id:40041,level:140,wave="24"},{id:40060,level:140,wave="24"},{id:40075,level:140,wave="24"}
{id:40069,level:140,wave="25"},{id:40055,level:140,wave="25"},{id:40041,level:140,wave="25"},{id:40060,level:140,wave="25"},{id:40075,level:140,wave="25"}
{id:40069,level:140,wave="26"},{id:40055,level:140,wave="26"},{id:40041,level:140,wave="26"},{id:40060,level:140,wave="26"},{id:40075,level:140,wave="26"}
{id:40069,level:140,wave="27"},{id:40055,level:140,wave="27"},{id:40041,level:140,wave="27"},{id:40060,level:140,wave="27"},{id:40075,level:140,wave="27"}</t>
  </si>
  <si>
    <t>40016,40013,40015</t>
  </si>
  <si>
    <t>青銅背甲</t>
  </si>
  <si>
    <t>連續29wave</t>
  </si>
  <si>
    <t>40015,40013,40016</t>
  </si>
  <si>
    <t>青銅褲甲</t>
  </si>
  <si>
    <t>{role:-1},
{id:-1},{id:-1},{id:-1},{id:-1},{id:-1}
{id:40059,level:150,wave="1"},{id:40047,level:150,wave="1"},{id:40039,level:150,wave="1"},{id:40032,level:150,wave="1"},{id:40024,level:150,wave="1"}
{id:40059,level:150,wave="2"},{id:40047,level:150,wave="2"},{id:40039,level:150,wave="2"},{id:40032,level:150,wave="2"},{id:40024,level:150,wave="2"}
{id:40059,level:150,wave="3"},{id:40047,level:150,wave="3"},{id:40039,level:150,wave="3"},{id:40032,level:150,wave="3"},{id:40024,level:150,wave="3"}
{id:40059,level:150,wave="4"},{id:40047,level:150,wave="4"},{id:40039,level:150,wave="4"},{id:40032,level:150,wave="4"},{id:40024,level:150,wave="4"}
{id:40059,level:150,wave="5"},{id:40047,level:150,wave="5"},{id:40039,level:150,wave="5"},{id:40032,level:150,wave="5"},{id:40024,level:150,wave="5"}
{id:40059,level:150,wave="6"},{id:40047,level:150,wave="6"},{id:40039,level:150,wave="6"},{id:40032,level:150,wave="6"},{id:40024,level:150,wave="6"}
{id:40059,level:150,wave="7"},{id:40047,level:150,wave="7"},{id:40039,level:150,wave="7"},{id:40032,level:150,wave="7"},{id:40024,level:150,wave="7"}
{id:40059,level:150,wave="8"},{id:40047,level:150,wave="8"},{id:40039,level:150,wave="8"},{id:40032,level:150,wave="8"},{id:40024,level:150,wave="8"}
{id:40059,level:150,wave="9"},{id:40047,level:150,wave="9"},{id:40039,level:150,wave="9"},{id:40032,level:150,wave="9"},{id:40024,level:150,wave="9"}
{id:40059,level:150,wave="10"},{id:40047,level:150,wave="10"},{id:40039,level:150,wave="10"},{id:40032,level:150,wave="10"},{id:40024,level:150,wave="10"}
{id:40059,level:150,wave="11"},{id:40047,level:150,wave="11"},{id:40039,level:150,wave="11"},{id:40032,level:150,wave="11"},{id:40024,level:150,wave="11"}
{id:40059,level:150,wave="12"},{id:40047,level:150,wave="12"},{id:40039,level:150,wave="12"},{id:40032,level:150,wave="12"},{id:40024,level:150,wave="12"}
{id:40059,level:150,wave="13"},{id:40047,level:150,wave="13"},{id:40039,level:150,wave="13"},{id:40032,level:150,wave="13"},{id:40024,level:150,wave="13"}
{id:40059,level:150,wave="14"},{id:40047,level:150,wave="14"},{id:40039,level:150,wave="14"},{id:40032,level:150,wave="14"},{id:40024,level:150,wave="14"}
{id:40059,level:150,wave="15"},{id:40047,level:150,wave="15"},{id:40039,level:150,wave="15"},{id:40032,level:150,wave="15"},{id:40024,level:150,wave="15"}
{id:40059,level:150,wave="16"},{id:40047,level:150,wave="16"},{id:40039,level:150,wave="16"},{id:40032,level:150,wave="16"},{id:40024,level:150,wave="16"}
{id:40059,level:150,wave="17"},{id:40047,level:150,wave="17"},{id:40039,level:150,wave="17"},{id:40032,level:150,wave="17"},{id:40024,level:150,wave="17"}
{id:40059,level:150,wave="18"},{id:40047,level:150,wave="18"},{id:40039,level:150,wave="18"},{id:40032,level:150,wave="18"},{id:40024,level:150,wave="18"}
{id:40059,level:150,wave="19"},{id:40047,level:150,wave="19"},{id:40039,level:150,wave="19"},{id:40032,level:150,wave="19"},{id:40024,level:150,wave="19"}
{id:40059,level:150,wave="20"},{id:40047,level:150,wave="20"},{id:40039,level:150,wave="20"},{id:40032,level:150,wave="20"},{id:40024,level:150,wave="20"}
{id:40059,level:150,wave="21"},{id:40047,level:150,wave="21"},{id:40039,level:150,wave="21"},{id:40032,level:150,wave="21"},{id:40024,level:150,wave="21"}
{id:40059,level:150,wave="22"},{id:40047,level:150,wave="22"},{id:40039,level:150,wave="22"},{id:40032,level:150,wave="22"},{id:40024,level:150,wave="22"}
{id:40059,level:150,wave="23"},{id:40047,level:150,wave="23"},{id:40039,level:150,wave="23"},{id:40032,level:150,wave="23"},{id:40024,level:150,wave="23"}
{id:40059,level:150,wave="24"},{id:40047,level:150,wave="24"},{id:40039,level:150,wave="24"},{id:40032,level:150,wave="24"},{id:40024,level:150,wave="24"}
{id:40059,level:150,wave="25"},{id:40047,level:150,wave="25"},{id:40039,level:150,wave="25"},{id:40032,level:150,wave="25"},{id:40024,level:150,wave="25"}
{id:40059,level:150,wave="26"},{id:40047,level:150,wave="26"},{id:40039,level:150,wave="26"},{id:40032,level:150,wave="26"},{id:40024,level:150,wave="26"}
{id:40059,level:150,wave="27"},{id:40047,level:150,wave="27"},{id:40039,level:150,wave="27"},{id:40032,level:150,wave="27"},{id:40024,level:150,wave="27"}
{id:40059,level:150,wave="28"},{id:40047,level:150,wave="28"},{id:40039,level:150,wave="28"},{id:40032,level:150,wave="28"},{id:40024,level:150,wave="28"}
{id:40059,level:150,wave="29"},{id:40047,level:150,wave="29"},{id:40039,level:150,wave="29"},{id:40032,level:150,wave="29"},{id:40024,level:150,wave="29"}</t>
  </si>
  <si>
    <t>40016,40013,40014,40012</t>
  </si>
  <si>
    <t>重金屬長槍</t>
  </si>
  <si>
    <t>連續30wave</t>
  </si>
  <si>
    <t>40014,40016,40015,40013</t>
  </si>
  <si>
    <t>{role:-1},
{id:-1},{id:-1},{id:-1},{id:-1},{id:-1}
{id:40032,level:160,wave="1"},{id:40011,level:160,wave="1"},{id:40074,level:160,wave="1"},{id:40039,level:160,wave="1"},{id:40068,level:160,wave="1"}
{id:40032,level:160,wave="2"},{id:40011,level:160,wave="2"},{id:40074,level:160,wave="2"},{id:40039,level:160,wave="2"},{id:40068,level:160,wave="2"}
{id:40032,level:160,wave="3"},{id:40011,level:160,wave="3"},{id:40074,level:160,wave="3"},{id:40039,level:160,wave="3"},{id:40068,level:160,wave="3"}
{id:40032,level:160,wave="4"},{id:40011,level:160,wave="4"},{id:40074,level:160,wave="4"},{id:40039,level:160,wave="4"},{id:40068,level:160,wave="4"}
{id:40032,level:160,wave="5"},{id:40011,level:160,wave="5"},{id:40074,level:160,wave="5"},{id:40039,level:160,wave="5"},{id:40068,level:160,wave="5"}
{id:40032,level:160,wave="6"},{id:40011,level:160,wave="6"},{id:40074,level:160,wave="6"},{id:40039,level:160,wave="6"},{id:40068,level:160,wave="6"}
{id:40032,level:160,wave="7"},{id:40011,level:160,wave="7"},{id:40074,level:160,wave="7"},{id:40039,level:160,wave="7"},{id:40068,level:160,wave="7"}
{id:40032,level:160,wave="8"},{id:40011,level:160,wave="8"},{id:40074,level:160,wave="8"},{id:40039,level:160,wave="8"},{id:40068,level:160,wave="8"}
{id:40032,level:160,wave="9"},{id:40011,level:160,wave="9"},{id:40074,level:160,wave="9"},{id:40039,level:160,wave="9"},{id:40068,level:160,wave="9"}
{id:40032,level:160,wave="10"},{id:40011,level:160,wave="10"},{id:40074,level:160,wave="10"},{id:40039,level:160,wave="10"},{id:40068,level:160,wave="10"}
{id:40032,level:160,wave="11"},{id:40011,level:160,wave="11"},{id:40074,level:160,wave="11"},{id:40039,level:160,wave="11"},{id:40068,level:160,wave="11"}
{id:40032,level:160,wave="12"},{id:40011,level:160,wave="12"},{id:40074,level:160,wave="12"},{id:40039,level:160,wave="12"},{id:40068,level:160,wave="12"}
{id:40032,level:160,wave="13"},{id:40011,level:160,wave="13"},{id:40074,level:160,wave="13"},{id:40039,level:160,wave="13"},{id:40068,level:160,wave="13"}
{id:40032,level:160,wave="14"},{id:40011,level:160,wave="14"},{id:40074,level:160,wave="14"},{id:40039,level:160,wave="14"},{id:40068,level:160,wave="14"}
{id:40032,level:160,wave="15"},{id:40011,level:160,wave="15"},{id:40074,level:160,wave="15"},{id:40039,level:160,wave="15"},{id:40068,level:160,wave="15"}
{id:40032,level:160,wave="16"},{id:40011,level:160,wave="16"},{id:40074,level:160,wave="16"},{id:40039,level:160,wave="16"},{id:40068,level:160,wave="16"}
{id:40032,level:160,wave="17"},{id:40011,level:160,wave="17"},{id:40074,level:160,wave="17"},{id:40039,level:160,wave="17"},{id:40068,level:160,wave="17"}
{id:40032,level:160,wave="18"},{id:40011,level:160,wave="18"},{id:40074,level:160,wave="18"},{id:40039,level:160,wave="18"},{id:40068,level:160,wave="18"}
{id:40032,level:160,wave="19"},{id:40011,level:160,wave="19"},{id:40074,level:160,wave="19"},{id:40039,level:160,wave="19"},{id:40068,level:160,wave="19"}
{id:40032,level:160,wave="20"},{id:40011,level:160,wave="20"},{id:40074,level:160,wave="20"},{id:40039,level:160,wave="20"},{id:40068,level:160,wave="20"}
{id:40032,level:160,wave="21"},{id:40011,level:160,wave="21"},{id:40074,level:160,wave="21"},{id:40039,level:160,wave="21"},{id:40068,level:160,wave="21"}
{id:40032,level:160,wave="22"},{id:40011,level:160,wave="22"},{id:40074,level:160,wave="22"},{id:40039,level:160,wave="22"},{id:40068,level:160,wave="22"}
{id:40032,level:160,wave="23"},{id:40011,level:160,wave="23"},{id:40074,level:160,wave="23"},{id:40039,level:160,wave="23"},{id:40068,level:160,wave="23"}
{id:40032,level:160,wave="24"},{id:40011,level:160,wave="24"},{id:40074,level:160,wave="24"},{id:40039,level:160,wave="24"},{id:40068,level:160,wave="24"}
{id:40032,level:160,wave="25"},{id:40011,level:160,wave="25"},{id:40074,level:160,wave="25"},{id:40039,level:160,wave="25"},{id:40068,level:160,wave="25"}
{id:40032,level:160,wave="26"},{id:40011,level:160,wave="26"},{id:40074,level:160,wave="26"},{id:40039,level:160,wave="26"},{id:40068,level:160,wave="26"}
{id:40032,level:160,wave="27"},{id:40011,level:160,wave="27"},{id:40074,level:160,wave="27"},{id:40039,level:160,wave="27"},{id:40068,level:160,wave="27"}
{id:40032,level:160,wave="28"},{id:40011,level:160,wave="28"},{id:40074,level:160,wave="28"},{id:40039,level:160,wave="28"},{id:40068,level:160,wave="28"}
{id:40032,level:160,wave="29"},{id:40011,level:160,wave="29"},{id:40074,level:160,wave="29"},{id:40039,level:160,wave="29"},{id:40068,level:160,wave="29"}
{id:40032,level:160,wave="30"},{id:40011,level:160,wave="30"},{id:40074,level:160,wave="30"},{id:40039,level:160,wave="30"},{id:40068,level:160,wave="30"}</t>
  </si>
  <si>
    <t>40013,40016,40014</t>
  </si>
  <si>
    <t>重金屬頭盔</t>
  </si>
  <si>
    <t>map_red</t>
  </si>
  <si>
    <t>50002,40012,40016,40014,40013</t>
  </si>
  <si>
    <t>紅色大門1</t>
  </si>
  <si>
    <t>{role:-1},
{id:-1}{id:-1},{id:-1},{id:-1},{id:-1} {id:40008},{id:40007},{id:50003},{id:40010},{id:40009}</t>
  </si>
  <si>
    <t>70001,70002,70003,70004,70005,70006,70007,70008,70009,70010,70011,70012,70013,70014,70015,70016,70017,70018,70019,70020,70021,70022,70023,70024,70025,70026,70027,70028,70029,70030,70031,70032,70033,70034,70035,70036,70037,70038,70039,70040,70041,70042,70043,70044,70045,70046,70047,70048,70049,70050,70051,70052,70053,70054,70055,70056,70057,70058,70059,70060,70061,70062,70063,70064,70065,70066,70067,70068,70069,70070,70071,70072,70073,70074,70075,70076,70077,70078,70079,70080,80001,81001,82001,83001,84001,85001,88000,88001,88002,88003,88004,88005,88006,88007,88008,88009,88010,88011,88012,88013,88014,88015,88016,88017,88018,88019,88020,88021,88022,88023,88024,88025,88026,88027,88028,88029,88030,88031,88032,88033,88034,88035,88036,88037,88038,88039,88040,88041</t>
  </si>
  <si>
    <t>紅色大門2</t>
  </si>
  <si>
    <t>{role:-1},
{id:-1}{id:-1},{id:-1},{id:-1},{id:-1}, {id:40012},{id:40011},{id:50002},{id:40013},{id:40015}</t>
  </si>
  <si>
    <t>40020,40021</t>
  </si>
  <si>
    <t>紅色大門3</t>
  </si>
  <si>
    <t>{role:-1},
{id:-1},{id:-1},{id:-1},{id:-1},{id:-1}, {id:40005},{id:40003},{id:50001},{id:40001},{id:40004}</t>
  </si>
  <si>
    <t>40021,40020</t>
  </si>
  <si>
    <t>紅色大門4</t>
  </si>
  <si>
    <t>重金屬鎧甲</t>
  </si>
  <si>
    <t>map_blue</t>
  </si>
  <si>
    <t>藍色大門1</t>
  </si>
  <si>
    <t>40021,40017</t>
  </si>
  <si>
    <t>40020,40017,40019</t>
  </si>
  <si>
    <t>藍色大門2</t>
  </si>
  <si>
    <t>重金屬長靴</t>
  </si>
  <si>
    <t>40018</t>
  </si>
  <si>
    <t>藍色大門3</t>
  </si>
  <si>
    <t>藍色大門4</t>
  </si>
  <si>
    <t>40018,40021</t>
  </si>
  <si>
    <t>map_purple</t>
  </si>
  <si>
    <t>紫色大門1</t>
  </si>
  <si>
    <t>40021,40018,40017</t>
  </si>
  <si>
    <t>紫色大門2</t>
  </si>
  <si>
    <t>重金屬鞘甲</t>
  </si>
  <si>
    <t>40018,40021,40017</t>
  </si>
  <si>
    <t>紫色大門3</t>
  </si>
  <si>
    <t>紫色大門4</t>
  </si>
  <si>
    <t>map_yellow</t>
  </si>
  <si>
    <t>增益大門1</t>
  </si>
  <si>
    <t>增益選擇</t>
  </si>
  <si>
    <t>select_self</t>
  </si>
  <si>
    <t>1,2,3,4,5,6,7,8,9,10,11,12,13,14,15,16,17,18,19,20</t>
  </si>
  <si>
    <t>40018,40019,40017,40021</t>
  </si>
  <si>
    <t>增益大門2</t>
  </si>
  <si>
    <t>重金屬腿甲</t>
  </si>
  <si>
    <t>增益大門3</t>
  </si>
  <si>
    <t>40021,40018,40020</t>
  </si>
  <si>
    <t>增益大門4</t>
  </si>
  <si>
    <t>40020,40019,40021</t>
  </si>
  <si>
    <t>40018,40020,40017</t>
  </si>
  <si>
    <t>雷霆重槌</t>
  </si>
  <si>
    <t>40019,40018</t>
  </si>
  <si>
    <t>40017,40018,40021</t>
  </si>
  <si>
    <t>40018,40019,40020</t>
  </si>
  <si>
    <t>40020,40017,40018,40019</t>
  </si>
  <si>
    <t>雷霆重頭甲</t>
  </si>
  <si>
    <t>40017,40021,40020,40019</t>
  </si>
  <si>
    <t>40020,40019,40017,40021</t>
  </si>
  <si>
    <t>40017,40020,40021</t>
  </si>
  <si>
    <t>雷霆重金甲</t>
  </si>
  <si>
    <t>40020,40018,40021</t>
  </si>
  <si>
    <t>40017,40019,40021,40020</t>
  </si>
  <si>
    <t>雷霆重靴</t>
  </si>
  <si>
    <t>40020,40021,40017</t>
  </si>
  <si>
    <t>40020,40021,40017,40019</t>
  </si>
  <si>
    <t>40018,40019</t>
  </si>
  <si>
    <t>雷霆披風</t>
  </si>
  <si>
    <t>寶石強化1</t>
  </si>
  <si>
    <t>40018,40020,40019,40021</t>
  </si>
  <si>
    <t>寶石強化2</t>
  </si>
  <si>
    <t>40017,40021,40019</t>
  </si>
  <si>
    <t>雷霆重腿甲</t>
  </si>
  <si>
    <t>寶石強化3</t>
  </si>
  <si>
    <t>寶石強化4</t>
  </si>
  <si>
    <t>50004,40017,40019,40020,40021</t>
  </si>
  <si>
    <t>寶石強化5</t>
  </si>
  <si>
    <t>青冥破軍刀</t>
  </si>
  <si>
    <t>寶石強化6</t>
  </si>
  <si>
    <t>40026,40022</t>
  </si>
  <si>
    <t>寶石強化7</t>
  </si>
  <si>
    <t>40027,40024</t>
  </si>
  <si>
    <t>40022,40026</t>
  </si>
  <si>
    <t>寶石強化8</t>
  </si>
  <si>
    <t>青冥破軍頭盔</t>
  </si>
  <si>
    <t>40026,40025</t>
  </si>
  <si>
    <t>寶石強化9</t>
  </si>
  <si>
    <t>寶石強化10</t>
  </si>
  <si>
    <t>40026,40024</t>
  </si>
  <si>
    <t>彩石強化1</t>
  </si>
  <si>
    <t>40027,40025</t>
  </si>
  <si>
    <t>彩石強化2</t>
  </si>
  <si>
    <t>彩石強化3</t>
  </si>
  <si>
    <t>40024,40026</t>
  </si>
  <si>
    <t>彩石強化4</t>
  </si>
  <si>
    <t>青冥破軍靴</t>
  </si>
  <si>
    <t>40022,40026,40027</t>
  </si>
  <si>
    <t>彩石強化5</t>
  </si>
  <si>
    <t>40022,40025,40027,40024</t>
  </si>
  <si>
    <t>彩石強化6</t>
  </si>
  <si>
    <t>40022,40026,40024,40025</t>
  </si>
  <si>
    <t>彩石強化7</t>
  </si>
  <si>
    <t>青冥破軍批</t>
  </si>
  <si>
    <t>40027,40022,40025</t>
  </si>
  <si>
    <t>彩石強化8</t>
  </si>
  <si>
    <t>彩石強化9</t>
  </si>
  <si>
    <t>40027,40024,40025</t>
  </si>
  <si>
    <t>彩石強化10</t>
  </si>
  <si>
    <t>40024,40022,40027,40025</t>
  </si>
  <si>
    <t>青冥破軍金靴</t>
  </si>
  <si>
    <t>暴晶強化1</t>
  </si>
  <si>
    <t>40024,40027,40026,40022</t>
  </si>
  <si>
    <t>40024,40026,40022</t>
  </si>
  <si>
    <t>40022,40026,40025,40024</t>
  </si>
  <si>
    <t>40024,40025</t>
  </si>
  <si>
    <t>冒險者盾牌</t>
  </si>
  <si>
    <t>40027,40024,40025,40026</t>
  </si>
  <si>
    <t>40027,40022,40026,40025</t>
  </si>
  <si>
    <t>冒險者短劍</t>
  </si>
  <si>
    <t>40025,40026,40024,40027</t>
  </si>
  <si>
    <t>冒險者短杖</t>
  </si>
  <si>
    <t>40026,40027,40025,40024,40022</t>
  </si>
  <si>
    <t>40026,40027,40022</t>
  </si>
  <si>
    <t>40026,40024,40027</t>
  </si>
  <si>
    <t>裝備強化1</t>
  </si>
  <si>
    <t>裝備強化2</t>
  </si>
  <si>
    <t>40025,40024,40026,40022</t>
  </si>
  <si>
    <t>裝備強化3</t>
  </si>
  <si>
    <t>40027,40022,40026</t>
  </si>
  <si>
    <t>裝備強化4</t>
  </si>
  <si>
    <t>裝備強化5</t>
  </si>
  <si>
    <t>裝備強化6</t>
  </si>
  <si>
    <t>40026,40027,40024</t>
  </si>
  <si>
    <t>裝備強化7</t>
  </si>
  <si>
    <t>50005,40022,40025,40024,40027</t>
  </si>
  <si>
    <t>裝備強化8</t>
  </si>
  <si>
    <t>40031</t>
  </si>
  <si>
    <t>裝備強化9</t>
  </si>
  <si>
    <t>裝備強化10</t>
  </si>
  <si>
    <t>40029,40028</t>
  </si>
  <si>
    <t>40028,40031</t>
  </si>
  <si>
    <t>40030,40031</t>
  </si>
  <si>
    <t>SSR武器升星-物攻1</t>
  </si>
  <si>
    <t>40028,40030,40033</t>
  </si>
  <si>
    <t>SSR武器升星-物攻2</t>
  </si>
  <si>
    <t>40029,40028,40033</t>
  </si>
  <si>
    <t>40031,40029</t>
  </si>
  <si>
    <t>40033,40028,40031</t>
  </si>
  <si>
    <t>SSR武器升星-物攻3</t>
  </si>
  <si>
    <t>40029,40031,40033</t>
  </si>
  <si>
    <t>40031,40030,40028,40033</t>
  </si>
  <si>
    <t>40031,40028,40029</t>
  </si>
  <si>
    <t>SSR武器升星-物攻4</t>
  </si>
  <si>
    <t>40033,40029,40028</t>
  </si>
  <si>
    <t>40029,40028,40030,40031</t>
  </si>
  <si>
    <t>SSR武器升星-物攻5</t>
  </si>
  <si>
    <t>40029,40031,40030,40028</t>
  </si>
  <si>
    <t>40033,40030,40028</t>
  </si>
  <si>
    <t>SSR武器升星-物攻6</t>
  </si>
  <si>
    <t>40033,40029,40030</t>
  </si>
  <si>
    <t>40031,40030,40029,40028</t>
  </si>
  <si>
    <t>SSR武器升星-物攻7</t>
  </si>
  <si>
    <t>40031,40033,40029</t>
  </si>
  <si>
    <t>SSR武器升星-物攻8</t>
  </si>
  <si>
    <t>40028,40029</t>
  </si>
  <si>
    <t>SSR武器升星-物攻9</t>
  </si>
  <si>
    <t>40030,40028</t>
  </si>
  <si>
    <t>SSR武器升星-物攻10</t>
  </si>
  <si>
    <t>40033,40029,40028,40031</t>
  </si>
  <si>
    <t>40031,40030,40028</t>
  </si>
  <si>
    <t>SSR武器升星-魔攻1</t>
  </si>
  <si>
    <t>40028,40031,40029</t>
  </si>
  <si>
    <t>SSR武器升星-魔攻2</t>
  </si>
  <si>
    <t>永夜白骨刃</t>
  </si>
  <si>
    <t>40029,40031</t>
  </si>
  <si>
    <t>SSR武器升星-魔攻3</t>
  </si>
  <si>
    <t>40031,40033,40029,40030</t>
  </si>
  <si>
    <t>月亮寶珠</t>
  </si>
  <si>
    <t>50006,40033,40030,40031,40029</t>
  </si>
  <si>
    <t>泰坦巨斧</t>
  </si>
  <si>
    <t>SSR武器升星-魔攻4</t>
  </si>
  <si>
    <t>40037,40034</t>
  </si>
  <si>
    <t>40037,40036</t>
  </si>
  <si>
    <t>SSR武器升星-魔攻5</t>
  </si>
  <si>
    <t>40034</t>
  </si>
  <si>
    <t>40038,40034</t>
  </si>
  <si>
    <t>SSR武器升星-魔攻6</t>
  </si>
  <si>
    <t>40036,40039,40034</t>
  </si>
  <si>
    <t>40034,40039</t>
  </si>
  <si>
    <t>SSR武器升星-魔攻7</t>
  </si>
  <si>
    <t>40034,40038</t>
  </si>
  <si>
    <t>40038,40036,40034</t>
  </si>
  <si>
    <t>SSR武器升星-魔攻8</t>
  </si>
  <si>
    <t>40037,40038,40034</t>
  </si>
  <si>
    <t>40034,40036,40038</t>
  </si>
  <si>
    <t>SSR武器升星-魔攻9</t>
  </si>
  <si>
    <t>40039,40037</t>
  </si>
  <si>
    <t>40037,40038</t>
  </si>
  <si>
    <t>SSR武器升星-魔攻10</t>
  </si>
  <si>
    <t>40037,40036,40034,40038</t>
  </si>
  <si>
    <t>40038,40034,40036</t>
  </si>
  <si>
    <t>SR武器升星-物攻1</t>
  </si>
  <si>
    <t>40034,40037</t>
  </si>
  <si>
    <t>40038,40039</t>
  </si>
  <si>
    <t>40039,40034,40038</t>
  </si>
  <si>
    <t>SR武器升星-物攻2</t>
  </si>
  <si>
    <t>40038,40037,40036</t>
  </si>
  <si>
    <t>40038,40036,40037,40034</t>
  </si>
  <si>
    <t>SR武器升星-物攻3</t>
  </si>
  <si>
    <t>40036,40038,40034</t>
  </si>
  <si>
    <t>40038,40037,40039,40034</t>
  </si>
  <si>
    <t>SR武器升星-物攻4</t>
  </si>
  <si>
    <t>40034,40036,40038,40039</t>
  </si>
  <si>
    <t>40037,40039,40034</t>
  </si>
  <si>
    <t>SR武器升星-物攻5</t>
  </si>
  <si>
    <t>40034,40039,40037,40038</t>
  </si>
  <si>
    <t>SR武器升星-物攻6</t>
  </si>
  <si>
    <t>40039,40037,40036</t>
  </si>
  <si>
    <t>40034,40039,40036,40037</t>
  </si>
  <si>
    <t>SR武器升星-物攻7</t>
  </si>
  <si>
    <t>40037,40036,40038,40039</t>
  </si>
  <si>
    <t>40037,40039,40038</t>
  </si>
  <si>
    <t>SR武器升星-物攻8</t>
  </si>
  <si>
    <t>40039,40038,40036,40037</t>
  </si>
  <si>
    <t>40039,40034,40036,40037</t>
  </si>
  <si>
    <t>40038,40034,40037,40039</t>
  </si>
  <si>
    <t>SR武器升星-物攻9</t>
  </si>
  <si>
    <t>40036,40038</t>
  </si>
  <si>
    <t>40038,40039,40037</t>
  </si>
  <si>
    <t>SR武器升星-物攻10</t>
  </si>
  <si>
    <t>40039,40038,40037</t>
  </si>
  <si>
    <t>40036,40038,40037,40034</t>
  </si>
  <si>
    <t>SR武器升星-魔攻1</t>
  </si>
  <si>
    <t>40037,40038,40036,40034</t>
  </si>
  <si>
    <t>40038,40036,40039</t>
  </si>
  <si>
    <t>SR武器升星-魔攻2</t>
  </si>
  <si>
    <t>40036,40034,40039,40037,40038</t>
  </si>
  <si>
    <t>50007,40039,40034,40037,40036</t>
  </si>
  <si>
    <t>SR武器升星-魔攻3</t>
  </si>
  <si>
    <t>40040,40044</t>
  </si>
  <si>
    <t>40073,40044</t>
  </si>
  <si>
    <t>40073,40043</t>
  </si>
  <si>
    <t>SR武器升星-魔攻4</t>
  </si>
  <si>
    <t>40040</t>
  </si>
  <si>
    <t>40043,40041</t>
  </si>
  <si>
    <t>SR武器升星-魔攻5</t>
  </si>
  <si>
    <t>40041,40040,40073</t>
  </si>
  <si>
    <t>40041,40044,40073</t>
  </si>
  <si>
    <t>SR武器升星-魔攻6</t>
  </si>
  <si>
    <t>40073,40040,40044</t>
  </si>
  <si>
    <t>40044,40041,40040</t>
  </si>
  <si>
    <t>SR武器升星-魔攻7</t>
  </si>
  <si>
    <t>40041,40073,40040</t>
  </si>
  <si>
    <t>40041,40044</t>
  </si>
  <si>
    <t>SR武器升星-魔攻8</t>
  </si>
  <si>
    <t>40044,40043</t>
  </si>
  <si>
    <t>40041,40040,40073,40044</t>
  </si>
  <si>
    <t>SR武器升星-魔攻9</t>
  </si>
  <si>
    <t>40041,40044,40040,40073</t>
  </si>
  <si>
    <t>40073,40040</t>
  </si>
  <si>
    <t>SR武器升星-魔攻10</t>
  </si>
  <si>
    <t>40040,40041,40043,40044</t>
  </si>
  <si>
    <t>40073,40040,40044,40043</t>
  </si>
  <si>
    <t>R武器升星-物攻1</t>
  </si>
  <si>
    <t>40073,40040,40041,40043,40044</t>
  </si>
  <si>
    <t>40044,40073,40043</t>
  </si>
  <si>
    <t>R武器升星-物攻2</t>
  </si>
  <si>
    <t>40040,40073,40041,40044</t>
  </si>
  <si>
    <t>40040,40043,40041,40044</t>
  </si>
  <si>
    <t>R武器升星-物攻3</t>
  </si>
  <si>
    <t>40043,40040,40041,40073</t>
  </si>
  <si>
    <t>40073,40041,40043,40040</t>
  </si>
  <si>
    <t>R武器升星-物攻4</t>
  </si>
  <si>
    <t>40044,40073,40043,40041</t>
  </si>
  <si>
    <t>40041,40043,40073</t>
  </si>
  <si>
    <t>R武器升星-物攻5</t>
  </si>
  <si>
    <t>40044,40041,40043</t>
  </si>
  <si>
    <t>R武器升星-物攻6</t>
  </si>
  <si>
    <t>40040,40043,40044</t>
  </si>
  <si>
    <t>40040,40043,40073</t>
  </si>
  <si>
    <t>R武器升星-物攻7</t>
  </si>
  <si>
    <t>40073,40044,40040,40041</t>
  </si>
  <si>
    <t>R武器升星-物攻8</t>
  </si>
  <si>
    <t>40044,40073</t>
  </si>
  <si>
    <t>40073,40044,40043</t>
  </si>
  <si>
    <t>R武器升星-物攻9</t>
  </si>
  <si>
    <t>40040,40041,40044</t>
  </si>
  <si>
    <t>40040,40073,40043</t>
  </si>
  <si>
    <t>R武器升星-物攻10</t>
  </si>
  <si>
    <t>item1_id</t>
  </si>
  <si>
    <t>40040,40041</t>
  </si>
  <si>
    <t>item1_amount</t>
  </si>
  <si>
    <t>item2_id</t>
  </si>
  <si>
    <t>item2_amount</t>
  </si>
  <si>
    <t>rate</t>
  </si>
  <si>
    <t>40041,40044,40073,40040</t>
  </si>
  <si>
    <t>R武器升星-魔攻1</t>
  </si>
  <si>
    <t>50008,40041,40044,40073,40043</t>
  </si>
  <si>
    <t>40074,40032</t>
  </si>
  <si>
    <t>R武器升星-魔攻2</t>
  </si>
  <si>
    <t>40046,40042</t>
  </si>
  <si>
    <t>#</t>
  </si>
  <si>
    <t>40042,40047</t>
  </si>
  <si>
    <t>agi超過6</t>
  </si>
  <si>
    <t>R武器升星-魔攻3</t>
  </si>
  <si>
    <t>有爆擊類技能</t>
  </si>
  <si>
    <t>40047,40042</t>
  </si>
  <si>
    <t>physical攻擊且係數超過3</t>
  </si>
  <si>
    <t>physical攻擊且目標超過3</t>
  </si>
  <si>
    <t>#奧術貫穿</t>
  </si>
  <si>
    <t>magic攻擊且係數超過3</t>
  </si>
  <si>
    <t>40046,40032</t>
  </si>
  <si>
    <t>magic攻擊且目標超過3</t>
  </si>
  <si>
    <t>heal且補血細數超過3</t>
  </si>
  <si>
    <t>R武器升星-魔攻4</t>
  </si>
  <si>
    <t>heal且補血目標超過3</t>
  </si>
  <si>
    <t>shield且物攻係數的護盾</t>
  </si>
  <si>
    <t>shield且魔攻係數的護盾</t>
  </si>
  <si>
    <t>有傷害分擔</t>
  </si>
  <si>
    <t>#捨身取義</t>
  </si>
  <si>
    <t>附加受護衛效果</t>
  </si>
  <si>
    <t>R武器升星-魔攻5</t>
  </si>
  <si>
    <t>定位"打"</t>
  </si>
  <si>
    <t>40047,40046</t>
  </si>
  <si>
    <t>定位"補"</t>
  </si>
  <si>
    <t>定位"坦"</t>
  </si>
  <si>
    <t>攻擊是physical類的技能</t>
  </si>
  <si>
    <t>攻擊是magic類的技能</t>
  </si>
  <si>
    <t>有燒傷技能</t>
  </si>
  <si>
    <t>R武器升星-魔攻6</t>
  </si>
  <si>
    <t>有冰凍或凍傷技能</t>
  </si>
  <si>
    <t>40046,40047,40032</t>
  </si>
  <si>
    <t>有削弱技能</t>
  </si>
  <si>
    <t>聯想</t>
  </si>
  <si>
    <t>40032,40042,40047</t>
  </si>
  <si>
    <t>R武器升星-魔攻7</t>
  </si>
  <si>
    <t>40074,40046,40042</t>
  </si>
  <si>
    <t>形象</t>
  </si>
  <si>
    <t>40074,40046,40042,40032</t>
  </si>
  <si>
    <t>40046,40074,40032</t>
  </si>
  <si>
    <t>#野獸</t>
  </si>
  <si>
    <t>種族</t>
  </si>
  <si>
    <t>#史萊姆</t>
  </si>
  <si>
    <t>#精靈元素</t>
  </si>
  <si>
    <t>#不死亡靈</t>
  </si>
  <si>
    <t>R武器升星-魔攻8</t>
  </si>
  <si>
    <t>40042,40074,40032</t>
  </si>
  <si>
    <t>#魔族深淵</t>
  </si>
  <si>
    <t>#構裝傀儡</t>
  </si>
  <si>
    <t>#盜賊術士</t>
  </si>
  <si>
    <t>#騎士聖光</t>
  </si>
  <si>
    <t>40074,40046,40047</t>
  </si>
  <si>
    <t>初階職業</t>
  </si>
  <si>
    <t>中階職業</t>
  </si>
  <si>
    <t>40074,40046,40032,40042</t>
  </si>
  <si>
    <t>R武器升星-魔攻9</t>
  </si>
  <si>
    <t>高階職業</t>
  </si>
  <si>
    <t>40074,40047,40042</t>
  </si>
  <si>
    <t>40042,40047,40032</t>
  </si>
  <si>
    <t>R武器升星-魔攻10</t>
  </si>
  <si>
    <t>40074,40046,40032,40042,40047</t>
  </si>
  <si>
    <t>40074,40042,40046</t>
  </si>
  <si>
    <t>40032,40047,40042</t>
  </si>
  <si>
    <t>當cost表中的item_id為-1時；觸發特例狀況，其代表的含意為消耗的素材等於傳入的角色ID-900的item_id</t>
  </si>
  <si>
    <t>ex. card 10001春正強化需要 item9101        村正的碎片；升星時，讀取refine_id=900   cost_id=900；已知增加了多少數值，但cost將會需要再找才知道是9101</t>
  </si>
  <si>
    <t>武器升星1</t>
  </si>
  <si>
    <t>40047,40042,40046,40032</t>
  </si>
  <si>
    <t>武器升星2</t>
  </si>
  <si>
    <t>武器升星3</t>
  </si>
  <si>
    <t>武器升星4</t>
  </si>
  <si>
    <t>40046,40047,40074</t>
  </si>
  <si>
    <t>武器升星5</t>
  </si>
  <si>
    <t>武器升星6</t>
  </si>
  <si>
    <t>40032,40046,40047,40042,40074</t>
  </si>
  <si>
    <t>武器升星7</t>
  </si>
  <si>
    <t>重複獲取</t>
  </si>
  <si>
    <t>獲取片數</t>
  </si>
  <si>
    <t>武器升星8</t>
  </si>
  <si>
    <t>40032,40042,40046</t>
  </si>
  <si>
    <t>武器升星9</t>
  </si>
  <si>
    <t>武器升星10</t>
  </si>
  <si>
    <t>40032,40046,40074</t>
  </si>
  <si>
    <t>魔物升星</t>
  </si>
  <si>
    <t>40047,40074,40046,40032</t>
  </si>
  <si>
    <t>40046,40042,40074,40047</t>
  </si>
  <si>
    <t>40042,40032,40046</t>
  </si>
  <si>
    <t>40042,40074,40046</t>
  </si>
  <si>
    <t>40046,40047,40042</t>
  </si>
  <si>
    <t>40074,40046,40032</t>
  </si>
  <si>
    <t>40032,40046,40042,40047</t>
  </si>
  <si>
    <t>40047,40046,40032</t>
  </si>
  <si>
    <t>40046,40042,40047,40074</t>
  </si>
  <si>
    <t>40074,40042,40047,40046</t>
  </si>
  <si>
    <t>50009,40074,40032,40047,40046</t>
  </si>
  <si>
    <t>40075,40050</t>
  </si>
  <si>
    <t>40075,40045</t>
  </si>
  <si>
    <t>40052</t>
  </si>
  <si>
    <t>40076,40075</t>
  </si>
  <si>
    <t>40075,40052</t>
  </si>
  <si>
    <t>40075,40052,40045</t>
  </si>
  <si>
    <t>40076,40045</t>
  </si>
  <si>
    <t>40052,40050</t>
  </si>
  <si>
    <t>40076,40050</t>
  </si>
  <si>
    <t>40052,40045</t>
  </si>
  <si>
    <t>group</t>
  </si>
  <si>
    <t>unlock_job</t>
  </si>
  <si>
    <t>劍士天賦</t>
  </si>
  <si>
    <t>40045,40050,40075</t>
  </si>
  <si>
    <t>戰士天賦</t>
  </si>
  <si>
    <t>弓劍手天賦</t>
  </si>
  <si>
    <t>盜賊天賦</t>
  </si>
  <si>
    <t>40045,40076,40050</t>
  </si>
  <si>
    <t>魔法師天賦</t>
  </si>
  <si>
    <t>實習祭司天賦</t>
  </si>
  <si>
    <t>40045,40052,40075,40076</t>
  </si>
  <si>
    <t>40075,40076,40050,40052</t>
  </si>
  <si>
    <t>40075,40050,40076</t>
  </si>
  <si>
    <t>40052,40050,40076,40045</t>
  </si>
  <si>
    <t>40052,40075,40076,40045</t>
  </si>
  <si>
    <t>group_info</t>
  </si>
  <si>
    <t>front</t>
  </si>
  <si>
    <t>display_position</t>
  </si>
  <si>
    <t>40045,40076,40075,40052</t>
  </si>
  <si>
    <t>cost</t>
  </si>
  <si>
    <t>role_card_unlock</t>
  </si>
  <si>
    <t>根源之力</t>
  </si>
  <si>
    <t>{0},{0},{100},{0},{0}
{0},{101},{0},{102},{0}
{0},{103},{0},{104},{0}
{0},{105},{0},{106},{0},
{0},{0},{107},{0},{0},
{0},{108},{0},{109},{0},</t>
  </si>
  <si>
    <t>40052,40076,40075</t>
  </si>
  <si>
    <t>40075,40076,40052,40045,40050</t>
  </si>
  <si>
    <t>40050,40052,40075</t>
  </si>
  <si>
    <t>攻擊精進</t>
  </si>
  <si>
    <t>40050,40075,40076,40045</t>
  </si>
  <si>
    <t>守禦意志</t>
  </si>
  <si>
    <t>40052,40050,40076,40075</t>
  </si>
  <si>
    <t>攻擊精進1</t>
  </si>
  <si>
    <t>守禦意志1</t>
  </si>
  <si>
    <t>40052,40050,40045</t>
  </si>
  <si>
    <t>攻擊精進2</t>
  </si>
  <si>
    <t>守禦意志2</t>
  </si>
  <si>
    <t>40076,40045,40050</t>
  </si>
  <si>
    <t>40075,40045,40050,40052</t>
  </si>
  <si>
    <r>
      <rPr>
        <rFont val="微軟正黑體"/>
        <color theme="1"/>
        <sz val="11.0"/>
      </rPr>
      <t>持續修練</t>
    </r>
    <r>
      <rPr>
        <rFont val="Noto Sans CJK SC"/>
        <color theme="1"/>
        <sz val="11.0"/>
      </rPr>
      <t>1</t>
    </r>
  </si>
  <si>
    <t>40052,40075,40045</t>
  </si>
  <si>
    <t>持續修練2</t>
  </si>
  <si>
    <t>40076,40052,40045,40050</t>
  </si>
  <si>
    <t>40076,40075,40052,40045</t>
  </si>
  <si>
    <t>全體上陣物理攻擊力+1%</t>
  </si>
  <si>
    <t>{0},{0},{115},{0},{0}
{0},{116},{0},{117},{0}
{0},{118},{0},{119},{0}
{120},{0},{121},{0},{122}
{0},{123},{0},{124},{0}
{125},{0},{0},{0},{126}
{0},{127},{0},{128},{0}
{0},{0},{129},{0},{0}</t>
  </si>
  <si>
    <t>40050,40052,40075,40076,40045</t>
  </si>
  <si>
    <t>40076,40045,40050,40075</t>
  </si>
  <si>
    <t>40075,40045,40050,40076</t>
  </si>
  <si>
    <t>next</t>
  </si>
  <si>
    <t>40050,40045,40075,40052</t>
  </si>
  <si>
    <t>累计获得经验</t>
  </si>
  <si>
    <t>40045,40076,40052</t>
  </si>
  <si>
    <t>point</t>
  </si>
  <si>
    <t>#總點數</t>
  </si>
  <si>
    <t>50010,40076,40052,40050,40075</t>
  </si>
  <si>
    <t>40078,40077</t>
  </si>
  <si>
    <t>40048,40078</t>
  </si>
  <si>
    <t>40078</t>
  </si>
  <si>
    <t>40048,40077</t>
  </si>
  <si>
    <t>40078,40048,40049</t>
  </si>
  <si>
    <t>40077,40049</t>
  </si>
  <si>
    <t>{0},{0},{130},{0},{0}
{0},{131},{0},{132},{0}
{0},{133},{0},{134},{0}
{135},{0},{136},{0},{137}
{0},{138},{0},{139},{0}
{140},{0},{0},{0},{141}
{0},{142},{0},{143},{0}
{0},{0},{144},{0},{0}</t>
  </si>
  <si>
    <t>40078,40077,40054</t>
  </si>
  <si>
    <t>40077,40048</t>
  </si>
  <si>
    <t>40054,40049,40078</t>
  </si>
  <si>
    <t>40077,40054</t>
  </si>
  <si>
    <t>40077,40078,40054</t>
  </si>
  <si>
    <t>40054,40048,40049</t>
  </si>
  <si>
    <t>40054,40048</t>
  </si>
  <si>
    <t>40054,40077,40078</t>
  </si>
  <si>
    <t>40054,40078,40049</t>
  </si>
  <si>
    <t>40049,40054,40077,40078</t>
  </si>
  <si>
    <t>{0},{0},{145},{0},{0}
{0},{146},{0},{147},{0}
{0},{148},{0},{149},{0}
{150},{0},{151},{0},{152}
{0},{153},{0},{154},{0}
{155},{0},{0},{0},{156}
{0},{157},{0},{158},{0}
{0},{0},{159},{0},{0}</t>
  </si>
  <si>
    <t>40077,40054,40049,40078</t>
  </si>
  <si>
    <t>40077,40048,40078,40054</t>
  </si>
  <si>
    <t>40077,40078,40049,40054</t>
  </si>
  <si>
    <t>40077,40078</t>
  </si>
  <si>
    <t>40078,40049</t>
  </si>
  <si>
    <t>40049,40078,40054</t>
  </si>
  <si>
    <t>40049,40048,40054</t>
  </si>
  <si>
    <t>40049,40078,40048</t>
  </si>
  <si>
    <t>40048,40054,40049</t>
  </si>
  <si>
    <t>40048,40054,40078</t>
  </si>
  <si>
    <t>40078,40048</t>
  </si>
  <si>
    <t>全體上陣魔法攻擊力+1%</t>
  </si>
  <si>
    <t>{0},{0},{160},{0},{0}
{0},{161},{0},{162},{0}
{0},{163},{0},{164},{0}
{165},{0},{166},{0},{167}
{0},{168},{0},{169},{0}
{170},{0},{0},{0},{171}
{0},{172},{0},{173},{0}
{0},{0},{174},{0},{0}</t>
  </si>
  <si>
    <t>40077,40078,40048</t>
  </si>
  <si>
    <t>40077,40049,40054</t>
  </si>
  <si>
    <t>40077,40054,40078,40049</t>
  </si>
  <si>
    <t>40077,40049,40078</t>
  </si>
  <si>
    <t>40077,40049,40048</t>
  </si>
  <si>
    <t>40077,40049,40048,40078</t>
  </si>
  <si>
    <t>40077,40049,40078,40048</t>
  </si>
  <si>
    <t>40078,40048,40077</t>
  </si>
  <si>
    <t>40048,40054,40077,40049</t>
  </si>
  <si>
    <t>{0},{0},{175},{0},{0}
{0},{176},{0},{177},{0}
{0},{178},{0},{179},{0}
{180},{0},{181},{0},{182}
{0},{183},{0},{184},{0}
{185},{0},{0},{0},{186}
{0},{187},{0},{188},{0}
{0},{0},{189},{0},{0}</t>
  </si>
  <si>
    <t>40048,40077,40054</t>
  </si>
  <si>
    <t>50011,40048,40054,40077,40078</t>
  </si>
  <si>
    <t>40080</t>
  </si>
  <si>
    <t>40079,40065</t>
  </si>
  <si>
    <t>40081,40080</t>
  </si>
  <si>
    <t>40065,40080</t>
  </si>
  <si>
    <t>40079,40080</t>
  </si>
  <si>
    <t>40055,40065</t>
  </si>
  <si>
    <t>40065,40081</t>
  </si>
  <si>
    <t>40079,40055,40081</t>
  </si>
  <si>
    <t>40079,40055</t>
  </si>
  <si>
    <t>40081,40080,40065</t>
  </si>
  <si>
    <t>40081,40065</t>
  </si>
  <si>
    <t>40079,40081</t>
  </si>
  <si>
    <t>cost1_id</t>
  </si>
  <si>
    <t>cost1_amount</t>
  </si>
  <si>
    <t>cost10_id</t>
  </si>
  <si>
    <t>cost10_amount</t>
  </si>
  <si>
    <t>40055,40080</t>
  </si>
  <si>
    <t>武器召喚</t>
  </si>
  <si>
    <t>40080,40079,40065</t>
  </si>
  <si>
    <t>40080,40055,40065</t>
  </si>
  <si>
    <t>40079,40065,40055</t>
  </si>
  <si>
    <t>40065,40080,40079</t>
  </si>
  <si>
    <t>40081,40079,40080</t>
  </si>
  <si>
    <t>40065,40079,40055,40080</t>
  </si>
  <si>
    <t>40079,40081,40055</t>
  </si>
  <si>
    <t>40055,40065,40081,40079</t>
  </si>
  <si>
    <t>40080,40079</t>
  </si>
  <si>
    <t>40080,40055,40079,40081</t>
  </si>
  <si>
    <t>40081,40065,40080</t>
  </si>
  <si>
    <t>40065,40055,40080</t>
  </si>
  <si>
    <t>40055,40065,40079</t>
  </si>
  <si>
    <t>40081,40065,40080,40055</t>
  </si>
  <si>
    <t>40065,40055,40081,40080</t>
  </si>
  <si>
    <t>40055,40065,40080</t>
  </si>
  <si>
    <t>40081,40079,40080,40055</t>
  </si>
  <si>
    <t>40079,40055,40080</t>
  </si>
  <si>
    <t>40079,40055,40065</t>
  </si>
  <si>
    <t>40079,40081,40080</t>
  </si>
  <si>
    <t>40081,40065,40055,40079</t>
  </si>
  <si>
    <t>40055,40081,40080,40079</t>
  </si>
  <si>
    <t>40065,40079,40080,40081</t>
  </si>
  <si>
    <t>40079,40080,40081,40065</t>
  </si>
  <si>
    <t>40079,40055,40080,40065</t>
  </si>
  <si>
    <t>40079,40081,40080,40055</t>
  </si>
  <si>
    <t>40081,40065,40079</t>
  </si>
  <si>
    <t>40081,40055,40080</t>
  </si>
  <si>
    <t>40065,40081,40055,40079</t>
  </si>
  <si>
    <t>40080,40055,40079</t>
  </si>
  <si>
    <t>40081,40055,40065</t>
  </si>
  <si>
    <t>40055,40081,40080,40065</t>
  </si>
  <si>
    <t>40079,40081,40065</t>
  </si>
  <si>
    <t>50012,40055,40081,40079,40080</t>
  </si>
  <si>
    <t>40059,40083</t>
  </si>
  <si>
    <t>40053</t>
  </si>
  <si>
    <t>40053,40083</t>
  </si>
  <si>
    <t>40083,40059,40082</t>
  </si>
  <si>
    <t>40082,40059</t>
  </si>
  <si>
    <t>40059,40058</t>
  </si>
  <si>
    <t>40059,40058,40083</t>
  </si>
  <si>
    <t>40058,40083</t>
  </si>
  <si>
    <t>40059,40082</t>
  </si>
  <si>
    <t>40053,40059</t>
  </si>
  <si>
    <t>40059,40083,40058</t>
  </si>
  <si>
    <t>40082,40053,40059</t>
  </si>
  <si>
    <t>40082,40058,40053</t>
  </si>
  <si>
    <t>40053,40058</t>
  </si>
  <si>
    <t>40053,40059,40083</t>
  </si>
  <si>
    <t>40059,40053,40083</t>
  </si>
  <si>
    <t>40058,40082,40059</t>
  </si>
  <si>
    <t>40053,40059,40082</t>
  </si>
  <si>
    <t>40082,40053,40083</t>
  </si>
  <si>
    <t>40083,40082</t>
  </si>
  <si>
    <t>40059,40058,40083,40053</t>
  </si>
  <si>
    <t>40082,40083,40059,40058</t>
  </si>
  <si>
    <t>40059,40053,40083,40058</t>
  </si>
  <si>
    <t>40053,40083,40082</t>
  </si>
  <si>
    <t>40053,40059,40058,40082</t>
  </si>
  <si>
    <t>40059,40083,40053</t>
  </si>
  <si>
    <t>40083,40082,40059,40053</t>
  </si>
  <si>
    <t>40083,40053,40059</t>
  </si>
  <si>
    <t>40082,40058,40083,40059</t>
  </si>
  <si>
    <t>40058,40059,40082</t>
  </si>
  <si>
    <t>40083,40082,40058,40059</t>
  </si>
  <si>
    <t>40082,40083,40053,40058</t>
  </si>
  <si>
    <t>40058,40083,40059</t>
  </si>
  <si>
    <t>40058,40053,40083,40059</t>
  </si>
  <si>
    <t>40083,40059</t>
  </si>
  <si>
    <t>40053,40083,40058</t>
  </si>
  <si>
    <t>40082,40059,40058,40053</t>
  </si>
  <si>
    <t>40058,40053,40059</t>
  </si>
  <si>
    <t>40082,40083,40053,40059</t>
  </si>
  <si>
    <t>40053,40082,40058</t>
  </si>
  <si>
    <t>50013,40083,40059,40082,40058</t>
  </si>
  <si>
    <t>40064,40062</t>
  </si>
  <si>
    <t>40084,40064</t>
  </si>
  <si>
    <t>40062,40061</t>
  </si>
  <si>
    <t>40084,40061</t>
  </si>
  <si>
    <t>40084</t>
  </si>
  <si>
    <t>40064,40051,40062</t>
  </si>
  <si>
    <t>40064,40084,40051</t>
  </si>
  <si>
    <t>40062,40051,40084</t>
  </si>
  <si>
    <t>40084,40061,40051</t>
  </si>
  <si>
    <t>40051,40084,40062</t>
  </si>
  <si>
    <t>40062,40061,40051</t>
  </si>
  <si>
    <t>40084,40051</t>
  </si>
  <si>
    <t>40062,40084</t>
  </si>
  <si>
    <t>40084,40061,40064</t>
  </si>
  <si>
    <t>40084,40062,40064</t>
  </si>
  <si>
    <t>40062,40064,40061,40084</t>
  </si>
  <si>
    <t>40061,40084</t>
  </si>
  <si>
    <t>40064,40061</t>
  </si>
  <si>
    <t>40064,40061,40084</t>
  </si>
  <si>
    <t>40061,40051,40084,40064</t>
  </si>
  <si>
    <t>40051,40064</t>
  </si>
  <si>
    <t>40051,40061,40064</t>
  </si>
  <si>
    <t>40051,40084,40061,40064</t>
  </si>
  <si>
    <t>40061,40051,40064</t>
  </si>
  <si>
    <t>40084,40051,40064</t>
  </si>
  <si>
    <t>40062,40084,40061</t>
  </si>
  <si>
    <t>40061,40084,40064,40051</t>
  </si>
  <si>
    <t>40061,40062</t>
  </si>
  <si>
    <t>40051,40084,40064</t>
  </si>
  <si>
    <t>40064,40062,40084</t>
  </si>
  <si>
    <t>40064,40084,40061</t>
  </si>
  <si>
    <t>40051,40064,40061,40084</t>
  </si>
  <si>
    <t>40064,40051,40061</t>
  </si>
  <si>
    <t>40062,40051,40064,40061</t>
  </si>
  <si>
    <t>40084,40062,40051,40064,40061</t>
  </si>
  <si>
    <t>40062,40084,40051,40064</t>
  </si>
  <si>
    <t>40062,40051,40061,40064</t>
  </si>
  <si>
    <t>40084,40064,40061</t>
  </si>
  <si>
    <t>40084,40064,40051</t>
  </si>
  <si>
    <t>40061,40064,40062,40084,40051</t>
  </si>
  <si>
    <t>40051,40084</t>
  </si>
  <si>
    <t>40061,40051,40062</t>
  </si>
  <si>
    <t>40051,40062,40061</t>
  </si>
  <si>
    <t>50014,40051,40084,40061,40064</t>
  </si>
  <si>
    <t>40060,40056</t>
  </si>
  <si>
    <t>40060,40085</t>
  </si>
  <si>
    <t>40066</t>
  </si>
  <si>
    <t>40067,40085</t>
  </si>
  <si>
    <t>40060,40066</t>
  </si>
  <si>
    <t>40056,40085</t>
  </si>
  <si>
    <t>40066,40060,40056</t>
  </si>
  <si>
    <t>40056,40060,40067</t>
  </si>
  <si>
    <t>40056,40066,40060</t>
  </si>
  <si>
    <t>40066,40085</t>
  </si>
  <si>
    <t>40066,40067,40056</t>
  </si>
  <si>
    <t>40060,40085,40066</t>
  </si>
  <si>
    <t>40066,40067</t>
  </si>
  <si>
    <t>40067,40066,40056</t>
  </si>
  <si>
    <t>40056,40085,40060</t>
  </si>
  <si>
    <t>40056,40060,40085</t>
  </si>
  <si>
    <t>40067,40056</t>
  </si>
  <si>
    <t>40085,40056,40060</t>
  </si>
  <si>
    <t>40085,40066,40067,40060</t>
  </si>
  <si>
    <t>40067,40066,40060</t>
  </si>
  <si>
    <t>40066,40056,40060</t>
  </si>
  <si>
    <t>40056,40060</t>
  </si>
  <si>
    <t>40060,40056,40067</t>
  </si>
  <si>
    <t>40085,40067,40056</t>
  </si>
  <si>
    <t>40066,40067,40085,40060</t>
  </si>
  <si>
    <t>40060,40085,40067,40066</t>
  </si>
  <si>
    <t>40056,40067,40085,40060</t>
  </si>
  <si>
    <t>40066,40060,40085</t>
  </si>
  <si>
    <t>40085,40060,40067</t>
  </si>
  <si>
    <t>40060,40067,40056,40085</t>
  </si>
  <si>
    <t>40060,40066,40056,40067</t>
  </si>
  <si>
    <t>40085,40060,40067,40056</t>
  </si>
  <si>
    <t>40060,40085,40056,40067</t>
  </si>
  <si>
    <t>40067,40066,40085,40060</t>
  </si>
  <si>
    <t>40060,40085,40056,40066,40067</t>
  </si>
  <si>
    <t>40067,40085,40056,40066</t>
  </si>
  <si>
    <t>40066,40056</t>
  </si>
  <si>
    <t>40067,40085,40056,40060</t>
  </si>
  <si>
    <t>50015,40060,40085,40056,40066</t>
  </si>
  <si>
    <t>40063,40086</t>
  </si>
  <si>
    <t>40072,40063</t>
  </si>
  <si>
    <t>40069,40086</t>
  </si>
  <si>
    <t>40072</t>
  </si>
  <si>
    <t>40087,40069,40063</t>
  </si>
  <si>
    <t>40087,40072</t>
  </si>
  <si>
    <t>40086,40069</t>
  </si>
  <si>
    <t>40063,40086,40069</t>
  </si>
  <si>
    <t>40063,40087,40086</t>
  </si>
  <si>
    <t>40063,40069,40072</t>
  </si>
  <si>
    <t>40072,40069</t>
  </si>
  <si>
    <t>40086</t>
  </si>
  <si>
    <t>40072,40086,40063</t>
  </si>
  <si>
    <t>40087,40069,40086</t>
  </si>
  <si>
    <t>40086,40087,40069,40063</t>
  </si>
  <si>
    <t>40069,40072,40086</t>
  </si>
  <si>
    <t>40087,40086,40063</t>
  </si>
  <si>
    <t>40063,40086,40087</t>
  </si>
  <si>
    <t>40087,40072,40063,40086</t>
  </si>
  <si>
    <t>40072,40063,40069</t>
  </si>
  <si>
    <t>40086,40063,40072</t>
  </si>
  <si>
    <t>40069,40087,40086</t>
  </si>
  <si>
    <t>40072,40087</t>
  </si>
  <si>
    <t>40069,40072,40063,40086</t>
  </si>
  <si>
    <t>40086,40069,40063</t>
  </si>
  <si>
    <t>40072,40086,40063,40087</t>
  </si>
  <si>
    <t>40063,40072,40086</t>
  </si>
  <si>
    <t>40087,40086,40072,40063</t>
  </si>
  <si>
    <t>40069,40072</t>
  </si>
  <si>
    <t>40087,40069,40072,40063</t>
  </si>
  <si>
    <t>40086,40072,40087,40069</t>
  </si>
  <si>
    <t>40069,40087,40063,40086</t>
  </si>
  <si>
    <t>40069,40086,40087,40072</t>
  </si>
  <si>
    <t>40086,40087,40069</t>
  </si>
  <si>
    <t>40072,40069,40063</t>
  </si>
  <si>
    <t>40087,40063,40072,40069</t>
  </si>
  <si>
    <t>40086,40069,40063,40087</t>
  </si>
  <si>
    <t>40069,40086,40072</t>
  </si>
  <si>
    <t>40086,40087,40072,40069</t>
  </si>
  <si>
    <t>40072,40087,40069</t>
  </si>
  <si>
    <t>40063,40087,40072,40086</t>
  </si>
  <si>
    <t>40086,40072</t>
  </si>
  <si>
    <t>40072,40069,40063,40086</t>
  </si>
  <si>
    <t>40069,40063,40087</t>
  </si>
  <si>
    <t>50000,40063,40072,40086,40069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</si>
</sst>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\-d"/>
    <numFmt numFmtId="165" formatCode="0.000%"/>
    <numFmt numFmtId="166" formatCode="0.0%"/>
    <numFmt numFmtId="167" formatCode="yyyy/m/d\ h:mm"/>
  </numFmts>
  <fonts count="31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Noto Sans"/>
    </font>
    <font/>
    <font>
      <strike/>
      <sz val="11.0"/>
      <color theme="1"/>
      <name val="Arial"/>
    </font>
    <font>
      <strike/>
      <sz val="11.0"/>
      <color theme="1"/>
      <name val="Noto Sans"/>
    </font>
    <font>
      <b/>
      <sz val="11.0"/>
      <color theme="1"/>
      <name val="Noto Sans"/>
    </font>
    <font>
      <sz val="12.0"/>
      <color rgb="FF000000"/>
      <name val="PMingLiu"/>
    </font>
    <font>
      <sz val="11.0"/>
      <color rgb="FF000000"/>
      <name val="Noto Sans"/>
    </font>
    <font>
      <sz val="11.0"/>
      <color rgb="FF000000"/>
      <name val="Arial"/>
    </font>
    <font>
      <b/>
      <sz val="12.0"/>
      <color rgb="FF1F1F1F"/>
      <name val="Arial"/>
    </font>
    <font>
      <sz val="12.0"/>
      <color rgb="FF000000"/>
      <name val="Noto Sans"/>
    </font>
    <font>
      <sz val="12.0"/>
      <color rgb="FF1F1F1F"/>
      <name val="Noto Sans"/>
    </font>
    <font>
      <sz val="12.0"/>
      <color rgb="FF1F1F1F"/>
      <name val="Arial"/>
    </font>
    <font>
      <sz val="11.0"/>
      <color rgb="FF1F1F1F"/>
      <name val="Google Sans"/>
    </font>
    <font>
      <sz val="11.0"/>
      <color rgb="FF1F1F1F"/>
      <name val="Noto Sans"/>
    </font>
    <font>
      <sz val="10.0"/>
      <color rgb="FF000000"/>
      <name val="Arial"/>
    </font>
    <font>
      <sz val="10.0"/>
      <color theme="1"/>
      <name val="Arial"/>
    </font>
    <font>
      <sz val="10.0"/>
      <color theme="1"/>
      <name val="Noto Sans"/>
    </font>
    <font>
      <color theme="1"/>
      <name val="Arial"/>
      <scheme val="minor"/>
    </font>
    <font>
      <b/>
      <sz val="11.0"/>
      <color rgb="FF1F1F1F"/>
      <name val="Google Sans"/>
    </font>
    <font>
      <sz val="11.0"/>
      <color rgb="FF444746"/>
      <name val="Google Sans"/>
    </font>
    <font>
      <sz val="10.0"/>
      <color rgb="FF000000"/>
      <name val="Noto Sans"/>
    </font>
    <font>
      <sz val="11.0"/>
      <color rgb="FFEFEFEF"/>
      <name val="Arial"/>
    </font>
    <font>
      <sz val="10.0"/>
      <color rgb="FF000000"/>
      <name val="PMingLiu"/>
    </font>
    <font>
      <sz val="11.0"/>
      <color rgb="FFFF0000"/>
      <name val="Noto Sans"/>
    </font>
    <font>
      <sz val="11.0"/>
      <color theme="1"/>
      <name val="Microsoft JhengHei"/>
    </font>
    <font>
      <sz val="11.0"/>
      <color rgb="FF0000FF"/>
      <name val="Arial"/>
    </font>
    <font>
      <sz val="10.0"/>
      <color rgb="FF000000"/>
      <name val="Microsoft JhengHei"/>
    </font>
    <font>
      <b/>
      <sz val="11.0"/>
      <color theme="1"/>
      <name val="Arial"/>
    </font>
    <font>
      <sz val="11.0"/>
      <color theme="1"/>
      <name val="Ui-sans-serif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Border="1" applyFill="1" applyFont="1"/>
    <xf borderId="1" fillId="0" fontId="2" numFmtId="0" xfId="0" applyBorder="1" applyFont="1"/>
    <xf borderId="2" fillId="0" fontId="1" numFmtId="0" xfId="0" applyAlignment="1" applyBorder="1" applyFont="1">
      <alignment horizontal="center"/>
    </xf>
    <xf borderId="1" fillId="2" fontId="2" numFmtId="0" xfId="0" applyBorder="1" applyFill="1" applyFont="1"/>
    <xf borderId="3" fillId="0" fontId="3" numFmtId="0" xfId="0" applyBorder="1" applyFont="1"/>
    <xf borderId="1" fillId="0" fontId="1" numFmtId="0" xfId="0" applyBorder="1" applyFont="1"/>
    <xf borderId="4" fillId="0" fontId="3" numFmtId="0" xfId="0" applyBorder="1" applyFont="1"/>
    <xf borderId="5" fillId="2" fontId="2" numFmtId="0" xfId="0" applyBorder="1" applyFill="1" applyFont="1"/>
    <xf borderId="6" fillId="0" fontId="3" numFmtId="0" xfId="0" applyBorder="1" applyFont="1"/>
    <xf borderId="1" fillId="0" fontId="1" numFmtId="9" xfId="0" applyBorder="1" applyFont="1" applyNumberForma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right"/>
    </xf>
    <xf borderId="2" fillId="0" fontId="1" numFmtId="0" xfId="0" applyBorder="1" applyFont="1"/>
    <xf borderId="1" fillId="0" fontId="4" numFmtId="0" xfId="0" applyBorder="1" applyFont="1"/>
    <xf borderId="3" fillId="0" fontId="1" numFmtId="0" xfId="0" applyBorder="1" applyFont="1"/>
    <xf borderId="1" fillId="0" fontId="5" numFmtId="0" xfId="0" applyBorder="1" applyFont="1"/>
    <xf borderId="4" fillId="0" fontId="1" numFmtId="0" xfId="0" applyBorder="1" applyFont="1"/>
    <xf borderId="0" fillId="0" fontId="6" numFmtId="0" xfId="0" applyAlignment="1" applyFont="1">
      <alignment horizontal="center"/>
    </xf>
    <xf borderId="11" fillId="0" fontId="1" numFmtId="0" xfId="0" applyBorder="1" applyFont="1"/>
    <xf borderId="12" fillId="0" fontId="1" numFmtId="0" xfId="0" applyBorder="1" applyFont="1"/>
    <xf borderId="7" fillId="0" fontId="1" numFmtId="0" xfId="0" applyBorder="1" applyFont="1"/>
    <xf borderId="9" fillId="0" fontId="1" numFmtId="0" xfId="0" applyBorder="1" applyFont="1"/>
    <xf borderId="5" fillId="0" fontId="2" numFmtId="0" xfId="0" applyBorder="1" applyFont="1"/>
    <xf borderId="10" fillId="0" fontId="1" numFmtId="0" xfId="0" applyBorder="1" applyFont="1"/>
    <xf borderId="0" fillId="0" fontId="1" numFmtId="9" xfId="0" applyFont="1" applyNumberFormat="1"/>
    <xf borderId="0" fillId="0" fontId="1" numFmtId="164" xfId="0" applyFont="1" applyNumberFormat="1"/>
    <xf borderId="0" fillId="0" fontId="1" numFmtId="164" xfId="0" applyAlignment="1" applyFont="1" applyNumberFormat="1">
      <alignment horizontal="left"/>
    </xf>
    <xf borderId="1" fillId="0" fontId="7" numFmtId="0" xfId="0" applyBorder="1" applyFont="1"/>
    <xf borderId="1" fillId="0" fontId="8" numFmtId="0" xfId="0" applyBorder="1" applyFont="1"/>
    <xf borderId="0" fillId="0" fontId="9" numFmtId="0" xfId="0" applyFont="1"/>
    <xf borderId="0" fillId="0" fontId="9" numFmtId="9" xfId="0" applyFont="1" applyNumberFormat="1"/>
    <xf borderId="0" fillId="0" fontId="8" numFmtId="0" xfId="0" applyFont="1"/>
    <xf borderId="1" fillId="0" fontId="9" numFmtId="0" xfId="0" applyBorder="1" applyFont="1"/>
    <xf borderId="1" fillId="2" fontId="1" numFmtId="0" xfId="0" applyAlignment="1" applyBorder="1" applyFill="1" applyFont="1">
      <alignment horizontal="center"/>
    </xf>
    <xf borderId="1" fillId="3" fontId="1" numFmtId="0" xfId="0" applyBorder="1" applyFill="1" applyFont="1"/>
    <xf borderId="1" fillId="0" fontId="1" numFmtId="0" xfId="0" applyAlignment="1" applyBorder="1" applyFont="1">
      <alignment horizontal="center"/>
    </xf>
    <xf borderId="1" fillId="0" fontId="1" numFmtId="10" xfId="0" applyBorder="1" applyFont="1" applyNumberFormat="1"/>
    <xf borderId="1" fillId="0" fontId="1" numFmtId="165" xfId="0" applyBorder="1" applyFont="1" applyNumberFormat="1"/>
    <xf borderId="1" fillId="0" fontId="1" numFmtId="166" xfId="0" applyBorder="1" applyFont="1" applyNumberFormat="1"/>
    <xf borderId="1" fillId="0" fontId="7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1" xfId="0" applyFont="1" applyNumberFormat="1"/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  <xf borderId="1" fillId="2" fontId="1" numFmtId="1" xfId="0" applyBorder="1" applyFill="1" applyFont="1" applyNumberFormat="1"/>
    <xf borderId="1" fillId="2" fontId="1" numFmtId="0" xfId="0" applyAlignment="1" applyBorder="1" applyFill="1" applyFont="1">
      <alignment horizontal="left"/>
    </xf>
    <xf borderId="1" fillId="0" fontId="1" numFmtId="1" xfId="0" applyBorder="1" applyFont="1" applyNumberFormat="1"/>
    <xf borderId="1" fillId="0" fontId="1" numFmtId="0" xfId="0" applyAlignment="1" applyBorder="1" applyFont="1">
      <alignment horizontal="left"/>
    </xf>
    <xf borderId="0" fillId="0" fontId="10" numFmtId="0" xfId="0" applyFont="1"/>
    <xf borderId="0" fillId="0" fontId="11" numFmtId="0" xfId="0" applyFont="1"/>
    <xf borderId="0" fillId="0" fontId="7" numFmtId="0" xfId="0" applyFont="1"/>
    <xf borderId="1" fillId="0" fontId="12" numFmtId="0" xfId="0" applyBorder="1" applyFont="1"/>
    <xf borderId="0" fillId="0" fontId="13" numFmtId="0" xfId="0" applyFont="1"/>
    <xf borderId="1" fillId="0" fontId="14" numFmtId="0" xfId="0" applyBorder="1" applyFont="1"/>
    <xf borderId="9" fillId="0" fontId="2" numFmtId="0" xfId="0" applyBorder="1" applyFont="1"/>
    <xf borderId="0" fillId="0" fontId="12" numFmtId="0" xfId="0" applyFont="1"/>
    <xf borderId="1" fillId="0" fontId="15" numFmtId="0" xfId="0" applyBorder="1" applyFont="1"/>
    <xf borderId="1" fillId="0" fontId="14" numFmtId="0" xfId="0" applyAlignment="1" applyBorder="1" applyFont="1">
      <alignment horizontal="center"/>
    </xf>
    <xf borderId="1" fillId="0" fontId="14" numFmtId="0" xfId="0" applyAlignment="1" applyBorder="1" applyFont="1">
      <alignment horizontal="left"/>
    </xf>
    <xf borderId="1" fillId="0" fontId="1" numFmtId="9" xfId="0" applyAlignment="1" applyBorder="1" applyFont="1" applyNumberFormat="1">
      <alignment horizontal="center"/>
    </xf>
    <xf borderId="0" fillId="0" fontId="16" numFmtId="49" xfId="0" applyFont="1" applyNumberFormat="1"/>
    <xf borderId="0" fillId="0" fontId="17" numFmtId="0" xfId="0" applyAlignment="1" applyFont="1">
      <alignment horizontal="center"/>
    </xf>
    <xf borderId="1" fillId="2" fontId="1" numFmtId="49" xfId="0" applyAlignment="1" applyBorder="1" applyFill="1" applyFont="1" applyNumberFormat="1">
      <alignment horizontal="center"/>
    </xf>
    <xf borderId="1" fillId="2" fontId="18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right"/>
    </xf>
    <xf borderId="1" fillId="0" fontId="13" numFmtId="9" xfId="0" applyBorder="1" applyFont="1" applyNumberFormat="1"/>
    <xf borderId="1" fillId="0" fontId="7" numFmtId="0" xfId="0" applyAlignment="1" applyBorder="1" applyFont="1">
      <alignment horizontal="left"/>
    </xf>
    <xf borderId="1" fillId="0" fontId="1" numFmtId="49" xfId="0" applyAlignment="1" applyBorder="1" applyFont="1" applyNumberFormat="1">
      <alignment horizontal="left"/>
    </xf>
    <xf borderId="13" fillId="4" fontId="1" numFmtId="0" xfId="0" applyBorder="1" applyFill="1" applyFont="1"/>
    <xf borderId="1" fillId="0" fontId="17" numFmtId="0" xfId="0" applyAlignment="1" applyBorder="1" applyFont="1">
      <alignment horizontal="center"/>
    </xf>
    <xf borderId="1" fillId="0" fontId="1" numFmtId="1" xfId="0" applyAlignment="1" applyBorder="1" applyFont="1" applyNumberFormat="1">
      <alignment horizontal="left"/>
    </xf>
    <xf borderId="1" fillId="0" fontId="1" numFmtId="49" xfId="0" applyAlignment="1" applyBorder="1" applyFont="1" applyNumberFormat="1">
      <alignment horizontal="center"/>
    </xf>
    <xf borderId="0" fillId="0" fontId="9" numFmtId="0" xfId="0" applyAlignment="1" applyFont="1">
      <alignment horizontal="left"/>
    </xf>
    <xf borderId="0" fillId="0" fontId="1" numFmtId="9" xfId="0" applyAlignment="1" applyFont="1" applyNumberFormat="1">
      <alignment horizontal="center"/>
    </xf>
    <xf borderId="1" fillId="0" fontId="1" numFmtId="3" xfId="0" applyAlignment="1" applyBorder="1" applyFont="1" applyNumberFormat="1">
      <alignment horizontal="left"/>
    </xf>
    <xf borderId="1" fillId="0" fontId="2" numFmtId="0" xfId="0" applyAlignment="1" applyBorder="1" applyFont="1">
      <alignment horizontal="left"/>
    </xf>
    <xf borderId="5" fillId="0" fontId="1" numFmtId="0" xfId="0" applyBorder="1" applyFont="1"/>
    <xf borderId="1" fillId="0" fontId="1" numFmtId="167" xfId="0" applyAlignment="1" applyBorder="1" applyFont="1" applyNumberFormat="1">
      <alignment horizontal="center"/>
    </xf>
    <xf borderId="0" fillId="0" fontId="16" numFmtId="0" xfId="0" applyFont="1"/>
    <xf borderId="0" fillId="0" fontId="19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/>
    </xf>
    <xf borderId="0" fillId="0" fontId="20" numFmtId="0" xfId="0" applyFont="1"/>
    <xf borderId="0" fillId="0" fontId="14" numFmtId="0" xfId="0" applyFont="1"/>
    <xf borderId="0" fillId="0" fontId="14" numFmtId="0" xfId="0" applyAlignment="1" applyFont="1">
      <alignment shrinkToFit="0" wrapText="1"/>
    </xf>
    <xf borderId="0" fillId="0" fontId="21" numFmtId="0" xfId="0" applyFont="1"/>
    <xf borderId="0" fillId="0" fontId="21" numFmtId="0" xfId="0" applyAlignment="1" applyFont="1">
      <alignment shrinkToFit="0" wrapText="1"/>
    </xf>
    <xf borderId="0" fillId="0" fontId="1" numFmtId="3" xfId="0" applyAlignment="1" applyFont="1" applyNumberFormat="1">
      <alignment horizontal="left"/>
    </xf>
    <xf borderId="0" fillId="0" fontId="22" numFmtId="0" xfId="0" applyFont="1"/>
    <xf borderId="0" fillId="0" fontId="16" numFmtId="0" xfId="0" applyAlignment="1" applyFont="1">
      <alignment shrinkToFit="0" wrapText="1"/>
    </xf>
    <xf borderId="13" fillId="2" fontId="1" numFmtId="0" xfId="0" applyBorder="1" applyFill="1" applyFont="1"/>
    <xf borderId="13" fillId="2" fontId="2" numFmtId="0" xfId="0" applyBorder="1" applyFill="1" applyFont="1"/>
    <xf borderId="13" fillId="2" fontId="1" numFmtId="0" xfId="0" applyAlignment="1" applyBorder="1" applyFill="1" applyFont="1">
      <alignment shrinkToFit="0" wrapText="1"/>
    </xf>
    <xf borderId="1" fillId="0" fontId="1" numFmtId="3" xfId="0" applyBorder="1" applyFont="1" applyNumberFormat="1"/>
    <xf borderId="0" fillId="0" fontId="2" numFmtId="164" xfId="0" applyFont="1" applyNumberFormat="1"/>
    <xf borderId="0" fillId="0" fontId="7" numFmtId="0" xfId="0" applyAlignment="1" applyFont="1">
      <alignment horizontal="left"/>
    </xf>
    <xf borderId="1" fillId="0" fontId="23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/>
    </xf>
    <xf borderId="13" fillId="5" fontId="1" numFmtId="0" xfId="0" applyBorder="1" applyFill="1" applyFont="1"/>
    <xf borderId="13" fillId="5" fontId="14" numFmtId="0" xfId="0" applyBorder="1" applyFill="1" applyFont="1"/>
    <xf borderId="13" fillId="5" fontId="14" numFmtId="0" xfId="0" applyAlignment="1" applyBorder="1" applyFill="1" applyFont="1">
      <alignment shrinkToFit="0" wrapText="1"/>
    </xf>
    <xf borderId="13" fillId="5" fontId="1" numFmtId="0" xfId="0" applyAlignment="1" applyBorder="1" applyFill="1" applyFont="1">
      <alignment horizontal="left"/>
    </xf>
    <xf borderId="13" fillId="5" fontId="2" numFmtId="0" xfId="0" applyAlignment="1" applyBorder="1" applyFill="1" applyFont="1">
      <alignment horizontal="left"/>
    </xf>
    <xf borderId="1" fillId="5" fontId="1" numFmtId="0" xfId="0" applyAlignment="1" applyBorder="1" applyFill="1" applyFont="1">
      <alignment horizontal="left"/>
    </xf>
    <xf borderId="1" fillId="5" fontId="2" numFmtId="0" xfId="0" applyAlignment="1" applyBorder="1" applyFill="1" applyFont="1">
      <alignment horizontal="left"/>
    </xf>
    <xf borderId="1" fillId="5" fontId="23" numFmtId="0" xfId="0" applyAlignment="1" applyBorder="1" applyFill="1" applyFont="1">
      <alignment horizontal="left"/>
    </xf>
    <xf borderId="1" fillId="5" fontId="1" numFmtId="49" xfId="0" applyAlignment="1" applyBorder="1" applyFill="1" applyFont="1" applyNumberFormat="1">
      <alignment horizontal="left"/>
    </xf>
    <xf borderId="1" fillId="5" fontId="17" numFmtId="0" xfId="0" applyAlignment="1" applyBorder="1" applyFill="1" applyFont="1">
      <alignment horizontal="center"/>
    </xf>
    <xf borderId="13" fillId="6" fontId="1" numFmtId="0" xfId="0" applyBorder="1" applyFill="1" applyFont="1"/>
    <xf borderId="13" fillId="6" fontId="21" numFmtId="0" xfId="0" applyBorder="1" applyFill="1" applyFont="1"/>
    <xf borderId="13" fillId="6" fontId="21" numFmtId="0" xfId="0" applyAlignment="1" applyBorder="1" applyFill="1" applyFont="1">
      <alignment shrinkToFit="0" wrapText="1"/>
    </xf>
    <xf borderId="13" fillId="6" fontId="1" numFmtId="0" xfId="0" applyAlignment="1" applyBorder="1" applyFill="1" applyFont="1">
      <alignment horizontal="left"/>
    </xf>
    <xf borderId="13" fillId="6" fontId="2" numFmtId="0" xfId="0" applyAlignment="1" applyBorder="1" applyFill="1" applyFont="1">
      <alignment horizontal="left"/>
    </xf>
    <xf borderId="13" fillId="7" fontId="1" numFmtId="0" xfId="0" applyBorder="1" applyFill="1" applyFont="1"/>
    <xf borderId="1" fillId="0" fontId="1" numFmtId="0" xfId="0" applyAlignment="1" applyBorder="1" applyFont="1">
      <alignment horizontal="center" readingOrder="0"/>
    </xf>
    <xf borderId="1" fillId="0" fontId="24" numFmtId="0" xfId="0" applyAlignment="1" applyBorder="1" applyFont="1">
      <alignment horizontal="center"/>
    </xf>
    <xf borderId="0" fillId="0" fontId="25" numFmtId="0" xfId="0" applyFont="1"/>
    <xf borderId="1" fillId="0" fontId="25" numFmtId="0" xfId="0" applyBorder="1" applyFont="1"/>
    <xf borderId="0" fillId="0" fontId="1" numFmtId="49" xfId="0" applyAlignment="1" applyFont="1" applyNumberFormat="1">
      <alignment horizontal="left"/>
    </xf>
    <xf borderId="0" fillId="0" fontId="24" numFmtId="0" xfId="0" applyAlignment="1" applyFont="1">
      <alignment horizontal="center"/>
    </xf>
    <xf borderId="0" fillId="0" fontId="1" numFmtId="1" xfId="0" applyAlignment="1" applyFont="1" applyNumberFormat="1">
      <alignment horizontal="left"/>
    </xf>
    <xf borderId="1" fillId="0" fontId="26" numFmtId="0" xfId="0" applyBorder="1" applyFont="1"/>
    <xf borderId="1" fillId="0" fontId="1" numFmtId="49" xfId="0" applyAlignment="1" applyBorder="1" applyFont="1" applyNumberFormat="1">
      <alignment horizontal="center" readingOrder="0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27" numFmtId="0" xfId="0" applyAlignment="1" applyFont="1">
      <alignment vertical="center"/>
    </xf>
    <xf borderId="0" fillId="0" fontId="27" numFmtId="0" xfId="0" applyFon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1" fillId="0" fontId="1" numFmtId="49" xfId="0" applyBorder="1" applyFont="1" applyNumberFormat="1"/>
    <xf borderId="0" fillId="0" fontId="2" numFmtId="0" xfId="0" applyAlignment="1" applyFont="1">
      <alignment horizontal="left" readingOrder="0"/>
    </xf>
    <xf borderId="1" fillId="0" fontId="1" numFmtId="0" xfId="0" applyAlignment="1" applyBorder="1" applyFont="1">
      <alignment readingOrder="0"/>
    </xf>
    <xf borderId="0" fillId="0" fontId="22" numFmtId="0" xfId="0" applyAlignment="1" applyFont="1">
      <alignment shrinkToFit="0" wrapText="1"/>
    </xf>
    <xf borderId="0" fillId="0" fontId="22" numFmtId="0" xfId="0" applyAlignment="1" applyFont="1">
      <alignment readingOrder="0" shrinkToFit="0" wrapText="1"/>
    </xf>
    <xf borderId="1" fillId="2" fontId="2" numFmtId="0" xfId="0" applyAlignment="1" applyBorder="1" applyFill="1" applyFont="1">
      <alignment horizontal="left"/>
    </xf>
    <xf borderId="1" fillId="0" fontId="1" numFmtId="1" xfId="0" applyAlignment="1" applyBorder="1" applyFont="1" applyNumberFormat="1">
      <alignment horizontal="center"/>
    </xf>
    <xf borderId="5" fillId="0" fontId="2" numFmtId="0" xfId="0" applyAlignment="1" applyBorder="1" applyFont="1">
      <alignment horizontal="left"/>
    </xf>
    <xf borderId="0" fillId="0" fontId="1" numFmtId="10" xfId="0" applyFont="1" applyNumberFormat="1"/>
    <xf borderId="1" fillId="8" fontId="1" numFmtId="0" xfId="0" applyAlignment="1" applyBorder="1" applyFill="1" applyFont="1">
      <alignment horizontal="center"/>
    </xf>
    <xf borderId="13" fillId="8" fontId="1" numFmtId="0" xfId="0" applyBorder="1" applyFill="1" applyFont="1"/>
    <xf borderId="1" fillId="9" fontId="1" numFmtId="0" xfId="0" applyAlignment="1" applyBorder="1" applyFill="1" applyFont="1">
      <alignment horizontal="center"/>
    </xf>
    <xf borderId="1" fillId="0" fontId="11" numFmtId="0" xfId="0" applyAlignment="1" applyBorder="1" applyFont="1">
      <alignment horizontal="center"/>
    </xf>
    <xf borderId="1" fillId="10" fontId="1" numFmtId="0" xfId="0" applyAlignment="1" applyBorder="1" applyFill="1" applyFont="1">
      <alignment horizontal="center"/>
    </xf>
    <xf borderId="1" fillId="11" fontId="1" numFmtId="0" xfId="0" applyAlignment="1" applyBorder="1" applyFill="1" applyFont="1">
      <alignment horizontal="center"/>
    </xf>
    <xf borderId="13" fillId="10" fontId="1" numFmtId="0" xfId="0" applyBorder="1" applyFill="1" applyFont="1"/>
    <xf borderId="0" fillId="0" fontId="2" numFmtId="0" xfId="0" applyAlignment="1" applyFont="1">
      <alignment horizontal="center"/>
    </xf>
    <xf borderId="13" fillId="9" fontId="1" numFmtId="0" xfId="0" applyBorder="1" applyFill="1" applyFont="1"/>
    <xf borderId="1" fillId="9" fontId="1" numFmtId="0" xfId="0" applyBorder="1" applyFill="1" applyFont="1"/>
    <xf borderId="1" fillId="11" fontId="1" numFmtId="0" xfId="0" applyBorder="1" applyFill="1" applyFont="1"/>
    <xf borderId="0" fillId="0" fontId="28" numFmtId="0" xfId="0" applyFont="1"/>
    <xf borderId="1" fillId="0" fontId="1" numFmtId="0" xfId="0" applyAlignment="1" applyBorder="1" applyFont="1">
      <alignment horizontal="left" shrinkToFit="0" wrapText="1"/>
    </xf>
    <xf borderId="1" fillId="0" fontId="26" numFmtId="0" xfId="0" applyAlignment="1" applyBorder="1" applyFont="1">
      <alignment horizontal="left"/>
    </xf>
    <xf borderId="9" fillId="0" fontId="29" numFmtId="0" xfId="0" applyAlignment="1" applyBorder="1" applyFont="1">
      <alignment horizontal="center"/>
    </xf>
    <xf borderId="9" fillId="0" fontId="6" numFmtId="0" xfId="0" applyAlignment="1" applyBorder="1" applyFont="1">
      <alignment horizontal="center"/>
    </xf>
    <xf borderId="9" fillId="0" fontId="30" numFmtId="0" xfId="0" applyAlignment="1" applyBorder="1" applyFont="1">
      <alignment horizontal="center"/>
    </xf>
    <xf borderId="9" fillId="0" fontId="30" numFmtId="3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5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6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7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8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9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0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1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12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13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14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15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16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4.25" customHeight="1">
      <c r="A1" s="1" t="s">
        <v>0</v>
      </c>
    </row>
    <row r="2" ht="12.75" customHeight="1"/>
    <row r="3" ht="12.75" customHeight="1"/>
    <row r="4" ht="12.75" customHeight="1"/>
    <row r="5" ht="12.75" customHeight="1"/>
    <row r="6" ht="12.75" customHeight="1">
      <c r="B6" s="5" t="s">
        <v>3</v>
      </c>
      <c r="C6" s="7"/>
      <c r="D6" s="7"/>
      <c r="E6" s="7"/>
      <c r="F6" s="9"/>
    </row>
    <row r="7" ht="12.75" customHeight="1">
      <c r="B7" s="13"/>
      <c r="C7" s="15"/>
      <c r="D7" s="15"/>
      <c r="E7" s="15"/>
      <c r="F7" s="16"/>
    </row>
    <row r="8" ht="14.25" customHeight="1">
      <c r="B8" s="17" t="s">
        <v>21</v>
      </c>
      <c r="C8" s="17" t="s">
        <v>26</v>
      </c>
      <c r="D8" s="17" t="s">
        <v>28</v>
      </c>
      <c r="E8" s="17" t="s">
        <v>31</v>
      </c>
      <c r="F8" s="17" t="s">
        <v>36</v>
      </c>
    </row>
    <row r="9" ht="14.25" customHeight="1">
      <c r="B9" s="19"/>
      <c r="C9" s="21"/>
      <c r="D9" s="21"/>
      <c r="E9" s="21"/>
      <c r="F9" s="23"/>
    </row>
    <row r="10" ht="14.25" customHeight="1">
      <c r="B10" s="25"/>
      <c r="C10" s="1"/>
      <c r="D10" s="1"/>
      <c r="E10" s="1"/>
      <c r="F10" s="26"/>
    </row>
    <row r="11" ht="14.25" customHeight="1">
      <c r="B11" s="25"/>
      <c r="C11" s="1"/>
      <c r="D11" s="1"/>
      <c r="E11" s="1"/>
      <c r="F11" s="26"/>
    </row>
    <row r="12" ht="14.25" customHeight="1">
      <c r="B12" s="27"/>
      <c r="C12" s="28"/>
      <c r="D12" s="28"/>
      <c r="E12" s="28"/>
      <c r="F12" s="30"/>
    </row>
    <row r="13" ht="14.25" customHeight="1">
      <c r="B13" s="17" t="s">
        <v>114</v>
      </c>
      <c r="C13" s="17" t="s">
        <v>118</v>
      </c>
      <c r="D13" s="17" t="s">
        <v>122</v>
      </c>
      <c r="E13" s="17" t="s">
        <v>124</v>
      </c>
      <c r="F13" s="17" t="s">
        <v>127</v>
      </c>
    </row>
    <row r="14" ht="12.75" customHeight="1">
      <c r="B14" s="5" t="s">
        <v>3</v>
      </c>
      <c r="C14" s="7"/>
      <c r="D14" s="7"/>
      <c r="E14" s="7"/>
      <c r="F14" s="9"/>
    </row>
    <row r="15" ht="12.75" customHeight="1">
      <c r="B15" s="13"/>
      <c r="C15" s="15"/>
      <c r="D15" s="15"/>
      <c r="E15" s="15"/>
      <c r="F15" s="16"/>
    </row>
    <row r="16" ht="12.75" customHeight="1"/>
    <row r="17" ht="12.75" customHeight="1"/>
    <row r="18" ht="14.25" customHeight="1">
      <c r="A18" s="1" t="s">
        <v>161</v>
      </c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4.25" customHeight="1">
      <c r="D62" s="31">
        <v>0.03</v>
      </c>
      <c r="E62" s="1">
        <v>12.0</v>
      </c>
      <c r="F62" s="1">
        <f t="shared" ref="F62:F64" si="1">D62/E62</f>
        <v>0.0025</v>
      </c>
      <c r="G62" s="1">
        <v>30.0</v>
      </c>
      <c r="H62" s="1">
        <f>G62*F62</f>
        <v>0.075</v>
      </c>
    </row>
    <row r="63" ht="14.25" customHeight="1">
      <c r="D63" s="31">
        <v>0.22</v>
      </c>
      <c r="E63" s="1">
        <v>9.0</v>
      </c>
      <c r="F63" s="1">
        <f t="shared" si="1"/>
        <v>0.02444444444</v>
      </c>
      <c r="G63" s="1">
        <f>H62/F63</f>
        <v>3.068181818</v>
      </c>
      <c r="H63" s="1">
        <v>10.0</v>
      </c>
    </row>
    <row r="64" ht="14.25" customHeight="1">
      <c r="D64" s="31">
        <f>1-D63-D62</f>
        <v>0.75</v>
      </c>
      <c r="E64" s="1">
        <v>10.0</v>
      </c>
      <c r="F64" s="1">
        <f t="shared" si="1"/>
        <v>0.075</v>
      </c>
      <c r="G64" s="1">
        <f>H62/F64</f>
        <v>1</v>
      </c>
      <c r="H64" s="1">
        <v>5.0</v>
      </c>
    </row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6:F7"/>
    <mergeCell ref="B14:F1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90.75"/>
    <col customWidth="1" min="3" max="26" width="11.0"/>
  </cols>
  <sheetData>
    <row r="1" ht="14.25" customHeight="1">
      <c r="A1" s="2" t="s">
        <v>1</v>
      </c>
    </row>
    <row r="2" ht="14.25" customHeight="1">
      <c r="A2" s="4" t="s">
        <v>9</v>
      </c>
      <c r="B2" s="4" t="s">
        <v>13</v>
      </c>
    </row>
    <row r="3" ht="14.25" customHeight="1">
      <c r="A3" s="1"/>
    </row>
    <row r="4" ht="14.25" customHeight="1">
      <c r="A4" s="10" t="s">
        <v>24</v>
      </c>
      <c r="B4" s="14"/>
    </row>
    <row r="5" ht="14.25" customHeight="1">
      <c r="A5" s="20" t="s">
        <v>45</v>
      </c>
      <c r="B5" s="22" t="s">
        <v>55</v>
      </c>
    </row>
    <row r="6" ht="14.25" customHeight="1">
      <c r="A6" s="4" t="s">
        <v>67</v>
      </c>
      <c r="B6" s="4" t="s">
        <v>69</v>
      </c>
    </row>
    <row r="7" ht="14.25" customHeight="1">
      <c r="A7" s="22" t="s">
        <v>72</v>
      </c>
      <c r="B7" s="22" t="s">
        <v>74</v>
      </c>
    </row>
    <row r="8" ht="14.25" customHeight="1">
      <c r="A8" s="22" t="s">
        <v>81</v>
      </c>
      <c r="B8" s="22" t="s">
        <v>82</v>
      </c>
    </row>
    <row r="9" ht="14.25" customHeight="1">
      <c r="A9" s="1"/>
      <c r="B9" s="1"/>
    </row>
    <row r="10" ht="14.25" customHeight="1">
      <c r="A10" s="1"/>
      <c r="B10" s="1"/>
    </row>
    <row r="11" ht="14.25" customHeight="1">
      <c r="A11" s="29" t="s">
        <v>98</v>
      </c>
      <c r="B11" s="14"/>
    </row>
    <row r="12" ht="14.25" customHeight="1">
      <c r="A12" s="8" t="s">
        <v>107</v>
      </c>
      <c r="B12" s="4" t="s">
        <v>123</v>
      </c>
    </row>
    <row r="13" ht="14.25" customHeight="1">
      <c r="A13" s="8" t="s">
        <v>134</v>
      </c>
      <c r="B13" s="4" t="s">
        <v>136</v>
      </c>
    </row>
    <row r="14" ht="14.25" customHeight="1">
      <c r="A14" s="4" t="s">
        <v>142</v>
      </c>
      <c r="B14" s="4" t="s">
        <v>145</v>
      </c>
    </row>
    <row r="15" ht="14.25" customHeight="1">
      <c r="A15" s="8" t="s">
        <v>151</v>
      </c>
      <c r="B15" s="4" t="s">
        <v>153</v>
      </c>
    </row>
    <row r="16" ht="14.25" customHeight="1">
      <c r="A16" s="8" t="s">
        <v>154</v>
      </c>
      <c r="B16" s="4" t="s">
        <v>153</v>
      </c>
    </row>
    <row r="17" ht="14.25" customHeight="1">
      <c r="A17" s="4" t="s">
        <v>159</v>
      </c>
      <c r="B17" s="4" t="s">
        <v>162</v>
      </c>
    </row>
    <row r="18" ht="14.25" customHeight="1">
      <c r="A18" s="4" t="s">
        <v>167</v>
      </c>
      <c r="B18" s="4" t="s">
        <v>168</v>
      </c>
    </row>
    <row r="19" ht="14.25" customHeight="1">
      <c r="A19" s="4" t="s">
        <v>171</v>
      </c>
      <c r="B19" s="4" t="s">
        <v>172</v>
      </c>
    </row>
    <row r="20" ht="14.25" customHeight="1">
      <c r="A20" s="1"/>
      <c r="B20" s="1"/>
    </row>
    <row r="21" ht="14.25" customHeight="1">
      <c r="B21" s="1"/>
    </row>
    <row r="22" ht="14.25" customHeight="1">
      <c r="A22" s="29" t="s">
        <v>187</v>
      </c>
      <c r="B22" s="14"/>
    </row>
    <row r="23" ht="14.25" customHeight="1">
      <c r="A23" s="4" t="s">
        <v>193</v>
      </c>
      <c r="B23" s="4"/>
    </row>
    <row r="24" ht="14.25" customHeight="1">
      <c r="A24" s="4" t="s">
        <v>197</v>
      </c>
      <c r="B24" s="4"/>
    </row>
    <row r="25" ht="14.25" customHeight="1">
      <c r="A25" s="1" t="s">
        <v>198</v>
      </c>
    </row>
    <row r="26" ht="14.25" customHeight="1">
      <c r="A26" s="2" t="s">
        <v>199</v>
      </c>
    </row>
    <row r="27" ht="14.25" customHeight="1">
      <c r="A27" s="2" t="s">
        <v>200</v>
      </c>
    </row>
    <row r="28" ht="14.25" customHeight="1">
      <c r="A28" s="2" t="s">
        <v>201</v>
      </c>
    </row>
    <row r="29" ht="14.25" customHeight="1">
      <c r="A29" s="2" t="s">
        <v>202</v>
      </c>
    </row>
    <row r="30" ht="14.25" customHeight="1">
      <c r="A30" s="2" t="s">
        <v>203</v>
      </c>
    </row>
    <row r="31" ht="14.25" customHeight="1">
      <c r="A31" s="2" t="s">
        <v>205</v>
      </c>
    </row>
    <row r="32" ht="14.25" customHeight="1">
      <c r="A32" s="1" t="s">
        <v>206</v>
      </c>
    </row>
    <row r="33" ht="12.75" customHeight="1"/>
    <row r="34" ht="12.75" customHeight="1"/>
    <row r="35" ht="12.75" customHeight="1"/>
    <row r="36" ht="14.25" customHeight="1">
      <c r="A36" s="1" t="s">
        <v>207</v>
      </c>
    </row>
    <row r="37" ht="14.25" customHeight="1">
      <c r="A37" s="1" t="s">
        <v>208</v>
      </c>
    </row>
    <row r="38" ht="14.25" customHeight="1">
      <c r="A38" s="1" t="s">
        <v>211</v>
      </c>
    </row>
    <row r="39" ht="12.75" customHeight="1"/>
    <row r="40" ht="12.75" customHeight="1"/>
    <row r="41" ht="14.25" customHeight="1">
      <c r="B41" s="2" t="s">
        <v>212</v>
      </c>
    </row>
    <row r="42" ht="12.75" customHeight="1"/>
    <row r="43" ht="12.75" customHeight="1"/>
    <row r="44" ht="14.25" customHeight="1">
      <c r="A44" s="1" t="str">
        <f>"(1)"</f>
        <v>(1)</v>
      </c>
      <c r="B44" s="1"/>
      <c r="C44" s="1"/>
      <c r="D44" s="1"/>
      <c r="E44" s="1"/>
      <c r="F44" s="1"/>
    </row>
    <row r="45" ht="14.25" customHeight="1">
      <c r="A45" s="2" t="s">
        <v>216</v>
      </c>
    </row>
    <row r="46" ht="14.25" customHeight="1">
      <c r="A46" s="1" t="str">
        <f>"(2)"</f>
        <v>(2)</v>
      </c>
      <c r="B46" s="1"/>
      <c r="C46" s="1"/>
      <c r="D46" s="1"/>
      <c r="E46" s="1"/>
      <c r="F46" s="1"/>
    </row>
    <row r="47" ht="14.25" customHeight="1">
      <c r="A47" s="1" t="s">
        <v>220</v>
      </c>
      <c r="B47" s="1"/>
      <c r="C47" s="1"/>
      <c r="D47" s="1"/>
      <c r="E47" s="1"/>
      <c r="F47" s="1"/>
    </row>
    <row r="48" ht="14.25" customHeight="1">
      <c r="A48" s="1" t="s">
        <v>222</v>
      </c>
      <c r="B48" s="1"/>
      <c r="C48" s="1"/>
      <c r="D48" s="1"/>
      <c r="E48" s="1"/>
      <c r="F48" s="1"/>
    </row>
    <row r="49" ht="14.25" customHeight="1">
      <c r="A49" s="1" t="s">
        <v>223</v>
      </c>
      <c r="B49" s="1"/>
      <c r="C49" s="1"/>
      <c r="D49" s="1"/>
      <c r="E49" s="1"/>
      <c r="F49" s="1"/>
    </row>
    <row r="50" ht="14.25" customHeight="1">
      <c r="A50" s="1" t="str">
        <f>"(3)"</f>
        <v>(3)</v>
      </c>
      <c r="B50" s="1"/>
      <c r="C50" s="1"/>
      <c r="D50" s="1"/>
      <c r="E50" s="1"/>
      <c r="F50" s="1"/>
    </row>
    <row r="51" ht="14.25" customHeight="1">
      <c r="A51" s="2" t="s">
        <v>225</v>
      </c>
      <c r="C51" s="1"/>
      <c r="D51" s="1"/>
      <c r="E51" s="1"/>
      <c r="F51" s="1"/>
    </row>
    <row r="52" ht="14.25" customHeight="1">
      <c r="A52" s="2" t="s">
        <v>227</v>
      </c>
      <c r="C52" s="1"/>
      <c r="D52" s="1"/>
      <c r="E52" s="1"/>
      <c r="F52" s="1"/>
    </row>
    <row r="53" ht="14.25" customHeight="1">
      <c r="B53" s="1"/>
      <c r="C53" s="1"/>
      <c r="D53" s="1"/>
      <c r="E53" s="1"/>
      <c r="F53" s="1"/>
    </row>
    <row r="54" ht="14.25" customHeight="1">
      <c r="B54" s="1"/>
      <c r="C54" s="1"/>
      <c r="D54" s="1"/>
      <c r="E54" s="1"/>
      <c r="F54" s="1"/>
    </row>
    <row r="55" ht="14.25" customHeight="1">
      <c r="B55" s="1"/>
      <c r="C55" s="1"/>
      <c r="D55" s="1"/>
      <c r="E55" s="1"/>
      <c r="F55" s="1"/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4:B4"/>
    <mergeCell ref="A11:B11"/>
    <mergeCell ref="A22:B22"/>
    <mergeCell ref="A45:F4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0"/>
    <col customWidth="1" min="4" max="4" width="13.25"/>
    <col customWidth="1" min="5" max="26" width="11.0"/>
  </cols>
  <sheetData>
    <row r="1" ht="12.75" customHeight="1"/>
    <row r="2" ht="14.25" customHeight="1">
      <c r="O2" s="2" t="s">
        <v>2</v>
      </c>
      <c r="P2" s="4" t="s">
        <v>4</v>
      </c>
      <c r="Q2" s="4">
        <v>1.0</v>
      </c>
      <c r="R2" s="4">
        <v>2.0</v>
      </c>
      <c r="S2" s="4">
        <v>3.0</v>
      </c>
      <c r="T2" s="4">
        <v>4.0</v>
      </c>
    </row>
    <row r="3" ht="14.25" customHeight="1">
      <c r="P3" s="8" t="s">
        <v>8</v>
      </c>
      <c r="Q3" s="12">
        <v>4.8</v>
      </c>
      <c r="R3" s="12">
        <v>2.4</v>
      </c>
      <c r="S3" s="12">
        <v>1.6</v>
      </c>
      <c r="T3" s="12">
        <v>1.2</v>
      </c>
    </row>
    <row r="4" ht="14.25" customHeight="1">
      <c r="G4" s="4" t="s">
        <v>10</v>
      </c>
      <c r="P4" s="8" t="s">
        <v>11</v>
      </c>
      <c r="Q4" s="12">
        <v>3.8</v>
      </c>
      <c r="R4" s="12">
        <v>1.9</v>
      </c>
      <c r="S4" s="12">
        <v>1.25</v>
      </c>
      <c r="T4" s="12">
        <v>0.95</v>
      </c>
    </row>
    <row r="5" ht="14.25" customHeight="1">
      <c r="G5" s="4" t="s">
        <v>14</v>
      </c>
      <c r="P5" s="8" t="s">
        <v>15</v>
      </c>
      <c r="Q5" s="12">
        <v>3.0</v>
      </c>
      <c r="R5" s="12">
        <v>1.55</v>
      </c>
      <c r="S5" s="12">
        <v>1.05</v>
      </c>
      <c r="T5" s="12">
        <v>0.75</v>
      </c>
    </row>
    <row r="6" ht="14.25" customHeight="1">
      <c r="B6" s="1" t="s">
        <v>15</v>
      </c>
      <c r="C6" s="2" t="s">
        <v>18</v>
      </c>
      <c r="D6" s="2" t="s">
        <v>20</v>
      </c>
      <c r="E6" s="18">
        <v>110001.0</v>
      </c>
      <c r="J6" s="2" t="s">
        <v>27</v>
      </c>
    </row>
    <row r="7" ht="14.25" customHeight="1">
      <c r="D7" s="2" t="s">
        <v>29</v>
      </c>
      <c r="E7" s="1" t="s">
        <v>30</v>
      </c>
      <c r="F7" s="2" t="s">
        <v>33</v>
      </c>
      <c r="J7" s="2" t="s">
        <v>34</v>
      </c>
    </row>
    <row r="8" ht="14.25" customHeight="1">
      <c r="D8" s="2" t="s">
        <v>37</v>
      </c>
      <c r="E8" s="1" t="s">
        <v>38</v>
      </c>
      <c r="F8" s="2" t="s">
        <v>39</v>
      </c>
      <c r="J8" s="2" t="s">
        <v>41</v>
      </c>
      <c r="O8" s="2" t="s">
        <v>43</v>
      </c>
      <c r="P8" s="4" t="s">
        <v>4</v>
      </c>
      <c r="Q8" s="8">
        <v>1.0</v>
      </c>
      <c r="R8" s="8">
        <v>2.0</v>
      </c>
      <c r="S8" s="8">
        <v>3.0</v>
      </c>
      <c r="T8" s="8">
        <v>4.0</v>
      </c>
    </row>
    <row r="9" ht="14.25" customHeight="1">
      <c r="J9" s="2" t="s">
        <v>46</v>
      </c>
      <c r="P9" s="8" t="s">
        <v>8</v>
      </c>
      <c r="Q9" s="12">
        <v>5.0</v>
      </c>
      <c r="R9" s="12">
        <v>2.5</v>
      </c>
      <c r="S9" s="12">
        <v>1.7</v>
      </c>
      <c r="T9" s="12">
        <v>1.25</v>
      </c>
    </row>
    <row r="10" ht="14.25" customHeight="1">
      <c r="C10" s="2" t="s">
        <v>49</v>
      </c>
      <c r="D10" s="2" t="s">
        <v>20</v>
      </c>
      <c r="E10" s="18">
        <v>110001.0</v>
      </c>
      <c r="J10" s="2" t="s">
        <v>51</v>
      </c>
      <c r="P10" s="8" t="s">
        <v>11</v>
      </c>
      <c r="Q10" s="12">
        <v>4.0</v>
      </c>
      <c r="R10" s="12">
        <v>2.0</v>
      </c>
      <c r="S10" s="12">
        <v>1.3</v>
      </c>
      <c r="T10" s="12">
        <v>1.0</v>
      </c>
    </row>
    <row r="11" ht="14.25" customHeight="1">
      <c r="D11" s="2" t="s">
        <v>56</v>
      </c>
      <c r="E11" s="1" t="s">
        <v>30</v>
      </c>
      <c r="F11" s="2" t="s">
        <v>58</v>
      </c>
      <c r="J11" s="2" t="s">
        <v>60</v>
      </c>
      <c r="P11" s="8" t="s">
        <v>15</v>
      </c>
      <c r="Q11" s="12">
        <v>3.15</v>
      </c>
      <c r="R11" s="12">
        <v>1.65</v>
      </c>
      <c r="S11" s="12">
        <v>1.1</v>
      </c>
      <c r="T11" s="12">
        <v>0.8</v>
      </c>
    </row>
    <row r="12" ht="14.25" customHeight="1">
      <c r="D12" s="2" t="s">
        <v>64</v>
      </c>
      <c r="E12" s="1" t="s">
        <v>38</v>
      </c>
      <c r="F12" s="2" t="s">
        <v>66</v>
      </c>
    </row>
    <row r="13" ht="15.0" customHeight="1">
      <c r="O13" s="24" t="s">
        <v>70</v>
      </c>
      <c r="P13" s="24" t="s">
        <v>73</v>
      </c>
      <c r="Q13" s="24" t="s">
        <v>75</v>
      </c>
      <c r="R13" s="24" t="s">
        <v>77</v>
      </c>
      <c r="S13" s="24" t="s">
        <v>79</v>
      </c>
    </row>
    <row r="14" ht="14.25" customHeight="1">
      <c r="C14" s="2" t="s">
        <v>80</v>
      </c>
      <c r="D14" s="2" t="s">
        <v>20</v>
      </c>
      <c r="E14" s="18">
        <v>110001.0</v>
      </c>
      <c r="O14" s="2" t="s">
        <v>83</v>
      </c>
      <c r="Q14" s="2" t="s">
        <v>84</v>
      </c>
      <c r="R14" s="2" t="s">
        <v>85</v>
      </c>
      <c r="S14" s="2" t="s">
        <v>86</v>
      </c>
    </row>
    <row r="15" ht="14.25" customHeight="1">
      <c r="D15" s="2" t="s">
        <v>88</v>
      </c>
      <c r="E15" s="1" t="s">
        <v>30</v>
      </c>
      <c r="F15" s="2" t="s">
        <v>90</v>
      </c>
      <c r="Q15" s="2" t="s">
        <v>91</v>
      </c>
      <c r="R15" s="2" t="s">
        <v>92</v>
      </c>
      <c r="S15" s="2" t="s">
        <v>93</v>
      </c>
    </row>
    <row r="16" ht="14.25" customHeight="1">
      <c r="D16" s="2" t="s">
        <v>94</v>
      </c>
      <c r="E16" s="1" t="s">
        <v>38</v>
      </c>
      <c r="F16" s="2" t="s">
        <v>96</v>
      </c>
    </row>
    <row r="17" ht="14.25" customHeight="1">
      <c r="O17" s="2" t="s">
        <v>100</v>
      </c>
      <c r="Q17" s="2" t="s">
        <v>101</v>
      </c>
      <c r="R17" s="2" t="s">
        <v>102</v>
      </c>
      <c r="S17" s="2" t="s">
        <v>103</v>
      </c>
    </row>
    <row r="18" ht="14.25" customHeight="1">
      <c r="Q18" s="2" t="s">
        <v>105</v>
      </c>
      <c r="R18" s="2" t="s">
        <v>106</v>
      </c>
      <c r="S18" s="2" t="s">
        <v>108</v>
      </c>
    </row>
    <row r="19" ht="14.25" customHeight="1">
      <c r="C19" s="2" t="s">
        <v>110</v>
      </c>
      <c r="D19" s="2" t="s">
        <v>20</v>
      </c>
      <c r="E19" s="18">
        <v>110001.0</v>
      </c>
    </row>
    <row r="20" ht="14.25" customHeight="1">
      <c r="D20" s="2" t="s">
        <v>111</v>
      </c>
      <c r="E20" s="1" t="s">
        <v>30</v>
      </c>
      <c r="F20" s="2" t="s">
        <v>113</v>
      </c>
      <c r="O20" s="2" t="s">
        <v>115</v>
      </c>
      <c r="Q20" s="2" t="s">
        <v>117</v>
      </c>
      <c r="R20" s="2" t="s">
        <v>120</v>
      </c>
      <c r="S20" s="2" t="s">
        <v>121</v>
      </c>
    </row>
    <row r="21" ht="14.25" customHeight="1">
      <c r="D21" s="2" t="s">
        <v>125</v>
      </c>
      <c r="E21" s="1" t="s">
        <v>38</v>
      </c>
      <c r="F21" s="2" t="s">
        <v>128</v>
      </c>
      <c r="Q21" s="2" t="s">
        <v>130</v>
      </c>
      <c r="R21" s="2" t="s">
        <v>132</v>
      </c>
      <c r="S21" s="2" t="s">
        <v>133</v>
      </c>
    </row>
    <row r="22" ht="12.75" customHeight="1"/>
    <row r="23" ht="14.25" customHeight="1">
      <c r="C23" s="2" t="s">
        <v>137</v>
      </c>
      <c r="D23" s="2" t="s">
        <v>20</v>
      </c>
      <c r="E23" s="18">
        <v>110011.0</v>
      </c>
      <c r="O23" s="2" t="s">
        <v>110</v>
      </c>
      <c r="Q23" s="2" t="s">
        <v>139</v>
      </c>
      <c r="R23" s="2" t="s">
        <v>140</v>
      </c>
      <c r="S23" s="2" t="s">
        <v>141</v>
      </c>
    </row>
    <row r="24" ht="14.25" customHeight="1">
      <c r="D24" s="2" t="s">
        <v>143</v>
      </c>
      <c r="E24" s="1" t="s">
        <v>30</v>
      </c>
      <c r="F24" s="2" t="s">
        <v>146</v>
      </c>
      <c r="Q24" s="2" t="s">
        <v>148</v>
      </c>
      <c r="R24" s="2" t="s">
        <v>149</v>
      </c>
      <c r="S24" s="2" t="s">
        <v>150</v>
      </c>
    </row>
    <row r="25" ht="14.25" customHeight="1">
      <c r="D25" s="2" t="s">
        <v>152</v>
      </c>
      <c r="E25" s="1" t="s">
        <v>38</v>
      </c>
      <c r="F25" s="2" t="s">
        <v>152</v>
      </c>
    </row>
    <row r="26" ht="14.25" customHeight="1">
      <c r="O26" s="2" t="s">
        <v>155</v>
      </c>
      <c r="Q26" s="2" t="s">
        <v>156</v>
      </c>
      <c r="R26" s="2" t="s">
        <v>157</v>
      </c>
      <c r="S26" s="2" t="s">
        <v>158</v>
      </c>
    </row>
    <row r="27" ht="14.25" customHeight="1">
      <c r="Q27" s="2" t="s">
        <v>160</v>
      </c>
      <c r="R27" s="2" t="s">
        <v>164</v>
      </c>
      <c r="S27" s="2" t="s">
        <v>166</v>
      </c>
    </row>
    <row r="28" ht="14.25" customHeight="1">
      <c r="C28" s="2" t="s">
        <v>170</v>
      </c>
      <c r="D28" s="2" t="s">
        <v>20</v>
      </c>
      <c r="E28" s="18">
        <v>110011.0</v>
      </c>
    </row>
    <row r="29" ht="14.25" customHeight="1">
      <c r="D29" s="2" t="s">
        <v>173</v>
      </c>
      <c r="E29" s="1" t="s">
        <v>30</v>
      </c>
      <c r="F29" s="2" t="s">
        <v>174</v>
      </c>
      <c r="O29" s="2" t="s">
        <v>176</v>
      </c>
      <c r="Q29" s="2" t="s">
        <v>177</v>
      </c>
      <c r="R29" s="2" t="s">
        <v>178</v>
      </c>
      <c r="S29" s="2" t="s">
        <v>180</v>
      </c>
    </row>
    <row r="30" ht="14.25" customHeight="1">
      <c r="D30" s="2" t="s">
        <v>181</v>
      </c>
      <c r="E30" s="1" t="s">
        <v>38</v>
      </c>
      <c r="F30" s="2" t="s">
        <v>182</v>
      </c>
      <c r="Q30" s="2" t="s">
        <v>183</v>
      </c>
      <c r="R30" s="2" t="s">
        <v>185</v>
      </c>
      <c r="S30" s="2" t="s">
        <v>186</v>
      </c>
    </row>
    <row r="31" ht="12.75" customHeight="1"/>
    <row r="32" ht="12.75" customHeight="1"/>
    <row r="33" ht="14.25" customHeight="1">
      <c r="C33" s="2" t="s">
        <v>86</v>
      </c>
      <c r="D33" s="2" t="s">
        <v>189</v>
      </c>
      <c r="E33" s="2" t="s">
        <v>190</v>
      </c>
      <c r="O33" s="2" t="s">
        <v>18</v>
      </c>
    </row>
    <row r="34" ht="14.25" customHeight="1">
      <c r="D34" s="2" t="s">
        <v>191</v>
      </c>
      <c r="E34" s="2" t="s">
        <v>194</v>
      </c>
      <c r="O34" s="2" t="s">
        <v>49</v>
      </c>
    </row>
    <row r="35" ht="14.25" customHeight="1">
      <c r="D35" s="2" t="s">
        <v>195</v>
      </c>
      <c r="E35" s="2" t="s">
        <v>196</v>
      </c>
      <c r="O35" s="2" t="s">
        <v>80</v>
      </c>
    </row>
    <row r="36" ht="14.25" customHeight="1">
      <c r="O36" s="2" t="s">
        <v>110</v>
      </c>
    </row>
    <row r="37" ht="14.25" customHeight="1">
      <c r="O37" s="2" t="s">
        <v>137</v>
      </c>
    </row>
    <row r="38" ht="14.25" customHeight="1">
      <c r="O38" s="2" t="s">
        <v>170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26.38"/>
    <col customWidth="1" min="3" max="3" width="21.5"/>
    <col customWidth="1" min="4" max="5" width="11.0"/>
    <col customWidth="1" min="6" max="6" width="11.38"/>
    <col customWidth="1" min="7" max="7" width="12.38"/>
    <col customWidth="1" min="8" max="26" width="11.0"/>
  </cols>
  <sheetData>
    <row r="1" ht="12.75" customHeight="1"/>
    <row r="2" ht="12.75" customHeight="1"/>
    <row r="3" ht="14.25" customHeight="1">
      <c r="A3" s="3"/>
      <c r="B3" s="6" t="s">
        <v>5</v>
      </c>
      <c r="C3" s="6" t="s">
        <v>6</v>
      </c>
      <c r="D3" s="10" t="s">
        <v>7</v>
      </c>
      <c r="E3" s="11"/>
      <c r="F3" s="11"/>
      <c r="G3" s="14"/>
      <c r="L3" s="2" t="s">
        <v>12</v>
      </c>
    </row>
    <row r="4" ht="14.25" customHeight="1">
      <c r="A4" s="4" t="s">
        <v>16</v>
      </c>
      <c r="B4" s="4" t="s">
        <v>17</v>
      </c>
      <c r="C4" s="4" t="s">
        <v>19</v>
      </c>
      <c r="D4" s="4" t="s">
        <v>22</v>
      </c>
      <c r="E4" s="4" t="s">
        <v>23</v>
      </c>
      <c r="F4" s="4" t="s">
        <v>25</v>
      </c>
      <c r="G4" s="8"/>
      <c r="L4" s="2" t="s">
        <v>32</v>
      </c>
      <c r="M4" s="2" t="s">
        <v>35</v>
      </c>
    </row>
    <row r="5" ht="14.25" customHeight="1">
      <c r="A5" s="4" t="s">
        <v>40</v>
      </c>
      <c r="B5" s="4" t="s">
        <v>42</v>
      </c>
      <c r="C5" s="4" t="s">
        <v>19</v>
      </c>
      <c r="D5" s="4" t="s">
        <v>44</v>
      </c>
      <c r="E5" s="8"/>
      <c r="F5" s="8"/>
      <c r="G5" s="8"/>
      <c r="L5" s="2" t="s">
        <v>47</v>
      </c>
      <c r="M5" s="2" t="s">
        <v>48</v>
      </c>
      <c r="N5" s="2" t="s">
        <v>50</v>
      </c>
    </row>
    <row r="6" ht="14.25" customHeight="1">
      <c r="A6" s="4" t="s">
        <v>52</v>
      </c>
      <c r="B6" s="4" t="s">
        <v>53</v>
      </c>
      <c r="C6" s="4" t="s">
        <v>54</v>
      </c>
      <c r="D6" s="4" t="s">
        <v>57</v>
      </c>
      <c r="E6" s="4" t="s">
        <v>59</v>
      </c>
      <c r="F6" s="4" t="s">
        <v>61</v>
      </c>
      <c r="G6" s="4" t="s">
        <v>62</v>
      </c>
      <c r="L6" s="2" t="s">
        <v>63</v>
      </c>
      <c r="M6" s="2" t="s">
        <v>65</v>
      </c>
    </row>
    <row r="7" ht="14.25" customHeight="1">
      <c r="A7" s="4" t="s">
        <v>68</v>
      </c>
      <c r="B7" s="4" t="s">
        <v>71</v>
      </c>
      <c r="C7" s="4" t="s">
        <v>54</v>
      </c>
      <c r="D7" s="4" t="s">
        <v>57</v>
      </c>
      <c r="E7" s="4" t="s">
        <v>59</v>
      </c>
      <c r="F7" s="4" t="s">
        <v>76</v>
      </c>
      <c r="G7" s="4" t="s">
        <v>78</v>
      </c>
    </row>
    <row r="8" ht="12.75" customHeight="1"/>
    <row r="9" ht="12.75" customHeight="1"/>
    <row r="10" ht="12.75" customHeight="1"/>
    <row r="11" ht="14.25" customHeight="1">
      <c r="A11" s="2" t="s">
        <v>87</v>
      </c>
      <c r="B11" s="2" t="s">
        <v>89</v>
      </c>
    </row>
    <row r="12" ht="12.75" customHeight="1"/>
    <row r="13" ht="14.25" customHeight="1">
      <c r="B13" s="1" t="s">
        <v>95</v>
      </c>
      <c r="C13" s="2" t="s">
        <v>97</v>
      </c>
      <c r="D13" s="2" t="s">
        <v>99</v>
      </c>
      <c r="E13" s="2" t="s">
        <v>12</v>
      </c>
    </row>
    <row r="14" ht="14.25" customHeight="1">
      <c r="B14" s="1" t="s">
        <v>104</v>
      </c>
      <c r="C14" s="1" t="s">
        <v>107</v>
      </c>
      <c r="D14" s="2" t="s">
        <v>109</v>
      </c>
      <c r="E14" s="2" t="s">
        <v>63</v>
      </c>
    </row>
    <row r="15" ht="14.25" customHeight="1">
      <c r="B15" s="1" t="s">
        <v>112</v>
      </c>
      <c r="C15" s="2" t="s">
        <v>99</v>
      </c>
      <c r="D15" s="2" t="s">
        <v>116</v>
      </c>
      <c r="E15" s="2" t="s">
        <v>119</v>
      </c>
    </row>
    <row r="16" ht="14.25" customHeight="1">
      <c r="B16" s="1" t="s">
        <v>126</v>
      </c>
      <c r="C16" s="2" t="s">
        <v>129</v>
      </c>
      <c r="D16" s="2" t="s">
        <v>131</v>
      </c>
      <c r="E16" s="2" t="s">
        <v>32</v>
      </c>
      <c r="F16" s="2" t="s">
        <v>135</v>
      </c>
    </row>
    <row r="17" ht="14.25" customHeight="1">
      <c r="B17" s="1" t="s">
        <v>138</v>
      </c>
      <c r="C17" s="2" t="s">
        <v>116</v>
      </c>
      <c r="D17" s="2" t="s">
        <v>131</v>
      </c>
      <c r="E17" s="2" t="s">
        <v>144</v>
      </c>
      <c r="F17" s="1" t="s">
        <v>147</v>
      </c>
    </row>
    <row r="18" ht="14.25" customHeight="1">
      <c r="B18" s="1" t="s">
        <v>163</v>
      </c>
      <c r="C18" s="2" t="s">
        <v>165</v>
      </c>
      <c r="D18" s="2" t="s">
        <v>97</v>
      </c>
      <c r="E18" s="2" t="s">
        <v>47</v>
      </c>
      <c r="F18" s="2" t="s">
        <v>169</v>
      </c>
    </row>
    <row r="19" ht="12.75" customHeight="1"/>
    <row r="20" ht="12.75" customHeight="1"/>
    <row r="21" ht="12.75" customHeight="1"/>
    <row r="22" ht="12.75" customHeight="1"/>
    <row r="23" ht="12.75" customHeight="1"/>
    <row r="24" ht="14.25" customHeight="1">
      <c r="A24" s="2" t="s">
        <v>175</v>
      </c>
      <c r="B24" s="2" t="s">
        <v>179</v>
      </c>
    </row>
    <row r="25" ht="14.25" customHeight="1">
      <c r="B25" s="2" t="s">
        <v>184</v>
      </c>
    </row>
    <row r="26" ht="14.25" customHeight="1">
      <c r="B26" s="2" t="s">
        <v>188</v>
      </c>
    </row>
    <row r="27" ht="12.75" customHeight="1"/>
    <row r="28" ht="14.25" customHeight="1">
      <c r="A28" s="2" t="s">
        <v>192</v>
      </c>
      <c r="B28" s="32" t="str">
        <f>"1-10"&amp;",15"</f>
        <v>1-10,15</v>
      </c>
      <c r="C28" s="2" t="s">
        <v>204</v>
      </c>
    </row>
    <row r="29" ht="14.25" customHeight="1">
      <c r="A29" s="2" t="s">
        <v>192</v>
      </c>
      <c r="B29" s="33" t="str">
        <f>"第一章結束"&amp;",20"</f>
        <v>第一章結束,20</v>
      </c>
      <c r="C29" s="2" t="s">
        <v>209</v>
      </c>
      <c r="D29" s="2" t="s">
        <v>210</v>
      </c>
    </row>
    <row r="30" ht="14.25" customHeight="1">
      <c r="A30" s="2" t="s">
        <v>192</v>
      </c>
      <c r="B30" s="33" t="str">
        <f>"2-10"&amp;",25"</f>
        <v>2-10,25</v>
      </c>
      <c r="C30" s="2" t="s">
        <v>213</v>
      </c>
    </row>
    <row r="31" ht="14.25" customHeight="1">
      <c r="A31" s="2" t="s">
        <v>192</v>
      </c>
      <c r="B31" s="33" t="str">
        <f>"第二章結束"&amp;",30"</f>
        <v>第二章結束,30</v>
      </c>
      <c r="C31" s="2" t="s">
        <v>214</v>
      </c>
      <c r="D31" s="2" t="s">
        <v>215</v>
      </c>
    </row>
    <row r="32" ht="14.25" customHeight="1">
      <c r="A32" s="2" t="s">
        <v>192</v>
      </c>
      <c r="B32" s="33">
        <v>46091.0</v>
      </c>
      <c r="C32" s="2" t="s">
        <v>16</v>
      </c>
      <c r="D32" s="2" t="s">
        <v>217</v>
      </c>
      <c r="E32" s="2" t="s">
        <v>218</v>
      </c>
    </row>
    <row r="33" ht="14.25" customHeight="1">
      <c r="A33" s="2" t="s">
        <v>192</v>
      </c>
      <c r="B33" s="33" t="str">
        <f>"第三章結束"&amp;",40"</f>
        <v>第三章結束,40</v>
      </c>
      <c r="C33" s="2" t="s">
        <v>219</v>
      </c>
      <c r="D33" s="2" t="s">
        <v>221</v>
      </c>
    </row>
    <row r="34" ht="14.25" customHeight="1">
      <c r="A34" s="2" t="s">
        <v>192</v>
      </c>
      <c r="B34" s="33" t="str">
        <f>"第四章結束"&amp;",50"</f>
        <v>第四章結束,50</v>
      </c>
      <c r="C34" s="2" t="s">
        <v>224</v>
      </c>
    </row>
    <row r="35" ht="14.25" customHeight="1">
      <c r="A35" s="2" t="s">
        <v>192</v>
      </c>
      <c r="B35" s="33" t="str">
        <f>"5-10"&amp;",2轉30"</f>
        <v>5-10,2轉30</v>
      </c>
      <c r="C35" s="2" t="s">
        <v>226</v>
      </c>
    </row>
    <row r="36" ht="14.25" customHeight="1">
      <c r="A36" s="2" t="s">
        <v>192</v>
      </c>
      <c r="B36" s="33" t="str">
        <f>"第5章結束"&amp;",40"</f>
        <v>第5章結束,40</v>
      </c>
      <c r="C36" s="2" t="s">
        <v>228</v>
      </c>
    </row>
    <row r="37" ht="14.25" customHeight="1">
      <c r="A37" s="2" t="s">
        <v>192</v>
      </c>
      <c r="B37" s="33" t="str">
        <f>"第7章結束"&amp;",50"</f>
        <v>第7章結束,50</v>
      </c>
      <c r="C37" s="2" t="s">
        <v>229</v>
      </c>
      <c r="D37" s="2" t="s">
        <v>230</v>
      </c>
    </row>
    <row r="38" ht="12.75" customHeight="1"/>
    <row r="39" ht="12.75" customHeight="1"/>
    <row r="40" ht="12.75" customHeight="1"/>
    <row r="41" ht="14.25" customHeight="1">
      <c r="A41" s="1"/>
      <c r="B41" s="2" t="s">
        <v>231</v>
      </c>
      <c r="C41" s="1" t="s">
        <v>232</v>
      </c>
    </row>
    <row r="42" ht="14.25" customHeight="1">
      <c r="B42" s="2" t="s">
        <v>233</v>
      </c>
      <c r="C42" s="1" t="s">
        <v>234</v>
      </c>
    </row>
    <row r="43" ht="14.25" customHeight="1">
      <c r="B43" s="2" t="s">
        <v>214</v>
      </c>
      <c r="C43" s="1"/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D3:G3"/>
    <mergeCell ref="A24:A2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8.0" topLeftCell="S1" activePane="topRight" state="frozen"/>
      <selection activeCell="T2" sqref="T2" pane="topRight"/>
    </sheetView>
  </sheetViews>
  <sheetFormatPr customHeight="1" defaultColWidth="12.63" defaultRowHeight="15.0"/>
  <cols>
    <col customWidth="1" min="1" max="1" width="3.63"/>
    <col customWidth="1" min="2" max="3" width="11.0"/>
    <col customWidth="1" min="4" max="4" width="9.63"/>
    <col customWidth="1" min="5" max="5" width="10.63"/>
    <col customWidth="1" min="6" max="7" width="8.88"/>
    <col customWidth="1" min="8" max="8" width="17.13"/>
    <col customWidth="1" hidden="1" min="9" max="9" width="9.63"/>
    <col customWidth="1" min="10" max="11" width="3.88"/>
    <col customWidth="1" min="12" max="13" width="9.63"/>
    <col customWidth="1" min="14" max="14" width="5.5"/>
    <col customWidth="1" hidden="1" min="15" max="15" width="11.0"/>
    <col customWidth="1" min="16" max="16" width="7.38"/>
    <col customWidth="1" min="17" max="18" width="0.38"/>
    <col customWidth="1" min="19" max="19" width="43.63"/>
    <col customWidth="1" min="20" max="20" width="25.25"/>
    <col customWidth="1" min="21" max="21" width="28.38"/>
    <col customWidth="1" min="22" max="22" width="29.5"/>
    <col customWidth="1" min="23" max="23" width="19.63"/>
    <col customWidth="1" min="24" max="24" width="37.0"/>
    <col customWidth="1" hidden="1" min="25" max="25" width="14.0"/>
    <col customWidth="1" hidden="1" min="26" max="27" width="17.0"/>
    <col customWidth="1" hidden="1" min="28" max="28" width="30.38"/>
    <col customWidth="1" hidden="1" min="29" max="29" width="7.13"/>
    <col customWidth="1" min="30" max="35" width="11.0"/>
  </cols>
  <sheetData>
    <row r="1" ht="14.25" customHeight="1">
      <c r="S1" s="2" t="s">
        <v>235</v>
      </c>
      <c r="T1" s="2" t="s">
        <v>236</v>
      </c>
      <c r="U1" s="2" t="s">
        <v>237</v>
      </c>
      <c r="V1" s="2" t="s">
        <v>238</v>
      </c>
      <c r="W1" s="2" t="s">
        <v>239</v>
      </c>
      <c r="X1" s="2" t="s">
        <v>240</v>
      </c>
      <c r="Y1" s="2" t="s">
        <v>241</v>
      </c>
      <c r="Z1" s="2" t="s">
        <v>242</v>
      </c>
      <c r="AA1" s="2" t="s">
        <v>243</v>
      </c>
      <c r="AB1" s="2" t="s">
        <v>244</v>
      </c>
      <c r="AC1" s="2" t="s">
        <v>245</v>
      </c>
    </row>
    <row r="2" ht="14.25" customHeight="1">
      <c r="H2" s="1">
        <v>3.0</v>
      </c>
      <c r="J2" s="2" t="s">
        <v>246</v>
      </c>
      <c r="K2" s="2" t="s">
        <v>43</v>
      </c>
      <c r="L2" s="2" t="s">
        <v>247</v>
      </c>
      <c r="S2" s="1" t="s">
        <v>248</v>
      </c>
      <c r="T2" s="1" t="s">
        <v>249</v>
      </c>
      <c r="U2" s="1" t="s">
        <v>250</v>
      </c>
      <c r="V2" s="1" t="s">
        <v>251</v>
      </c>
      <c r="W2" s="1" t="s">
        <v>252</v>
      </c>
      <c r="X2" s="1" t="s">
        <v>253</v>
      </c>
      <c r="Y2" s="1" t="s">
        <v>254</v>
      </c>
      <c r="Z2" s="1" t="s">
        <v>255</v>
      </c>
      <c r="AA2" s="1" t="s">
        <v>256</v>
      </c>
      <c r="AB2" s="1" t="s">
        <v>257</v>
      </c>
      <c r="AC2" s="1" t="s">
        <v>258</v>
      </c>
    </row>
    <row r="3" ht="16.5" customHeight="1">
      <c r="A3" s="1" t="str">
        <f>"58,17,13,3,6,18"</f>
        <v>58,17,13,3,6,18</v>
      </c>
      <c r="B3" s="34" t="s">
        <v>259</v>
      </c>
      <c r="C3" s="34" t="s">
        <v>260</v>
      </c>
      <c r="D3" s="34" t="s">
        <v>261</v>
      </c>
      <c r="E3" s="34" t="s">
        <v>262</v>
      </c>
      <c r="F3" s="34" t="s">
        <v>263</v>
      </c>
      <c r="G3" s="34" t="s">
        <v>264</v>
      </c>
      <c r="H3" s="35" t="s">
        <v>265</v>
      </c>
      <c r="I3" s="36" t="s">
        <v>8</v>
      </c>
      <c r="J3" s="36">
        <v>2.0</v>
      </c>
      <c r="K3" s="36"/>
      <c r="L3" s="37">
        <v>2.4</v>
      </c>
      <c r="M3" s="38" t="s">
        <v>266</v>
      </c>
      <c r="N3" s="38"/>
      <c r="O3" s="2" t="s">
        <v>267</v>
      </c>
      <c r="P3" s="1" t="s">
        <v>268</v>
      </c>
      <c r="S3" s="2" t="s">
        <v>269</v>
      </c>
      <c r="T3" s="2" t="s">
        <v>270</v>
      </c>
      <c r="U3" s="2" t="s">
        <v>271</v>
      </c>
      <c r="V3" s="2" t="s">
        <v>272</v>
      </c>
      <c r="W3" s="2" t="s">
        <v>273</v>
      </c>
      <c r="X3" s="2" t="s">
        <v>274</v>
      </c>
      <c r="Y3" s="2" t="s">
        <v>275</v>
      </c>
      <c r="Z3" s="2" t="s">
        <v>276</v>
      </c>
      <c r="AA3" s="2" t="s">
        <v>277</v>
      </c>
      <c r="AB3" s="2" t="s">
        <v>278</v>
      </c>
      <c r="AC3" s="1" t="s">
        <v>279</v>
      </c>
    </row>
    <row r="4" ht="16.5" customHeight="1">
      <c r="A4" s="1"/>
      <c r="B4" s="34"/>
      <c r="C4" s="34"/>
      <c r="D4" s="34"/>
      <c r="E4" s="34"/>
      <c r="F4" s="34"/>
      <c r="G4" s="39" t="s">
        <v>281</v>
      </c>
      <c r="H4" s="35"/>
      <c r="I4" s="36" t="s">
        <v>8</v>
      </c>
      <c r="J4" s="38">
        <v>5.0</v>
      </c>
      <c r="K4" s="38"/>
      <c r="L4" s="37">
        <v>1.0</v>
      </c>
      <c r="M4" s="38" t="s">
        <v>283</v>
      </c>
      <c r="N4" s="36" t="s">
        <v>284</v>
      </c>
      <c r="O4" s="1"/>
      <c r="S4" s="2" t="s">
        <v>285</v>
      </c>
      <c r="T4" s="1" t="s">
        <v>286</v>
      </c>
      <c r="U4" s="2" t="s">
        <v>287</v>
      </c>
      <c r="V4" s="1" t="s">
        <v>286</v>
      </c>
      <c r="W4" s="1" t="s">
        <v>286</v>
      </c>
      <c r="X4" s="2" t="s">
        <v>288</v>
      </c>
      <c r="Y4" s="1"/>
      <c r="Z4" s="1"/>
      <c r="AA4" s="1"/>
      <c r="AB4" s="1"/>
      <c r="AC4" s="1"/>
    </row>
    <row r="5" ht="16.5" customHeight="1">
      <c r="A5" s="1" t="str">
        <f>"58,17,13,2,23,24"</f>
        <v>58,17,13,2,23,24</v>
      </c>
      <c r="B5" s="34" t="s">
        <v>308</v>
      </c>
      <c r="C5" s="34" t="s">
        <v>260</v>
      </c>
      <c r="D5" s="34" t="s">
        <v>261</v>
      </c>
      <c r="E5" s="34" t="s">
        <v>309</v>
      </c>
      <c r="F5" s="34" t="s">
        <v>310</v>
      </c>
      <c r="G5" s="34" t="s">
        <v>311</v>
      </c>
      <c r="H5" s="35" t="s">
        <v>312</v>
      </c>
      <c r="I5" s="36" t="s">
        <v>8</v>
      </c>
      <c r="J5" s="38">
        <v>2.0</v>
      </c>
      <c r="K5" s="38">
        <v>1.0</v>
      </c>
      <c r="L5" s="37">
        <v>2.5</v>
      </c>
      <c r="M5" s="38" t="s">
        <v>313</v>
      </c>
      <c r="N5" s="38"/>
      <c r="O5" s="2" t="s">
        <v>314</v>
      </c>
      <c r="S5" s="2" t="s">
        <v>315</v>
      </c>
      <c r="T5" s="2" t="s">
        <v>316</v>
      </c>
      <c r="U5" s="2" t="s">
        <v>317</v>
      </c>
      <c r="V5" s="2" t="s">
        <v>318</v>
      </c>
      <c r="W5" s="2" t="s">
        <v>319</v>
      </c>
      <c r="X5" s="2" t="s">
        <v>320</v>
      </c>
      <c r="Y5" s="2" t="s">
        <v>275</v>
      </c>
      <c r="Z5" s="2" t="s">
        <v>321</v>
      </c>
      <c r="AA5" s="2" t="s">
        <v>277</v>
      </c>
      <c r="AB5" s="2" t="s">
        <v>278</v>
      </c>
      <c r="AC5" s="1" t="s">
        <v>279</v>
      </c>
    </row>
    <row r="6" ht="16.5" customHeight="1">
      <c r="A6" s="1"/>
      <c r="B6" s="34"/>
      <c r="C6" s="34"/>
      <c r="D6" s="34"/>
      <c r="E6" s="34"/>
      <c r="F6" s="34"/>
      <c r="G6" s="34"/>
      <c r="H6" s="35"/>
      <c r="I6" s="36" t="s">
        <v>8</v>
      </c>
      <c r="J6" s="38">
        <v>3.0</v>
      </c>
      <c r="K6" s="38"/>
      <c r="L6" s="37">
        <v>1.6</v>
      </c>
      <c r="M6" s="38" t="s">
        <v>322</v>
      </c>
      <c r="N6" s="36" t="s">
        <v>323</v>
      </c>
      <c r="O6" s="1"/>
      <c r="P6" s="1"/>
      <c r="S6" s="2" t="s">
        <v>324</v>
      </c>
      <c r="T6" s="1" t="s">
        <v>286</v>
      </c>
      <c r="U6" s="2" t="s">
        <v>325</v>
      </c>
      <c r="V6" s="1" t="s">
        <v>286</v>
      </c>
      <c r="W6" s="1" t="s">
        <v>286</v>
      </c>
      <c r="X6" s="2" t="s">
        <v>326</v>
      </c>
      <c r="Y6" s="1"/>
      <c r="Z6" s="1"/>
      <c r="AA6" s="1"/>
      <c r="AB6" s="1"/>
      <c r="AC6" s="1"/>
    </row>
    <row r="7" ht="16.5" customHeight="1">
      <c r="A7" s="1" t="str">
        <f>"58,14,8,25,26"</f>
        <v>58,14,8,25,26</v>
      </c>
      <c r="B7" s="34" t="s">
        <v>308</v>
      </c>
      <c r="C7" s="34" t="s">
        <v>327</v>
      </c>
      <c r="D7" s="34" t="s">
        <v>328</v>
      </c>
      <c r="E7" s="34" t="s">
        <v>329</v>
      </c>
      <c r="F7" s="34" t="s">
        <v>281</v>
      </c>
      <c r="G7" s="34"/>
      <c r="H7" s="35" t="s">
        <v>330</v>
      </c>
      <c r="I7" s="36" t="s">
        <v>8</v>
      </c>
      <c r="J7" s="38">
        <v>-2.0</v>
      </c>
      <c r="K7" s="38"/>
      <c r="L7" s="37">
        <v>2.4</v>
      </c>
      <c r="M7" s="38" t="s">
        <v>331</v>
      </c>
      <c r="N7" s="38"/>
      <c r="O7" s="2" t="s">
        <v>332</v>
      </c>
      <c r="P7" s="1" t="s">
        <v>333</v>
      </c>
      <c r="S7" s="2" t="s">
        <v>334</v>
      </c>
      <c r="T7" s="2" t="s">
        <v>335</v>
      </c>
      <c r="U7" s="2" t="s">
        <v>336</v>
      </c>
      <c r="V7" s="2" t="s">
        <v>337</v>
      </c>
      <c r="W7" s="2" t="s">
        <v>272</v>
      </c>
      <c r="X7" s="2" t="s">
        <v>338</v>
      </c>
      <c r="Y7" s="2" t="s">
        <v>275</v>
      </c>
      <c r="Z7" s="2" t="s">
        <v>321</v>
      </c>
      <c r="AA7" s="2" t="s">
        <v>339</v>
      </c>
      <c r="AB7" s="2" t="s">
        <v>340</v>
      </c>
      <c r="AC7" s="1" t="s">
        <v>279</v>
      </c>
    </row>
    <row r="8" ht="16.5" customHeight="1">
      <c r="A8" s="1"/>
      <c r="B8" s="34"/>
      <c r="C8" s="34"/>
      <c r="D8" s="34"/>
      <c r="E8" s="34"/>
      <c r="F8" s="34"/>
      <c r="G8" s="34"/>
      <c r="H8" s="35"/>
      <c r="I8" s="36" t="s">
        <v>8</v>
      </c>
      <c r="J8" s="1">
        <v>-5.0</v>
      </c>
      <c r="K8" s="1"/>
      <c r="L8" s="31">
        <v>1.0</v>
      </c>
      <c r="M8" s="2" t="s">
        <v>341</v>
      </c>
      <c r="N8" s="36" t="s">
        <v>342</v>
      </c>
      <c r="O8" s="1"/>
      <c r="S8" s="2" t="s">
        <v>343</v>
      </c>
      <c r="T8" s="1" t="s">
        <v>286</v>
      </c>
      <c r="U8" s="2" t="s">
        <v>344</v>
      </c>
      <c r="V8" s="1" t="s">
        <v>286</v>
      </c>
      <c r="W8" s="1" t="s">
        <v>286</v>
      </c>
      <c r="X8" s="2" t="s">
        <v>345</v>
      </c>
      <c r="Y8" s="1"/>
      <c r="Z8" s="1"/>
      <c r="AA8" s="1"/>
      <c r="AB8" s="1"/>
      <c r="AC8" s="1"/>
    </row>
    <row r="9" ht="16.5" customHeight="1">
      <c r="A9" s="1" t="str">
        <f>"57,12,13,1,2,3"</f>
        <v>57,12,13,1,2,3</v>
      </c>
      <c r="B9" s="34" t="s">
        <v>346</v>
      </c>
      <c r="C9" s="34" t="s">
        <v>347</v>
      </c>
      <c r="D9" s="34" t="s">
        <v>261</v>
      </c>
      <c r="E9" s="34" t="s">
        <v>309</v>
      </c>
      <c r="F9" s="34" t="s">
        <v>348</v>
      </c>
      <c r="G9" s="34" t="s">
        <v>349</v>
      </c>
      <c r="H9" s="35" t="s">
        <v>350</v>
      </c>
      <c r="I9" s="36" t="s">
        <v>8</v>
      </c>
      <c r="J9" s="38">
        <v>4.0</v>
      </c>
      <c r="K9" s="38">
        <v>1.0</v>
      </c>
      <c r="L9" s="37">
        <v>1.25</v>
      </c>
      <c r="M9" s="38" t="s">
        <v>351</v>
      </c>
      <c r="N9" s="38"/>
      <c r="O9" s="2" t="s">
        <v>352</v>
      </c>
      <c r="S9" s="2" t="s">
        <v>353</v>
      </c>
      <c r="T9" s="2" t="s">
        <v>354</v>
      </c>
      <c r="U9" s="2" t="s">
        <v>355</v>
      </c>
      <c r="V9" s="2" t="s">
        <v>356</v>
      </c>
      <c r="W9" s="2" t="s">
        <v>357</v>
      </c>
      <c r="X9" s="2" t="s">
        <v>358</v>
      </c>
      <c r="Y9" s="2" t="s">
        <v>275</v>
      </c>
      <c r="Z9" s="2" t="s">
        <v>321</v>
      </c>
      <c r="AA9" s="2" t="s">
        <v>277</v>
      </c>
      <c r="AB9" s="2" t="s">
        <v>278</v>
      </c>
      <c r="AC9" s="1" t="s">
        <v>279</v>
      </c>
    </row>
    <row r="10" ht="16.5" customHeight="1">
      <c r="A10" s="1"/>
      <c r="B10" s="34"/>
      <c r="C10" s="34"/>
      <c r="D10" s="34"/>
      <c r="E10" s="34"/>
      <c r="F10" s="34"/>
      <c r="G10" s="34"/>
      <c r="H10" s="35"/>
      <c r="I10" s="36" t="s">
        <v>8</v>
      </c>
      <c r="J10" s="1">
        <v>3.0</v>
      </c>
      <c r="K10" s="1"/>
      <c r="L10" s="31">
        <v>1.6</v>
      </c>
      <c r="M10" s="2" t="s">
        <v>359</v>
      </c>
      <c r="N10" s="36" t="s">
        <v>284</v>
      </c>
      <c r="O10" s="1"/>
      <c r="S10" s="2" t="s">
        <v>360</v>
      </c>
      <c r="T10" s="1" t="s">
        <v>286</v>
      </c>
      <c r="U10" s="1" t="s">
        <v>361</v>
      </c>
      <c r="V10" s="1" t="s">
        <v>286</v>
      </c>
      <c r="W10" s="1" t="s">
        <v>286</v>
      </c>
      <c r="X10" s="2" t="s">
        <v>362</v>
      </c>
      <c r="Y10" s="1"/>
      <c r="Z10" s="1"/>
      <c r="AA10" s="1"/>
      <c r="AB10" s="1"/>
      <c r="AC10" s="1"/>
    </row>
    <row r="11" ht="16.5" customHeight="1">
      <c r="A11" s="1" t="str">
        <f>"58,12,13,3,1,2"</f>
        <v>58,12,13,3,1,2</v>
      </c>
      <c r="B11" s="34" t="s">
        <v>308</v>
      </c>
      <c r="C11" s="34" t="s">
        <v>347</v>
      </c>
      <c r="D11" s="34" t="s">
        <v>261</v>
      </c>
      <c r="E11" s="34" t="s">
        <v>349</v>
      </c>
      <c r="F11" s="34" t="s">
        <v>348</v>
      </c>
      <c r="G11" s="34" t="s">
        <v>309</v>
      </c>
      <c r="H11" s="35" t="s">
        <v>363</v>
      </c>
      <c r="I11" s="36" t="s">
        <v>8</v>
      </c>
      <c r="J11" s="38">
        <v>1.0</v>
      </c>
      <c r="K11" s="38">
        <v>1.0</v>
      </c>
      <c r="L11" s="37">
        <v>5.0</v>
      </c>
      <c r="M11" s="38" t="s">
        <v>364</v>
      </c>
      <c r="N11" s="38"/>
      <c r="O11" s="2" t="s">
        <v>365</v>
      </c>
      <c r="S11" s="2" t="s">
        <v>366</v>
      </c>
      <c r="T11" s="2" t="s">
        <v>367</v>
      </c>
      <c r="U11" s="2" t="s">
        <v>368</v>
      </c>
      <c r="V11" s="2" t="s">
        <v>369</v>
      </c>
      <c r="W11" s="2" t="s">
        <v>370</v>
      </c>
      <c r="X11" s="2" t="s">
        <v>371</v>
      </c>
      <c r="Y11" s="2" t="s">
        <v>372</v>
      </c>
      <c r="Z11" s="2" t="s">
        <v>373</v>
      </c>
      <c r="AA11" s="2" t="s">
        <v>277</v>
      </c>
      <c r="AB11" s="2" t="s">
        <v>278</v>
      </c>
      <c r="AC11" s="1" t="s">
        <v>279</v>
      </c>
    </row>
    <row r="12" ht="16.5" customHeight="1">
      <c r="A12" s="1"/>
      <c r="B12" s="34"/>
      <c r="C12" s="34"/>
      <c r="D12" s="34"/>
      <c r="E12" s="34"/>
      <c r="F12" s="34"/>
      <c r="G12" s="34"/>
      <c r="H12" s="35"/>
      <c r="I12" s="36" t="s">
        <v>8</v>
      </c>
      <c r="J12" s="1">
        <v>1.0</v>
      </c>
      <c r="K12" s="1"/>
      <c r="L12" s="31">
        <v>4.8</v>
      </c>
      <c r="M12" s="2" t="s">
        <v>374</v>
      </c>
      <c r="N12" s="36" t="s">
        <v>342</v>
      </c>
      <c r="O12" s="1"/>
      <c r="S12" s="2" t="s">
        <v>375</v>
      </c>
      <c r="T12" s="1" t="s">
        <v>286</v>
      </c>
      <c r="U12" s="2" t="s">
        <v>376</v>
      </c>
      <c r="V12" s="1" t="s">
        <v>286</v>
      </c>
      <c r="W12" s="1" t="s">
        <v>286</v>
      </c>
      <c r="X12" s="2" t="s">
        <v>370</v>
      </c>
      <c r="Y12" s="1"/>
      <c r="Z12" s="1"/>
      <c r="AA12" s="1"/>
      <c r="AB12" s="1"/>
      <c r="AC12" s="1"/>
    </row>
    <row r="13" ht="16.5" customHeight="1">
      <c r="A13" s="1" t="str">
        <f>"58,18,5,8,15"</f>
        <v>58,18,5,8,15</v>
      </c>
      <c r="B13" s="34" t="s">
        <v>308</v>
      </c>
      <c r="C13" s="34" t="s">
        <v>260</v>
      </c>
      <c r="D13" s="34" t="s">
        <v>378</v>
      </c>
      <c r="E13" s="34" t="s">
        <v>262</v>
      </c>
      <c r="F13" s="34" t="s">
        <v>281</v>
      </c>
      <c r="G13" s="34" t="s">
        <v>379</v>
      </c>
      <c r="H13" s="35" t="s">
        <v>380</v>
      </c>
      <c r="I13" s="36" t="s">
        <v>8</v>
      </c>
      <c r="J13" s="1">
        <v>-2.0</v>
      </c>
      <c r="K13" s="1">
        <v>1.0</v>
      </c>
      <c r="L13" s="31"/>
      <c r="M13" s="2" t="s">
        <v>382</v>
      </c>
      <c r="N13" s="38"/>
      <c r="O13" s="2" t="s">
        <v>383</v>
      </c>
      <c r="S13" s="2" t="s">
        <v>384</v>
      </c>
      <c r="T13" s="2" t="s">
        <v>386</v>
      </c>
      <c r="U13" s="2" t="s">
        <v>387</v>
      </c>
      <c r="V13" s="2" t="s">
        <v>388</v>
      </c>
      <c r="W13" s="2" t="s">
        <v>389</v>
      </c>
      <c r="X13" s="2" t="s">
        <v>390</v>
      </c>
      <c r="Y13" s="2" t="s">
        <v>391</v>
      </c>
      <c r="Z13" s="2" t="s">
        <v>392</v>
      </c>
      <c r="AA13" s="2" t="s">
        <v>339</v>
      </c>
      <c r="AB13" s="2" t="s">
        <v>340</v>
      </c>
      <c r="AC13" s="1" t="s">
        <v>279</v>
      </c>
    </row>
    <row r="14" ht="16.5" customHeight="1">
      <c r="A14" s="1"/>
      <c r="B14" s="34"/>
      <c r="C14" s="34"/>
      <c r="D14" s="34"/>
      <c r="E14" s="34"/>
      <c r="F14" s="34"/>
      <c r="G14" s="34"/>
      <c r="H14" s="35"/>
      <c r="I14" s="36" t="s">
        <v>8</v>
      </c>
      <c r="J14" s="38">
        <v>-5.0</v>
      </c>
      <c r="K14" s="38"/>
      <c r="L14" s="37">
        <v>1.0</v>
      </c>
      <c r="M14" s="38" t="s">
        <v>394</v>
      </c>
      <c r="N14" s="36" t="s">
        <v>342</v>
      </c>
      <c r="O14" s="1"/>
      <c r="S14" s="2" t="s">
        <v>395</v>
      </c>
      <c r="T14" s="1" t="s">
        <v>286</v>
      </c>
      <c r="U14" s="2" t="s">
        <v>396</v>
      </c>
      <c r="V14" s="1" t="s">
        <v>286</v>
      </c>
      <c r="W14" s="1" t="s">
        <v>286</v>
      </c>
      <c r="X14" s="2" t="s">
        <v>397</v>
      </c>
      <c r="Y14" s="1"/>
      <c r="Z14" s="1"/>
      <c r="AA14" s="1"/>
      <c r="AB14" s="1"/>
      <c r="AC14" s="1"/>
    </row>
    <row r="15" ht="16.5" customHeight="1">
      <c r="A15" s="1" t="str">
        <f>"58,12,11,20,1"</f>
        <v>58,12,11,20,1</v>
      </c>
      <c r="B15" s="34" t="s">
        <v>308</v>
      </c>
      <c r="C15" s="34" t="s">
        <v>347</v>
      </c>
      <c r="D15" s="34" t="s">
        <v>398</v>
      </c>
      <c r="E15" s="34" t="s">
        <v>399</v>
      </c>
      <c r="F15" s="34" t="s">
        <v>348</v>
      </c>
      <c r="G15" s="34"/>
      <c r="H15" s="35" t="s">
        <v>400</v>
      </c>
      <c r="I15" s="36" t="s">
        <v>8</v>
      </c>
      <c r="J15" s="38">
        <v>2.0</v>
      </c>
      <c r="K15" s="38"/>
      <c r="L15" s="37">
        <v>2.5</v>
      </c>
      <c r="M15" s="38" t="s">
        <v>401</v>
      </c>
      <c r="N15" s="38"/>
      <c r="O15" s="2" t="s">
        <v>402</v>
      </c>
      <c r="S15" s="2" t="s">
        <v>403</v>
      </c>
      <c r="T15" s="2" t="s">
        <v>404</v>
      </c>
      <c r="U15" s="2" t="s">
        <v>407</v>
      </c>
      <c r="V15" s="2" t="s">
        <v>408</v>
      </c>
      <c r="W15" s="2" t="s">
        <v>409</v>
      </c>
      <c r="X15" s="2" t="s">
        <v>410</v>
      </c>
      <c r="Y15" s="2" t="s">
        <v>411</v>
      </c>
      <c r="Z15" s="2" t="s">
        <v>412</v>
      </c>
      <c r="AA15" s="2" t="s">
        <v>339</v>
      </c>
      <c r="AB15" s="2" t="s">
        <v>340</v>
      </c>
      <c r="AC15" s="1" t="s">
        <v>279</v>
      </c>
    </row>
    <row r="16" ht="16.5" customHeight="1">
      <c r="A16" s="1"/>
      <c r="B16" s="34"/>
      <c r="C16" s="34"/>
      <c r="D16" s="34"/>
      <c r="E16" s="34"/>
      <c r="F16" s="34"/>
      <c r="G16" s="34"/>
      <c r="H16" s="35"/>
      <c r="I16" s="36" t="s">
        <v>8</v>
      </c>
      <c r="J16" s="38">
        <v>2.0</v>
      </c>
      <c r="K16" s="38">
        <v>1.0</v>
      </c>
      <c r="L16" s="37">
        <v>2.5</v>
      </c>
      <c r="M16" s="38" t="s">
        <v>414</v>
      </c>
      <c r="N16" s="36" t="s">
        <v>323</v>
      </c>
      <c r="O16" s="1"/>
      <c r="S16" s="2" t="s">
        <v>415</v>
      </c>
      <c r="T16" s="1" t="s">
        <v>286</v>
      </c>
      <c r="U16" s="2" t="s">
        <v>416</v>
      </c>
      <c r="V16" s="1" t="s">
        <v>286</v>
      </c>
      <c r="W16" s="1" t="s">
        <v>286</v>
      </c>
      <c r="X16" s="2" t="s">
        <v>418</v>
      </c>
      <c r="Y16" s="1"/>
      <c r="Z16" s="1"/>
      <c r="AA16" s="1"/>
      <c r="AB16" s="1"/>
      <c r="AC16" s="1"/>
    </row>
    <row r="17" ht="16.5" customHeight="1">
      <c r="A17" s="1" t="str">
        <f>"59,18,13,5,9,17"</f>
        <v>59,18,13,5,9,17</v>
      </c>
      <c r="B17" s="34" t="s">
        <v>420</v>
      </c>
      <c r="C17" s="34" t="s">
        <v>260</v>
      </c>
      <c r="D17" s="34" t="s">
        <v>261</v>
      </c>
      <c r="E17" s="34" t="s">
        <v>262</v>
      </c>
      <c r="F17" s="34" t="s">
        <v>263</v>
      </c>
      <c r="G17" s="34" t="s">
        <v>264</v>
      </c>
      <c r="H17" s="35" t="s">
        <v>422</v>
      </c>
      <c r="I17" s="36" t="s">
        <v>8</v>
      </c>
      <c r="J17" s="1">
        <v>1.0</v>
      </c>
      <c r="K17" s="1"/>
      <c r="L17" s="31">
        <v>4.8</v>
      </c>
      <c r="M17" s="2" t="s">
        <v>424</v>
      </c>
      <c r="N17" s="38"/>
      <c r="O17" s="2" t="s">
        <v>425</v>
      </c>
      <c r="S17" s="2" t="s">
        <v>426</v>
      </c>
      <c r="T17" s="2" t="s">
        <v>427</v>
      </c>
      <c r="U17" s="2" t="s">
        <v>428</v>
      </c>
      <c r="V17" s="2" t="s">
        <v>430</v>
      </c>
      <c r="W17" s="2" t="s">
        <v>431</v>
      </c>
      <c r="X17" s="2" t="s">
        <v>388</v>
      </c>
      <c r="Y17" s="2" t="s">
        <v>275</v>
      </c>
      <c r="Z17" s="2" t="s">
        <v>321</v>
      </c>
      <c r="AA17" s="2" t="s">
        <v>277</v>
      </c>
      <c r="AB17" s="2" t="s">
        <v>278</v>
      </c>
      <c r="AC17" s="1" t="s">
        <v>279</v>
      </c>
    </row>
    <row r="18" ht="16.5" customHeight="1">
      <c r="A18" s="1"/>
      <c r="B18" s="34"/>
      <c r="C18" s="34"/>
      <c r="D18" s="34"/>
      <c r="E18" s="34"/>
      <c r="F18" s="34"/>
      <c r="G18" s="8"/>
      <c r="H18" s="35"/>
      <c r="I18" s="36" t="s">
        <v>8</v>
      </c>
      <c r="J18" s="38">
        <v>-5.0</v>
      </c>
      <c r="K18" s="38"/>
      <c r="L18" s="37">
        <v>1.0</v>
      </c>
      <c r="M18" s="38" t="s">
        <v>433</v>
      </c>
      <c r="N18" s="36" t="s">
        <v>434</v>
      </c>
      <c r="O18" s="1"/>
      <c r="P18" s="1"/>
      <c r="S18" s="2" t="s">
        <v>436</v>
      </c>
      <c r="T18" s="1" t="s">
        <v>286</v>
      </c>
      <c r="U18" s="2" t="s">
        <v>437</v>
      </c>
      <c r="V18" s="1" t="s">
        <v>286</v>
      </c>
      <c r="W18" s="1" t="s">
        <v>286</v>
      </c>
      <c r="X18" s="2" t="s">
        <v>438</v>
      </c>
      <c r="Y18" s="1"/>
      <c r="Z18" s="1"/>
      <c r="AA18" s="1"/>
      <c r="AB18" s="1"/>
      <c r="AC18" s="1"/>
    </row>
    <row r="19" ht="16.5" customHeight="1">
      <c r="A19" s="1" t="str">
        <f>"60,18,15,25,26"</f>
        <v>60,18,15,25,26</v>
      </c>
      <c r="B19" s="34" t="s">
        <v>346</v>
      </c>
      <c r="C19" s="34" t="s">
        <v>260</v>
      </c>
      <c r="D19" s="34" t="s">
        <v>441</v>
      </c>
      <c r="E19" s="34" t="s">
        <v>329</v>
      </c>
      <c r="F19" s="34" t="s">
        <v>348</v>
      </c>
      <c r="G19" s="34" t="s">
        <v>281</v>
      </c>
      <c r="H19" s="35" t="s">
        <v>442</v>
      </c>
      <c r="I19" s="36" t="s">
        <v>8</v>
      </c>
      <c r="J19" s="38">
        <v>1.0</v>
      </c>
      <c r="K19" s="38"/>
      <c r="L19" s="37">
        <v>4.8</v>
      </c>
      <c r="M19" s="38" t="s">
        <v>443</v>
      </c>
      <c r="N19" s="38"/>
      <c r="O19" s="2" t="s">
        <v>444</v>
      </c>
      <c r="P19" s="1" t="s">
        <v>445</v>
      </c>
      <c r="S19" s="2" t="s">
        <v>446</v>
      </c>
      <c r="T19" s="2" t="s">
        <v>368</v>
      </c>
      <c r="U19" s="2" t="s">
        <v>447</v>
      </c>
      <c r="V19" s="2" t="s">
        <v>449</v>
      </c>
      <c r="W19" s="2" t="s">
        <v>450</v>
      </c>
      <c r="X19" s="2" t="s">
        <v>451</v>
      </c>
      <c r="Y19" s="2" t="s">
        <v>372</v>
      </c>
      <c r="Z19" s="2" t="s">
        <v>373</v>
      </c>
      <c r="AA19" s="2" t="s">
        <v>277</v>
      </c>
      <c r="AB19" s="2" t="s">
        <v>278</v>
      </c>
      <c r="AC19" s="1" t="s">
        <v>279</v>
      </c>
    </row>
    <row r="20" ht="16.5" customHeight="1">
      <c r="A20" s="1"/>
      <c r="B20" s="34"/>
      <c r="C20" s="34"/>
      <c r="D20" s="34"/>
      <c r="E20" s="34"/>
      <c r="F20" s="34"/>
      <c r="H20" s="35"/>
      <c r="I20" s="36" t="s">
        <v>8</v>
      </c>
      <c r="J20" s="1">
        <v>1.0</v>
      </c>
      <c r="K20" s="1">
        <v>1.0</v>
      </c>
      <c r="L20" s="31">
        <v>5.0</v>
      </c>
      <c r="M20" s="2" t="s">
        <v>453</v>
      </c>
      <c r="N20" s="36" t="s">
        <v>454</v>
      </c>
      <c r="O20" s="1"/>
      <c r="P20" s="1"/>
      <c r="S20" s="2" t="s">
        <v>455</v>
      </c>
      <c r="T20" s="1" t="s">
        <v>286</v>
      </c>
      <c r="U20" s="2" t="s">
        <v>456</v>
      </c>
      <c r="V20" s="1" t="s">
        <v>286</v>
      </c>
      <c r="W20" s="1" t="s">
        <v>286</v>
      </c>
      <c r="X20" s="2" t="s">
        <v>457</v>
      </c>
      <c r="Y20" s="1"/>
      <c r="Z20" s="1"/>
      <c r="AA20" s="1"/>
      <c r="AB20" s="1"/>
      <c r="AC20" s="1"/>
    </row>
    <row r="21" ht="16.5" customHeight="1">
      <c r="A21" s="1" t="str">
        <f>"61,18,5,9,20"</f>
        <v>61,18,5,9,20</v>
      </c>
      <c r="B21" s="34" t="s">
        <v>259</v>
      </c>
      <c r="C21" s="34" t="s">
        <v>347</v>
      </c>
      <c r="D21" s="34" t="s">
        <v>262</v>
      </c>
      <c r="E21" s="34" t="s">
        <v>263</v>
      </c>
      <c r="F21" s="34" t="s">
        <v>378</v>
      </c>
      <c r="G21" s="46" t="s">
        <v>399</v>
      </c>
      <c r="H21" s="35" t="s">
        <v>458</v>
      </c>
      <c r="I21" s="36" t="s">
        <v>8</v>
      </c>
      <c r="J21" s="38">
        <v>1.0</v>
      </c>
      <c r="K21" s="38"/>
      <c r="L21" s="37">
        <v>4.8</v>
      </c>
      <c r="M21" s="38" t="s">
        <v>459</v>
      </c>
      <c r="N21" s="38"/>
      <c r="O21" s="2" t="s">
        <v>460</v>
      </c>
      <c r="S21" s="2" t="s">
        <v>461</v>
      </c>
      <c r="T21" s="2" t="s">
        <v>462</v>
      </c>
      <c r="U21" s="2" t="s">
        <v>463</v>
      </c>
      <c r="V21" s="2" t="s">
        <v>464</v>
      </c>
      <c r="W21" s="2" t="s">
        <v>465</v>
      </c>
      <c r="X21" s="2" t="s">
        <v>466</v>
      </c>
      <c r="Y21" s="2" t="s">
        <v>372</v>
      </c>
      <c r="Z21" s="2" t="s">
        <v>373</v>
      </c>
      <c r="AA21" s="2" t="s">
        <v>277</v>
      </c>
      <c r="AB21" s="2" t="s">
        <v>278</v>
      </c>
      <c r="AC21" s="1" t="s">
        <v>279</v>
      </c>
    </row>
    <row r="22" ht="16.5" customHeight="1">
      <c r="A22" s="1"/>
      <c r="B22" s="34"/>
      <c r="C22" s="34"/>
      <c r="D22" s="34"/>
      <c r="E22" s="34"/>
      <c r="F22" s="34"/>
      <c r="G22" s="46"/>
      <c r="H22" s="35"/>
      <c r="I22" s="36" t="s">
        <v>8</v>
      </c>
      <c r="J22" s="1">
        <v>1.0</v>
      </c>
      <c r="K22" s="1">
        <v>1.0</v>
      </c>
      <c r="L22" s="31">
        <v>5.0</v>
      </c>
      <c r="M22" s="2" t="s">
        <v>467</v>
      </c>
      <c r="N22" s="36" t="s">
        <v>434</v>
      </c>
      <c r="O22" s="1"/>
      <c r="S22" s="2" t="s">
        <v>468</v>
      </c>
      <c r="T22" s="1" t="s">
        <v>286</v>
      </c>
      <c r="U22" s="2" t="s">
        <v>469</v>
      </c>
      <c r="V22" s="1" t="s">
        <v>286</v>
      </c>
      <c r="W22" s="1" t="s">
        <v>286</v>
      </c>
      <c r="X22" s="2" t="s">
        <v>470</v>
      </c>
      <c r="Y22" s="1"/>
      <c r="Z22" s="1"/>
      <c r="AA22" s="1"/>
      <c r="AB22" s="1"/>
      <c r="AC22" s="1"/>
    </row>
    <row r="23" ht="16.5" customHeight="1">
      <c r="A23" s="1" t="str">
        <f>"59,12,15,10,22"</f>
        <v>59,12,15,10,22</v>
      </c>
      <c r="B23" s="34" t="s">
        <v>420</v>
      </c>
      <c r="C23" s="34" t="s">
        <v>347</v>
      </c>
      <c r="D23" s="34" t="s">
        <v>379</v>
      </c>
      <c r="E23" s="34" t="s">
        <v>471</v>
      </c>
      <c r="F23" s="34" t="s">
        <v>441</v>
      </c>
      <c r="G23" s="34" t="s">
        <v>472</v>
      </c>
      <c r="H23" s="35" t="s">
        <v>473</v>
      </c>
      <c r="I23" s="36" t="s">
        <v>8</v>
      </c>
      <c r="J23" s="38">
        <v>-2.0</v>
      </c>
      <c r="K23" s="38"/>
      <c r="L23" s="37">
        <v>2.4</v>
      </c>
      <c r="M23" s="38" t="s">
        <v>474</v>
      </c>
      <c r="N23" s="38"/>
      <c r="O23" s="2" t="s">
        <v>475</v>
      </c>
      <c r="P23" s="1" t="s">
        <v>476</v>
      </c>
      <c r="S23" s="2" t="s">
        <v>477</v>
      </c>
      <c r="T23" s="2" t="s">
        <v>478</v>
      </c>
      <c r="U23" s="2" t="s">
        <v>479</v>
      </c>
      <c r="V23" s="2" t="s">
        <v>480</v>
      </c>
      <c r="W23" s="2" t="s">
        <v>388</v>
      </c>
      <c r="X23" s="2" t="s">
        <v>481</v>
      </c>
      <c r="Y23" s="2" t="s">
        <v>391</v>
      </c>
      <c r="Z23" s="2" t="s">
        <v>482</v>
      </c>
      <c r="AA23" s="2" t="s">
        <v>339</v>
      </c>
      <c r="AB23" s="2" t="s">
        <v>340</v>
      </c>
      <c r="AC23" s="1" t="s">
        <v>279</v>
      </c>
    </row>
    <row r="24" ht="16.5" customHeight="1">
      <c r="A24" s="1"/>
      <c r="B24" s="34"/>
      <c r="C24" s="34"/>
      <c r="D24" s="34"/>
      <c r="E24" s="34"/>
      <c r="F24" s="34"/>
      <c r="G24" s="35"/>
      <c r="H24" s="35"/>
      <c r="I24" s="36" t="s">
        <v>8</v>
      </c>
      <c r="J24" s="38">
        <v>1.0</v>
      </c>
      <c r="K24" s="38"/>
      <c r="L24" s="37">
        <v>4.8</v>
      </c>
      <c r="M24" s="38" t="s">
        <v>483</v>
      </c>
      <c r="N24" s="36" t="s">
        <v>342</v>
      </c>
      <c r="O24" s="1"/>
      <c r="S24" s="2" t="s">
        <v>485</v>
      </c>
      <c r="T24" s="1" t="s">
        <v>286</v>
      </c>
      <c r="U24" s="2" t="s">
        <v>486</v>
      </c>
      <c r="V24" s="1" t="s">
        <v>286</v>
      </c>
      <c r="W24" s="1" t="s">
        <v>286</v>
      </c>
      <c r="X24" s="2" t="s">
        <v>488</v>
      </c>
      <c r="Y24" s="1"/>
      <c r="Z24" s="1"/>
      <c r="AA24" s="1"/>
      <c r="AB24" s="1"/>
      <c r="AC24" s="1"/>
    </row>
    <row r="25" ht="16.5" customHeight="1">
      <c r="A25" s="1" t="str">
        <f>"60,14,15,22,8"</f>
        <v>60,14,15,22,8</v>
      </c>
      <c r="B25" s="34" t="s">
        <v>346</v>
      </c>
      <c r="C25" s="34" t="s">
        <v>327</v>
      </c>
      <c r="D25" s="34" t="s">
        <v>441</v>
      </c>
      <c r="E25" s="34" t="s">
        <v>472</v>
      </c>
      <c r="F25" s="34" t="s">
        <v>328</v>
      </c>
      <c r="G25" s="34" t="s">
        <v>493</v>
      </c>
      <c r="H25" s="35" t="s">
        <v>494</v>
      </c>
      <c r="I25" s="36" t="s">
        <v>8</v>
      </c>
      <c r="J25" s="38">
        <v>-2.0</v>
      </c>
      <c r="K25" s="38">
        <v>1.0</v>
      </c>
      <c r="L25" s="37">
        <v>2.5</v>
      </c>
      <c r="M25" s="38" t="s">
        <v>495</v>
      </c>
      <c r="N25" s="38"/>
      <c r="O25" s="2" t="s">
        <v>497</v>
      </c>
      <c r="S25" s="2" t="s">
        <v>498</v>
      </c>
      <c r="T25" s="2" t="s">
        <v>500</v>
      </c>
      <c r="U25" s="2" t="s">
        <v>388</v>
      </c>
      <c r="V25" s="2" t="s">
        <v>501</v>
      </c>
      <c r="W25" s="2" t="s">
        <v>502</v>
      </c>
      <c r="X25" s="2" t="s">
        <v>504</v>
      </c>
      <c r="Y25" s="2" t="s">
        <v>275</v>
      </c>
      <c r="Z25" s="2" t="s">
        <v>321</v>
      </c>
      <c r="AA25" s="2" t="s">
        <v>277</v>
      </c>
      <c r="AB25" s="2" t="s">
        <v>278</v>
      </c>
      <c r="AC25" s="1" t="s">
        <v>279</v>
      </c>
    </row>
    <row r="26" ht="16.5" customHeight="1">
      <c r="A26" s="1"/>
      <c r="B26" s="34"/>
      <c r="C26" s="34"/>
      <c r="D26" s="34"/>
      <c r="E26" s="34"/>
      <c r="F26" s="34"/>
      <c r="G26" s="35"/>
      <c r="H26" s="35"/>
      <c r="I26" s="36" t="s">
        <v>8</v>
      </c>
      <c r="J26" s="1">
        <v>-1.0</v>
      </c>
      <c r="K26" s="1"/>
      <c r="L26" s="31">
        <v>4.8</v>
      </c>
      <c r="M26" s="2" t="s">
        <v>508</v>
      </c>
      <c r="N26" s="36" t="s">
        <v>284</v>
      </c>
      <c r="S26" s="2" t="s">
        <v>510</v>
      </c>
      <c r="T26" s="1" t="s">
        <v>286</v>
      </c>
      <c r="U26" s="2" t="s">
        <v>511</v>
      </c>
      <c r="V26" s="1" t="s">
        <v>286</v>
      </c>
      <c r="W26" s="1" t="s">
        <v>286</v>
      </c>
      <c r="X26" s="2" t="s">
        <v>512</v>
      </c>
    </row>
    <row r="27" ht="14.25" hidden="1" customHeight="1">
      <c r="A27" s="1"/>
    </row>
    <row r="28" ht="14.25" hidden="1" customHeight="1">
      <c r="A28" s="1"/>
    </row>
    <row r="29" ht="16.5" hidden="1" customHeight="1">
      <c r="A29" s="1" t="str">
        <f>"61,18,19,5,9,7"</f>
        <v>61,18,19,5,9,7</v>
      </c>
      <c r="B29" s="34" t="s">
        <v>259</v>
      </c>
      <c r="C29" s="34" t="s">
        <v>260</v>
      </c>
      <c r="D29" s="34" t="s">
        <v>378</v>
      </c>
      <c r="E29" s="34" t="s">
        <v>262</v>
      </c>
      <c r="F29" s="34" t="s">
        <v>263</v>
      </c>
      <c r="G29" s="34"/>
      <c r="H29" s="35" t="s">
        <v>521</v>
      </c>
      <c r="I29" s="38"/>
      <c r="J29" s="38"/>
      <c r="K29" s="38"/>
      <c r="L29" s="38"/>
      <c r="M29" s="38"/>
      <c r="N29" s="38"/>
      <c r="O29" s="2" t="s">
        <v>524</v>
      </c>
    </row>
    <row r="30" ht="16.5" hidden="1" customHeight="1">
      <c r="A30" s="1" t="str">
        <f>"59,12,15,10,23,11"</f>
        <v>59,12,15,10,23,11</v>
      </c>
      <c r="B30" s="34" t="s">
        <v>420</v>
      </c>
      <c r="C30" s="34" t="s">
        <v>347</v>
      </c>
      <c r="D30" s="34" t="s">
        <v>379</v>
      </c>
      <c r="E30" s="34" t="s">
        <v>471</v>
      </c>
      <c r="F30" s="34" t="s">
        <v>493</v>
      </c>
      <c r="G30" s="34" t="s">
        <v>398</v>
      </c>
      <c r="H30" s="35" t="s">
        <v>527</v>
      </c>
      <c r="I30" s="38"/>
      <c r="J30" s="38"/>
      <c r="K30" s="38"/>
      <c r="L30" s="38"/>
      <c r="M30" s="38"/>
      <c r="N30" s="38"/>
      <c r="O30" s="2" t="s">
        <v>528</v>
      </c>
    </row>
    <row r="31" ht="16.5" hidden="1" customHeight="1">
      <c r="A31" s="1" t="str">
        <f>"60,18,15,22,25,26"</f>
        <v>60,18,15,22,25,26</v>
      </c>
      <c r="B31" s="34" t="s">
        <v>346</v>
      </c>
      <c r="C31" s="34" t="s">
        <v>260</v>
      </c>
      <c r="D31" s="34" t="s">
        <v>379</v>
      </c>
      <c r="E31" s="34" t="s">
        <v>441</v>
      </c>
      <c r="F31" s="34" t="s">
        <v>329</v>
      </c>
      <c r="G31" s="34" t="s">
        <v>281</v>
      </c>
      <c r="H31" s="35" t="s">
        <v>529</v>
      </c>
      <c r="I31" s="38"/>
      <c r="J31" s="38"/>
      <c r="K31" s="38"/>
      <c r="L31" s="38"/>
      <c r="M31" s="38"/>
      <c r="N31" s="38"/>
      <c r="O31" s="2" t="s">
        <v>531</v>
      </c>
      <c r="S31" s="1"/>
    </row>
    <row r="32" ht="16.5" hidden="1" customHeight="1">
      <c r="A32" s="1" t="str">
        <f>"62,18,24,9,25,26"</f>
        <v>62,18,24,9,25,26</v>
      </c>
      <c r="B32" s="34" t="s">
        <v>532</v>
      </c>
      <c r="C32" s="34" t="s">
        <v>260</v>
      </c>
      <c r="D32" s="34" t="s">
        <v>311</v>
      </c>
      <c r="E32" s="34" t="s">
        <v>263</v>
      </c>
      <c r="F32" s="34" t="s">
        <v>329</v>
      </c>
      <c r="G32" s="34" t="s">
        <v>281</v>
      </c>
      <c r="H32" s="35" t="s">
        <v>533</v>
      </c>
      <c r="I32" s="38"/>
      <c r="J32" s="38"/>
      <c r="K32" s="38"/>
      <c r="L32" s="38"/>
      <c r="M32" s="38"/>
      <c r="N32" s="38"/>
      <c r="O32" s="2" t="s">
        <v>534</v>
      </c>
    </row>
    <row r="33" ht="16.5" hidden="1" customHeight="1">
      <c r="A33" s="1" t="str">
        <f>"61,18,9,7,25"</f>
        <v>61,18,9,7,25</v>
      </c>
      <c r="B33" s="34" t="s">
        <v>259</v>
      </c>
      <c r="C33" s="34" t="s">
        <v>260</v>
      </c>
      <c r="D33" s="34" t="s">
        <v>263</v>
      </c>
      <c r="E33" s="34" t="s">
        <v>329</v>
      </c>
      <c r="F33" s="34"/>
      <c r="G33" s="34"/>
      <c r="H33" s="35" t="s">
        <v>535</v>
      </c>
      <c r="I33" s="38"/>
      <c r="J33" s="38"/>
      <c r="K33" s="38"/>
      <c r="L33" s="38"/>
      <c r="M33" s="38"/>
      <c r="N33" s="38"/>
      <c r="O33" s="2" t="s">
        <v>536</v>
      </c>
      <c r="U33" s="2" t="s">
        <v>537</v>
      </c>
    </row>
    <row r="34" ht="16.5" hidden="1" customHeight="1">
      <c r="A34" s="1" t="str">
        <f>"59,12,15,22,10,25"</f>
        <v>59,12,15,22,10,25</v>
      </c>
      <c r="B34" s="34" t="s">
        <v>420</v>
      </c>
      <c r="C34" s="34" t="s">
        <v>347</v>
      </c>
      <c r="D34" s="34" t="s">
        <v>379</v>
      </c>
      <c r="E34" s="34" t="s">
        <v>441</v>
      </c>
      <c r="F34" s="34" t="s">
        <v>471</v>
      </c>
      <c r="G34" s="34" t="s">
        <v>329</v>
      </c>
      <c r="H34" s="35" t="s">
        <v>538</v>
      </c>
      <c r="I34" s="38"/>
      <c r="J34" s="38"/>
      <c r="K34" s="38"/>
      <c r="L34" s="38"/>
      <c r="M34" s="38"/>
      <c r="N34" s="38"/>
      <c r="O34" s="2" t="s">
        <v>540</v>
      </c>
    </row>
    <row r="35" ht="16.5" hidden="1" customHeight="1">
      <c r="A35" s="1" t="str">
        <f>"58,12,15,10,20"</f>
        <v>58,12,15,10,20</v>
      </c>
      <c r="B35" s="34" t="s">
        <v>308</v>
      </c>
      <c r="C35" s="34" t="s">
        <v>347</v>
      </c>
      <c r="D35" s="34" t="s">
        <v>399</v>
      </c>
      <c r="G35" s="34"/>
      <c r="H35" s="35" t="s">
        <v>541</v>
      </c>
      <c r="I35" s="38"/>
      <c r="J35" s="38"/>
      <c r="K35" s="38"/>
      <c r="L35" s="38"/>
      <c r="M35" s="38"/>
      <c r="N35" s="38"/>
      <c r="O35" s="2" t="s">
        <v>542</v>
      </c>
    </row>
    <row r="36" ht="16.5" hidden="1" customHeight="1">
      <c r="A36" s="1" t="str">
        <f>"60,18,13,5,21,9"</f>
        <v>60,18,13,5,21,9</v>
      </c>
      <c r="B36" s="34" t="s">
        <v>346</v>
      </c>
      <c r="C36" s="34" t="s">
        <v>260</v>
      </c>
      <c r="D36" s="34" t="s">
        <v>261</v>
      </c>
      <c r="E36" s="34" t="s">
        <v>262</v>
      </c>
      <c r="F36" s="34" t="s">
        <v>263</v>
      </c>
      <c r="G36" s="34"/>
      <c r="H36" s="35" t="s">
        <v>543</v>
      </c>
      <c r="I36" s="38"/>
      <c r="J36" s="38"/>
      <c r="K36" s="38"/>
      <c r="L36" s="38"/>
      <c r="M36" s="38"/>
      <c r="N36" s="38"/>
      <c r="O36" s="2" t="s">
        <v>545</v>
      </c>
    </row>
    <row r="37" ht="12.75" hidden="1" customHeight="1"/>
    <row r="38" ht="14.25" customHeight="1">
      <c r="H38" s="1">
        <v>27.0</v>
      </c>
    </row>
    <row r="39" ht="16.5" customHeight="1">
      <c r="B39" s="55" t="s">
        <v>11</v>
      </c>
      <c r="C39" s="56" t="s">
        <v>548</v>
      </c>
      <c r="E39" s="57"/>
      <c r="F39" s="57"/>
      <c r="G39" s="57"/>
    </row>
    <row r="40" ht="16.5" customHeight="1">
      <c r="A40" s="1" t="str">
        <f>"56,16,13,2,1"</f>
        <v>56,16,13,2,1</v>
      </c>
      <c r="C40" s="34" t="s">
        <v>308</v>
      </c>
      <c r="D40" s="34" t="s">
        <v>347</v>
      </c>
      <c r="E40" s="34" t="s">
        <v>261</v>
      </c>
      <c r="F40" s="34" t="s">
        <v>309</v>
      </c>
      <c r="G40" s="34" t="s">
        <v>348</v>
      </c>
      <c r="H40" s="58" t="s">
        <v>550</v>
      </c>
      <c r="I40" s="1" t="s">
        <v>11</v>
      </c>
      <c r="J40" s="1">
        <v>2.0</v>
      </c>
      <c r="K40" s="1"/>
      <c r="L40" s="31">
        <v>1.9</v>
      </c>
      <c r="M40" s="2" t="s">
        <v>552</v>
      </c>
      <c r="N40" s="59"/>
      <c r="S40" s="2" t="s">
        <v>554</v>
      </c>
      <c r="T40" s="1" t="s">
        <v>555</v>
      </c>
      <c r="U40" s="1" t="s">
        <v>555</v>
      </c>
      <c r="V40" s="2" t="s">
        <v>556</v>
      </c>
      <c r="W40" s="1" t="s">
        <v>555</v>
      </c>
      <c r="X40" s="2" t="s">
        <v>557</v>
      </c>
    </row>
    <row r="41" ht="16.5" customHeight="1">
      <c r="C41" s="34"/>
      <c r="D41" s="34"/>
      <c r="E41" s="34"/>
      <c r="F41" s="34"/>
      <c r="G41" s="34"/>
      <c r="H41" s="58"/>
      <c r="I41" s="1" t="s">
        <v>11</v>
      </c>
      <c r="J41" s="1">
        <v>1.0</v>
      </c>
      <c r="K41" s="1"/>
      <c r="L41" s="31">
        <v>3.8</v>
      </c>
      <c r="M41" s="2" t="s">
        <v>558</v>
      </c>
      <c r="N41" s="36" t="s">
        <v>559</v>
      </c>
      <c r="S41" s="2" t="s">
        <v>560</v>
      </c>
      <c r="T41" s="1" t="s">
        <v>286</v>
      </c>
      <c r="U41" s="1" t="s">
        <v>286</v>
      </c>
      <c r="V41" s="1" t="s">
        <v>286</v>
      </c>
      <c r="W41" s="1" t="s">
        <v>286</v>
      </c>
      <c r="X41" s="2" t="s">
        <v>561</v>
      </c>
    </row>
    <row r="42" ht="16.5" customHeight="1">
      <c r="A42" s="1" t="str">
        <f>"56,16,13,4,52"</f>
        <v>56,16,13,4,52</v>
      </c>
      <c r="C42" s="34" t="s">
        <v>308</v>
      </c>
      <c r="D42" s="34" t="s">
        <v>347</v>
      </c>
      <c r="E42" s="34" t="s">
        <v>261</v>
      </c>
      <c r="F42" s="34" t="s">
        <v>349</v>
      </c>
      <c r="G42" s="34" t="s">
        <v>441</v>
      </c>
      <c r="H42" s="58" t="s">
        <v>563</v>
      </c>
      <c r="I42" s="1" t="s">
        <v>11</v>
      </c>
      <c r="J42" s="1">
        <v>3.0</v>
      </c>
      <c r="K42" s="1"/>
      <c r="L42" s="31">
        <v>1.25</v>
      </c>
      <c r="M42" s="2" t="s">
        <v>564</v>
      </c>
      <c r="N42" s="59"/>
      <c r="S42" s="2" t="s">
        <v>565</v>
      </c>
      <c r="T42" s="1" t="s">
        <v>555</v>
      </c>
      <c r="U42" s="1" t="s">
        <v>555</v>
      </c>
      <c r="V42" s="2" t="s">
        <v>566</v>
      </c>
      <c r="W42" s="1" t="s">
        <v>555</v>
      </c>
      <c r="X42" s="2" t="s">
        <v>567</v>
      </c>
    </row>
    <row r="43" ht="16.5" customHeight="1">
      <c r="C43" s="34"/>
      <c r="D43" s="34"/>
      <c r="E43" s="34"/>
      <c r="F43" s="34"/>
      <c r="G43" s="34"/>
      <c r="H43" s="58"/>
      <c r="I43" s="1" t="s">
        <v>11</v>
      </c>
      <c r="J43" s="1">
        <v>3.0</v>
      </c>
      <c r="K43" s="1">
        <v>1.0</v>
      </c>
      <c r="L43" s="31">
        <v>1.3</v>
      </c>
      <c r="M43" s="2" t="s">
        <v>568</v>
      </c>
      <c r="N43" s="36" t="s">
        <v>323</v>
      </c>
      <c r="S43" s="2" t="s">
        <v>569</v>
      </c>
      <c r="T43" s="1" t="s">
        <v>286</v>
      </c>
      <c r="U43" s="1" t="s">
        <v>286</v>
      </c>
      <c r="V43" s="1" t="s">
        <v>286</v>
      </c>
      <c r="W43" s="1" t="s">
        <v>286</v>
      </c>
      <c r="X43" s="2" t="s">
        <v>570</v>
      </c>
    </row>
    <row r="44" ht="16.5" customHeight="1">
      <c r="A44" s="1" t="str">
        <f>"58,17,15,51,10"</f>
        <v>58,17,15,51,10</v>
      </c>
      <c r="C44" s="34" t="s">
        <v>259</v>
      </c>
      <c r="D44" s="34" t="s">
        <v>260</v>
      </c>
      <c r="E44" s="34" t="s">
        <v>379</v>
      </c>
      <c r="F44" s="34" t="s">
        <v>378</v>
      </c>
      <c r="G44" s="34" t="s">
        <v>493</v>
      </c>
      <c r="H44" s="58" t="s">
        <v>571</v>
      </c>
      <c r="I44" s="1" t="s">
        <v>11</v>
      </c>
      <c r="J44" s="1">
        <v>-2.0</v>
      </c>
      <c r="K44" s="1"/>
      <c r="L44" s="31">
        <v>1.9</v>
      </c>
      <c r="M44" s="2" t="s">
        <v>572</v>
      </c>
      <c r="S44" s="2" t="s">
        <v>573</v>
      </c>
      <c r="T44" s="1" t="s">
        <v>555</v>
      </c>
      <c r="U44" s="1" t="s">
        <v>555</v>
      </c>
      <c r="V44" s="2" t="s">
        <v>574</v>
      </c>
      <c r="W44" s="1" t="s">
        <v>555</v>
      </c>
      <c r="X44" s="2" t="s">
        <v>575</v>
      </c>
    </row>
    <row r="45" ht="16.5" customHeight="1">
      <c r="C45" s="34"/>
      <c r="D45" s="34"/>
      <c r="E45" s="34"/>
      <c r="F45" s="34"/>
      <c r="G45" s="34"/>
      <c r="H45" s="58"/>
      <c r="I45" s="1" t="s">
        <v>11</v>
      </c>
      <c r="J45" s="1">
        <v>2.0</v>
      </c>
      <c r="K45" s="1"/>
      <c r="L45" s="31">
        <v>1.9</v>
      </c>
      <c r="M45" s="2" t="s">
        <v>576</v>
      </c>
      <c r="N45" s="36" t="s">
        <v>559</v>
      </c>
      <c r="S45" s="2" t="s">
        <v>577</v>
      </c>
      <c r="T45" s="1" t="s">
        <v>286</v>
      </c>
      <c r="U45" s="1" t="s">
        <v>286</v>
      </c>
      <c r="V45" s="1" t="s">
        <v>286</v>
      </c>
      <c r="W45" s="1" t="s">
        <v>286</v>
      </c>
      <c r="X45" s="2" t="s">
        <v>566</v>
      </c>
    </row>
    <row r="46" ht="16.5" customHeight="1">
      <c r="A46" s="1" t="str">
        <f>"58,17,51,20"</f>
        <v>58,17,51,20</v>
      </c>
      <c r="C46" s="34" t="s">
        <v>259</v>
      </c>
      <c r="D46" s="34" t="s">
        <v>260</v>
      </c>
      <c r="E46" s="34" t="s">
        <v>378</v>
      </c>
      <c r="F46" s="34" t="s">
        <v>399</v>
      </c>
      <c r="G46" s="34"/>
      <c r="H46" s="58" t="s">
        <v>583</v>
      </c>
      <c r="I46" s="1" t="s">
        <v>11</v>
      </c>
      <c r="J46" s="1">
        <v>3.0</v>
      </c>
      <c r="K46" s="1">
        <v>1.0</v>
      </c>
      <c r="L46" s="31">
        <v>1.3</v>
      </c>
      <c r="M46" s="2" t="s">
        <v>584</v>
      </c>
      <c r="N46" s="59"/>
      <c r="S46" s="2" t="s">
        <v>585</v>
      </c>
      <c r="T46" s="1" t="s">
        <v>555</v>
      </c>
      <c r="U46" s="1" t="s">
        <v>555</v>
      </c>
      <c r="V46" s="2" t="s">
        <v>586</v>
      </c>
      <c r="W46" s="1" t="s">
        <v>555</v>
      </c>
      <c r="X46" s="2" t="s">
        <v>587</v>
      </c>
    </row>
    <row r="47" ht="16.5" customHeight="1">
      <c r="C47" s="34"/>
      <c r="D47" s="34"/>
      <c r="E47" s="34"/>
      <c r="F47" s="34"/>
      <c r="G47" s="34"/>
      <c r="H47" s="58"/>
      <c r="I47" s="1" t="s">
        <v>11</v>
      </c>
      <c r="J47" s="1">
        <v>2.0</v>
      </c>
      <c r="K47" s="1">
        <v>1.0</v>
      </c>
      <c r="L47" s="31">
        <v>2.0</v>
      </c>
      <c r="M47" s="2" t="s">
        <v>589</v>
      </c>
      <c r="N47" s="36" t="s">
        <v>284</v>
      </c>
      <c r="S47" s="2" t="s">
        <v>590</v>
      </c>
      <c r="T47" s="1" t="s">
        <v>286</v>
      </c>
      <c r="U47" s="1" t="s">
        <v>286</v>
      </c>
      <c r="V47" s="1" t="s">
        <v>286</v>
      </c>
      <c r="W47" s="1" t="s">
        <v>286</v>
      </c>
      <c r="X47" s="2" t="s">
        <v>591</v>
      </c>
    </row>
    <row r="48" ht="16.5" customHeight="1">
      <c r="A48" s="1" t="str">
        <f>"57,17,15,52,10"</f>
        <v>57,17,15,52,10</v>
      </c>
      <c r="C48" s="34" t="s">
        <v>346</v>
      </c>
      <c r="D48" s="34" t="s">
        <v>260</v>
      </c>
      <c r="E48" s="34" t="s">
        <v>379</v>
      </c>
      <c r="F48" s="34" t="s">
        <v>441</v>
      </c>
      <c r="G48" s="34" t="s">
        <v>493</v>
      </c>
      <c r="H48" s="58" t="s">
        <v>593</v>
      </c>
      <c r="I48" s="1" t="s">
        <v>11</v>
      </c>
      <c r="J48" s="1">
        <v>-1.0</v>
      </c>
      <c r="K48" s="1">
        <v>1.0</v>
      </c>
      <c r="L48" s="31">
        <v>3.8</v>
      </c>
      <c r="M48" s="2" t="s">
        <v>594</v>
      </c>
      <c r="N48" s="59"/>
      <c r="S48" s="2" t="s">
        <v>595</v>
      </c>
      <c r="T48" s="1" t="s">
        <v>555</v>
      </c>
      <c r="U48" s="1" t="s">
        <v>555</v>
      </c>
      <c r="V48" s="2" t="s">
        <v>596</v>
      </c>
      <c r="W48" s="1" t="s">
        <v>555</v>
      </c>
      <c r="X48" s="2" t="s">
        <v>597</v>
      </c>
    </row>
    <row r="49" ht="16.5" customHeight="1">
      <c r="C49" s="34"/>
      <c r="D49" s="34"/>
      <c r="E49" s="34"/>
      <c r="F49" s="34"/>
      <c r="G49" s="34"/>
      <c r="H49" s="58"/>
      <c r="I49" s="1" t="s">
        <v>11</v>
      </c>
      <c r="J49" s="1">
        <v>-2.0</v>
      </c>
      <c r="K49" s="1"/>
      <c r="L49" s="31">
        <v>1.9</v>
      </c>
      <c r="M49" s="2" t="s">
        <v>598</v>
      </c>
      <c r="N49" s="36" t="s">
        <v>323</v>
      </c>
      <c r="S49" s="2" t="s">
        <v>599</v>
      </c>
      <c r="T49" s="1" t="s">
        <v>286</v>
      </c>
      <c r="U49" s="1" t="s">
        <v>286</v>
      </c>
      <c r="V49" s="1" t="s">
        <v>286</v>
      </c>
      <c r="W49" s="1" t="s">
        <v>286</v>
      </c>
      <c r="X49" s="2" t="s">
        <v>601</v>
      </c>
    </row>
    <row r="50" ht="16.5" customHeight="1">
      <c r="A50" s="1" t="str">
        <f>"57,17,13,18,53"</f>
        <v>57,17,13,18,53</v>
      </c>
      <c r="C50" s="34" t="s">
        <v>346</v>
      </c>
      <c r="D50" s="34" t="s">
        <v>260</v>
      </c>
      <c r="E50" s="34" t="s">
        <v>261</v>
      </c>
      <c r="F50" s="34" t="s">
        <v>264</v>
      </c>
      <c r="G50" s="42" t="s">
        <v>311</v>
      </c>
      <c r="H50" s="58" t="s">
        <v>602</v>
      </c>
      <c r="I50" s="1" t="s">
        <v>11</v>
      </c>
      <c r="J50" s="1">
        <v>2.0</v>
      </c>
      <c r="K50" s="1">
        <v>1.0</v>
      </c>
      <c r="L50" s="31">
        <v>2.0</v>
      </c>
      <c r="M50" s="2" t="s">
        <v>603</v>
      </c>
      <c r="N50" s="59"/>
      <c r="S50" s="2" t="s">
        <v>604</v>
      </c>
      <c r="T50" s="1" t="s">
        <v>555</v>
      </c>
      <c r="U50" s="1" t="s">
        <v>555</v>
      </c>
      <c r="V50" s="2" t="s">
        <v>566</v>
      </c>
      <c r="W50" s="1" t="s">
        <v>555</v>
      </c>
      <c r="X50" s="2" t="s">
        <v>575</v>
      </c>
    </row>
    <row r="51" ht="16.5" customHeight="1">
      <c r="C51" s="34"/>
      <c r="D51" s="34"/>
      <c r="E51" s="34"/>
      <c r="F51" s="34"/>
      <c r="G51" s="34"/>
      <c r="H51" s="58"/>
      <c r="I51" s="1" t="s">
        <v>11</v>
      </c>
      <c r="J51" s="1">
        <v>2.0</v>
      </c>
      <c r="K51" s="1">
        <v>1.0</v>
      </c>
      <c r="L51" s="31">
        <v>2.0</v>
      </c>
      <c r="M51" s="2" t="s">
        <v>605</v>
      </c>
      <c r="N51" s="36" t="s">
        <v>284</v>
      </c>
      <c r="S51" s="2" t="s">
        <v>606</v>
      </c>
      <c r="T51" s="1" t="s">
        <v>286</v>
      </c>
      <c r="U51" s="1" t="s">
        <v>286</v>
      </c>
      <c r="V51" s="1" t="s">
        <v>286</v>
      </c>
      <c r="W51" s="1" t="s">
        <v>286</v>
      </c>
      <c r="X51" s="2" t="s">
        <v>591</v>
      </c>
    </row>
    <row r="52" ht="16.5" customHeight="1">
      <c r="A52" s="1" t="str">
        <f>"57,17,13,6,6"</f>
        <v>57,17,13,6,6</v>
      </c>
      <c r="C52" s="34" t="s">
        <v>346</v>
      </c>
      <c r="D52" s="34" t="s">
        <v>260</v>
      </c>
      <c r="E52" s="34" t="s">
        <v>261</v>
      </c>
      <c r="F52" s="34" t="s">
        <v>607</v>
      </c>
      <c r="G52" s="34" t="s">
        <v>263</v>
      </c>
      <c r="H52" s="58" t="s">
        <v>543</v>
      </c>
      <c r="I52" s="1" t="s">
        <v>11</v>
      </c>
      <c r="J52" s="1">
        <v>3.0</v>
      </c>
      <c r="K52" s="1">
        <v>1.0</v>
      </c>
      <c r="L52" s="31">
        <v>1.3</v>
      </c>
      <c r="M52" s="2" t="s">
        <v>608</v>
      </c>
      <c r="N52" s="59"/>
      <c r="S52" s="2" t="s">
        <v>609</v>
      </c>
      <c r="T52" s="1" t="s">
        <v>555</v>
      </c>
      <c r="U52" s="1" t="s">
        <v>555</v>
      </c>
      <c r="V52" s="2" t="s">
        <v>566</v>
      </c>
      <c r="W52" s="1" t="s">
        <v>555</v>
      </c>
      <c r="X52" s="2" t="s">
        <v>610</v>
      </c>
    </row>
    <row r="53" ht="16.5" customHeight="1">
      <c r="C53" s="34"/>
      <c r="D53" s="34"/>
      <c r="E53" s="34"/>
      <c r="F53" s="34"/>
      <c r="G53" s="34"/>
      <c r="H53" s="58"/>
      <c r="I53" s="1" t="s">
        <v>11</v>
      </c>
      <c r="J53" s="1">
        <v>2.0</v>
      </c>
      <c r="K53" s="1"/>
      <c r="L53" s="31">
        <v>1.9</v>
      </c>
      <c r="M53" s="2" t="s">
        <v>611</v>
      </c>
      <c r="N53" s="36" t="s">
        <v>559</v>
      </c>
      <c r="S53" s="2" t="s">
        <v>612</v>
      </c>
      <c r="T53" s="1" t="s">
        <v>286</v>
      </c>
      <c r="U53" s="1" t="s">
        <v>286</v>
      </c>
      <c r="V53" s="1" t="s">
        <v>286</v>
      </c>
      <c r="W53" s="1" t="s">
        <v>286</v>
      </c>
      <c r="X53" s="2" t="s">
        <v>556</v>
      </c>
    </row>
    <row r="54" ht="16.5" customHeight="1">
      <c r="A54" s="1" t="str">
        <f>"59,17,15,20,9"</f>
        <v>59,17,15,20,9</v>
      </c>
      <c r="C54" s="34" t="s">
        <v>420</v>
      </c>
      <c r="D54" s="34" t="s">
        <v>260</v>
      </c>
      <c r="E54" s="34" t="s">
        <v>379</v>
      </c>
      <c r="F54" s="34" t="s">
        <v>399</v>
      </c>
      <c r="G54" s="34" t="s">
        <v>471</v>
      </c>
      <c r="H54" s="58" t="s">
        <v>613</v>
      </c>
      <c r="I54" s="1" t="s">
        <v>11</v>
      </c>
      <c r="J54" s="1">
        <v>1.0</v>
      </c>
      <c r="K54" s="1">
        <v>1.0</v>
      </c>
      <c r="L54" s="31">
        <v>4.0</v>
      </c>
      <c r="M54" s="2" t="s">
        <v>616</v>
      </c>
      <c r="N54" s="59"/>
      <c r="S54" s="2" t="s">
        <v>617</v>
      </c>
      <c r="T54" s="1" t="s">
        <v>555</v>
      </c>
      <c r="U54" s="1" t="s">
        <v>555</v>
      </c>
      <c r="V54" s="2" t="s">
        <v>566</v>
      </c>
      <c r="W54" s="1" t="s">
        <v>555</v>
      </c>
      <c r="X54" s="2" t="s">
        <v>618</v>
      </c>
    </row>
    <row r="55" ht="16.5" customHeight="1">
      <c r="C55" s="34"/>
      <c r="D55" s="34"/>
      <c r="E55" s="34"/>
      <c r="F55" s="34"/>
      <c r="G55" s="34"/>
      <c r="H55" s="58"/>
      <c r="I55" s="1" t="s">
        <v>11</v>
      </c>
      <c r="J55" s="1">
        <v>3.0</v>
      </c>
      <c r="K55" s="1">
        <v>1.0</v>
      </c>
      <c r="L55" s="31">
        <v>0.02</v>
      </c>
      <c r="M55" s="2" t="s">
        <v>619</v>
      </c>
      <c r="N55" s="36" t="s">
        <v>620</v>
      </c>
      <c r="S55" s="2" t="s">
        <v>621</v>
      </c>
      <c r="T55" s="1" t="s">
        <v>286</v>
      </c>
      <c r="U55" s="1" t="s">
        <v>286</v>
      </c>
      <c r="V55" s="1" t="s">
        <v>286</v>
      </c>
      <c r="W55" s="1" t="s">
        <v>286</v>
      </c>
      <c r="X55" s="2" t="s">
        <v>622</v>
      </c>
    </row>
    <row r="56" ht="16.5" customHeight="1">
      <c r="A56" s="1" t="str">
        <f>"58,16,13,51,4"</f>
        <v>58,16,13,51,4</v>
      </c>
      <c r="C56" s="34" t="s">
        <v>259</v>
      </c>
      <c r="D56" s="34" t="s">
        <v>347</v>
      </c>
      <c r="E56" s="34" t="s">
        <v>261</v>
      </c>
      <c r="F56" s="34" t="s">
        <v>378</v>
      </c>
      <c r="G56" s="34" t="s">
        <v>349</v>
      </c>
      <c r="H56" s="58" t="s">
        <v>623</v>
      </c>
      <c r="I56" s="1" t="s">
        <v>11</v>
      </c>
      <c r="J56" s="1">
        <v>4.0</v>
      </c>
      <c r="K56" s="1">
        <v>1.0</v>
      </c>
      <c r="L56" s="31">
        <v>1.0</v>
      </c>
      <c r="M56" s="2" t="s">
        <v>624</v>
      </c>
      <c r="N56" s="59"/>
      <c r="S56" s="2" t="s">
        <v>625</v>
      </c>
      <c r="T56" s="1" t="s">
        <v>555</v>
      </c>
      <c r="U56" s="1" t="s">
        <v>555</v>
      </c>
      <c r="V56" s="2" t="s">
        <v>556</v>
      </c>
      <c r="W56" s="1" t="s">
        <v>555</v>
      </c>
      <c r="X56" s="2" t="s">
        <v>626</v>
      </c>
    </row>
    <row r="57" ht="16.5" customHeight="1">
      <c r="C57" s="34"/>
      <c r="D57" s="34"/>
      <c r="E57" s="34"/>
      <c r="F57" s="34"/>
      <c r="G57" s="34"/>
      <c r="H57" s="58"/>
      <c r="I57" s="1" t="s">
        <v>11</v>
      </c>
      <c r="J57" s="1">
        <v>2.0</v>
      </c>
      <c r="K57" s="1">
        <v>1.0</v>
      </c>
      <c r="L57" s="31">
        <v>2.0</v>
      </c>
      <c r="M57" s="2" t="s">
        <v>627</v>
      </c>
      <c r="N57" s="36" t="s">
        <v>628</v>
      </c>
      <c r="S57" s="2" t="s">
        <v>629</v>
      </c>
      <c r="T57" s="1" t="s">
        <v>286</v>
      </c>
      <c r="U57" s="1" t="s">
        <v>286</v>
      </c>
      <c r="V57" s="1" t="s">
        <v>286</v>
      </c>
      <c r="W57" s="1" t="s">
        <v>286</v>
      </c>
      <c r="X57" s="2" t="s">
        <v>575</v>
      </c>
    </row>
    <row r="58" ht="14.25" hidden="1" customHeight="1">
      <c r="T58" s="1" t="s">
        <v>555</v>
      </c>
      <c r="U58" s="1" t="s">
        <v>555</v>
      </c>
    </row>
    <row r="59" ht="16.5" hidden="1" customHeight="1">
      <c r="C59" s="57" t="s">
        <v>308</v>
      </c>
      <c r="D59" s="57" t="s">
        <v>260</v>
      </c>
      <c r="E59" s="57" t="s">
        <v>261</v>
      </c>
      <c r="F59" s="57" t="s">
        <v>262</v>
      </c>
      <c r="G59" s="57" t="s">
        <v>263</v>
      </c>
      <c r="H59" s="62" t="s">
        <v>631</v>
      </c>
      <c r="I59" s="62"/>
      <c r="J59" s="62"/>
      <c r="K59" s="62"/>
      <c r="L59" s="62"/>
      <c r="M59" s="62"/>
      <c r="N59" s="62"/>
      <c r="T59" s="1" t="s">
        <v>286</v>
      </c>
      <c r="U59" s="1" t="s">
        <v>286</v>
      </c>
    </row>
    <row r="60" ht="16.5" hidden="1" customHeight="1">
      <c r="C60" s="57" t="s">
        <v>420</v>
      </c>
      <c r="D60" s="57" t="s">
        <v>347</v>
      </c>
      <c r="E60" s="57" t="s">
        <v>379</v>
      </c>
      <c r="F60" s="57" t="s">
        <v>441</v>
      </c>
      <c r="G60" s="57" t="s">
        <v>471</v>
      </c>
      <c r="H60" s="62" t="s">
        <v>635</v>
      </c>
      <c r="I60" s="62"/>
      <c r="J60" s="62"/>
      <c r="K60" s="62"/>
      <c r="L60" s="62"/>
      <c r="M60" s="62"/>
      <c r="N60" s="62"/>
      <c r="T60" s="1" t="s">
        <v>555</v>
      </c>
      <c r="U60" s="1" t="s">
        <v>555</v>
      </c>
    </row>
    <row r="61" ht="16.5" hidden="1" customHeight="1">
      <c r="C61" s="57" t="s">
        <v>532</v>
      </c>
      <c r="D61" s="57" t="s">
        <v>260</v>
      </c>
      <c r="E61" s="57" t="s">
        <v>327</v>
      </c>
      <c r="F61" s="57" t="s">
        <v>472</v>
      </c>
      <c r="G61" s="57" t="s">
        <v>328</v>
      </c>
      <c r="H61" s="62" t="s">
        <v>639</v>
      </c>
      <c r="I61" s="62"/>
      <c r="J61" s="62"/>
      <c r="K61" s="62"/>
      <c r="L61" s="62"/>
      <c r="M61" s="62"/>
      <c r="N61" s="62"/>
      <c r="T61" s="1" t="s">
        <v>286</v>
      </c>
      <c r="U61" s="1" t="s">
        <v>286</v>
      </c>
    </row>
    <row r="62" ht="16.5" hidden="1" customHeight="1">
      <c r="C62" s="57" t="s">
        <v>308</v>
      </c>
      <c r="D62" s="57" t="s">
        <v>260</v>
      </c>
      <c r="E62" s="57" t="s">
        <v>261</v>
      </c>
      <c r="F62" s="57" t="s">
        <v>263</v>
      </c>
      <c r="G62" s="57" t="s">
        <v>309</v>
      </c>
      <c r="H62" s="62" t="s">
        <v>640</v>
      </c>
      <c r="I62" s="62"/>
      <c r="J62" s="62"/>
      <c r="K62" s="62"/>
      <c r="L62" s="62"/>
      <c r="M62" s="62"/>
      <c r="N62" s="62"/>
      <c r="T62" s="1" t="s">
        <v>555</v>
      </c>
      <c r="U62" s="1" t="s">
        <v>555</v>
      </c>
    </row>
    <row r="63" ht="16.5" hidden="1" customHeight="1">
      <c r="C63" s="57" t="s">
        <v>346</v>
      </c>
      <c r="D63" s="57" t="s">
        <v>347</v>
      </c>
      <c r="E63" s="57" t="s">
        <v>261</v>
      </c>
      <c r="F63" s="57" t="s">
        <v>348</v>
      </c>
      <c r="G63" s="57" t="s">
        <v>311</v>
      </c>
      <c r="H63" s="62" t="s">
        <v>641</v>
      </c>
      <c r="I63" s="62"/>
      <c r="J63" s="62"/>
      <c r="K63" s="62"/>
      <c r="L63" s="62"/>
      <c r="M63" s="62"/>
      <c r="N63" s="62"/>
      <c r="T63" s="1" t="s">
        <v>286</v>
      </c>
      <c r="U63" s="1" t="s">
        <v>286</v>
      </c>
    </row>
    <row r="64" ht="16.5" hidden="1" customHeight="1">
      <c r="C64" s="57" t="s">
        <v>346</v>
      </c>
      <c r="D64" s="57" t="s">
        <v>347</v>
      </c>
      <c r="E64" s="57" t="s">
        <v>261</v>
      </c>
      <c r="F64" s="57" t="s">
        <v>264</v>
      </c>
      <c r="G64" s="57" t="s">
        <v>329</v>
      </c>
      <c r="H64" s="62" t="s">
        <v>642</v>
      </c>
      <c r="I64" s="62"/>
      <c r="J64" s="62"/>
      <c r="K64" s="62"/>
      <c r="L64" s="62"/>
      <c r="M64" s="62"/>
      <c r="N64" s="62"/>
      <c r="T64" s="1" t="s">
        <v>555</v>
      </c>
      <c r="U64" s="1" t="s">
        <v>555</v>
      </c>
    </row>
    <row r="65" ht="16.5" hidden="1" customHeight="1">
      <c r="C65" s="57" t="s">
        <v>259</v>
      </c>
      <c r="D65" s="57" t="s">
        <v>260</v>
      </c>
      <c r="E65" s="57" t="s">
        <v>399</v>
      </c>
      <c r="F65" s="57" t="s">
        <v>607</v>
      </c>
      <c r="G65" s="57" t="s">
        <v>643</v>
      </c>
      <c r="H65" s="62" t="s">
        <v>644</v>
      </c>
      <c r="I65" s="62"/>
      <c r="J65" s="62"/>
      <c r="K65" s="62"/>
      <c r="L65" s="62"/>
      <c r="M65" s="62"/>
      <c r="N65" s="62"/>
      <c r="T65" s="1" t="s">
        <v>286</v>
      </c>
      <c r="U65" s="1" t="s">
        <v>286</v>
      </c>
    </row>
    <row r="66" ht="16.5" hidden="1" customHeight="1">
      <c r="C66" s="57" t="s">
        <v>346</v>
      </c>
      <c r="D66" s="57" t="s">
        <v>260</v>
      </c>
      <c r="E66" s="57" t="s">
        <v>441</v>
      </c>
      <c r="F66" s="57" t="s">
        <v>263</v>
      </c>
      <c r="G66" s="57" t="s">
        <v>643</v>
      </c>
      <c r="H66" s="62" t="s">
        <v>649</v>
      </c>
      <c r="I66" s="62"/>
      <c r="J66" s="62"/>
      <c r="K66" s="62"/>
      <c r="L66" s="62"/>
      <c r="M66" s="62"/>
      <c r="N66" s="62"/>
      <c r="T66" s="1" t="s">
        <v>555</v>
      </c>
      <c r="U66" s="1" t="s">
        <v>555</v>
      </c>
    </row>
    <row r="67" ht="16.5" hidden="1" customHeight="1">
      <c r="C67" s="57" t="s">
        <v>346</v>
      </c>
      <c r="D67" s="57" t="s">
        <v>347</v>
      </c>
      <c r="E67" s="57" t="s">
        <v>261</v>
      </c>
      <c r="F67" s="57" t="s">
        <v>348</v>
      </c>
      <c r="G67" s="57" t="s">
        <v>311</v>
      </c>
      <c r="H67" s="62" t="s">
        <v>655</v>
      </c>
      <c r="I67" s="62"/>
      <c r="J67" s="62"/>
      <c r="K67" s="62"/>
      <c r="L67" s="62"/>
      <c r="M67" s="62"/>
      <c r="N67" s="62"/>
      <c r="T67" s="1" t="s">
        <v>286</v>
      </c>
      <c r="U67" s="1" t="s">
        <v>286</v>
      </c>
    </row>
    <row r="68" ht="14.25" customHeight="1">
      <c r="H68" s="1">
        <v>70.0</v>
      </c>
      <c r="T68" s="1" t="s">
        <v>555</v>
      </c>
    </row>
    <row r="69" ht="16.5" customHeight="1">
      <c r="B69" s="55" t="s">
        <v>15</v>
      </c>
      <c r="C69" s="56" t="s">
        <v>548</v>
      </c>
      <c r="E69" s="57"/>
      <c r="F69" s="57"/>
      <c r="T69" s="1" t="s">
        <v>286</v>
      </c>
    </row>
    <row r="70" ht="16.5" customHeight="1">
      <c r="A70" s="1" t="str">
        <f>"16,13,4"</f>
        <v>16,13,4</v>
      </c>
      <c r="C70" s="34" t="s">
        <v>347</v>
      </c>
      <c r="D70" s="34" t="s">
        <v>261</v>
      </c>
      <c r="E70" s="34" t="s">
        <v>349</v>
      </c>
      <c r="F70" s="34"/>
      <c r="G70" s="8"/>
      <c r="H70" s="58" t="s">
        <v>660</v>
      </c>
      <c r="I70" s="1" t="s">
        <v>15</v>
      </c>
      <c r="J70" s="1">
        <v>2.0</v>
      </c>
      <c r="K70" s="1"/>
      <c r="L70" s="31">
        <v>1.55</v>
      </c>
      <c r="M70" s="2" t="s">
        <v>661</v>
      </c>
      <c r="N70" s="62"/>
      <c r="S70" s="2" t="s">
        <v>662</v>
      </c>
      <c r="T70" s="1" t="s">
        <v>555</v>
      </c>
      <c r="U70" s="1" t="s">
        <v>555</v>
      </c>
      <c r="V70" s="2" t="s">
        <v>663</v>
      </c>
      <c r="W70" s="1" t="s">
        <v>555</v>
      </c>
      <c r="X70" s="2" t="s">
        <v>575</v>
      </c>
    </row>
    <row r="71" ht="16.5" customHeight="1">
      <c r="C71" s="34"/>
      <c r="D71" s="34"/>
      <c r="E71" s="34"/>
      <c r="F71" s="34"/>
      <c r="G71" s="8"/>
      <c r="H71" s="58"/>
      <c r="I71" s="1" t="s">
        <v>15</v>
      </c>
      <c r="J71" s="1">
        <v>1.0</v>
      </c>
      <c r="K71" s="1"/>
      <c r="L71" s="31">
        <v>3.0</v>
      </c>
      <c r="M71" s="2" t="s">
        <v>664</v>
      </c>
      <c r="N71" s="36" t="s">
        <v>559</v>
      </c>
      <c r="S71" s="2" t="s">
        <v>665</v>
      </c>
      <c r="T71" s="1" t="s">
        <v>286</v>
      </c>
      <c r="U71" s="1" t="s">
        <v>286</v>
      </c>
      <c r="V71" s="1" t="s">
        <v>286</v>
      </c>
      <c r="W71" s="1" t="s">
        <v>286</v>
      </c>
      <c r="X71" s="1" t="s">
        <v>286</v>
      </c>
    </row>
    <row r="72" ht="16.5" customHeight="1">
      <c r="A72" s="1" t="str">
        <f>"16,13,2"</f>
        <v>16,13,2</v>
      </c>
      <c r="C72" s="34" t="s">
        <v>347</v>
      </c>
      <c r="D72" s="34" t="s">
        <v>261</v>
      </c>
      <c r="E72" s="34" t="s">
        <v>309</v>
      </c>
      <c r="F72" s="34"/>
      <c r="G72" s="8"/>
      <c r="H72" s="58" t="s">
        <v>668</v>
      </c>
      <c r="I72" s="1" t="s">
        <v>15</v>
      </c>
      <c r="J72" s="1">
        <v>2.0</v>
      </c>
      <c r="K72" s="1"/>
      <c r="L72" s="31">
        <v>1.55</v>
      </c>
      <c r="M72" s="2" t="s">
        <v>669</v>
      </c>
      <c r="N72" s="62"/>
      <c r="S72" s="2" t="s">
        <v>670</v>
      </c>
      <c r="T72" s="1" t="s">
        <v>555</v>
      </c>
      <c r="U72" s="1" t="s">
        <v>555</v>
      </c>
      <c r="V72" s="2" t="s">
        <v>671</v>
      </c>
      <c r="W72" s="1" t="s">
        <v>555</v>
      </c>
      <c r="X72" s="2" t="s">
        <v>672</v>
      </c>
    </row>
    <row r="73" ht="16.5" customHeight="1">
      <c r="C73" s="34"/>
      <c r="D73" s="34"/>
      <c r="E73" s="34"/>
      <c r="F73" s="34"/>
      <c r="G73" s="8"/>
      <c r="H73" s="58"/>
      <c r="I73" s="1" t="s">
        <v>15</v>
      </c>
      <c r="J73" s="1">
        <v>5.0</v>
      </c>
      <c r="L73" s="31">
        <v>0.6</v>
      </c>
      <c r="M73" s="2" t="s">
        <v>673</v>
      </c>
      <c r="N73" s="36" t="s">
        <v>674</v>
      </c>
      <c r="S73" s="2" t="s">
        <v>676</v>
      </c>
      <c r="T73" s="1" t="s">
        <v>286</v>
      </c>
      <c r="U73" s="1" t="s">
        <v>286</v>
      </c>
      <c r="V73" s="1" t="s">
        <v>286</v>
      </c>
      <c r="W73" s="1" t="s">
        <v>286</v>
      </c>
      <c r="X73" s="1" t="s">
        <v>286</v>
      </c>
    </row>
    <row r="74" ht="16.5" customHeight="1">
      <c r="A74" s="1" t="str">
        <f>"61,17,6"</f>
        <v>61,17,6</v>
      </c>
      <c r="C74" s="34" t="s">
        <v>532</v>
      </c>
      <c r="D74" s="34" t="s">
        <v>260</v>
      </c>
      <c r="E74" s="34" t="s">
        <v>263</v>
      </c>
      <c r="F74" s="34"/>
      <c r="G74" s="8"/>
      <c r="H74" s="58" t="s">
        <v>678</v>
      </c>
      <c r="I74" s="1" t="s">
        <v>15</v>
      </c>
      <c r="J74" s="1">
        <v>1.0</v>
      </c>
      <c r="K74" s="1"/>
      <c r="L74" s="31">
        <v>3.0</v>
      </c>
      <c r="M74" s="2" t="s">
        <v>679</v>
      </c>
      <c r="N74" s="62"/>
      <c r="S74" s="2" t="s">
        <v>680</v>
      </c>
      <c r="T74" s="1" t="s">
        <v>555</v>
      </c>
      <c r="U74" s="1" t="s">
        <v>555</v>
      </c>
      <c r="V74" s="2" t="s">
        <v>671</v>
      </c>
      <c r="W74" s="1" t="s">
        <v>555</v>
      </c>
      <c r="X74" s="2" t="s">
        <v>682</v>
      </c>
    </row>
    <row r="75" ht="16.5" customHeight="1">
      <c r="C75" s="34"/>
      <c r="D75" s="34"/>
      <c r="E75" s="34"/>
      <c r="F75" s="34"/>
      <c r="G75" s="8"/>
      <c r="H75" s="58"/>
      <c r="I75" s="1" t="s">
        <v>15</v>
      </c>
      <c r="J75" s="1">
        <v>2.0</v>
      </c>
      <c r="K75" s="1"/>
      <c r="L75" s="31">
        <v>1.55</v>
      </c>
      <c r="M75" s="2" t="s">
        <v>683</v>
      </c>
      <c r="N75" s="36" t="s">
        <v>323</v>
      </c>
      <c r="S75" s="2" t="s">
        <v>684</v>
      </c>
      <c r="T75" s="1" t="s">
        <v>286</v>
      </c>
      <c r="U75" s="1" t="s">
        <v>286</v>
      </c>
      <c r="V75" s="1" t="s">
        <v>286</v>
      </c>
      <c r="W75" s="1" t="s">
        <v>286</v>
      </c>
      <c r="X75" s="1" t="s">
        <v>286</v>
      </c>
    </row>
    <row r="76" ht="16.5" customHeight="1">
      <c r="A76" s="1" t="str">
        <f>"58,17,20,14,53"</f>
        <v>58,17,20,14,53</v>
      </c>
      <c r="C76" s="34" t="s">
        <v>259</v>
      </c>
      <c r="D76" s="34" t="s">
        <v>260</v>
      </c>
      <c r="E76" s="34" t="s">
        <v>399</v>
      </c>
      <c r="F76" s="34" t="s">
        <v>327</v>
      </c>
      <c r="G76" s="34" t="s">
        <v>311</v>
      </c>
      <c r="H76" s="58" t="s">
        <v>686</v>
      </c>
      <c r="I76" s="1" t="s">
        <v>15</v>
      </c>
      <c r="J76" s="1">
        <v>2.0</v>
      </c>
      <c r="K76" s="1">
        <v>1.0</v>
      </c>
      <c r="L76" s="31">
        <v>1.65</v>
      </c>
      <c r="M76" s="2" t="s">
        <v>687</v>
      </c>
      <c r="N76" s="62"/>
      <c r="S76" s="2" t="s">
        <v>688</v>
      </c>
      <c r="T76" s="1" t="s">
        <v>555</v>
      </c>
      <c r="U76" s="1" t="s">
        <v>555</v>
      </c>
      <c r="V76" s="2" t="s">
        <v>671</v>
      </c>
      <c r="W76" s="1" t="s">
        <v>555</v>
      </c>
      <c r="X76" s="2" t="s">
        <v>689</v>
      </c>
    </row>
    <row r="77" ht="16.5" customHeight="1">
      <c r="C77" s="34"/>
      <c r="D77" s="34"/>
      <c r="E77" s="34"/>
      <c r="F77" s="34"/>
      <c r="G77" s="8"/>
      <c r="H77" s="58"/>
      <c r="I77" s="1" t="s">
        <v>15</v>
      </c>
      <c r="J77" s="1">
        <v>-2.0</v>
      </c>
      <c r="K77" s="1"/>
      <c r="L77" s="31">
        <v>1.55</v>
      </c>
      <c r="M77" s="2" t="s">
        <v>690</v>
      </c>
      <c r="N77" s="36" t="s">
        <v>323</v>
      </c>
      <c r="S77" s="2" t="s">
        <v>691</v>
      </c>
      <c r="T77" s="1" t="s">
        <v>286</v>
      </c>
      <c r="U77" s="1" t="s">
        <v>286</v>
      </c>
      <c r="V77" s="1" t="s">
        <v>286</v>
      </c>
      <c r="W77" s="1" t="s">
        <v>286</v>
      </c>
      <c r="X77" s="1" t="s">
        <v>286</v>
      </c>
    </row>
    <row r="78" ht="16.5" customHeight="1">
      <c r="A78" s="1" t="str">
        <f>"59,16,15,9,11"</f>
        <v>59,16,15,9,11</v>
      </c>
      <c r="C78" s="34" t="s">
        <v>420</v>
      </c>
      <c r="D78" s="34" t="s">
        <v>347</v>
      </c>
      <c r="E78" s="34" t="s">
        <v>379</v>
      </c>
      <c r="F78" s="34" t="s">
        <v>471</v>
      </c>
      <c r="G78" s="34" t="s">
        <v>398</v>
      </c>
      <c r="H78" s="58" t="s">
        <v>692</v>
      </c>
      <c r="I78" s="1" t="s">
        <v>15</v>
      </c>
      <c r="J78" s="1">
        <v>-2.0</v>
      </c>
      <c r="K78" s="1">
        <v>1.0</v>
      </c>
      <c r="L78" s="31"/>
      <c r="M78" s="2" t="s">
        <v>693</v>
      </c>
      <c r="N78" s="62"/>
      <c r="S78" s="2" t="s">
        <v>694</v>
      </c>
      <c r="T78" s="1" t="s">
        <v>555</v>
      </c>
      <c r="U78" s="1" t="s">
        <v>555</v>
      </c>
      <c r="V78" s="2" t="s">
        <v>695</v>
      </c>
      <c r="W78" s="1" t="s">
        <v>555</v>
      </c>
      <c r="X78" s="2" t="s">
        <v>575</v>
      </c>
    </row>
    <row r="79" ht="16.5" customHeight="1">
      <c r="C79" s="34"/>
      <c r="D79" s="34"/>
      <c r="E79" s="34"/>
      <c r="F79" s="34"/>
      <c r="G79" s="8"/>
      <c r="H79" s="58"/>
      <c r="I79" s="1" t="s">
        <v>15</v>
      </c>
      <c r="J79" s="1">
        <v>5.0</v>
      </c>
      <c r="K79" s="1"/>
      <c r="L79" s="31">
        <v>0.6</v>
      </c>
      <c r="M79" s="2" t="s">
        <v>698</v>
      </c>
      <c r="N79" s="36" t="s">
        <v>628</v>
      </c>
      <c r="S79" s="2" t="s">
        <v>699</v>
      </c>
      <c r="T79" s="1" t="s">
        <v>286</v>
      </c>
      <c r="U79" s="1" t="s">
        <v>286</v>
      </c>
      <c r="V79" s="1" t="s">
        <v>286</v>
      </c>
      <c r="W79" s="1" t="s">
        <v>286</v>
      </c>
      <c r="X79" s="1" t="s">
        <v>286</v>
      </c>
    </row>
    <row r="80" ht="16.5" customHeight="1">
      <c r="A80" s="1" t="str">
        <f>"16,13,1"</f>
        <v>16,13,1</v>
      </c>
      <c r="C80" s="34" t="s">
        <v>347</v>
      </c>
      <c r="D80" s="34" t="s">
        <v>261</v>
      </c>
      <c r="E80" s="34" t="s">
        <v>348</v>
      </c>
      <c r="F80" s="34"/>
      <c r="G80" s="8"/>
      <c r="H80" s="58" t="s">
        <v>700</v>
      </c>
      <c r="I80" s="1" t="s">
        <v>15</v>
      </c>
      <c r="J80" s="1">
        <v>1.0</v>
      </c>
      <c r="K80" s="1"/>
      <c r="L80" s="31">
        <v>3.0</v>
      </c>
      <c r="M80" s="2" t="s">
        <v>702</v>
      </c>
      <c r="N80" s="62"/>
      <c r="S80" s="2" t="s">
        <v>704</v>
      </c>
      <c r="T80" s="1" t="s">
        <v>555</v>
      </c>
      <c r="U80" s="1" t="s">
        <v>555</v>
      </c>
      <c r="V80" s="2" t="s">
        <v>705</v>
      </c>
      <c r="W80" s="1" t="s">
        <v>555</v>
      </c>
      <c r="X80" s="2" t="s">
        <v>682</v>
      </c>
    </row>
    <row r="81" ht="16.5" customHeight="1">
      <c r="C81" s="34"/>
      <c r="D81" s="34"/>
      <c r="E81" s="34"/>
      <c r="F81" s="34"/>
      <c r="G81" s="8"/>
      <c r="H81" s="58"/>
      <c r="I81" s="1" t="s">
        <v>15</v>
      </c>
      <c r="J81" s="1">
        <v>1.0</v>
      </c>
      <c r="K81" s="1"/>
      <c r="L81" s="31">
        <v>3.0</v>
      </c>
      <c r="M81" s="2" t="s">
        <v>706</v>
      </c>
      <c r="N81" s="36" t="s">
        <v>323</v>
      </c>
      <c r="S81" s="2" t="s">
        <v>707</v>
      </c>
      <c r="T81" s="1" t="s">
        <v>286</v>
      </c>
      <c r="U81" s="1" t="s">
        <v>286</v>
      </c>
      <c r="V81" s="1" t="s">
        <v>286</v>
      </c>
      <c r="W81" s="1" t="s">
        <v>286</v>
      </c>
      <c r="X81" s="1" t="s">
        <v>286</v>
      </c>
    </row>
    <row r="82" ht="16.5" customHeight="1">
      <c r="A82" s="1" t="str">
        <f>"60,17,14,8"</f>
        <v>60,17,14,8</v>
      </c>
      <c r="C82" s="34" t="s">
        <v>708</v>
      </c>
      <c r="D82" s="34" t="s">
        <v>260</v>
      </c>
      <c r="E82" s="34" t="s">
        <v>327</v>
      </c>
      <c r="F82" s="34" t="s">
        <v>328</v>
      </c>
      <c r="G82" s="8"/>
      <c r="H82" s="58" t="s">
        <v>709</v>
      </c>
      <c r="I82" s="1" t="s">
        <v>15</v>
      </c>
      <c r="J82" s="1">
        <v>-2.0</v>
      </c>
      <c r="K82" s="1">
        <v>1.0</v>
      </c>
      <c r="L82" s="31">
        <v>1.65</v>
      </c>
      <c r="M82" s="2" t="s">
        <v>710</v>
      </c>
      <c r="N82" s="62"/>
      <c r="S82" s="2" t="s">
        <v>711</v>
      </c>
      <c r="T82" s="1" t="s">
        <v>555</v>
      </c>
      <c r="U82" s="1" t="s">
        <v>555</v>
      </c>
      <c r="V82" s="2" t="s">
        <v>713</v>
      </c>
      <c r="W82" s="1" t="s">
        <v>555</v>
      </c>
      <c r="X82" s="2" t="s">
        <v>575</v>
      </c>
    </row>
    <row r="83" ht="16.5" customHeight="1">
      <c r="C83" s="34"/>
      <c r="D83" s="34"/>
      <c r="E83" s="34"/>
      <c r="F83" s="34"/>
      <c r="G83" s="8"/>
      <c r="H83" s="58"/>
      <c r="I83" s="1" t="s">
        <v>15</v>
      </c>
      <c r="J83" s="1">
        <v>-2.0</v>
      </c>
      <c r="K83" s="1"/>
      <c r="L83" s="31">
        <v>1.55</v>
      </c>
      <c r="M83" s="2" t="s">
        <v>717</v>
      </c>
      <c r="N83" s="36" t="s">
        <v>620</v>
      </c>
      <c r="S83" s="2" t="s">
        <v>718</v>
      </c>
      <c r="T83" s="1" t="s">
        <v>286</v>
      </c>
      <c r="U83" s="1" t="s">
        <v>286</v>
      </c>
      <c r="V83" s="1" t="s">
        <v>286</v>
      </c>
      <c r="W83" s="1" t="s">
        <v>286</v>
      </c>
      <c r="X83" s="1" t="s">
        <v>286</v>
      </c>
    </row>
    <row r="84" ht="16.5" customHeight="1">
      <c r="A84" s="1" t="str">
        <f>"60,16,20"</f>
        <v>60,16,20</v>
      </c>
      <c r="C84" s="34" t="s">
        <v>708</v>
      </c>
      <c r="D84" s="34" t="s">
        <v>347</v>
      </c>
      <c r="E84" s="34" t="s">
        <v>399</v>
      </c>
      <c r="F84" s="34"/>
      <c r="G84" s="8"/>
      <c r="H84" s="58" t="s">
        <v>722</v>
      </c>
      <c r="I84" s="1" t="s">
        <v>15</v>
      </c>
      <c r="J84" s="1">
        <v>2.0</v>
      </c>
      <c r="K84" s="1">
        <v>1.0</v>
      </c>
      <c r="L84" s="31">
        <v>1.65</v>
      </c>
      <c r="M84" s="2" t="s">
        <v>723</v>
      </c>
      <c r="N84" s="62"/>
      <c r="S84" s="2" t="s">
        <v>725</v>
      </c>
      <c r="T84" s="1" t="s">
        <v>555</v>
      </c>
      <c r="U84" s="1" t="s">
        <v>555</v>
      </c>
      <c r="V84" s="2" t="s">
        <v>671</v>
      </c>
      <c r="W84" s="1" t="s">
        <v>555</v>
      </c>
      <c r="X84" s="2" t="s">
        <v>695</v>
      </c>
    </row>
    <row r="85" ht="16.5" customHeight="1">
      <c r="C85" s="34"/>
      <c r="D85" s="34"/>
      <c r="E85" s="34"/>
      <c r="F85" s="34"/>
      <c r="G85" s="8"/>
      <c r="H85" s="58"/>
      <c r="I85" s="1" t="s">
        <v>15</v>
      </c>
      <c r="J85" s="1">
        <v>1.0</v>
      </c>
      <c r="K85" s="1">
        <v>1.0</v>
      </c>
      <c r="L85" s="31">
        <v>3.15</v>
      </c>
      <c r="M85" s="2" t="s">
        <v>728</v>
      </c>
      <c r="N85" s="36" t="s">
        <v>323</v>
      </c>
      <c r="S85" s="2" t="s">
        <v>730</v>
      </c>
      <c r="T85" s="1" t="s">
        <v>286</v>
      </c>
      <c r="U85" s="1" t="s">
        <v>286</v>
      </c>
      <c r="V85" s="1" t="s">
        <v>286</v>
      </c>
      <c r="W85" s="1" t="s">
        <v>286</v>
      </c>
      <c r="X85" s="1" t="s">
        <v>286</v>
      </c>
    </row>
    <row r="86" ht="16.5" customHeight="1">
      <c r="A86" s="1" t="str">
        <f>"58,17,15,10"</f>
        <v>58,17,15,10</v>
      </c>
      <c r="C86" s="34" t="s">
        <v>259</v>
      </c>
      <c r="D86" s="34" t="s">
        <v>260</v>
      </c>
      <c r="E86" s="34" t="s">
        <v>379</v>
      </c>
      <c r="F86" s="34" t="s">
        <v>493</v>
      </c>
      <c r="G86" s="8"/>
      <c r="H86" s="58" t="s">
        <v>734</v>
      </c>
      <c r="I86" s="1" t="s">
        <v>15</v>
      </c>
      <c r="J86" s="1">
        <v>4.0</v>
      </c>
      <c r="K86" s="1">
        <v>1.0</v>
      </c>
      <c r="L86" s="31">
        <v>0.75</v>
      </c>
      <c r="M86" s="2" t="s">
        <v>737</v>
      </c>
      <c r="N86" s="62"/>
      <c r="S86" s="2" t="s">
        <v>738</v>
      </c>
      <c r="T86" s="1" t="s">
        <v>555</v>
      </c>
      <c r="U86" s="1" t="s">
        <v>555</v>
      </c>
      <c r="V86" s="2" t="s">
        <v>740</v>
      </c>
      <c r="W86" s="1" t="s">
        <v>555</v>
      </c>
      <c r="X86" s="2" t="s">
        <v>742</v>
      </c>
    </row>
    <row r="87" ht="16.5" customHeight="1">
      <c r="C87" s="34"/>
      <c r="D87" s="34"/>
      <c r="E87" s="34"/>
      <c r="F87" s="34"/>
      <c r="G87" s="8"/>
      <c r="H87" s="58"/>
      <c r="I87" s="1" t="s">
        <v>15</v>
      </c>
      <c r="J87" s="1">
        <v>-2.0</v>
      </c>
      <c r="K87" s="1">
        <v>1.0</v>
      </c>
      <c r="L87" s="31">
        <v>1.55</v>
      </c>
      <c r="M87" s="2" t="s">
        <v>744</v>
      </c>
      <c r="N87" s="36" t="s">
        <v>559</v>
      </c>
      <c r="S87" s="2" t="s">
        <v>745</v>
      </c>
      <c r="T87" s="1" t="s">
        <v>286</v>
      </c>
      <c r="U87" s="1" t="s">
        <v>286</v>
      </c>
      <c r="V87" s="1" t="s">
        <v>286</v>
      </c>
      <c r="W87" s="1" t="s">
        <v>286</v>
      </c>
      <c r="X87" s="1" t="s">
        <v>286</v>
      </c>
    </row>
    <row r="88" ht="16.5" customHeight="1">
      <c r="A88" s="1" t="str">
        <f>"16,2,1"</f>
        <v>16,2,1</v>
      </c>
      <c r="C88" s="34" t="s">
        <v>347</v>
      </c>
      <c r="D88" s="34" t="s">
        <v>309</v>
      </c>
      <c r="E88" s="34" t="s">
        <v>348</v>
      </c>
      <c r="F88" s="34"/>
      <c r="G88" s="8"/>
      <c r="H88" s="58" t="s">
        <v>750</v>
      </c>
      <c r="I88" s="1" t="s">
        <v>15</v>
      </c>
      <c r="J88" s="1">
        <v>3.0</v>
      </c>
      <c r="K88" s="1">
        <v>1.0</v>
      </c>
      <c r="L88" s="31">
        <v>1.05</v>
      </c>
      <c r="M88" s="2" t="s">
        <v>751</v>
      </c>
      <c r="N88" s="62"/>
      <c r="S88" s="2" t="s">
        <v>754</v>
      </c>
      <c r="T88" s="1" t="s">
        <v>555</v>
      </c>
      <c r="U88" s="1" t="s">
        <v>555</v>
      </c>
      <c r="V88" s="2" t="s">
        <v>755</v>
      </c>
      <c r="W88" s="1" t="s">
        <v>555</v>
      </c>
      <c r="X88" s="2" t="s">
        <v>756</v>
      </c>
    </row>
    <row r="89" ht="16.5" customHeight="1">
      <c r="C89" s="34"/>
      <c r="D89" s="34"/>
      <c r="E89" s="34"/>
      <c r="F89" s="34"/>
      <c r="G89" s="8"/>
      <c r="H89" s="58"/>
      <c r="I89" s="1" t="s">
        <v>15</v>
      </c>
      <c r="J89" s="1">
        <v>-1.0</v>
      </c>
      <c r="K89" s="1"/>
      <c r="L89" s="31">
        <v>3.0</v>
      </c>
      <c r="M89" s="2" t="s">
        <v>759</v>
      </c>
      <c r="N89" s="36" t="s">
        <v>628</v>
      </c>
      <c r="S89" s="1" t="s">
        <v>761</v>
      </c>
      <c r="T89" s="1" t="s">
        <v>286</v>
      </c>
      <c r="U89" s="1" t="s">
        <v>286</v>
      </c>
      <c r="V89" s="1" t="s">
        <v>286</v>
      </c>
      <c r="W89" s="1" t="s">
        <v>286</v>
      </c>
      <c r="X89" s="1" t="s">
        <v>286</v>
      </c>
    </row>
    <row r="90" ht="15.0" customHeight="1">
      <c r="I90" s="62"/>
      <c r="J90" s="62"/>
      <c r="K90" s="62"/>
      <c r="L90" s="62"/>
      <c r="M90" s="62"/>
      <c r="N90" s="62"/>
    </row>
    <row r="91" ht="15.0" customHeight="1">
      <c r="N91" s="62"/>
    </row>
    <row r="92" ht="15.0" customHeight="1">
      <c r="C92" s="2" t="s">
        <v>2</v>
      </c>
      <c r="D92" s="4" t="s">
        <v>4</v>
      </c>
      <c r="E92" s="8">
        <v>1.0</v>
      </c>
      <c r="F92" s="8">
        <v>2.0</v>
      </c>
      <c r="G92" s="8">
        <v>3.0</v>
      </c>
      <c r="H92" s="8">
        <v>4.0</v>
      </c>
      <c r="I92" s="58">
        <v>5.0</v>
      </c>
      <c r="J92" s="62"/>
      <c r="K92" s="62"/>
      <c r="L92" s="62"/>
      <c r="M92" s="62"/>
      <c r="N92" s="62"/>
    </row>
    <row r="93" ht="15.0" customHeight="1">
      <c r="D93" s="8" t="s">
        <v>8</v>
      </c>
      <c r="E93" s="12">
        <v>4.8</v>
      </c>
      <c r="F93" s="12">
        <v>2.4</v>
      </c>
      <c r="G93" s="12">
        <v>1.6</v>
      </c>
      <c r="H93" s="12">
        <v>1.2</v>
      </c>
      <c r="I93" s="72">
        <v>1.0</v>
      </c>
      <c r="J93" s="62"/>
      <c r="K93" s="62"/>
      <c r="L93" s="62"/>
      <c r="M93" s="62"/>
      <c r="N93" s="62"/>
    </row>
    <row r="94" ht="15.0" customHeight="1">
      <c r="D94" s="8" t="s">
        <v>11</v>
      </c>
      <c r="E94" s="12">
        <v>3.8</v>
      </c>
      <c r="F94" s="12">
        <v>1.9</v>
      </c>
      <c r="G94" s="12">
        <v>1.25</v>
      </c>
      <c r="H94" s="12">
        <v>0.95</v>
      </c>
      <c r="I94" s="72">
        <v>0.75</v>
      </c>
      <c r="J94" s="1"/>
      <c r="K94" s="1"/>
      <c r="N94" s="62"/>
    </row>
    <row r="95" ht="15.0" customHeight="1">
      <c r="D95" s="8" t="s">
        <v>15</v>
      </c>
      <c r="E95" s="12">
        <v>3.0</v>
      </c>
      <c r="F95" s="12">
        <v>1.55</v>
      </c>
      <c r="G95" s="12">
        <v>1.05</v>
      </c>
      <c r="H95" s="12">
        <v>0.75</v>
      </c>
      <c r="I95" s="72">
        <v>0.6</v>
      </c>
      <c r="J95" s="1"/>
      <c r="K95" s="1"/>
      <c r="N95" s="62"/>
    </row>
    <row r="96" ht="15.0" customHeight="1">
      <c r="I96" s="62"/>
      <c r="J96" s="62"/>
      <c r="K96" s="62"/>
      <c r="L96" s="62"/>
      <c r="M96" s="62"/>
      <c r="N96" s="62"/>
    </row>
    <row r="97" ht="12.75" customHeight="1"/>
    <row r="98" ht="14.25" customHeight="1">
      <c r="C98" s="2" t="s">
        <v>43</v>
      </c>
      <c r="D98" s="4" t="s">
        <v>4</v>
      </c>
      <c r="E98" s="8">
        <v>1.0</v>
      </c>
      <c r="F98" s="8">
        <v>2.0</v>
      </c>
      <c r="G98" s="8">
        <v>3.0</v>
      </c>
      <c r="H98" s="8">
        <v>4.0</v>
      </c>
      <c r="I98" s="8"/>
    </row>
    <row r="99" ht="14.25" customHeight="1">
      <c r="D99" s="8" t="s">
        <v>8</v>
      </c>
      <c r="E99" s="12">
        <v>5.0</v>
      </c>
      <c r="F99" s="12">
        <v>2.5</v>
      </c>
      <c r="G99" s="12">
        <v>1.7</v>
      </c>
      <c r="H99" s="12">
        <v>1.25</v>
      </c>
      <c r="I99" s="12">
        <v>1.1</v>
      </c>
    </row>
    <row r="100" ht="14.25" customHeight="1">
      <c r="D100" s="8" t="s">
        <v>11</v>
      </c>
      <c r="E100" s="12">
        <v>4.0</v>
      </c>
      <c r="F100" s="12">
        <v>2.0</v>
      </c>
      <c r="G100" s="12">
        <v>1.3</v>
      </c>
      <c r="H100" s="12">
        <v>1.0</v>
      </c>
      <c r="I100" s="12">
        <v>0.85</v>
      </c>
    </row>
    <row r="101" ht="14.25" customHeight="1">
      <c r="D101" s="8" t="s">
        <v>15</v>
      </c>
      <c r="E101" s="12">
        <v>3.15</v>
      </c>
      <c r="F101" s="12">
        <v>1.65</v>
      </c>
      <c r="G101" s="12">
        <v>1.1</v>
      </c>
      <c r="H101" s="12">
        <v>0.8</v>
      </c>
      <c r="I101" s="12">
        <v>0.65</v>
      </c>
    </row>
    <row r="102" ht="12.75" customHeight="1"/>
    <row r="103" ht="12.75" customHeight="1"/>
    <row r="104" ht="12.75" customHeight="1"/>
    <row r="105" ht="12.75" customHeight="1"/>
    <row r="106" ht="12.75" customHeight="1"/>
    <row r="107" ht="14.25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</row>
    <row r="108" ht="14.25" customHeight="1">
      <c r="B108" s="2" t="s">
        <v>777</v>
      </c>
      <c r="C108" s="2" t="s">
        <v>778</v>
      </c>
      <c r="D108" s="1" t="s">
        <v>15</v>
      </c>
    </row>
    <row r="109" ht="14.25" customHeight="1">
      <c r="B109" s="2" t="s">
        <v>777</v>
      </c>
      <c r="C109" s="2" t="s">
        <v>779</v>
      </c>
      <c r="D109" s="1" t="s">
        <v>11</v>
      </c>
    </row>
    <row r="110" ht="14.25" customHeight="1">
      <c r="B110" s="2" t="s">
        <v>777</v>
      </c>
      <c r="C110" s="2" t="s">
        <v>780</v>
      </c>
      <c r="D110" s="1" t="s">
        <v>11</v>
      </c>
    </row>
    <row r="111" ht="14.25" customHeight="1">
      <c r="B111" s="2" t="s">
        <v>777</v>
      </c>
      <c r="C111" s="2" t="s">
        <v>781</v>
      </c>
      <c r="D111" s="1" t="s">
        <v>8</v>
      </c>
    </row>
    <row r="112" ht="14.25" customHeight="1">
      <c r="B112" s="2" t="s">
        <v>782</v>
      </c>
      <c r="C112" s="2" t="s">
        <v>783</v>
      </c>
      <c r="D112" s="1" t="s">
        <v>15</v>
      </c>
    </row>
    <row r="113" ht="14.25" customHeight="1">
      <c r="B113" s="2" t="s">
        <v>782</v>
      </c>
      <c r="C113" s="2" t="s">
        <v>784</v>
      </c>
      <c r="D113" s="1" t="s">
        <v>11</v>
      </c>
    </row>
    <row r="114" ht="14.25" customHeight="1">
      <c r="B114" s="2" t="s">
        <v>782</v>
      </c>
      <c r="C114" s="2" t="s">
        <v>785</v>
      </c>
      <c r="D114" s="1" t="s">
        <v>11</v>
      </c>
    </row>
    <row r="115" ht="14.25" customHeight="1">
      <c r="B115" s="2" t="s">
        <v>782</v>
      </c>
      <c r="C115" s="2" t="s">
        <v>786</v>
      </c>
      <c r="D115" s="1" t="s">
        <v>8</v>
      </c>
    </row>
    <row r="116" ht="14.25" customHeight="1">
      <c r="B116" s="2" t="s">
        <v>787</v>
      </c>
      <c r="C116" s="2" t="s">
        <v>788</v>
      </c>
      <c r="D116" s="1" t="s">
        <v>15</v>
      </c>
    </row>
    <row r="117" ht="14.25" customHeight="1">
      <c r="B117" s="2" t="s">
        <v>787</v>
      </c>
      <c r="C117" s="2" t="s">
        <v>789</v>
      </c>
      <c r="D117" s="1" t="s">
        <v>11</v>
      </c>
    </row>
    <row r="118" ht="14.25" customHeight="1">
      <c r="B118" s="2" t="s">
        <v>787</v>
      </c>
      <c r="C118" s="2" t="s">
        <v>791</v>
      </c>
      <c r="D118" s="1" t="s">
        <v>11</v>
      </c>
    </row>
    <row r="119" ht="14.25" customHeight="1">
      <c r="B119" s="2" t="s">
        <v>787</v>
      </c>
      <c r="C119" s="2" t="s">
        <v>792</v>
      </c>
      <c r="D119" s="1" t="s">
        <v>8</v>
      </c>
    </row>
    <row r="120" ht="14.25" customHeight="1">
      <c r="C120" s="2" t="s">
        <v>793</v>
      </c>
      <c r="E120" s="2" t="s">
        <v>794</v>
      </c>
    </row>
    <row r="121" ht="12.75" customHeight="1"/>
    <row r="122" ht="14.25" customHeight="1">
      <c r="B122" s="1" t="s">
        <v>15</v>
      </c>
      <c r="C122" s="1" t="s">
        <v>15</v>
      </c>
      <c r="D122" s="1" t="s">
        <v>15</v>
      </c>
      <c r="E122" s="1" t="s">
        <v>11</v>
      </c>
      <c r="F122" s="1" t="s">
        <v>11</v>
      </c>
      <c r="G122" s="1" t="s">
        <v>8</v>
      </c>
    </row>
    <row r="123" ht="14.25" customHeight="1">
      <c r="C123" s="2" t="s">
        <v>796</v>
      </c>
      <c r="D123" s="2" t="s">
        <v>797</v>
      </c>
      <c r="E123" s="2" t="s">
        <v>798</v>
      </c>
      <c r="F123" s="2" t="s">
        <v>799</v>
      </c>
      <c r="G123" s="2" t="s">
        <v>800</v>
      </c>
    </row>
    <row r="124" ht="14.25" customHeight="1">
      <c r="B124" s="2" t="s">
        <v>802</v>
      </c>
      <c r="C124" s="2" t="s">
        <v>803</v>
      </c>
      <c r="D124" s="2" t="s">
        <v>804</v>
      </c>
      <c r="E124" s="2" t="s">
        <v>805</v>
      </c>
      <c r="F124" s="2" t="s">
        <v>806</v>
      </c>
      <c r="G124" s="2" t="s">
        <v>807</v>
      </c>
    </row>
    <row r="125" ht="14.25" customHeight="1">
      <c r="B125" s="2" t="s">
        <v>808</v>
      </c>
      <c r="C125" s="2" t="s">
        <v>809</v>
      </c>
      <c r="D125" s="2" t="s">
        <v>810</v>
      </c>
      <c r="E125" s="2" t="s">
        <v>811</v>
      </c>
      <c r="F125" s="2" t="s">
        <v>812</v>
      </c>
      <c r="G125" s="2" t="s">
        <v>813</v>
      </c>
    </row>
    <row r="126" ht="14.25" customHeight="1">
      <c r="B126" s="2" t="s">
        <v>815</v>
      </c>
      <c r="C126" s="2" t="s">
        <v>816</v>
      </c>
      <c r="D126" s="2" t="s">
        <v>817</v>
      </c>
      <c r="E126" s="2" t="s">
        <v>818</v>
      </c>
      <c r="F126" s="2" t="s">
        <v>819</v>
      </c>
      <c r="G126" s="2" t="s">
        <v>820</v>
      </c>
    </row>
    <row r="127" ht="14.25" customHeight="1">
      <c r="B127" s="2" t="s">
        <v>821</v>
      </c>
      <c r="C127" s="2" t="s">
        <v>822</v>
      </c>
      <c r="D127" s="2" t="s">
        <v>823</v>
      </c>
      <c r="E127" s="2" t="s">
        <v>824</v>
      </c>
      <c r="F127" s="2" t="s">
        <v>825</v>
      </c>
      <c r="G127" s="2" t="s">
        <v>826</v>
      </c>
    </row>
    <row r="128" ht="14.25" customHeight="1">
      <c r="B128" s="2" t="s">
        <v>828</v>
      </c>
      <c r="C128" s="2" t="s">
        <v>829</v>
      </c>
      <c r="D128" s="2" t="s">
        <v>830</v>
      </c>
      <c r="E128" s="2" t="s">
        <v>831</v>
      </c>
      <c r="F128" s="2" t="s">
        <v>832</v>
      </c>
      <c r="G128" s="2" t="s">
        <v>833</v>
      </c>
    </row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39:D39"/>
    <mergeCell ref="C69:D69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4.25" customHeight="1">
      <c r="A1" s="8" t="s">
        <v>280</v>
      </c>
      <c r="B1" s="40" t="s">
        <v>282</v>
      </c>
      <c r="C1" s="40" t="s">
        <v>107</v>
      </c>
      <c r="D1" s="40" t="s">
        <v>289</v>
      </c>
      <c r="E1" s="40" t="s">
        <v>290</v>
      </c>
      <c r="F1" s="40" t="s">
        <v>291</v>
      </c>
      <c r="G1" s="40" t="s">
        <v>292</v>
      </c>
      <c r="H1" s="40" t="s">
        <v>293</v>
      </c>
      <c r="I1" s="40" t="s">
        <v>134</v>
      </c>
      <c r="J1" s="40" t="s">
        <v>294</v>
      </c>
      <c r="K1" s="40" t="s">
        <v>295</v>
      </c>
      <c r="L1" s="40" t="s">
        <v>296</v>
      </c>
      <c r="M1" s="40" t="s">
        <v>297</v>
      </c>
      <c r="N1" s="40" t="s">
        <v>298</v>
      </c>
      <c r="O1" s="40" t="s">
        <v>299</v>
      </c>
      <c r="P1" s="40" t="s">
        <v>300</v>
      </c>
      <c r="Q1" s="40" t="s">
        <v>301</v>
      </c>
      <c r="R1" s="40" t="s">
        <v>302</v>
      </c>
      <c r="S1" s="41" t="s">
        <v>303</v>
      </c>
      <c r="T1" s="41" t="s">
        <v>304</v>
      </c>
      <c r="U1" s="41" t="s">
        <v>305</v>
      </c>
      <c r="V1" s="41" t="s">
        <v>306</v>
      </c>
      <c r="W1" s="41" t="s">
        <v>307</v>
      </c>
    </row>
    <row r="2" ht="14.25" customHeight="1">
      <c r="A2" s="8" t="s">
        <v>95</v>
      </c>
      <c r="B2" s="8">
        <v>99.0</v>
      </c>
      <c r="C2" s="8"/>
      <c r="D2" s="8"/>
      <c r="E2" s="42">
        <v>2.0</v>
      </c>
      <c r="F2" s="8"/>
      <c r="G2" s="8"/>
      <c r="H2" s="8"/>
      <c r="I2" s="8"/>
      <c r="J2" s="8"/>
      <c r="K2" s="8"/>
      <c r="L2" s="8"/>
      <c r="M2" s="8"/>
      <c r="N2" s="8"/>
      <c r="O2" s="43">
        <v>0.002</v>
      </c>
      <c r="P2" s="8"/>
      <c r="Q2" s="8"/>
      <c r="R2" s="8"/>
      <c r="S2" s="43">
        <v>0.003</v>
      </c>
      <c r="T2" s="8"/>
      <c r="U2" s="8"/>
      <c r="V2" s="8"/>
      <c r="W2" s="8"/>
    </row>
    <row r="3" ht="14.25" customHeight="1">
      <c r="A3" s="8" t="s">
        <v>104</v>
      </c>
      <c r="B3" s="8">
        <v>99.0</v>
      </c>
      <c r="C3" s="8">
        <v>20.0</v>
      </c>
      <c r="D3" s="8"/>
      <c r="E3" s="8"/>
      <c r="F3" s="8">
        <v>3.0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43">
        <v>0.005</v>
      </c>
      <c r="U3" s="8"/>
      <c r="V3" s="8"/>
      <c r="W3" s="8"/>
    </row>
    <row r="4" ht="14.25" customHeight="1">
      <c r="A4" s="8" t="s">
        <v>112</v>
      </c>
      <c r="B4" s="8">
        <v>99.0</v>
      </c>
      <c r="C4" s="8"/>
      <c r="D4" s="8"/>
      <c r="E4" s="8"/>
      <c r="F4" s="8"/>
      <c r="G4" s="8"/>
      <c r="H4" s="43">
        <v>0.002</v>
      </c>
      <c r="I4" s="8"/>
      <c r="J4" s="8"/>
      <c r="K4" s="8"/>
      <c r="L4" s="8"/>
      <c r="M4" s="8"/>
      <c r="N4" s="8"/>
      <c r="O4" s="43">
        <v>0.004</v>
      </c>
      <c r="P4" s="8"/>
      <c r="Q4" s="44">
        <v>5.0E-4</v>
      </c>
      <c r="R4" s="8"/>
      <c r="S4" s="8"/>
      <c r="T4" s="8"/>
      <c r="U4" s="8"/>
      <c r="V4" s="8"/>
      <c r="W4" s="8"/>
    </row>
    <row r="5" ht="14.25" customHeight="1">
      <c r="A5" s="8" t="s">
        <v>126</v>
      </c>
      <c r="B5" s="8">
        <v>99.0</v>
      </c>
      <c r="C5" s="8"/>
      <c r="D5" s="8">
        <v>2.0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44">
        <v>2.5E-4</v>
      </c>
      <c r="R5" s="8"/>
      <c r="S5" s="8"/>
      <c r="T5" s="8"/>
      <c r="U5" s="8">
        <v>2.0</v>
      </c>
      <c r="V5" s="8"/>
      <c r="W5" s="8"/>
    </row>
    <row r="6" ht="14.25" customHeight="1">
      <c r="A6" s="8" t="s">
        <v>138</v>
      </c>
      <c r="B6" s="8">
        <v>99.0</v>
      </c>
      <c r="C6" s="8"/>
      <c r="D6" s="8">
        <v>1.0</v>
      </c>
      <c r="E6" s="8"/>
      <c r="F6" s="8"/>
      <c r="G6" s="8"/>
      <c r="H6" s="43">
        <v>0.001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43">
        <v>1.0E-4</v>
      </c>
      <c r="W6" s="8"/>
    </row>
    <row r="7" ht="14.25" customHeight="1">
      <c r="A7" s="8" t="s">
        <v>163</v>
      </c>
      <c r="B7" s="8">
        <v>99.0</v>
      </c>
      <c r="C7" s="8"/>
      <c r="D7" s="8"/>
      <c r="E7" s="8">
        <v>1.0</v>
      </c>
      <c r="F7" s="8"/>
      <c r="G7" s="8">
        <v>3.0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45">
        <v>0.004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4.25" customHeight="1">
      <c r="A1" s="3" t="s">
        <v>377</v>
      </c>
      <c r="B1" s="3" t="s">
        <v>95</v>
      </c>
      <c r="C1" s="3" t="s">
        <v>104</v>
      </c>
      <c r="D1" s="3" t="s">
        <v>112</v>
      </c>
      <c r="E1" s="3" t="s">
        <v>126</v>
      </c>
      <c r="F1" s="3" t="s">
        <v>138</v>
      </c>
      <c r="G1" s="3" t="s">
        <v>163</v>
      </c>
      <c r="H1" s="3" t="s">
        <v>381</v>
      </c>
    </row>
    <row r="2" ht="14.25" customHeight="1">
      <c r="A2" s="8" t="s">
        <v>385</v>
      </c>
      <c r="B2" s="8">
        <v>99.0</v>
      </c>
      <c r="C2" s="8"/>
      <c r="D2" s="8"/>
      <c r="E2" s="8"/>
      <c r="F2" s="8"/>
      <c r="G2" s="8"/>
      <c r="H2" s="8">
        <v>9900.0</v>
      </c>
    </row>
    <row r="3" ht="14.25" customHeight="1">
      <c r="A3" s="8" t="s">
        <v>393</v>
      </c>
      <c r="B3" s="8"/>
      <c r="C3" s="8">
        <v>99.0</v>
      </c>
      <c r="D3" s="8"/>
      <c r="E3" s="8"/>
      <c r="F3" s="8"/>
      <c r="G3" s="8"/>
      <c r="H3" s="8">
        <f t="shared" ref="H3:H17" si="1">H2+1</f>
        <v>9901</v>
      </c>
    </row>
    <row r="4" ht="14.25" customHeight="1">
      <c r="A4" s="8" t="s">
        <v>405</v>
      </c>
      <c r="B4" s="8"/>
      <c r="C4" s="8"/>
      <c r="D4" s="8">
        <v>99.0</v>
      </c>
      <c r="E4" s="8"/>
      <c r="F4" s="8"/>
      <c r="G4" s="8"/>
      <c r="H4" s="8">
        <f t="shared" si="1"/>
        <v>9902</v>
      </c>
    </row>
    <row r="5" ht="14.25" customHeight="1">
      <c r="A5" s="8" t="s">
        <v>406</v>
      </c>
      <c r="B5" s="8"/>
      <c r="C5" s="8"/>
      <c r="D5" s="8"/>
      <c r="E5" s="8">
        <v>99.0</v>
      </c>
      <c r="F5" s="8"/>
      <c r="G5" s="8"/>
      <c r="H5" s="8">
        <f t="shared" si="1"/>
        <v>9903</v>
      </c>
    </row>
    <row r="6" ht="14.25" customHeight="1">
      <c r="A6" s="8" t="s">
        <v>413</v>
      </c>
      <c r="B6" s="8"/>
      <c r="C6" s="8"/>
      <c r="D6" s="8"/>
      <c r="E6" s="8"/>
      <c r="F6" s="8">
        <v>99.0</v>
      </c>
      <c r="G6" s="8"/>
      <c r="H6" s="8">
        <f t="shared" si="1"/>
        <v>9904</v>
      </c>
    </row>
    <row r="7" ht="14.25" customHeight="1">
      <c r="A7" s="8" t="s">
        <v>417</v>
      </c>
      <c r="B7" s="8"/>
      <c r="C7" s="8"/>
      <c r="D7" s="8"/>
      <c r="E7" s="8"/>
      <c r="F7" s="8"/>
      <c r="G7" s="8">
        <v>99.0</v>
      </c>
      <c r="H7" s="8">
        <f t="shared" si="1"/>
        <v>9905</v>
      </c>
    </row>
    <row r="8" ht="14.25" customHeight="1">
      <c r="A8" s="8" t="s">
        <v>419</v>
      </c>
      <c r="B8" s="8">
        <v>20.0</v>
      </c>
      <c r="C8" s="8"/>
      <c r="D8" s="8"/>
      <c r="E8" s="8"/>
      <c r="F8" s="8"/>
      <c r="G8" s="8"/>
      <c r="H8" s="8">
        <f t="shared" si="1"/>
        <v>9906</v>
      </c>
    </row>
    <row r="9" ht="14.25" customHeight="1">
      <c r="A9" s="8" t="s">
        <v>421</v>
      </c>
      <c r="B9" s="8"/>
      <c r="C9" s="8">
        <v>20.0</v>
      </c>
      <c r="D9" s="8"/>
      <c r="E9" s="8"/>
      <c r="F9" s="8"/>
      <c r="G9" s="8"/>
      <c r="H9" s="8">
        <f t="shared" si="1"/>
        <v>9907</v>
      </c>
    </row>
    <row r="10" ht="14.25" customHeight="1">
      <c r="A10" s="8" t="s">
        <v>423</v>
      </c>
      <c r="B10" s="8"/>
      <c r="C10" s="8"/>
      <c r="D10" s="8">
        <v>20.0</v>
      </c>
      <c r="E10" s="8"/>
      <c r="F10" s="8"/>
      <c r="G10" s="8"/>
      <c r="H10" s="8">
        <f t="shared" si="1"/>
        <v>9908</v>
      </c>
    </row>
    <row r="11" ht="14.25" customHeight="1">
      <c r="A11" s="8" t="s">
        <v>429</v>
      </c>
      <c r="B11" s="8"/>
      <c r="C11" s="8"/>
      <c r="D11" s="8"/>
      <c r="E11" s="8">
        <v>20.0</v>
      </c>
      <c r="F11" s="8"/>
      <c r="G11" s="8"/>
      <c r="H11" s="8">
        <f t="shared" si="1"/>
        <v>9909</v>
      </c>
    </row>
    <row r="12" ht="14.25" customHeight="1">
      <c r="A12" s="8" t="s">
        <v>432</v>
      </c>
      <c r="B12" s="8"/>
      <c r="C12" s="8"/>
      <c r="D12" s="8"/>
      <c r="E12" s="8"/>
      <c r="F12" s="8">
        <v>20.0</v>
      </c>
      <c r="G12" s="8"/>
      <c r="H12" s="8">
        <f t="shared" si="1"/>
        <v>9910</v>
      </c>
    </row>
    <row r="13" ht="14.25" customHeight="1">
      <c r="A13" s="8" t="s">
        <v>435</v>
      </c>
      <c r="B13" s="8"/>
      <c r="C13" s="8"/>
      <c r="D13" s="8"/>
      <c r="E13" s="8"/>
      <c r="F13" s="8"/>
      <c r="G13" s="8">
        <v>20.0</v>
      </c>
      <c r="H13" s="8">
        <f t="shared" si="1"/>
        <v>9911</v>
      </c>
    </row>
    <row r="14" ht="14.25" customHeight="1">
      <c r="A14" s="8" t="s">
        <v>439</v>
      </c>
      <c r="B14" s="8">
        <v>69.0</v>
      </c>
      <c r="C14" s="8"/>
      <c r="D14" s="8"/>
      <c r="E14" s="8"/>
      <c r="F14" s="8"/>
      <c r="G14" s="8">
        <v>69.0</v>
      </c>
      <c r="H14" s="8">
        <f t="shared" si="1"/>
        <v>9912</v>
      </c>
    </row>
    <row r="15" ht="14.25" customHeight="1">
      <c r="A15" s="8" t="s">
        <v>440</v>
      </c>
      <c r="B15" s="8"/>
      <c r="C15" s="8"/>
      <c r="D15" s="8"/>
      <c r="E15" s="8">
        <v>69.0</v>
      </c>
      <c r="F15" s="8">
        <v>69.0</v>
      </c>
      <c r="G15" s="8"/>
      <c r="H15" s="8">
        <f t="shared" si="1"/>
        <v>9913</v>
      </c>
    </row>
    <row r="16" ht="14.25" customHeight="1">
      <c r="A16" s="8" t="s">
        <v>448</v>
      </c>
      <c r="B16" s="8"/>
      <c r="C16" s="8">
        <v>69.0</v>
      </c>
      <c r="D16" s="8"/>
      <c r="E16" s="8"/>
      <c r="F16" s="8"/>
      <c r="G16" s="8">
        <v>69.0</v>
      </c>
      <c r="H16" s="8">
        <f t="shared" si="1"/>
        <v>9914</v>
      </c>
    </row>
    <row r="17" ht="14.25" customHeight="1">
      <c r="A17" s="8" t="s">
        <v>452</v>
      </c>
      <c r="B17" s="8"/>
      <c r="C17" s="8"/>
      <c r="D17" s="8">
        <v>99.0</v>
      </c>
      <c r="E17" s="8"/>
      <c r="F17" s="8">
        <v>49.0</v>
      </c>
      <c r="G17" s="8"/>
      <c r="H17" s="8">
        <f t="shared" si="1"/>
        <v>9915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0"/>
    <col customWidth="1" min="2" max="2" width="13.5"/>
    <col customWidth="1" min="3" max="3" width="9.63"/>
    <col customWidth="1" min="4" max="4" width="8.25"/>
    <col customWidth="1" min="5" max="5" width="9.63"/>
    <col customWidth="1" min="6" max="6" width="7.63"/>
    <col customWidth="1" min="7" max="7" width="9.75"/>
    <col customWidth="1" min="8" max="8" width="9.63"/>
    <col customWidth="1" min="9" max="12" width="7.88"/>
    <col customWidth="1" min="13" max="13" width="9.75"/>
    <col customWidth="1" min="14" max="14" width="6.5"/>
    <col customWidth="1" min="15" max="15" width="8.75"/>
    <col customWidth="1" min="16" max="16" width="11.63"/>
    <col customWidth="1" min="17" max="17" width="16.38"/>
    <col customWidth="1" min="18" max="18" width="15.13"/>
    <col customWidth="1" min="19" max="19" width="19.75"/>
    <col customWidth="1" min="20" max="20" width="10.88"/>
    <col customWidth="1" min="21" max="21" width="19.0"/>
    <col customWidth="1" min="22" max="29" width="11.0"/>
    <col customWidth="1" min="30" max="30" width="36.13"/>
    <col customWidth="1" min="31" max="41" width="11.0"/>
  </cols>
  <sheetData>
    <row r="1" ht="14.25" customHeight="1">
      <c r="C1" s="47"/>
      <c r="D1" s="47"/>
      <c r="E1" s="47"/>
      <c r="F1" s="47"/>
      <c r="G1" s="47"/>
      <c r="H1" s="47"/>
      <c r="I1" s="47"/>
      <c r="J1" s="47"/>
      <c r="K1" s="47"/>
      <c r="L1" s="47"/>
      <c r="N1" s="48"/>
      <c r="P1" s="49"/>
      <c r="Q1" s="49"/>
      <c r="R1" s="49"/>
      <c r="V1" s="47"/>
    </row>
    <row r="2" ht="14.25" customHeight="1">
      <c r="A2" s="3" t="s">
        <v>484</v>
      </c>
      <c r="B2" s="6" t="s">
        <v>487</v>
      </c>
      <c r="C2" s="50" t="s">
        <v>489</v>
      </c>
      <c r="D2" s="50" t="s">
        <v>490</v>
      </c>
      <c r="E2" s="50" t="s">
        <v>491</v>
      </c>
      <c r="F2" s="50" t="s">
        <v>492</v>
      </c>
      <c r="G2" s="40" t="s">
        <v>496</v>
      </c>
      <c r="H2" s="40" t="s">
        <v>499</v>
      </c>
      <c r="I2" s="40" t="s">
        <v>295</v>
      </c>
      <c r="J2" s="40" t="s">
        <v>503</v>
      </c>
      <c r="K2" s="40" t="s">
        <v>505</v>
      </c>
      <c r="L2" s="40" t="s">
        <v>506</v>
      </c>
      <c r="M2" s="3" t="s">
        <v>507</v>
      </c>
      <c r="N2" s="51" t="s">
        <v>509</v>
      </c>
      <c r="O2" s="3" t="s">
        <v>513</v>
      </c>
      <c r="P2" s="52" t="s">
        <v>514</v>
      </c>
      <c r="Q2" s="52" t="s">
        <v>515</v>
      </c>
      <c r="R2" s="52" t="s">
        <v>516</v>
      </c>
      <c r="S2" s="52" t="s">
        <v>517</v>
      </c>
      <c r="T2" s="3" t="s">
        <v>518</v>
      </c>
      <c r="U2" s="52" t="s">
        <v>519</v>
      </c>
      <c r="V2" s="42" t="s">
        <v>520</v>
      </c>
      <c r="W2" s="3" t="s">
        <v>522</v>
      </c>
      <c r="X2" s="3" t="s">
        <v>523</v>
      </c>
      <c r="Y2" s="3" t="s">
        <v>525</v>
      </c>
      <c r="Z2" s="10" t="s">
        <v>526</v>
      </c>
      <c r="AA2" s="11"/>
      <c r="AB2" s="11"/>
      <c r="AC2" s="11"/>
      <c r="AD2" s="14"/>
    </row>
    <row r="3" ht="14.25" customHeight="1">
      <c r="A3" s="8">
        <v>110000.0</v>
      </c>
      <c r="B3" s="4" t="s">
        <v>530</v>
      </c>
      <c r="C3" s="42">
        <v>1.0</v>
      </c>
      <c r="D3" s="42"/>
      <c r="E3" s="42"/>
      <c r="F3" s="42">
        <v>1.0</v>
      </c>
      <c r="G3" s="42"/>
      <c r="H3" s="42"/>
      <c r="I3" s="42"/>
      <c r="J3" s="42"/>
      <c r="K3" s="42"/>
      <c r="L3" s="42"/>
      <c r="M3" s="8"/>
      <c r="N3" s="53"/>
      <c r="O3" s="8"/>
      <c r="P3" s="54"/>
      <c r="Q3" s="54"/>
      <c r="R3" s="54"/>
      <c r="S3" s="8"/>
      <c r="T3" s="8"/>
      <c r="U3" s="8"/>
      <c r="V3" s="42"/>
      <c r="W3" s="8"/>
      <c r="X3" s="8"/>
      <c r="Y3" s="8"/>
      <c r="Z3" s="29" t="s">
        <v>539</v>
      </c>
      <c r="AA3" s="11"/>
      <c r="AB3" s="11"/>
      <c r="AC3" s="11"/>
      <c r="AD3" s="14"/>
    </row>
    <row r="4" ht="14.25" customHeight="1">
      <c r="A4" s="8">
        <v>110001.0</v>
      </c>
      <c r="B4" s="4" t="s">
        <v>10</v>
      </c>
      <c r="C4" s="42">
        <v>1.0</v>
      </c>
      <c r="D4" s="42"/>
      <c r="E4" s="42"/>
      <c r="F4" s="42">
        <v>1.0</v>
      </c>
      <c r="G4" s="42">
        <v>1.9</v>
      </c>
      <c r="H4" s="42"/>
      <c r="I4" s="42"/>
      <c r="J4" s="42"/>
      <c r="K4" s="42"/>
      <c r="L4" s="42"/>
      <c r="M4" s="8" t="s">
        <v>544</v>
      </c>
      <c r="N4" s="53"/>
      <c r="O4" s="8"/>
      <c r="P4" s="54"/>
      <c r="Q4" s="54"/>
      <c r="R4" s="54"/>
      <c r="S4" s="8"/>
      <c r="T4" s="8"/>
      <c r="U4" s="8"/>
      <c r="V4" s="42"/>
      <c r="W4" s="8"/>
      <c r="X4" s="8"/>
      <c r="Y4" s="8" t="s">
        <v>546</v>
      </c>
      <c r="Z4" s="29" t="s">
        <v>547</v>
      </c>
      <c r="AA4" s="11"/>
      <c r="AB4" s="11"/>
      <c r="AC4" s="11"/>
      <c r="AD4" s="14"/>
    </row>
    <row r="5" ht="14.25" customHeight="1">
      <c r="A5" s="8">
        <v>110002.0</v>
      </c>
      <c r="B5" s="4" t="s">
        <v>549</v>
      </c>
      <c r="C5" s="42">
        <v>2.0</v>
      </c>
      <c r="D5" s="42">
        <v>1.0</v>
      </c>
      <c r="E5" s="42"/>
      <c r="F5" s="42">
        <v>1.0</v>
      </c>
      <c r="G5" s="42">
        <v>0.9</v>
      </c>
      <c r="H5" s="42"/>
      <c r="I5" s="42"/>
      <c r="J5" s="42"/>
      <c r="K5" s="42"/>
      <c r="L5" s="42"/>
      <c r="M5" s="8" t="s">
        <v>544</v>
      </c>
      <c r="N5" s="53"/>
      <c r="O5" s="8"/>
      <c r="P5" s="54"/>
      <c r="Q5" s="54"/>
      <c r="R5" s="54"/>
      <c r="S5" s="8"/>
      <c r="T5" s="8"/>
      <c r="U5" s="8"/>
      <c r="V5" s="42"/>
      <c r="W5" s="8"/>
      <c r="X5" s="8"/>
      <c r="Y5" s="8" t="s">
        <v>546</v>
      </c>
      <c r="Z5" s="29" t="s">
        <v>551</v>
      </c>
      <c r="AA5" s="11"/>
      <c r="AB5" s="11"/>
      <c r="AC5" s="11"/>
      <c r="AD5" s="14"/>
    </row>
    <row r="6" ht="15.75" customHeight="1">
      <c r="A6" s="8">
        <v>110003.0</v>
      </c>
      <c r="B6" s="4" t="s">
        <v>553</v>
      </c>
      <c r="C6" s="42">
        <v>3.0</v>
      </c>
      <c r="D6" s="42">
        <v>1.0</v>
      </c>
      <c r="E6" s="42"/>
      <c r="F6" s="42">
        <v>1.0</v>
      </c>
      <c r="G6" s="42">
        <v>0.8</v>
      </c>
      <c r="H6" s="42"/>
      <c r="I6" s="42"/>
      <c r="J6" s="42"/>
      <c r="K6" s="42"/>
      <c r="L6" s="42"/>
      <c r="M6" s="8" t="s">
        <v>544</v>
      </c>
      <c r="N6" s="53"/>
      <c r="O6" s="8"/>
      <c r="P6" s="54"/>
      <c r="Q6" s="54"/>
      <c r="R6" s="54"/>
      <c r="S6" s="8"/>
      <c r="T6" s="8"/>
      <c r="U6" s="8"/>
      <c r="V6" s="42"/>
      <c r="W6" s="60"/>
      <c r="X6" s="8"/>
      <c r="Y6" s="8" t="s">
        <v>546</v>
      </c>
      <c r="Z6" s="29" t="s">
        <v>562</v>
      </c>
      <c r="AA6" s="11"/>
      <c r="AB6" s="11"/>
      <c r="AC6" s="11"/>
      <c r="AD6" s="14"/>
    </row>
    <row r="7" ht="15.75" customHeight="1">
      <c r="A7" s="8">
        <v>110004.0</v>
      </c>
      <c r="B7" s="4" t="s">
        <v>189</v>
      </c>
      <c r="C7" s="42">
        <v>3.0</v>
      </c>
      <c r="D7" s="42">
        <v>1.0</v>
      </c>
      <c r="E7" s="42"/>
      <c r="F7" s="42"/>
      <c r="G7" s="42">
        <v>1.7</v>
      </c>
      <c r="H7" s="42"/>
      <c r="I7" s="42"/>
      <c r="J7" s="42"/>
      <c r="K7" s="42"/>
      <c r="L7" s="42"/>
      <c r="M7" s="8" t="s">
        <v>544</v>
      </c>
      <c r="N7" s="53"/>
      <c r="O7" s="8"/>
      <c r="P7" s="54"/>
      <c r="Q7" s="54"/>
      <c r="R7" s="54"/>
      <c r="S7" s="8"/>
      <c r="T7" s="8"/>
      <c r="U7" s="8"/>
      <c r="V7" s="42"/>
      <c r="W7" s="60"/>
      <c r="X7" s="8"/>
      <c r="Y7" s="8" t="s">
        <v>546</v>
      </c>
      <c r="Z7" s="61" t="s">
        <v>190</v>
      </c>
      <c r="AA7" s="15"/>
      <c r="AB7" s="15"/>
      <c r="AC7" s="15"/>
      <c r="AD7" s="16"/>
    </row>
    <row r="8" ht="15.75" customHeight="1">
      <c r="A8" s="8">
        <v>110011.0</v>
      </c>
      <c r="B8" s="4" t="s">
        <v>14</v>
      </c>
      <c r="C8" s="42">
        <v>1.0</v>
      </c>
      <c r="D8" s="42"/>
      <c r="E8" s="42"/>
      <c r="F8" s="42">
        <v>1.0</v>
      </c>
      <c r="G8" s="42"/>
      <c r="H8" s="42">
        <v>2.1</v>
      </c>
      <c r="I8" s="42"/>
      <c r="J8" s="42"/>
      <c r="K8" s="42"/>
      <c r="L8" s="42"/>
      <c r="M8" s="8" t="s">
        <v>578</v>
      </c>
      <c r="N8" s="53"/>
      <c r="O8" s="8"/>
      <c r="P8" s="54"/>
      <c r="Q8" s="54"/>
      <c r="R8" s="54"/>
      <c r="S8" s="8"/>
      <c r="T8" s="8"/>
      <c r="U8" s="8"/>
      <c r="V8" s="42"/>
      <c r="W8" s="60" t="s">
        <v>579</v>
      </c>
      <c r="X8" s="8"/>
      <c r="Y8" s="60" t="s">
        <v>580</v>
      </c>
      <c r="Z8" s="29" t="s">
        <v>581</v>
      </c>
      <c r="AA8" s="11"/>
      <c r="AB8" s="11"/>
      <c r="AC8" s="11"/>
      <c r="AD8" s="14"/>
    </row>
    <row r="9" ht="15.75" customHeight="1">
      <c r="A9" s="8">
        <v>110012.0</v>
      </c>
      <c r="B9" s="4" t="s">
        <v>582</v>
      </c>
      <c r="C9" s="42">
        <v>2.0</v>
      </c>
      <c r="D9" s="42">
        <v>1.0</v>
      </c>
      <c r="E9" s="42"/>
      <c r="F9" s="42">
        <v>1.0</v>
      </c>
      <c r="G9" s="42"/>
      <c r="H9" s="42">
        <v>1.2</v>
      </c>
      <c r="I9" s="42"/>
      <c r="J9" s="42"/>
      <c r="K9" s="42"/>
      <c r="L9" s="42"/>
      <c r="M9" s="8" t="s">
        <v>578</v>
      </c>
      <c r="N9" s="53"/>
      <c r="O9" s="8"/>
      <c r="P9" s="54"/>
      <c r="Q9" s="54"/>
      <c r="R9" s="54"/>
      <c r="S9" s="8"/>
      <c r="T9" s="8"/>
      <c r="U9" s="8"/>
      <c r="V9" s="42"/>
      <c r="W9" s="60" t="s">
        <v>579</v>
      </c>
      <c r="X9" s="8"/>
      <c r="Y9" s="60" t="s">
        <v>580</v>
      </c>
      <c r="Z9" s="29" t="s">
        <v>588</v>
      </c>
      <c r="AA9" s="11"/>
      <c r="AB9" s="11"/>
      <c r="AC9" s="11"/>
      <c r="AD9" s="14"/>
    </row>
    <row r="10" ht="15.75" customHeight="1">
      <c r="A10" s="8">
        <v>110013.0</v>
      </c>
      <c r="B10" s="4" t="s">
        <v>592</v>
      </c>
      <c r="C10" s="42">
        <v>3.0</v>
      </c>
      <c r="D10" s="42">
        <v>1.0</v>
      </c>
      <c r="E10" s="42"/>
      <c r="F10" s="42">
        <v>1.0</v>
      </c>
      <c r="G10" s="42"/>
      <c r="H10" s="42">
        <v>0.8</v>
      </c>
      <c r="I10" s="42"/>
      <c r="J10" s="42"/>
      <c r="K10" s="42"/>
      <c r="L10" s="42"/>
      <c r="M10" s="8" t="s">
        <v>578</v>
      </c>
      <c r="N10" s="53"/>
      <c r="O10" s="8"/>
      <c r="P10" s="54"/>
      <c r="Q10" s="54"/>
      <c r="R10" s="54"/>
      <c r="S10" s="8"/>
      <c r="T10" s="8"/>
      <c r="U10" s="8"/>
      <c r="V10" s="42"/>
      <c r="W10" s="60" t="s">
        <v>579</v>
      </c>
      <c r="X10" s="8"/>
      <c r="Y10" s="60" t="s">
        <v>580</v>
      </c>
      <c r="Z10" s="29" t="s">
        <v>600</v>
      </c>
      <c r="AA10" s="11"/>
      <c r="AB10" s="11"/>
      <c r="AC10" s="11"/>
      <c r="AD10" s="14"/>
    </row>
    <row r="11" ht="14.25" customHeight="1">
      <c r="C11" s="47"/>
      <c r="D11" s="47"/>
      <c r="E11" s="47"/>
      <c r="F11" s="47"/>
      <c r="G11" s="47"/>
      <c r="H11" s="47"/>
      <c r="I11" s="47"/>
      <c r="J11" s="47"/>
      <c r="K11" s="47"/>
      <c r="L11" s="47"/>
      <c r="N11" s="48"/>
      <c r="P11" s="49"/>
      <c r="Q11" s="49"/>
      <c r="R11" s="49"/>
      <c r="V11" s="47"/>
    </row>
    <row r="12" ht="14.25" customHeight="1">
      <c r="A12" s="3" t="s">
        <v>484</v>
      </c>
      <c r="B12" s="6" t="s">
        <v>487</v>
      </c>
      <c r="C12" s="50" t="s">
        <v>489</v>
      </c>
      <c r="D12" s="50" t="s">
        <v>490</v>
      </c>
      <c r="E12" s="50" t="s">
        <v>491</v>
      </c>
      <c r="F12" s="50" t="s">
        <v>492</v>
      </c>
      <c r="G12" s="40" t="s">
        <v>496</v>
      </c>
      <c r="H12" s="40" t="s">
        <v>499</v>
      </c>
      <c r="I12" s="40" t="s">
        <v>295</v>
      </c>
      <c r="J12" s="40" t="s">
        <v>503</v>
      </c>
      <c r="K12" s="40" t="s">
        <v>505</v>
      </c>
      <c r="L12" s="40" t="s">
        <v>506</v>
      </c>
      <c r="M12" s="3" t="s">
        <v>507</v>
      </c>
      <c r="N12" s="51" t="s">
        <v>509</v>
      </c>
      <c r="O12" s="3" t="s">
        <v>513</v>
      </c>
      <c r="P12" s="52" t="s">
        <v>514</v>
      </c>
      <c r="Q12" s="52" t="s">
        <v>515</v>
      </c>
      <c r="R12" s="52" t="s">
        <v>516</v>
      </c>
      <c r="S12" s="52" t="s">
        <v>517</v>
      </c>
      <c r="T12" s="3" t="s">
        <v>518</v>
      </c>
      <c r="U12" s="52" t="s">
        <v>519</v>
      </c>
      <c r="V12" s="42" t="s">
        <v>520</v>
      </c>
      <c r="W12" s="3" t="s">
        <v>522</v>
      </c>
      <c r="X12" s="3" t="s">
        <v>523</v>
      </c>
      <c r="Y12" s="3" t="s">
        <v>525</v>
      </c>
      <c r="Z12" s="10" t="s">
        <v>526</v>
      </c>
      <c r="AA12" s="11"/>
      <c r="AB12" s="11"/>
      <c r="AC12" s="11"/>
      <c r="AD12" s="14"/>
    </row>
    <row r="13" ht="14.25" customHeight="1">
      <c r="A13" s="8">
        <v>210001.0</v>
      </c>
      <c r="B13" s="4" t="s">
        <v>266</v>
      </c>
      <c r="C13" s="42">
        <v>2.0</v>
      </c>
      <c r="D13" s="42"/>
      <c r="E13" s="8"/>
      <c r="F13" s="42">
        <v>1.0</v>
      </c>
      <c r="G13" s="42"/>
      <c r="H13" s="42">
        <v>2.4</v>
      </c>
      <c r="I13" s="42"/>
      <c r="J13" s="42"/>
      <c r="K13" s="42"/>
      <c r="L13" s="42"/>
      <c r="M13" s="8" t="s">
        <v>578</v>
      </c>
      <c r="N13" s="53">
        <v>96.0</v>
      </c>
      <c r="O13" s="8"/>
      <c r="P13" s="54"/>
      <c r="Q13" s="54"/>
      <c r="R13" s="54">
        <v>4001.0</v>
      </c>
      <c r="S13" s="54">
        <v>0.4</v>
      </c>
      <c r="T13" s="8"/>
      <c r="U13" s="8"/>
      <c r="V13" s="42"/>
      <c r="W13" s="8" t="s">
        <v>614</v>
      </c>
      <c r="X13" s="8" t="s">
        <v>615</v>
      </c>
      <c r="Y13" s="8"/>
      <c r="Z13" s="29" t="s">
        <v>269</v>
      </c>
      <c r="AA13" s="11"/>
      <c r="AB13" s="11"/>
      <c r="AC13" s="11"/>
      <c r="AD13" s="14"/>
    </row>
    <row r="14" ht="15.75" customHeight="1">
      <c r="A14" s="8">
        <v>210002.0</v>
      </c>
      <c r="B14" s="4" t="s">
        <v>313</v>
      </c>
      <c r="C14" s="42">
        <v>2.0</v>
      </c>
      <c r="D14" s="42">
        <v>1.0</v>
      </c>
      <c r="E14" s="8"/>
      <c r="F14" s="42">
        <v>1.0</v>
      </c>
      <c r="G14" s="42"/>
      <c r="H14" s="42">
        <v>2.5</v>
      </c>
      <c r="I14" s="42"/>
      <c r="J14" s="42"/>
      <c r="K14" s="42"/>
      <c r="L14" s="42"/>
      <c r="M14" s="8" t="s">
        <v>578</v>
      </c>
      <c r="N14" s="53">
        <v>95.0</v>
      </c>
      <c r="O14" s="8"/>
      <c r="P14" s="54"/>
      <c r="Q14" s="54"/>
      <c r="R14" s="54">
        <v>4002.0</v>
      </c>
      <c r="S14" s="54">
        <v>0.4</v>
      </c>
      <c r="T14" s="8"/>
      <c r="U14" s="8"/>
      <c r="V14" s="42"/>
      <c r="W14" s="60" t="s">
        <v>579</v>
      </c>
      <c r="X14" s="60" t="s">
        <v>580</v>
      </c>
      <c r="Y14" s="8"/>
      <c r="Z14" s="29" t="s">
        <v>315</v>
      </c>
      <c r="AA14" s="11"/>
      <c r="AB14" s="11"/>
      <c r="AC14" s="11"/>
      <c r="AD14" s="14"/>
    </row>
    <row r="15" ht="15.75" customHeight="1">
      <c r="A15" s="8">
        <v>210003.0</v>
      </c>
      <c r="B15" s="4" t="s">
        <v>331</v>
      </c>
      <c r="C15" s="42">
        <v>-2.0</v>
      </c>
      <c r="D15" s="42"/>
      <c r="E15" s="8"/>
      <c r="F15" s="42">
        <v>1.0</v>
      </c>
      <c r="G15" s="42"/>
      <c r="H15" s="42">
        <v>2.4</v>
      </c>
      <c r="I15" s="42"/>
      <c r="J15" s="42"/>
      <c r="K15" s="42"/>
      <c r="L15" s="42"/>
      <c r="M15" s="8" t="s">
        <v>630</v>
      </c>
      <c r="N15" s="53">
        <v>48.0</v>
      </c>
      <c r="O15" s="8"/>
      <c r="P15" s="54"/>
      <c r="Q15" s="54"/>
      <c r="R15" s="54"/>
      <c r="S15" s="8"/>
      <c r="T15" s="8"/>
      <c r="U15" s="8"/>
      <c r="V15" s="42"/>
      <c r="W15" s="60" t="s">
        <v>579</v>
      </c>
      <c r="X15" s="60" t="s">
        <v>580</v>
      </c>
      <c r="Y15" s="8"/>
      <c r="Z15" s="29" t="s">
        <v>334</v>
      </c>
      <c r="AA15" s="11"/>
      <c r="AB15" s="11"/>
      <c r="AC15" s="11"/>
      <c r="AD15" s="14"/>
    </row>
    <row r="16" ht="14.25" customHeight="1">
      <c r="A16" s="8">
        <v>210004.0</v>
      </c>
      <c r="B16" s="4" t="s">
        <v>351</v>
      </c>
      <c r="C16" s="42">
        <v>4.0</v>
      </c>
      <c r="D16" s="42">
        <v>1.0</v>
      </c>
      <c r="E16" s="8"/>
      <c r="F16" s="42">
        <v>1.0</v>
      </c>
      <c r="G16" s="42">
        <v>1.25</v>
      </c>
      <c r="H16" s="42"/>
      <c r="I16" s="42"/>
      <c r="J16" s="42"/>
      <c r="K16" s="42"/>
      <c r="L16" s="42"/>
      <c r="M16" s="8" t="s">
        <v>544</v>
      </c>
      <c r="N16" s="53">
        <v>47.0</v>
      </c>
      <c r="O16" s="8"/>
      <c r="P16" s="54"/>
      <c r="Q16" s="54"/>
      <c r="R16" s="54">
        <v>2001.0</v>
      </c>
      <c r="S16" s="8"/>
      <c r="T16" s="8"/>
      <c r="U16" s="8"/>
      <c r="V16" s="42"/>
      <c r="W16" s="8"/>
      <c r="X16" s="8" t="s">
        <v>546</v>
      </c>
      <c r="Y16" s="8"/>
      <c r="Z16" s="29" t="s">
        <v>353</v>
      </c>
      <c r="AA16" s="11"/>
      <c r="AB16" s="11"/>
      <c r="AC16" s="11"/>
      <c r="AD16" s="14"/>
    </row>
    <row r="17" ht="14.25" customHeight="1">
      <c r="A17" s="8">
        <v>210005.0</v>
      </c>
      <c r="B17" s="4" t="s">
        <v>364</v>
      </c>
      <c r="C17" s="42">
        <v>1.0</v>
      </c>
      <c r="D17" s="42">
        <v>1.0</v>
      </c>
      <c r="E17" s="8"/>
      <c r="F17" s="42">
        <v>1.0</v>
      </c>
      <c r="G17" s="42">
        <v>5.0</v>
      </c>
      <c r="H17" s="42"/>
      <c r="I17" s="42"/>
      <c r="J17" s="42"/>
      <c r="K17" s="42"/>
      <c r="L17" s="42"/>
      <c r="M17" s="8" t="s">
        <v>544</v>
      </c>
      <c r="N17" s="53">
        <v>49.0</v>
      </c>
      <c r="O17" s="8"/>
      <c r="P17" s="54">
        <v>1005.0</v>
      </c>
      <c r="Q17" s="54"/>
      <c r="S17" s="8"/>
      <c r="T17" s="8"/>
      <c r="U17" s="8"/>
      <c r="V17" s="42"/>
      <c r="W17" s="8"/>
      <c r="X17" s="8" t="s">
        <v>546</v>
      </c>
      <c r="Y17" s="8"/>
      <c r="Z17" s="29" t="s">
        <v>366</v>
      </c>
      <c r="AA17" s="11"/>
      <c r="AB17" s="11"/>
      <c r="AC17" s="11"/>
      <c r="AD17" s="14"/>
    </row>
    <row r="18" ht="15.75" customHeight="1">
      <c r="A18" s="8">
        <v>210006.0</v>
      </c>
      <c r="B18" s="4" t="s">
        <v>382</v>
      </c>
      <c r="C18" s="42">
        <v>-2.0</v>
      </c>
      <c r="D18" s="42">
        <v>1.0</v>
      </c>
      <c r="E18" s="8"/>
      <c r="F18" s="42">
        <v>1.0</v>
      </c>
      <c r="G18" s="42"/>
      <c r="H18" s="42"/>
      <c r="I18" s="42"/>
      <c r="J18" s="42"/>
      <c r="K18" s="42"/>
      <c r="L18" s="42"/>
      <c r="M18" s="8"/>
      <c r="N18" s="53">
        <v>80.0</v>
      </c>
      <c r="O18" s="8"/>
      <c r="P18" s="54"/>
      <c r="Q18" s="54"/>
      <c r="R18" s="54">
        <v>1996.0</v>
      </c>
      <c r="S18" s="8"/>
      <c r="T18" s="8"/>
      <c r="U18" s="8"/>
      <c r="V18" s="42"/>
      <c r="W18" s="8"/>
      <c r="X18" s="60" t="s">
        <v>647</v>
      </c>
      <c r="Y18" s="8"/>
      <c r="Z18" s="29" t="s">
        <v>384</v>
      </c>
      <c r="AA18" s="11"/>
      <c r="AB18" s="11"/>
      <c r="AC18" s="11"/>
      <c r="AD18" s="14"/>
    </row>
    <row r="19" ht="15.75" customHeight="1">
      <c r="A19" s="8">
        <v>210007.0</v>
      </c>
      <c r="B19" s="4" t="s">
        <v>401</v>
      </c>
      <c r="C19" s="42">
        <v>-2.0</v>
      </c>
      <c r="D19" s="42"/>
      <c r="E19" s="8"/>
      <c r="F19" s="42">
        <v>1.0</v>
      </c>
      <c r="H19" s="42">
        <v>2.5</v>
      </c>
      <c r="I19" s="42"/>
      <c r="J19" s="42"/>
      <c r="K19" s="42"/>
      <c r="L19" s="42"/>
      <c r="M19" s="8" t="s">
        <v>656</v>
      </c>
      <c r="N19" s="53">
        <v>48.0</v>
      </c>
      <c r="O19" s="8"/>
      <c r="P19" s="54"/>
      <c r="Q19" s="54"/>
      <c r="R19" s="54">
        <v>1999.0</v>
      </c>
      <c r="S19" s="8"/>
      <c r="T19" s="8"/>
      <c r="U19" s="8"/>
      <c r="V19" s="42"/>
      <c r="W19" s="8"/>
      <c r="X19" s="60" t="s">
        <v>658</v>
      </c>
      <c r="Y19" s="8"/>
      <c r="Z19" s="29" t="s">
        <v>403</v>
      </c>
      <c r="AA19" s="11"/>
      <c r="AB19" s="11"/>
      <c r="AC19" s="11"/>
      <c r="AD19" s="14"/>
    </row>
    <row r="20" ht="15.75" customHeight="1">
      <c r="A20" s="8">
        <v>210008.0</v>
      </c>
      <c r="B20" s="63" t="s">
        <v>424</v>
      </c>
      <c r="C20" s="42">
        <v>1.0</v>
      </c>
      <c r="D20" s="64"/>
      <c r="E20" s="8"/>
      <c r="F20" s="42">
        <v>1.0</v>
      </c>
      <c r="G20" s="64"/>
      <c r="H20" s="64">
        <v>4.8</v>
      </c>
      <c r="I20" s="42"/>
      <c r="J20" s="42"/>
      <c r="K20" s="42"/>
      <c r="L20" s="42"/>
      <c r="M20" s="8" t="s">
        <v>578</v>
      </c>
      <c r="N20" s="53">
        <v>96.0</v>
      </c>
      <c r="O20" s="63"/>
      <c r="P20" s="65"/>
      <c r="Q20" s="65"/>
      <c r="R20" s="65">
        <v>4001.0</v>
      </c>
      <c r="S20" s="63">
        <v>0.5</v>
      </c>
      <c r="T20" s="63"/>
      <c r="U20" s="63"/>
      <c r="V20" s="64"/>
      <c r="W20" s="60" t="s">
        <v>579</v>
      </c>
      <c r="X20" s="60" t="s">
        <v>580</v>
      </c>
      <c r="Y20" s="60"/>
      <c r="Z20" s="29" t="s">
        <v>426</v>
      </c>
      <c r="AA20" s="11"/>
      <c r="AB20" s="11"/>
      <c r="AC20" s="11"/>
      <c r="AD20" s="14"/>
    </row>
    <row r="21" ht="15.75" customHeight="1">
      <c r="A21" s="8">
        <v>210009.0</v>
      </c>
      <c r="B21" s="63" t="s">
        <v>443</v>
      </c>
      <c r="C21" s="42">
        <v>1.0</v>
      </c>
      <c r="D21" s="64"/>
      <c r="E21" s="8"/>
      <c r="F21" s="42">
        <v>1.0</v>
      </c>
      <c r="G21" s="64">
        <v>4.8</v>
      </c>
      <c r="H21" s="64"/>
      <c r="I21" s="42"/>
      <c r="J21" s="42"/>
      <c r="K21" s="42"/>
      <c r="L21" s="42"/>
      <c r="M21" s="8" t="s">
        <v>544</v>
      </c>
      <c r="N21" s="53">
        <v>96.0</v>
      </c>
      <c r="O21" s="63"/>
      <c r="P21" s="65">
        <v>1005.0</v>
      </c>
      <c r="Q21" s="65"/>
      <c r="R21" s="65"/>
      <c r="S21" s="63"/>
      <c r="T21" s="63"/>
      <c r="U21" s="63"/>
      <c r="V21" s="64"/>
      <c r="W21" s="60" t="s">
        <v>579</v>
      </c>
      <c r="X21" s="60" t="s">
        <v>580</v>
      </c>
      <c r="Y21" s="60"/>
      <c r="Z21" s="29" t="s">
        <v>666</v>
      </c>
      <c r="AA21" s="11"/>
      <c r="AB21" s="11"/>
      <c r="AC21" s="11"/>
      <c r="AD21" s="14"/>
    </row>
    <row r="22" ht="15.75" customHeight="1">
      <c r="A22" s="8">
        <v>210010.0</v>
      </c>
      <c r="B22" s="63" t="s">
        <v>459</v>
      </c>
      <c r="C22" s="64">
        <v>1.0</v>
      </c>
      <c r="D22" s="64"/>
      <c r="E22" s="8"/>
      <c r="F22" s="42">
        <v>1.0</v>
      </c>
      <c r="G22" s="64">
        <v>4.8</v>
      </c>
      <c r="H22" s="64"/>
      <c r="I22" s="42"/>
      <c r="J22" s="42"/>
      <c r="K22" s="42"/>
      <c r="L22" s="42"/>
      <c r="M22" s="8" t="s">
        <v>544</v>
      </c>
      <c r="N22" s="53">
        <v>48.0</v>
      </c>
      <c r="O22" s="63"/>
      <c r="P22" s="65"/>
      <c r="Q22" s="65"/>
      <c r="R22" s="65">
        <v>4003.0</v>
      </c>
      <c r="S22" s="63">
        <v>0.4</v>
      </c>
      <c r="T22" s="63"/>
      <c r="U22" s="63"/>
      <c r="V22" s="42"/>
      <c r="W22" s="60"/>
      <c r="X22" s="8" t="s">
        <v>546</v>
      </c>
      <c r="Y22" s="60"/>
      <c r="Z22" s="29" t="s">
        <v>675</v>
      </c>
      <c r="AA22" s="11"/>
      <c r="AB22" s="11"/>
      <c r="AC22" s="11"/>
      <c r="AD22" s="14"/>
    </row>
    <row r="23" ht="15.75" customHeight="1">
      <c r="A23" s="8">
        <v>210011.0</v>
      </c>
      <c r="B23" s="63" t="s">
        <v>474</v>
      </c>
      <c r="C23" s="64">
        <v>-2.0</v>
      </c>
      <c r="D23" s="64"/>
      <c r="E23" s="8"/>
      <c r="F23" s="42">
        <v>1.0</v>
      </c>
      <c r="G23" s="64">
        <v>2.4</v>
      </c>
      <c r="H23" s="64"/>
      <c r="I23" s="42"/>
      <c r="J23" s="42"/>
      <c r="K23" s="42"/>
      <c r="L23" s="42"/>
      <c r="M23" s="8" t="s">
        <v>544</v>
      </c>
      <c r="N23" s="53">
        <v>48.0</v>
      </c>
      <c r="O23" s="63"/>
      <c r="P23" s="65"/>
      <c r="Q23" s="65"/>
      <c r="R23" s="65">
        <v>1999.0</v>
      </c>
      <c r="S23" s="63"/>
      <c r="T23" s="63"/>
      <c r="U23" s="63"/>
      <c r="V23" s="42"/>
      <c r="W23" s="60"/>
      <c r="X23" s="60" t="s">
        <v>647</v>
      </c>
      <c r="Y23" s="60"/>
      <c r="Z23" s="29" t="s">
        <v>681</v>
      </c>
      <c r="AA23" s="11"/>
      <c r="AB23" s="11"/>
      <c r="AC23" s="11"/>
      <c r="AD23" s="14"/>
    </row>
    <row r="24" ht="15.75" customHeight="1">
      <c r="A24" s="8">
        <v>210012.0</v>
      </c>
      <c r="B24" s="63" t="s">
        <v>495</v>
      </c>
      <c r="C24" s="64">
        <v>-2.0</v>
      </c>
      <c r="D24" s="64">
        <v>1.0</v>
      </c>
      <c r="E24" s="8"/>
      <c r="F24" s="42">
        <v>1.0</v>
      </c>
      <c r="G24" s="64"/>
      <c r="H24" s="64">
        <v>2.5</v>
      </c>
      <c r="I24" s="42"/>
      <c r="J24" s="42"/>
      <c r="K24" s="42"/>
      <c r="L24" s="42"/>
      <c r="M24" s="8" t="s">
        <v>578</v>
      </c>
      <c r="N24" s="53">
        <v>99.0</v>
      </c>
      <c r="O24" s="63"/>
      <c r="P24" s="65"/>
      <c r="Q24" s="65"/>
      <c r="R24" s="65">
        <v>3004.0</v>
      </c>
      <c r="S24" s="63"/>
      <c r="T24" s="63"/>
      <c r="U24" s="63"/>
      <c r="V24" s="42"/>
      <c r="W24" s="60"/>
      <c r="X24" s="8" t="s">
        <v>630</v>
      </c>
      <c r="Y24" s="60"/>
      <c r="Z24" s="29" t="s">
        <v>498</v>
      </c>
      <c r="AA24" s="11"/>
      <c r="AB24" s="11"/>
      <c r="AC24" s="11"/>
      <c r="AD24" s="14"/>
    </row>
    <row r="25" ht="15.75" customHeight="1">
      <c r="A25" s="8">
        <v>210013.0</v>
      </c>
      <c r="B25" s="63" t="s">
        <v>552</v>
      </c>
      <c r="C25" s="64">
        <v>2.0</v>
      </c>
      <c r="D25" s="64"/>
      <c r="E25" s="8"/>
      <c r="F25" s="42">
        <v>1.0</v>
      </c>
      <c r="G25" s="64">
        <v>1.9</v>
      </c>
      <c r="H25" s="64"/>
      <c r="I25" s="42"/>
      <c r="J25" s="42"/>
      <c r="K25" s="42"/>
      <c r="L25" s="42"/>
      <c r="M25" s="8" t="s">
        <v>544</v>
      </c>
      <c r="N25" s="53">
        <v>38.0</v>
      </c>
      <c r="O25" s="63"/>
      <c r="P25" s="65">
        <v>3003.0</v>
      </c>
      <c r="Q25" s="65"/>
      <c r="R25" s="65"/>
      <c r="S25" s="63"/>
      <c r="T25" s="63"/>
      <c r="U25" s="63"/>
      <c r="V25" s="42"/>
      <c r="W25" s="60"/>
      <c r="X25" s="8" t="s">
        <v>696</v>
      </c>
      <c r="Y25" s="60"/>
      <c r="Z25" s="29" t="s">
        <v>554</v>
      </c>
      <c r="AA25" s="11"/>
      <c r="AB25" s="11"/>
      <c r="AC25" s="11"/>
      <c r="AD25" s="14"/>
    </row>
    <row r="26" ht="15.75" customHeight="1">
      <c r="A26" s="8">
        <v>210014.0</v>
      </c>
      <c r="B26" s="63" t="s">
        <v>564</v>
      </c>
      <c r="C26" s="64">
        <v>3.0</v>
      </c>
      <c r="D26" s="64"/>
      <c r="E26" s="8"/>
      <c r="F26" s="42">
        <v>1.0</v>
      </c>
      <c r="G26" s="64">
        <v>1.25</v>
      </c>
      <c r="H26" s="64"/>
      <c r="I26" s="42"/>
      <c r="J26" s="42"/>
      <c r="K26" s="42"/>
      <c r="L26" s="42"/>
      <c r="M26" s="8" t="s">
        <v>544</v>
      </c>
      <c r="N26" s="53">
        <v>38.0</v>
      </c>
      <c r="O26" s="63"/>
      <c r="P26" s="65">
        <v>1001.0</v>
      </c>
      <c r="Q26" s="65"/>
      <c r="R26" s="65"/>
      <c r="S26" s="63"/>
      <c r="T26" s="63"/>
      <c r="U26" s="63"/>
      <c r="V26" s="42"/>
      <c r="W26" s="60"/>
      <c r="X26" s="8" t="s">
        <v>696</v>
      </c>
      <c r="Y26" s="60"/>
      <c r="Z26" s="29" t="s">
        <v>701</v>
      </c>
      <c r="AA26" s="11"/>
      <c r="AB26" s="11"/>
      <c r="AC26" s="11"/>
      <c r="AD26" s="14"/>
    </row>
    <row r="27" ht="15.75" customHeight="1">
      <c r="A27" s="8">
        <v>210015.0</v>
      </c>
      <c r="B27" s="63" t="s">
        <v>572</v>
      </c>
      <c r="C27" s="64">
        <v>-2.0</v>
      </c>
      <c r="D27" s="64"/>
      <c r="E27" s="8"/>
      <c r="F27" s="42">
        <v>1.0</v>
      </c>
      <c r="G27" s="64"/>
      <c r="H27" s="64">
        <v>1.9</v>
      </c>
      <c r="I27" s="42"/>
      <c r="J27" s="42"/>
      <c r="K27" s="42"/>
      <c r="L27" s="42"/>
      <c r="M27" s="8" t="s">
        <v>630</v>
      </c>
      <c r="N27" s="53">
        <v>76.0</v>
      </c>
      <c r="O27" s="63"/>
      <c r="P27" s="65"/>
      <c r="Q27" s="65"/>
      <c r="R27" s="65">
        <v>1999.0</v>
      </c>
      <c r="S27" s="63"/>
      <c r="T27" s="63"/>
      <c r="U27" s="63"/>
      <c r="V27" s="42"/>
      <c r="W27" s="60"/>
      <c r="X27" s="8" t="s">
        <v>630</v>
      </c>
      <c r="Y27" s="60"/>
      <c r="Z27" s="29" t="s">
        <v>715</v>
      </c>
      <c r="AA27" s="11"/>
      <c r="AB27" s="11"/>
      <c r="AC27" s="11"/>
      <c r="AD27" s="14"/>
    </row>
    <row r="28" ht="15.75" customHeight="1">
      <c r="A28" s="8">
        <f t="shared" ref="A28:A43" si="1">A27+1</f>
        <v>210016</v>
      </c>
      <c r="B28" s="63" t="s">
        <v>584</v>
      </c>
      <c r="C28" s="64">
        <v>3.0</v>
      </c>
      <c r="D28" s="64">
        <v>1.0</v>
      </c>
      <c r="E28" s="8"/>
      <c r="F28" s="42">
        <v>1.0</v>
      </c>
      <c r="G28" s="64"/>
      <c r="H28" s="64">
        <v>1.3</v>
      </c>
      <c r="I28" s="42"/>
      <c r="J28" s="42"/>
      <c r="K28" s="42"/>
      <c r="L28" s="42"/>
      <c r="M28" s="8" t="s">
        <v>578</v>
      </c>
      <c r="N28" s="53">
        <v>78.0</v>
      </c>
      <c r="O28" s="63"/>
      <c r="P28" s="65"/>
      <c r="Q28" s="65"/>
      <c r="R28" s="65"/>
      <c r="S28" s="63"/>
      <c r="T28" s="63"/>
      <c r="U28" s="63"/>
      <c r="V28" s="42"/>
      <c r="W28" s="60"/>
      <c r="X28" s="60" t="s">
        <v>580</v>
      </c>
      <c r="Y28" s="60"/>
      <c r="Z28" s="29" t="s">
        <v>585</v>
      </c>
      <c r="AA28" s="11"/>
      <c r="AB28" s="11"/>
      <c r="AC28" s="11"/>
      <c r="AD28" s="14"/>
    </row>
    <row r="29" ht="15.75" customHeight="1">
      <c r="A29" s="8">
        <f t="shared" si="1"/>
        <v>210017</v>
      </c>
      <c r="B29" s="63" t="s">
        <v>594</v>
      </c>
      <c r="C29" s="64">
        <v>-1.0</v>
      </c>
      <c r="D29" s="64">
        <v>1.0</v>
      </c>
      <c r="E29" s="8"/>
      <c r="F29" s="42">
        <v>1.0</v>
      </c>
      <c r="G29" s="64"/>
      <c r="H29" s="64">
        <v>3.8</v>
      </c>
      <c r="I29" s="42"/>
      <c r="J29" s="42"/>
      <c r="K29" s="42"/>
      <c r="L29" s="42"/>
      <c r="M29" s="8" t="s">
        <v>630</v>
      </c>
      <c r="N29" s="53">
        <v>38.0</v>
      </c>
      <c r="O29" s="63"/>
      <c r="P29" s="65"/>
      <c r="Q29" s="65"/>
      <c r="R29" s="65">
        <v>1002.0</v>
      </c>
      <c r="S29" s="63"/>
      <c r="T29" s="63"/>
      <c r="U29" s="63"/>
      <c r="V29" s="42"/>
      <c r="W29" s="60"/>
      <c r="X29" s="8" t="s">
        <v>630</v>
      </c>
      <c r="Y29" s="60"/>
      <c r="Z29" s="29" t="s">
        <v>753</v>
      </c>
      <c r="AA29" s="11"/>
      <c r="AB29" s="11"/>
      <c r="AC29" s="11"/>
      <c r="AD29" s="14"/>
    </row>
    <row r="30" ht="15.75" customHeight="1">
      <c r="A30" s="8">
        <f t="shared" si="1"/>
        <v>210018</v>
      </c>
      <c r="B30" s="63" t="s">
        <v>603</v>
      </c>
      <c r="C30" s="64">
        <v>2.0</v>
      </c>
      <c r="D30" s="64">
        <v>1.0</v>
      </c>
      <c r="E30" s="8"/>
      <c r="F30" s="42">
        <v>1.0</v>
      </c>
      <c r="G30" s="64"/>
      <c r="H30" s="64">
        <v>2.0</v>
      </c>
      <c r="I30" s="42"/>
      <c r="J30" s="42"/>
      <c r="K30" s="42"/>
      <c r="L30" s="42"/>
      <c r="M30" s="8" t="s">
        <v>578</v>
      </c>
      <c r="N30" s="53">
        <v>82.0</v>
      </c>
      <c r="O30" s="63"/>
      <c r="P30" s="65"/>
      <c r="Q30" s="65"/>
      <c r="R30" s="65">
        <v>4001.0</v>
      </c>
      <c r="S30" s="63">
        <v>0.3</v>
      </c>
      <c r="T30" s="63"/>
      <c r="U30" s="63"/>
      <c r="V30" s="42"/>
      <c r="W30" s="8" t="s">
        <v>614</v>
      </c>
      <c r="X30" s="8" t="s">
        <v>615</v>
      </c>
      <c r="Y30" s="60"/>
      <c r="Z30" s="29" t="s">
        <v>604</v>
      </c>
      <c r="AA30" s="11"/>
      <c r="AB30" s="11"/>
      <c r="AC30" s="11"/>
      <c r="AD30" s="14"/>
    </row>
    <row r="31" ht="15.75" customHeight="1">
      <c r="A31" s="8">
        <f t="shared" si="1"/>
        <v>210019</v>
      </c>
      <c r="B31" s="63" t="s">
        <v>608</v>
      </c>
      <c r="C31" s="64">
        <v>3.0</v>
      </c>
      <c r="D31" s="64">
        <v>1.0</v>
      </c>
      <c r="E31" s="8"/>
      <c r="F31" s="42">
        <v>1.0</v>
      </c>
      <c r="G31" s="64"/>
      <c r="H31" s="64">
        <v>1.3</v>
      </c>
      <c r="I31" s="42"/>
      <c r="J31" s="42"/>
      <c r="K31" s="42"/>
      <c r="L31" s="42"/>
      <c r="M31" s="8" t="s">
        <v>578</v>
      </c>
      <c r="N31" s="53">
        <v>77.0</v>
      </c>
      <c r="O31" s="63"/>
      <c r="P31" s="65">
        <v>1007.0</v>
      </c>
      <c r="Q31" s="63">
        <v>0.4</v>
      </c>
      <c r="R31" s="8"/>
      <c r="S31" s="8"/>
      <c r="T31" s="63"/>
      <c r="U31" s="63"/>
      <c r="V31" s="42"/>
      <c r="W31" s="60" t="s">
        <v>579</v>
      </c>
      <c r="X31" s="60" t="s">
        <v>580</v>
      </c>
      <c r="Y31" s="60"/>
      <c r="Z31" s="29" t="s">
        <v>609</v>
      </c>
      <c r="AA31" s="11"/>
      <c r="AB31" s="11"/>
      <c r="AC31" s="11"/>
      <c r="AD31" s="14"/>
    </row>
    <row r="32" ht="15.75" customHeight="1">
      <c r="A32" s="8">
        <f t="shared" si="1"/>
        <v>210020</v>
      </c>
      <c r="B32" s="63" t="s">
        <v>616</v>
      </c>
      <c r="C32" s="64">
        <v>1.0</v>
      </c>
      <c r="D32" s="64">
        <v>1.0</v>
      </c>
      <c r="E32" s="8"/>
      <c r="F32" s="42">
        <v>1.0</v>
      </c>
      <c r="G32" s="64"/>
      <c r="H32" s="64">
        <v>4.0</v>
      </c>
      <c r="I32" s="42"/>
      <c r="J32" s="42"/>
      <c r="K32" s="42"/>
      <c r="L32" s="42"/>
      <c r="M32" s="8" t="s">
        <v>578</v>
      </c>
      <c r="N32" s="53">
        <v>80.0</v>
      </c>
      <c r="O32" s="63"/>
      <c r="P32" s="65"/>
      <c r="Q32" s="65"/>
      <c r="R32" s="65">
        <v>5004.0</v>
      </c>
      <c r="S32" s="63">
        <v>0.4</v>
      </c>
      <c r="T32" s="63"/>
      <c r="U32" s="63"/>
      <c r="V32" s="42"/>
      <c r="W32" s="60" t="s">
        <v>579</v>
      </c>
      <c r="X32" s="60" t="s">
        <v>580</v>
      </c>
      <c r="Y32" s="60"/>
      <c r="Z32" s="29" t="s">
        <v>617</v>
      </c>
      <c r="AA32" s="11"/>
      <c r="AB32" s="11"/>
      <c r="AC32" s="11"/>
      <c r="AD32" s="14"/>
    </row>
    <row r="33" ht="15.75" customHeight="1">
      <c r="A33" s="8">
        <f t="shared" si="1"/>
        <v>210021</v>
      </c>
      <c r="B33" s="63" t="s">
        <v>624</v>
      </c>
      <c r="C33" s="64">
        <v>4.0</v>
      </c>
      <c r="D33" s="64">
        <v>1.0</v>
      </c>
      <c r="E33" s="8"/>
      <c r="F33" s="42">
        <v>1.0</v>
      </c>
      <c r="G33" s="64">
        <v>1.0</v>
      </c>
      <c r="H33" s="64"/>
      <c r="I33" s="42"/>
      <c r="J33" s="42"/>
      <c r="K33" s="42"/>
      <c r="L33" s="42"/>
      <c r="M33" s="8" t="s">
        <v>544</v>
      </c>
      <c r="N33" s="53">
        <v>40.0</v>
      </c>
      <c r="O33" s="63"/>
      <c r="P33" s="65"/>
      <c r="Q33" s="65"/>
      <c r="R33" s="65"/>
      <c r="S33" s="63"/>
      <c r="T33" s="63">
        <v>1999.0</v>
      </c>
      <c r="U33" s="63">
        <v>0.5</v>
      </c>
      <c r="V33" s="42"/>
      <c r="W33" s="60"/>
      <c r="X33" s="8" t="s">
        <v>696</v>
      </c>
      <c r="Y33" s="60"/>
      <c r="Z33" s="29" t="s">
        <v>625</v>
      </c>
      <c r="AA33" s="11"/>
      <c r="AB33" s="11"/>
      <c r="AC33" s="11"/>
      <c r="AD33" s="14"/>
    </row>
    <row r="34" ht="15.75" customHeight="1">
      <c r="A34" s="8">
        <f t="shared" si="1"/>
        <v>210022</v>
      </c>
      <c r="B34" s="63" t="s">
        <v>661</v>
      </c>
      <c r="C34" s="64">
        <v>2.0</v>
      </c>
      <c r="D34" s="64"/>
      <c r="E34" s="8"/>
      <c r="F34" s="42">
        <v>1.0</v>
      </c>
      <c r="G34" s="64">
        <v>1.55</v>
      </c>
      <c r="H34" s="64"/>
      <c r="I34" s="42"/>
      <c r="J34" s="42"/>
      <c r="K34" s="42"/>
      <c r="L34" s="42"/>
      <c r="M34" s="8" t="s">
        <v>544</v>
      </c>
      <c r="N34" s="53">
        <v>31.0</v>
      </c>
      <c r="O34" s="63"/>
      <c r="P34" s="65"/>
      <c r="Q34" s="65"/>
      <c r="R34" s="65">
        <v>2002.0</v>
      </c>
      <c r="S34" s="63">
        <v>0.5</v>
      </c>
      <c r="T34" s="63"/>
      <c r="U34" s="63"/>
      <c r="V34" s="42"/>
      <c r="W34" s="8"/>
      <c r="X34" s="60" t="s">
        <v>795</v>
      </c>
      <c r="Y34" s="60"/>
      <c r="Z34" s="29" t="s">
        <v>662</v>
      </c>
      <c r="AA34" s="11"/>
      <c r="AB34" s="11"/>
      <c r="AC34" s="11"/>
      <c r="AD34" s="14"/>
    </row>
    <row r="35" ht="15.75" customHeight="1">
      <c r="A35" s="8">
        <f t="shared" si="1"/>
        <v>210023</v>
      </c>
      <c r="B35" s="63" t="s">
        <v>669</v>
      </c>
      <c r="C35" s="64">
        <v>2.0</v>
      </c>
      <c r="D35" s="64"/>
      <c r="E35" s="8"/>
      <c r="F35" s="42">
        <v>1.0</v>
      </c>
      <c r="G35" s="64">
        <v>1.55</v>
      </c>
      <c r="H35" s="64"/>
      <c r="I35" s="42"/>
      <c r="J35" s="42"/>
      <c r="K35" s="42"/>
      <c r="L35" s="42"/>
      <c r="M35" s="8" t="s">
        <v>544</v>
      </c>
      <c r="N35" s="53">
        <v>33.0</v>
      </c>
      <c r="O35" s="63"/>
      <c r="P35" s="65"/>
      <c r="Q35" s="65"/>
      <c r="R35" s="65">
        <v>4003.0</v>
      </c>
      <c r="S35" s="63">
        <v>0.25</v>
      </c>
      <c r="T35" s="63"/>
      <c r="U35" s="63"/>
      <c r="V35" s="42"/>
      <c r="W35" s="60"/>
      <c r="X35" s="60" t="s">
        <v>795</v>
      </c>
      <c r="Y35" s="60"/>
      <c r="Z35" s="29" t="s">
        <v>670</v>
      </c>
      <c r="AA35" s="11"/>
      <c r="AB35" s="11"/>
      <c r="AC35" s="11"/>
      <c r="AD35" s="14"/>
      <c r="AO35" s="1" t="s">
        <v>814</v>
      </c>
    </row>
    <row r="36" ht="15.75" customHeight="1">
      <c r="A36" s="8">
        <f t="shared" si="1"/>
        <v>210024</v>
      </c>
      <c r="B36" s="63" t="s">
        <v>679</v>
      </c>
      <c r="C36" s="64">
        <v>1.0</v>
      </c>
      <c r="D36" s="64"/>
      <c r="E36" s="8"/>
      <c r="F36" s="42">
        <v>1.0</v>
      </c>
      <c r="G36" s="64"/>
      <c r="H36" s="64">
        <v>3.0</v>
      </c>
      <c r="I36" s="42"/>
      <c r="J36" s="42"/>
      <c r="K36" s="42"/>
      <c r="L36" s="42"/>
      <c r="M36" s="8" t="s">
        <v>578</v>
      </c>
      <c r="N36" s="53">
        <v>60.0</v>
      </c>
      <c r="O36" s="63"/>
      <c r="P36" s="65"/>
      <c r="Q36" s="65"/>
      <c r="R36" s="65">
        <v>4001.0</v>
      </c>
      <c r="S36" s="63">
        <v>0.25</v>
      </c>
      <c r="T36" s="63"/>
      <c r="U36" s="63"/>
      <c r="V36" s="42"/>
      <c r="W36" s="60" t="s">
        <v>579</v>
      </c>
      <c r="X36" s="8" t="s">
        <v>615</v>
      </c>
      <c r="Y36" s="60"/>
      <c r="Z36" s="29" t="s">
        <v>680</v>
      </c>
      <c r="AA36" s="11"/>
      <c r="AB36" s="11"/>
      <c r="AC36" s="11"/>
      <c r="AD36" s="14"/>
    </row>
    <row r="37" ht="15.75" customHeight="1">
      <c r="A37" s="8">
        <f t="shared" si="1"/>
        <v>210025</v>
      </c>
      <c r="B37" s="63" t="s">
        <v>687</v>
      </c>
      <c r="C37" s="64">
        <v>2.0</v>
      </c>
      <c r="D37" s="64">
        <v>1.0</v>
      </c>
      <c r="E37" s="8"/>
      <c r="F37" s="42">
        <v>1.0</v>
      </c>
      <c r="G37" s="64"/>
      <c r="H37" s="64">
        <v>1.65</v>
      </c>
      <c r="I37" s="42"/>
      <c r="J37" s="42"/>
      <c r="K37" s="42"/>
      <c r="L37" s="42"/>
      <c r="M37" s="8" t="s">
        <v>578</v>
      </c>
      <c r="N37" s="53">
        <v>66.0</v>
      </c>
      <c r="O37" s="63"/>
      <c r="P37" s="65"/>
      <c r="Q37" s="65"/>
      <c r="R37" s="65">
        <v>5001.0</v>
      </c>
      <c r="S37" s="63">
        <v>0.25</v>
      </c>
      <c r="T37" s="63"/>
      <c r="U37" s="63"/>
      <c r="V37" s="42"/>
      <c r="W37" s="60" t="s">
        <v>579</v>
      </c>
      <c r="X37" s="60" t="s">
        <v>580</v>
      </c>
      <c r="Y37" s="60"/>
      <c r="Z37" s="29" t="s">
        <v>688</v>
      </c>
      <c r="AA37" s="11"/>
      <c r="AB37" s="11"/>
      <c r="AC37" s="11"/>
      <c r="AD37" s="14"/>
    </row>
    <row r="38" ht="15.75" customHeight="1">
      <c r="A38" s="8">
        <f t="shared" si="1"/>
        <v>210026</v>
      </c>
      <c r="B38" s="63" t="s">
        <v>693</v>
      </c>
      <c r="C38" s="64">
        <v>-2.0</v>
      </c>
      <c r="D38" s="64">
        <v>1.0</v>
      </c>
      <c r="E38" s="8"/>
      <c r="F38" s="42">
        <v>1.0</v>
      </c>
      <c r="G38" s="64"/>
      <c r="H38" s="64"/>
      <c r="I38" s="42"/>
      <c r="J38" s="42"/>
      <c r="K38" s="42"/>
      <c r="L38" s="42"/>
      <c r="M38" s="8"/>
      <c r="N38" s="53">
        <v>30.0</v>
      </c>
      <c r="O38" s="63"/>
      <c r="P38" s="65"/>
      <c r="Q38" s="65"/>
      <c r="R38" s="65">
        <v>1996.0</v>
      </c>
      <c r="S38" s="63"/>
      <c r="T38" s="63"/>
      <c r="U38" s="63"/>
      <c r="V38" s="42"/>
      <c r="W38" s="60"/>
      <c r="X38" s="8" t="s">
        <v>835</v>
      </c>
      <c r="Y38" s="60"/>
      <c r="Z38" s="29" t="s">
        <v>694</v>
      </c>
      <c r="AA38" s="11"/>
      <c r="AB38" s="11"/>
      <c r="AC38" s="11"/>
      <c r="AD38" s="14"/>
    </row>
    <row r="39" ht="15.75" customHeight="1">
      <c r="A39" s="8">
        <f t="shared" si="1"/>
        <v>210027</v>
      </c>
      <c r="B39" s="63" t="s">
        <v>702</v>
      </c>
      <c r="C39" s="64">
        <v>1.0</v>
      </c>
      <c r="D39" s="64"/>
      <c r="E39" s="8"/>
      <c r="F39" s="42">
        <v>1.0</v>
      </c>
      <c r="G39" s="64">
        <v>3.0</v>
      </c>
      <c r="H39" s="64"/>
      <c r="I39" s="42"/>
      <c r="J39" s="42"/>
      <c r="K39" s="42"/>
      <c r="L39" s="42"/>
      <c r="M39" s="8" t="s">
        <v>544</v>
      </c>
      <c r="N39" s="53">
        <v>30.0</v>
      </c>
      <c r="O39" s="63"/>
      <c r="P39" s="65"/>
      <c r="Q39" s="65"/>
      <c r="R39" s="65">
        <v>1005.0</v>
      </c>
      <c r="S39" s="63">
        <v>0.4</v>
      </c>
      <c r="T39" s="63"/>
      <c r="U39" s="63"/>
      <c r="V39" s="42"/>
      <c r="W39" s="8" t="s">
        <v>837</v>
      </c>
      <c r="X39" s="60" t="s">
        <v>580</v>
      </c>
      <c r="Y39" s="60"/>
      <c r="Z39" s="29" t="s">
        <v>704</v>
      </c>
      <c r="AA39" s="11"/>
      <c r="AB39" s="11"/>
      <c r="AC39" s="11"/>
      <c r="AD39" s="14"/>
    </row>
    <row r="40" ht="15.75" customHeight="1">
      <c r="A40" s="8">
        <f t="shared" si="1"/>
        <v>210028</v>
      </c>
      <c r="B40" s="63" t="s">
        <v>710</v>
      </c>
      <c r="C40" s="64">
        <v>-2.0</v>
      </c>
      <c r="D40" s="64">
        <v>1.0</v>
      </c>
      <c r="E40" s="8"/>
      <c r="F40" s="42">
        <v>1.0</v>
      </c>
      <c r="G40" s="64"/>
      <c r="H40" s="64">
        <v>1.65</v>
      </c>
      <c r="I40" s="42"/>
      <c r="J40" s="42"/>
      <c r="K40" s="42"/>
      <c r="L40" s="42"/>
      <c r="M40" s="8" t="s">
        <v>578</v>
      </c>
      <c r="N40" s="53">
        <v>66.0</v>
      </c>
      <c r="O40" s="63"/>
      <c r="P40" s="65"/>
      <c r="Q40" s="65"/>
      <c r="R40" s="65"/>
      <c r="S40" s="63"/>
      <c r="T40" s="63"/>
      <c r="U40" s="63"/>
      <c r="V40" s="42"/>
      <c r="W40" s="60"/>
      <c r="X40" s="60" t="s">
        <v>630</v>
      </c>
      <c r="Y40" s="60"/>
      <c r="Z40" s="29" t="s">
        <v>839</v>
      </c>
      <c r="AA40" s="11"/>
      <c r="AB40" s="11"/>
      <c r="AC40" s="11"/>
      <c r="AD40" s="14"/>
    </row>
    <row r="41" ht="15.75" customHeight="1">
      <c r="A41" s="8">
        <f t="shared" si="1"/>
        <v>210029</v>
      </c>
      <c r="B41" s="63" t="s">
        <v>723</v>
      </c>
      <c r="C41" s="64">
        <v>2.0</v>
      </c>
      <c r="D41" s="64">
        <v>1.0</v>
      </c>
      <c r="E41" s="8"/>
      <c r="F41" s="42">
        <v>1.0</v>
      </c>
      <c r="G41" s="64">
        <v>1.65</v>
      </c>
      <c r="H41" s="64"/>
      <c r="I41" s="42"/>
      <c r="J41" s="42"/>
      <c r="K41" s="42"/>
      <c r="L41" s="42"/>
      <c r="M41" s="8" t="s">
        <v>544</v>
      </c>
      <c r="N41" s="53">
        <v>33.0</v>
      </c>
      <c r="O41" s="63"/>
      <c r="P41" s="65"/>
      <c r="Q41" s="65"/>
      <c r="R41" s="65">
        <v>4003.0</v>
      </c>
      <c r="S41" s="63">
        <v>0.25</v>
      </c>
      <c r="T41" s="63"/>
      <c r="U41" s="63"/>
      <c r="V41" s="42"/>
      <c r="W41" s="60"/>
      <c r="X41" s="8" t="s">
        <v>696</v>
      </c>
      <c r="Y41" s="60"/>
      <c r="Z41" s="29" t="s">
        <v>725</v>
      </c>
      <c r="AA41" s="11"/>
      <c r="AB41" s="11"/>
      <c r="AC41" s="11"/>
      <c r="AD41" s="14"/>
    </row>
    <row r="42" ht="15.75" customHeight="1">
      <c r="A42" s="8">
        <f t="shared" si="1"/>
        <v>210030</v>
      </c>
      <c r="B42" s="63" t="s">
        <v>737</v>
      </c>
      <c r="C42" s="64">
        <v>4.0</v>
      </c>
      <c r="D42" s="64">
        <v>1.0</v>
      </c>
      <c r="E42" s="8"/>
      <c r="F42" s="42">
        <v>1.0</v>
      </c>
      <c r="G42" s="64"/>
      <c r="H42" s="64">
        <v>0.75</v>
      </c>
      <c r="I42" s="42"/>
      <c r="J42" s="42"/>
      <c r="K42" s="42"/>
      <c r="L42" s="42"/>
      <c r="M42" s="8" t="s">
        <v>578</v>
      </c>
      <c r="N42" s="53">
        <v>59.0</v>
      </c>
      <c r="O42" s="63"/>
      <c r="P42" s="65"/>
      <c r="Q42" s="65"/>
      <c r="R42" s="65">
        <v>2004.0</v>
      </c>
      <c r="S42" s="63">
        <v>0.25</v>
      </c>
      <c r="T42" s="63"/>
      <c r="U42" s="63"/>
      <c r="V42" s="42"/>
      <c r="W42" s="60" t="s">
        <v>579</v>
      </c>
      <c r="X42" s="60" t="s">
        <v>580</v>
      </c>
      <c r="Y42" s="60"/>
      <c r="Z42" s="29" t="s">
        <v>738</v>
      </c>
      <c r="AA42" s="11"/>
      <c r="AB42" s="11"/>
      <c r="AC42" s="11"/>
      <c r="AD42" s="14"/>
      <c r="AE42" s="79"/>
      <c r="AF42" s="79"/>
      <c r="AG42" s="79"/>
    </row>
    <row r="43" ht="15.75" customHeight="1">
      <c r="A43" s="8">
        <f t="shared" si="1"/>
        <v>210031</v>
      </c>
      <c r="B43" s="63" t="s">
        <v>751</v>
      </c>
      <c r="C43" s="64">
        <v>3.0</v>
      </c>
      <c r="D43" s="64">
        <v>1.0</v>
      </c>
      <c r="E43" s="8"/>
      <c r="F43" s="42">
        <v>1.0</v>
      </c>
      <c r="G43" s="64">
        <v>1.05</v>
      </c>
      <c r="H43" s="64"/>
      <c r="I43" s="42"/>
      <c r="J43" s="42"/>
      <c r="K43" s="42"/>
      <c r="L43" s="42"/>
      <c r="M43" s="8" t="s">
        <v>544</v>
      </c>
      <c r="N43" s="53">
        <v>31.0</v>
      </c>
      <c r="O43" s="63"/>
      <c r="P43" s="65"/>
      <c r="Q43" s="65"/>
      <c r="R43" s="65">
        <v>4003.0</v>
      </c>
      <c r="S43" s="63">
        <v>0.25</v>
      </c>
      <c r="T43" s="63"/>
      <c r="U43" s="63"/>
      <c r="V43" s="42"/>
      <c r="W43" s="60"/>
      <c r="X43" s="8" t="s">
        <v>546</v>
      </c>
      <c r="Y43" s="60"/>
      <c r="Z43" s="29" t="s">
        <v>754</v>
      </c>
      <c r="AA43" s="11"/>
      <c r="AB43" s="11"/>
      <c r="AC43" s="11"/>
      <c r="AD43" s="14"/>
      <c r="AE43" s="79"/>
      <c r="AF43" s="79"/>
      <c r="AG43" s="79"/>
    </row>
    <row r="44" ht="14.25" customHeight="1">
      <c r="C44" s="47"/>
      <c r="D44" s="47"/>
      <c r="E44" s="47"/>
      <c r="F44" s="47"/>
      <c r="G44" s="47"/>
      <c r="H44" s="47"/>
      <c r="I44" s="47"/>
      <c r="J44" s="47"/>
      <c r="K44" s="47"/>
      <c r="L44" s="47"/>
      <c r="N44" s="48"/>
      <c r="P44" s="49"/>
      <c r="Q44" s="49"/>
      <c r="R44" s="49"/>
      <c r="V44" s="47"/>
      <c r="AE44" s="79"/>
      <c r="AF44" s="79"/>
      <c r="AG44" s="79"/>
    </row>
    <row r="45" ht="14.25" customHeight="1">
      <c r="A45" s="3" t="s">
        <v>484</v>
      </c>
      <c r="B45" s="6" t="s">
        <v>487</v>
      </c>
      <c r="C45" s="50" t="s">
        <v>489</v>
      </c>
      <c r="D45" s="50" t="s">
        <v>490</v>
      </c>
      <c r="E45" s="50" t="s">
        <v>491</v>
      </c>
      <c r="F45" s="50" t="s">
        <v>845</v>
      </c>
      <c r="G45" s="40" t="s">
        <v>496</v>
      </c>
      <c r="H45" s="40" t="s">
        <v>499</v>
      </c>
      <c r="I45" s="40" t="s">
        <v>295</v>
      </c>
      <c r="J45" s="40" t="s">
        <v>503</v>
      </c>
      <c r="K45" s="40" t="s">
        <v>505</v>
      </c>
      <c r="L45" s="40" t="s">
        <v>506</v>
      </c>
      <c r="M45" s="3" t="s">
        <v>507</v>
      </c>
      <c r="N45" s="51" t="s">
        <v>509</v>
      </c>
      <c r="O45" s="3" t="s">
        <v>513</v>
      </c>
      <c r="P45" s="52" t="s">
        <v>514</v>
      </c>
      <c r="Q45" s="52" t="s">
        <v>515</v>
      </c>
      <c r="R45" s="52" t="s">
        <v>516</v>
      </c>
      <c r="S45" s="52" t="s">
        <v>517</v>
      </c>
      <c r="T45" s="3" t="s">
        <v>518</v>
      </c>
      <c r="U45" s="52" t="s">
        <v>519</v>
      </c>
      <c r="V45" s="42" t="s">
        <v>520</v>
      </c>
      <c r="W45" s="3" t="s">
        <v>522</v>
      </c>
      <c r="X45" s="3" t="s">
        <v>523</v>
      </c>
      <c r="Y45" s="3" t="s">
        <v>525</v>
      </c>
      <c r="Z45" s="10" t="s">
        <v>526</v>
      </c>
      <c r="AA45" s="11"/>
      <c r="AB45" s="11"/>
      <c r="AC45" s="11"/>
      <c r="AD45" s="14"/>
      <c r="AE45" s="79"/>
      <c r="AF45" s="79"/>
      <c r="AG45" s="79"/>
    </row>
    <row r="46" ht="14.25" customHeight="1">
      <c r="A46" s="8">
        <v>310001.0</v>
      </c>
      <c r="B46" s="4" t="s">
        <v>283</v>
      </c>
      <c r="C46" s="42">
        <v>5.0</v>
      </c>
      <c r="D46" s="42"/>
      <c r="E46" s="42"/>
      <c r="F46" s="42">
        <v>1.0</v>
      </c>
      <c r="G46" s="42"/>
      <c r="H46" s="42">
        <v>1.0</v>
      </c>
      <c r="I46" s="42"/>
      <c r="J46" s="42"/>
      <c r="K46" s="42">
        <v>7.0</v>
      </c>
      <c r="L46" s="42"/>
      <c r="M46" s="8" t="s">
        <v>578</v>
      </c>
      <c r="N46" s="53">
        <v>103.0</v>
      </c>
      <c r="O46" s="8"/>
      <c r="P46" s="54"/>
      <c r="Q46" s="54"/>
      <c r="R46" s="54">
        <v>4001.0</v>
      </c>
      <c r="S46" s="8"/>
      <c r="T46" s="8"/>
      <c r="U46" s="8"/>
      <c r="V46" s="42"/>
      <c r="W46" s="8" t="s">
        <v>614</v>
      </c>
      <c r="X46" s="8" t="s">
        <v>615</v>
      </c>
      <c r="Y46" s="8"/>
      <c r="Z46" s="29" t="s">
        <v>849</v>
      </c>
      <c r="AA46" s="11"/>
      <c r="AB46" s="11"/>
      <c r="AC46" s="11"/>
      <c r="AD46" s="14"/>
      <c r="AE46" s="79"/>
      <c r="AF46" s="79"/>
      <c r="AG46" s="79"/>
      <c r="AH46" s="49"/>
      <c r="AI46" s="79"/>
    </row>
    <row r="47" ht="15.75" customHeight="1">
      <c r="A47" s="8">
        <v>310002.0</v>
      </c>
      <c r="B47" s="4" t="s">
        <v>322</v>
      </c>
      <c r="C47" s="42">
        <v>3.0</v>
      </c>
      <c r="D47" s="42"/>
      <c r="E47" s="42"/>
      <c r="F47" s="42">
        <v>1.0</v>
      </c>
      <c r="G47" s="42"/>
      <c r="H47" s="42">
        <v>1.6</v>
      </c>
      <c r="I47" s="42"/>
      <c r="J47" s="42"/>
      <c r="K47" s="42">
        <v>8.0</v>
      </c>
      <c r="L47" s="42"/>
      <c r="M47" s="8" t="s">
        <v>578</v>
      </c>
      <c r="N47" s="53">
        <v>96.0</v>
      </c>
      <c r="O47" s="8"/>
      <c r="P47" s="54"/>
      <c r="Q47" s="54"/>
      <c r="R47" s="54" t="str">
        <f>"2004,2004,2004"</f>
        <v>2004,2004,2004</v>
      </c>
      <c r="S47" s="8"/>
      <c r="T47" s="8"/>
      <c r="U47" s="8"/>
      <c r="V47" s="42"/>
      <c r="W47" s="60" t="s">
        <v>579</v>
      </c>
      <c r="X47" s="60" t="s">
        <v>580</v>
      </c>
      <c r="Y47" s="8"/>
      <c r="Z47" s="29" t="s">
        <v>850</v>
      </c>
      <c r="AA47" s="11"/>
      <c r="AB47" s="11"/>
      <c r="AC47" s="11"/>
      <c r="AD47" s="14"/>
      <c r="AE47" s="79"/>
      <c r="AF47" s="79"/>
      <c r="AG47" s="79"/>
      <c r="AH47" s="49"/>
      <c r="AI47" s="79"/>
    </row>
    <row r="48" ht="14.25" customHeight="1">
      <c r="A48" s="8">
        <v>310003.0</v>
      </c>
      <c r="B48" s="4" t="s">
        <v>341</v>
      </c>
      <c r="C48" s="42">
        <v>-5.0</v>
      </c>
      <c r="D48" s="42"/>
      <c r="E48" s="42"/>
      <c r="F48" s="42">
        <v>1.0</v>
      </c>
      <c r="G48" s="42"/>
      <c r="H48" s="42">
        <v>1.0</v>
      </c>
      <c r="I48" s="42"/>
      <c r="J48" s="42"/>
      <c r="K48" s="42">
        <v>6.0</v>
      </c>
      <c r="L48" s="42"/>
      <c r="M48" s="8" t="s">
        <v>630</v>
      </c>
      <c r="N48" s="53">
        <v>49.0</v>
      </c>
      <c r="O48" s="8"/>
      <c r="P48" s="54"/>
      <c r="Q48" s="54"/>
      <c r="R48" s="54"/>
      <c r="S48" s="8"/>
      <c r="T48" s="8"/>
      <c r="U48" s="8"/>
      <c r="V48" s="42"/>
      <c r="W48" s="8"/>
      <c r="X48" s="8" t="s">
        <v>630</v>
      </c>
      <c r="Y48" s="8"/>
      <c r="Z48" s="29" t="s">
        <v>852</v>
      </c>
      <c r="AA48" s="11"/>
      <c r="AB48" s="11"/>
      <c r="AC48" s="11"/>
      <c r="AD48" s="14"/>
      <c r="AE48" s="79"/>
      <c r="AF48" s="79"/>
      <c r="AG48" s="79"/>
      <c r="AH48" s="49"/>
      <c r="AI48" s="79"/>
    </row>
    <row r="49" ht="14.25" customHeight="1">
      <c r="A49" s="8">
        <v>310004.0</v>
      </c>
      <c r="B49" s="4" t="s">
        <v>359</v>
      </c>
      <c r="C49" s="42">
        <v>3.0</v>
      </c>
      <c r="D49" s="42"/>
      <c r="E49" s="42"/>
      <c r="F49" s="42">
        <v>1.0</v>
      </c>
      <c r="G49" s="42">
        <v>1.6</v>
      </c>
      <c r="H49" s="42"/>
      <c r="I49" s="42"/>
      <c r="J49" s="42"/>
      <c r="K49" s="42">
        <v>7.0</v>
      </c>
      <c r="L49" s="42"/>
      <c r="M49" s="8" t="s">
        <v>544</v>
      </c>
      <c r="N49" s="53">
        <v>48.0</v>
      </c>
      <c r="O49" s="8"/>
      <c r="P49" s="54">
        <v>3003.0</v>
      </c>
      <c r="Q49" s="54"/>
      <c r="R49" s="54"/>
      <c r="S49" s="8"/>
      <c r="T49" s="8"/>
      <c r="U49" s="8"/>
      <c r="V49" s="42"/>
      <c r="W49" s="8"/>
      <c r="X49" s="8" t="s">
        <v>696</v>
      </c>
      <c r="Y49" s="8"/>
      <c r="Z49" s="29" t="s">
        <v>853</v>
      </c>
      <c r="AA49" s="11"/>
      <c r="AB49" s="11"/>
      <c r="AC49" s="11"/>
      <c r="AD49" s="14"/>
      <c r="AE49" s="79"/>
      <c r="AF49" s="79"/>
      <c r="AG49" s="79"/>
      <c r="AH49" s="49"/>
      <c r="AI49" s="79"/>
    </row>
    <row r="50" ht="14.25" customHeight="1">
      <c r="A50" s="8">
        <v>310005.0</v>
      </c>
      <c r="B50" s="4" t="s">
        <v>855</v>
      </c>
      <c r="C50" s="42">
        <v>1.0</v>
      </c>
      <c r="D50" s="42"/>
      <c r="E50" s="42"/>
      <c r="F50" s="42">
        <v>1.0</v>
      </c>
      <c r="G50" s="42">
        <v>4.8</v>
      </c>
      <c r="H50" s="42"/>
      <c r="I50" s="42"/>
      <c r="J50" s="42"/>
      <c r="K50" s="42">
        <v>6.0</v>
      </c>
      <c r="L50" s="42"/>
      <c r="M50" s="8" t="s">
        <v>544</v>
      </c>
      <c r="N50" s="53">
        <v>48.0</v>
      </c>
      <c r="O50" s="8"/>
      <c r="P50" s="54">
        <v>3007.0</v>
      </c>
      <c r="Q50" s="54"/>
      <c r="R50" s="54"/>
      <c r="S50" s="8"/>
      <c r="T50" s="8"/>
      <c r="U50" s="8"/>
      <c r="V50" s="42"/>
      <c r="W50" s="8"/>
      <c r="X50" s="8" t="s">
        <v>856</v>
      </c>
      <c r="Y50" s="8"/>
      <c r="Z50" s="29" t="s">
        <v>857</v>
      </c>
      <c r="AA50" s="11"/>
      <c r="AB50" s="11"/>
      <c r="AC50" s="11"/>
      <c r="AD50" s="14"/>
      <c r="AE50" s="79"/>
      <c r="AF50" s="79"/>
      <c r="AG50" s="79"/>
      <c r="AH50" s="49"/>
      <c r="AI50" s="49"/>
    </row>
    <row r="51" ht="14.25" customHeight="1">
      <c r="A51" s="8">
        <v>310006.0</v>
      </c>
      <c r="B51" s="4" t="s">
        <v>394</v>
      </c>
      <c r="C51" s="42">
        <v>-5.0</v>
      </c>
      <c r="D51" s="42"/>
      <c r="E51" s="42"/>
      <c r="F51" s="42">
        <v>1.0</v>
      </c>
      <c r="G51" s="42"/>
      <c r="H51" s="42">
        <v>1.0</v>
      </c>
      <c r="I51" s="42"/>
      <c r="J51" s="42"/>
      <c r="K51" s="42">
        <v>6.0</v>
      </c>
      <c r="L51" s="42"/>
      <c r="M51" s="8" t="s">
        <v>656</v>
      </c>
      <c r="N51" s="53">
        <v>98.0</v>
      </c>
      <c r="O51" s="8"/>
      <c r="P51" s="54"/>
      <c r="Q51" s="54"/>
      <c r="R51" s="54">
        <v>1999.0</v>
      </c>
      <c r="S51" s="8"/>
      <c r="T51" s="8"/>
      <c r="U51" s="8"/>
      <c r="V51" s="42"/>
      <c r="W51" s="8"/>
      <c r="X51" s="8" t="s">
        <v>859</v>
      </c>
      <c r="Y51" s="8"/>
      <c r="Z51" s="29" t="s">
        <v>860</v>
      </c>
      <c r="AA51" s="11"/>
      <c r="AB51" s="11"/>
      <c r="AC51" s="11"/>
      <c r="AD51" s="14"/>
      <c r="AE51" s="79"/>
      <c r="AF51" s="79"/>
      <c r="AG51" s="79"/>
      <c r="AH51" s="49"/>
      <c r="AI51" s="79"/>
    </row>
    <row r="52" ht="15.75" customHeight="1">
      <c r="A52" s="8">
        <v>310007.0</v>
      </c>
      <c r="B52" s="4" t="s">
        <v>414</v>
      </c>
      <c r="C52" s="42">
        <v>2.0</v>
      </c>
      <c r="D52" s="42">
        <v>1.0</v>
      </c>
      <c r="E52" s="42"/>
      <c r="F52" s="42">
        <v>1.0</v>
      </c>
      <c r="G52" s="42"/>
      <c r="H52" s="42">
        <v>2.5</v>
      </c>
      <c r="I52" s="42"/>
      <c r="J52" s="42"/>
      <c r="K52" s="42">
        <v>8.0</v>
      </c>
      <c r="L52" s="42"/>
      <c r="M52" s="8" t="s">
        <v>578</v>
      </c>
      <c r="N52" s="53">
        <v>105.0</v>
      </c>
      <c r="O52" s="8"/>
      <c r="P52" s="54"/>
      <c r="Q52" s="54"/>
      <c r="R52" s="54">
        <v>2005.0</v>
      </c>
      <c r="S52" s="8"/>
      <c r="T52" s="8"/>
      <c r="U52" s="8"/>
      <c r="V52" s="42"/>
      <c r="W52" s="60" t="s">
        <v>579</v>
      </c>
      <c r="X52" s="60" t="s">
        <v>580</v>
      </c>
      <c r="Y52" s="8"/>
      <c r="Z52" s="29" t="s">
        <v>862</v>
      </c>
      <c r="AA52" s="11"/>
      <c r="AB52" s="11"/>
      <c r="AC52" s="11"/>
      <c r="AD52" s="14"/>
      <c r="AE52" s="79"/>
      <c r="AF52" s="79"/>
      <c r="AG52" s="79"/>
      <c r="AH52" s="49"/>
      <c r="AI52" s="49"/>
    </row>
    <row r="53" ht="15.75" customHeight="1">
      <c r="A53" s="8">
        <v>310008.0</v>
      </c>
      <c r="B53" s="4" t="s">
        <v>433</v>
      </c>
      <c r="C53" s="42">
        <v>-5.0</v>
      </c>
      <c r="D53" s="42"/>
      <c r="E53" s="42"/>
      <c r="F53" s="42">
        <v>1.0</v>
      </c>
      <c r="G53" s="64"/>
      <c r="H53" s="64"/>
      <c r="I53" s="42"/>
      <c r="J53" s="42"/>
      <c r="K53" s="42">
        <v>5.0</v>
      </c>
      <c r="L53" s="42"/>
      <c r="M53" s="8"/>
      <c r="N53" s="53">
        <v>90.0</v>
      </c>
      <c r="O53" s="8"/>
      <c r="P53" s="54"/>
      <c r="Q53" s="54"/>
      <c r="R53" s="54" t="str">
        <f>"1003,1003"</f>
        <v>1003,1003</v>
      </c>
      <c r="S53" s="8"/>
      <c r="T53" s="8"/>
      <c r="U53" s="8"/>
      <c r="V53" s="42"/>
      <c r="W53" s="8"/>
      <c r="X53" s="8" t="s">
        <v>647</v>
      </c>
      <c r="Y53" s="8"/>
      <c r="Z53" s="29" t="s">
        <v>436</v>
      </c>
      <c r="AA53" s="11"/>
      <c r="AB53" s="11"/>
      <c r="AC53" s="11"/>
      <c r="AD53" s="14"/>
      <c r="AE53" s="79"/>
      <c r="AF53" s="79"/>
      <c r="AG53" s="79"/>
      <c r="AH53" s="49"/>
      <c r="AI53" s="79"/>
    </row>
    <row r="54" ht="15.75" customHeight="1">
      <c r="A54" s="8">
        <v>310009.0</v>
      </c>
      <c r="B54" s="4" t="s">
        <v>453</v>
      </c>
      <c r="C54" s="42">
        <v>1.0</v>
      </c>
      <c r="D54" s="42">
        <v>1.0</v>
      </c>
      <c r="E54" s="42"/>
      <c r="F54" s="42">
        <v>3.0</v>
      </c>
      <c r="G54" s="64">
        <v>1.6</v>
      </c>
      <c r="H54" s="64"/>
      <c r="I54" s="42"/>
      <c r="J54" s="42"/>
      <c r="K54" s="42">
        <v>4.0</v>
      </c>
      <c r="L54" s="42"/>
      <c r="M54" s="8" t="s">
        <v>544</v>
      </c>
      <c r="N54" s="53">
        <v>23.0</v>
      </c>
      <c r="O54" s="8"/>
      <c r="P54" s="54">
        <v>1001.0</v>
      </c>
      <c r="Q54" s="54">
        <v>0.4</v>
      </c>
      <c r="R54" s="54"/>
      <c r="S54" s="8"/>
      <c r="T54" s="8"/>
      <c r="U54" s="8"/>
      <c r="V54" s="42"/>
      <c r="W54" s="8"/>
      <c r="X54" s="8" t="s">
        <v>546</v>
      </c>
      <c r="Y54" s="8"/>
      <c r="Z54" s="29" t="s">
        <v>864</v>
      </c>
      <c r="AA54" s="11"/>
      <c r="AB54" s="11"/>
      <c r="AC54" s="11"/>
      <c r="AD54" s="14"/>
      <c r="AE54" s="79"/>
      <c r="AF54" s="79"/>
      <c r="AG54" s="79"/>
      <c r="AH54" s="49"/>
      <c r="AI54" s="79"/>
    </row>
    <row r="55" ht="15.75" customHeight="1">
      <c r="A55" s="8">
        <v>310010.0</v>
      </c>
      <c r="B55" s="4" t="s">
        <v>467</v>
      </c>
      <c r="C55" s="42">
        <v>1.0</v>
      </c>
      <c r="D55" s="42">
        <v>1.0</v>
      </c>
      <c r="E55" s="42"/>
      <c r="F55" s="42">
        <v>1.0</v>
      </c>
      <c r="G55" s="64">
        <v>5.0</v>
      </c>
      <c r="H55" s="64"/>
      <c r="I55" s="42"/>
      <c r="J55" s="42"/>
      <c r="K55" s="42">
        <v>5.0</v>
      </c>
      <c r="L55" s="42"/>
      <c r="M55" s="8" t="s">
        <v>544</v>
      </c>
      <c r="N55" s="53">
        <v>100.0</v>
      </c>
      <c r="O55" s="8"/>
      <c r="P55" s="54"/>
      <c r="Q55" s="54"/>
      <c r="R55" s="54">
        <v>5004.0</v>
      </c>
      <c r="S55" s="8">
        <v>0.4</v>
      </c>
      <c r="T55" s="8"/>
      <c r="U55" s="8"/>
      <c r="V55" s="42"/>
      <c r="W55" s="60" t="s">
        <v>579</v>
      </c>
      <c r="X55" s="60" t="s">
        <v>580</v>
      </c>
      <c r="Y55" s="8"/>
      <c r="Z55" s="29" t="s">
        <v>867</v>
      </c>
      <c r="AA55" s="11"/>
      <c r="AB55" s="11"/>
      <c r="AC55" s="11"/>
      <c r="AD55" s="14"/>
      <c r="AE55" s="79"/>
      <c r="AF55" s="79"/>
      <c r="AG55" s="79"/>
      <c r="AH55" s="49"/>
      <c r="AI55" s="79"/>
    </row>
    <row r="56" ht="15.75" customHeight="1">
      <c r="A56" s="8">
        <v>310011.0</v>
      </c>
      <c r="B56" s="4" t="s">
        <v>483</v>
      </c>
      <c r="C56" s="42">
        <v>1.0</v>
      </c>
      <c r="D56" s="42"/>
      <c r="E56" s="42"/>
      <c r="F56" s="42">
        <v>1.0</v>
      </c>
      <c r="G56" s="64">
        <v>4.8</v>
      </c>
      <c r="H56" s="64"/>
      <c r="I56" s="42"/>
      <c r="J56" s="42"/>
      <c r="K56" s="42">
        <v>6.0</v>
      </c>
      <c r="L56" s="42"/>
      <c r="M56" s="8" t="s">
        <v>544</v>
      </c>
      <c r="N56" s="53">
        <v>44.0</v>
      </c>
      <c r="O56" s="8"/>
      <c r="P56" s="54"/>
      <c r="Q56" s="54"/>
      <c r="R56" s="54">
        <v>5002.0</v>
      </c>
      <c r="S56" s="8">
        <v>0.4</v>
      </c>
      <c r="T56" s="8"/>
      <c r="U56" s="8"/>
      <c r="V56" s="42"/>
      <c r="W56" s="8"/>
      <c r="X56" s="8" t="s">
        <v>696</v>
      </c>
      <c r="Y56" s="8"/>
      <c r="Z56" s="29" t="s">
        <v>869</v>
      </c>
      <c r="AA56" s="11"/>
      <c r="AB56" s="11"/>
      <c r="AC56" s="11"/>
      <c r="AD56" s="14"/>
      <c r="AE56" s="79"/>
      <c r="AF56" s="79"/>
      <c r="AG56" s="79"/>
      <c r="AH56" s="49"/>
      <c r="AI56" s="79"/>
    </row>
    <row r="57" ht="15.75" customHeight="1">
      <c r="A57" s="8">
        <v>310012.0</v>
      </c>
      <c r="B57" s="4" t="s">
        <v>508</v>
      </c>
      <c r="C57" s="42">
        <v>-1.0</v>
      </c>
      <c r="D57" s="42"/>
      <c r="E57" s="42"/>
      <c r="F57" s="42">
        <v>1.0</v>
      </c>
      <c r="G57" s="64"/>
      <c r="H57" s="64">
        <v>4.8</v>
      </c>
      <c r="I57" s="42"/>
      <c r="J57" s="42"/>
      <c r="K57" s="42">
        <v>7.0</v>
      </c>
      <c r="L57" s="42"/>
      <c r="M57" s="8" t="s">
        <v>630</v>
      </c>
      <c r="N57" s="53">
        <v>48.0</v>
      </c>
      <c r="O57" s="8">
        <v>150.0</v>
      </c>
      <c r="P57" s="54"/>
      <c r="Q57" s="54"/>
      <c r="R57" s="54"/>
      <c r="S57" s="8"/>
      <c r="T57" s="8"/>
      <c r="U57" s="8"/>
      <c r="V57" s="42"/>
      <c r="W57" s="8"/>
      <c r="X57" s="8" t="s">
        <v>630</v>
      </c>
      <c r="Y57" s="8"/>
      <c r="Z57" s="29" t="s">
        <v>872</v>
      </c>
      <c r="AA57" s="11"/>
      <c r="AB57" s="11"/>
      <c r="AC57" s="11"/>
      <c r="AD57" s="14"/>
      <c r="AE57" s="79"/>
      <c r="AF57" s="79"/>
      <c r="AG57" s="79"/>
      <c r="AH57" s="49"/>
      <c r="AI57" s="49"/>
    </row>
    <row r="58" ht="15.75" customHeight="1">
      <c r="A58" s="8">
        <v>310013.0</v>
      </c>
      <c r="B58" s="4" t="s">
        <v>558</v>
      </c>
      <c r="C58" s="42">
        <v>1.0</v>
      </c>
      <c r="D58" s="42"/>
      <c r="E58" s="42"/>
      <c r="F58" s="42">
        <v>1.0</v>
      </c>
      <c r="G58" s="64">
        <v>3.8</v>
      </c>
      <c r="H58" s="64"/>
      <c r="I58" s="42"/>
      <c r="J58" s="42"/>
      <c r="K58" s="42">
        <v>9.0</v>
      </c>
      <c r="L58" s="42"/>
      <c r="M58" s="8" t="s">
        <v>544</v>
      </c>
      <c r="N58" s="53">
        <v>38.0</v>
      </c>
      <c r="O58" s="8"/>
      <c r="P58" s="54"/>
      <c r="Q58" s="54"/>
      <c r="R58" s="54">
        <v>3006.0</v>
      </c>
      <c r="S58" s="8"/>
      <c r="T58" s="8"/>
      <c r="U58" s="8"/>
      <c r="V58" s="42"/>
      <c r="W58" s="8"/>
      <c r="X58" s="8" t="s">
        <v>696</v>
      </c>
      <c r="Y58" s="8"/>
      <c r="Z58" s="29" t="s">
        <v>877</v>
      </c>
      <c r="AA58" s="11"/>
      <c r="AB58" s="11"/>
      <c r="AC58" s="11"/>
      <c r="AD58" s="14"/>
      <c r="AE58" s="79"/>
      <c r="AF58" s="79"/>
      <c r="AG58" s="79"/>
      <c r="AH58" s="49"/>
      <c r="AI58" s="49"/>
    </row>
    <row r="59" ht="15.75" customHeight="1">
      <c r="A59" s="8">
        <v>310014.0</v>
      </c>
      <c r="B59" s="4" t="s">
        <v>568</v>
      </c>
      <c r="C59" s="42">
        <v>3.0</v>
      </c>
      <c r="D59" s="42">
        <v>1.0</v>
      </c>
      <c r="E59" s="42"/>
      <c r="F59" s="42">
        <v>1.0</v>
      </c>
      <c r="G59" s="64">
        <v>1.3</v>
      </c>
      <c r="H59" s="64"/>
      <c r="I59" s="42"/>
      <c r="J59" s="42"/>
      <c r="K59" s="42">
        <v>8.0</v>
      </c>
      <c r="L59" s="42"/>
      <c r="M59" s="8" t="s">
        <v>544</v>
      </c>
      <c r="N59" s="53">
        <v>39.0</v>
      </c>
      <c r="O59" s="8"/>
      <c r="P59" s="54"/>
      <c r="Q59" s="54"/>
      <c r="R59" s="54">
        <v>3005.0</v>
      </c>
      <c r="S59" s="8"/>
      <c r="T59" s="8"/>
      <c r="U59" s="8"/>
      <c r="V59" s="42"/>
      <c r="W59" s="8"/>
      <c r="X59" s="8" t="s">
        <v>546</v>
      </c>
      <c r="Y59" s="8"/>
      <c r="Z59" s="29" t="s">
        <v>880</v>
      </c>
      <c r="AA59" s="11"/>
      <c r="AB59" s="11"/>
      <c r="AC59" s="11"/>
      <c r="AD59" s="14"/>
      <c r="AE59" s="79"/>
      <c r="AF59" s="79"/>
      <c r="AG59" s="79"/>
      <c r="AH59" s="49"/>
      <c r="AI59" s="49"/>
    </row>
    <row r="60" ht="15.75" customHeight="1">
      <c r="A60" s="8">
        <v>310015.0</v>
      </c>
      <c r="B60" s="4" t="s">
        <v>576</v>
      </c>
      <c r="C60" s="42">
        <v>2.0</v>
      </c>
      <c r="D60" s="42"/>
      <c r="E60" s="42"/>
      <c r="F60" s="42">
        <v>1.0</v>
      </c>
      <c r="G60" s="64"/>
      <c r="H60" s="64">
        <v>1.9</v>
      </c>
      <c r="I60" s="42"/>
      <c r="J60" s="42"/>
      <c r="K60" s="42">
        <v>9.0</v>
      </c>
      <c r="L60" s="42"/>
      <c r="M60" s="8" t="s">
        <v>578</v>
      </c>
      <c r="N60" s="53">
        <v>76.0</v>
      </c>
      <c r="O60" s="8"/>
      <c r="P60" s="54"/>
      <c r="Q60" s="54"/>
      <c r="R60" s="54">
        <v>5002.0</v>
      </c>
      <c r="S60" s="8">
        <v>0.3</v>
      </c>
      <c r="T60" s="8"/>
      <c r="U60" s="8"/>
      <c r="V60" s="42"/>
      <c r="W60" s="60" t="s">
        <v>579</v>
      </c>
      <c r="X60" s="60" t="s">
        <v>580</v>
      </c>
      <c r="Y60" s="8"/>
      <c r="Z60" s="29" t="s">
        <v>886</v>
      </c>
      <c r="AA60" s="11"/>
      <c r="AB60" s="11"/>
      <c r="AC60" s="11"/>
      <c r="AD60" s="14"/>
      <c r="AE60" s="79"/>
      <c r="AF60" s="79"/>
      <c r="AG60" s="79"/>
      <c r="AH60" s="49"/>
      <c r="AI60" s="49"/>
    </row>
    <row r="61" ht="15.75" customHeight="1">
      <c r="A61" s="8">
        <f t="shared" ref="A61:A76" si="2">A60+1</f>
        <v>310016</v>
      </c>
      <c r="B61" s="4" t="s">
        <v>589</v>
      </c>
      <c r="C61" s="42">
        <v>2.0</v>
      </c>
      <c r="D61" s="42">
        <v>1.0</v>
      </c>
      <c r="E61" s="42"/>
      <c r="F61" s="42">
        <v>1.0</v>
      </c>
      <c r="G61" s="64"/>
      <c r="H61" s="64">
        <v>2.0</v>
      </c>
      <c r="I61" s="42"/>
      <c r="J61" s="42"/>
      <c r="K61" s="42">
        <v>7.0</v>
      </c>
      <c r="L61" s="42"/>
      <c r="M61" s="8" t="s">
        <v>578</v>
      </c>
      <c r="N61" s="53">
        <v>80.0</v>
      </c>
      <c r="O61" s="8"/>
      <c r="P61" s="54">
        <v>1007.0</v>
      </c>
      <c r="Q61" s="8">
        <v>0.4</v>
      </c>
      <c r="R61" s="54"/>
      <c r="S61" s="8"/>
      <c r="T61" s="8"/>
      <c r="U61" s="8"/>
      <c r="V61" s="42"/>
      <c r="W61" s="60" t="s">
        <v>579</v>
      </c>
      <c r="X61" s="60" t="s">
        <v>580</v>
      </c>
      <c r="Y61" s="8"/>
      <c r="Z61" s="29" t="s">
        <v>891</v>
      </c>
      <c r="AA61" s="11"/>
      <c r="AB61" s="11"/>
      <c r="AC61" s="11"/>
      <c r="AD61" s="14"/>
      <c r="AE61" s="79"/>
      <c r="AF61" s="79"/>
      <c r="AG61" s="79"/>
      <c r="AH61" s="49"/>
      <c r="AI61" s="49"/>
    </row>
    <row r="62" ht="15.75" customHeight="1">
      <c r="A62" s="8">
        <f t="shared" si="2"/>
        <v>310017</v>
      </c>
      <c r="B62" s="4" t="s">
        <v>598</v>
      </c>
      <c r="C62" s="42">
        <v>-2.0</v>
      </c>
      <c r="D62" s="42"/>
      <c r="E62" s="42"/>
      <c r="F62" s="42">
        <v>1.0</v>
      </c>
      <c r="G62" s="64"/>
      <c r="H62" s="64">
        <v>1.9</v>
      </c>
      <c r="I62" s="42"/>
      <c r="J62" s="42"/>
      <c r="K62" s="42">
        <v>8.0</v>
      </c>
      <c r="L62" s="42"/>
      <c r="M62" s="8" t="s">
        <v>630</v>
      </c>
      <c r="N62" s="53">
        <v>37.0</v>
      </c>
      <c r="O62" s="8"/>
      <c r="P62" s="54"/>
      <c r="Q62" s="54"/>
      <c r="R62" s="54">
        <v>1997.0</v>
      </c>
      <c r="S62" s="8"/>
      <c r="T62" s="8"/>
      <c r="U62" s="8"/>
      <c r="V62" s="42"/>
      <c r="W62" s="8"/>
      <c r="X62" s="8" t="s">
        <v>630</v>
      </c>
      <c r="Y62" s="8"/>
      <c r="Z62" s="2" t="s">
        <v>895</v>
      </c>
      <c r="AE62" s="79"/>
      <c r="AF62" s="79"/>
      <c r="AG62" s="79"/>
      <c r="AH62" s="49"/>
      <c r="AI62" s="49"/>
    </row>
    <row r="63" ht="15.75" customHeight="1">
      <c r="A63" s="8">
        <f t="shared" si="2"/>
        <v>310018</v>
      </c>
      <c r="B63" s="4" t="s">
        <v>605</v>
      </c>
      <c r="C63" s="42">
        <v>2.0</v>
      </c>
      <c r="D63" s="42">
        <v>1.0</v>
      </c>
      <c r="E63" s="42"/>
      <c r="F63" s="42">
        <v>1.0</v>
      </c>
      <c r="G63" s="64"/>
      <c r="H63" s="64">
        <v>2.0</v>
      </c>
      <c r="I63" s="42"/>
      <c r="J63" s="42"/>
      <c r="K63" s="42">
        <v>7.0</v>
      </c>
      <c r="L63" s="42"/>
      <c r="M63" s="8" t="s">
        <v>578</v>
      </c>
      <c r="N63" s="53">
        <v>76.0</v>
      </c>
      <c r="O63" s="8"/>
      <c r="P63" s="54"/>
      <c r="Q63" s="54"/>
      <c r="R63" s="54">
        <v>4001.0</v>
      </c>
      <c r="S63" s="8">
        <v>0.3</v>
      </c>
      <c r="T63" s="8"/>
      <c r="U63" s="8"/>
      <c r="V63" s="42"/>
      <c r="W63" s="60" t="s">
        <v>579</v>
      </c>
      <c r="X63" s="60" t="s">
        <v>580</v>
      </c>
      <c r="Y63" s="8"/>
      <c r="Z63" s="29" t="s">
        <v>900</v>
      </c>
      <c r="AA63" s="11"/>
      <c r="AB63" s="11"/>
      <c r="AC63" s="11"/>
      <c r="AD63" s="14"/>
      <c r="AE63" s="79"/>
      <c r="AF63" s="79"/>
      <c r="AG63" s="79"/>
      <c r="AH63" s="49"/>
      <c r="AI63" s="49"/>
    </row>
    <row r="64" ht="15.75" customHeight="1">
      <c r="A64" s="8">
        <f t="shared" si="2"/>
        <v>310019</v>
      </c>
      <c r="B64" s="4" t="s">
        <v>611</v>
      </c>
      <c r="C64" s="42">
        <v>2.0</v>
      </c>
      <c r="D64" s="42"/>
      <c r="E64" s="42"/>
      <c r="F64" s="42">
        <v>1.0</v>
      </c>
      <c r="G64" s="64"/>
      <c r="H64" s="64">
        <v>1.9</v>
      </c>
      <c r="I64" s="42"/>
      <c r="J64" s="42"/>
      <c r="K64" s="42">
        <v>9.0</v>
      </c>
      <c r="L64" s="42"/>
      <c r="M64" s="8" t="s">
        <v>578</v>
      </c>
      <c r="N64" s="53">
        <v>69.0</v>
      </c>
      <c r="O64" s="8"/>
      <c r="P64" s="54"/>
      <c r="Q64" s="54"/>
      <c r="R64" s="54">
        <v>5001.0</v>
      </c>
      <c r="S64" s="8">
        <v>0.3</v>
      </c>
      <c r="T64" s="8"/>
      <c r="U64" s="8"/>
      <c r="V64" s="42"/>
      <c r="W64" s="60" t="s">
        <v>579</v>
      </c>
      <c r="X64" s="60" t="s">
        <v>580</v>
      </c>
      <c r="Y64" s="8"/>
      <c r="Z64" s="29" t="s">
        <v>904</v>
      </c>
      <c r="AA64" s="11"/>
      <c r="AB64" s="11"/>
      <c r="AC64" s="11"/>
      <c r="AD64" s="14"/>
      <c r="AE64" s="79"/>
      <c r="AF64" s="79"/>
      <c r="AG64" s="79"/>
      <c r="AH64" s="49"/>
      <c r="AI64" s="49"/>
    </row>
    <row r="65" ht="15.75" customHeight="1">
      <c r="A65" s="8">
        <f t="shared" si="2"/>
        <v>310020</v>
      </c>
      <c r="B65" s="4" t="s">
        <v>619</v>
      </c>
      <c r="C65" s="42">
        <v>3.0</v>
      </c>
      <c r="D65" s="42">
        <v>1.0</v>
      </c>
      <c r="E65" s="42"/>
      <c r="F65" s="42">
        <v>1.0</v>
      </c>
      <c r="G65" s="64"/>
      <c r="H65" s="64">
        <v>0.02</v>
      </c>
      <c r="I65" s="42"/>
      <c r="J65" s="42"/>
      <c r="K65" s="42">
        <v>11.0</v>
      </c>
      <c r="L65" s="42"/>
      <c r="M65" s="8" t="s">
        <v>578</v>
      </c>
      <c r="N65" s="53">
        <v>59.0</v>
      </c>
      <c r="O65" s="8"/>
      <c r="P65" s="54"/>
      <c r="Q65" s="54"/>
      <c r="R65" s="54"/>
      <c r="S65" s="8"/>
      <c r="T65" s="8"/>
      <c r="U65" s="8"/>
      <c r="V65" s="42"/>
      <c r="W65" s="60" t="s">
        <v>579</v>
      </c>
      <c r="X65" s="8" t="s">
        <v>909</v>
      </c>
      <c r="Y65" s="8"/>
      <c r="Z65" s="29" t="s">
        <v>910</v>
      </c>
      <c r="AA65" s="11"/>
      <c r="AB65" s="11"/>
      <c r="AC65" s="11"/>
      <c r="AD65" s="14"/>
      <c r="AE65" s="79"/>
      <c r="AF65" s="79"/>
      <c r="AG65" s="79"/>
      <c r="AH65" s="49"/>
      <c r="AI65" s="49"/>
    </row>
    <row r="66" ht="15.75" customHeight="1">
      <c r="A66" s="8">
        <f t="shared" si="2"/>
        <v>310021</v>
      </c>
      <c r="B66" s="4" t="s">
        <v>627</v>
      </c>
      <c r="C66" s="42">
        <v>2.0</v>
      </c>
      <c r="D66" s="42">
        <v>1.0</v>
      </c>
      <c r="E66" s="42"/>
      <c r="F66" s="42">
        <v>1.0</v>
      </c>
      <c r="G66" s="64">
        <v>2.0</v>
      </c>
      <c r="H66" s="64"/>
      <c r="I66" s="42"/>
      <c r="J66" s="42"/>
      <c r="K66" s="42">
        <v>10.0</v>
      </c>
      <c r="L66" s="42"/>
      <c r="M66" s="8" t="s">
        <v>544</v>
      </c>
      <c r="N66" s="53">
        <v>39.0</v>
      </c>
      <c r="O66" s="8"/>
      <c r="P66" s="54"/>
      <c r="Q66" s="54"/>
      <c r="R66" s="81" t="s">
        <v>914</v>
      </c>
      <c r="S66" s="8">
        <v>0.6</v>
      </c>
      <c r="T66" s="8"/>
      <c r="U66" s="8"/>
      <c r="V66" s="42"/>
      <c r="W66" s="8"/>
      <c r="X66" s="8" t="s">
        <v>546</v>
      </c>
      <c r="Y66" s="8"/>
      <c r="Z66" s="29" t="s">
        <v>916</v>
      </c>
      <c r="AA66" s="11"/>
      <c r="AB66" s="11"/>
      <c r="AC66" s="11"/>
      <c r="AD66" s="14"/>
      <c r="AE66" s="79"/>
      <c r="AF66" s="79"/>
      <c r="AG66" s="79"/>
      <c r="AH66" s="49"/>
      <c r="AI66" s="49"/>
    </row>
    <row r="67" ht="15.75" customHeight="1">
      <c r="A67" s="8">
        <f t="shared" si="2"/>
        <v>310022</v>
      </c>
      <c r="B67" s="4" t="s">
        <v>664</v>
      </c>
      <c r="C67" s="42">
        <v>1.0</v>
      </c>
      <c r="D67" s="42"/>
      <c r="E67" s="42"/>
      <c r="F67" s="42">
        <v>1.0</v>
      </c>
      <c r="G67" s="64">
        <v>3.0</v>
      </c>
      <c r="H67" s="64"/>
      <c r="I67" s="42"/>
      <c r="J67" s="42"/>
      <c r="K67" s="42">
        <v>9.0</v>
      </c>
      <c r="L67" s="42"/>
      <c r="M67" s="8" t="s">
        <v>544</v>
      </c>
      <c r="N67" s="53">
        <v>22.0</v>
      </c>
      <c r="O67" s="8"/>
      <c r="P67" s="54"/>
      <c r="Q67" s="54"/>
      <c r="R67" s="54">
        <v>1006.0</v>
      </c>
      <c r="S67" s="8">
        <v>0.5</v>
      </c>
      <c r="T67" s="8"/>
      <c r="U67" s="8"/>
      <c r="V67" s="42"/>
      <c r="W67" s="8"/>
      <c r="X67" s="8" t="s">
        <v>546</v>
      </c>
      <c r="Y67" s="8"/>
      <c r="Z67" s="29" t="s">
        <v>918</v>
      </c>
      <c r="AA67" s="11"/>
      <c r="AB67" s="11"/>
      <c r="AC67" s="11"/>
      <c r="AD67" s="14"/>
      <c r="AE67" s="79"/>
      <c r="AF67" s="79"/>
      <c r="AG67" s="79"/>
      <c r="AH67" s="49"/>
      <c r="AI67" s="49"/>
    </row>
    <row r="68" ht="15.75" customHeight="1">
      <c r="A68" s="8">
        <f t="shared" si="2"/>
        <v>310023</v>
      </c>
      <c r="B68" s="4" t="s">
        <v>673</v>
      </c>
      <c r="C68" s="42">
        <v>5.0</v>
      </c>
      <c r="D68" s="42"/>
      <c r="E68" s="42"/>
      <c r="F68" s="42">
        <v>1.0</v>
      </c>
      <c r="G68" s="64">
        <v>0.6</v>
      </c>
      <c r="H68" s="64"/>
      <c r="I68" s="42"/>
      <c r="J68" s="42"/>
      <c r="K68" s="42">
        <v>12.0</v>
      </c>
      <c r="L68" s="42"/>
      <c r="M68" s="8" t="s">
        <v>544</v>
      </c>
      <c r="N68" s="53">
        <v>27.0</v>
      </c>
      <c r="O68" s="8"/>
      <c r="P68" s="54"/>
      <c r="Q68" s="54"/>
      <c r="R68" s="54">
        <v>4004.0</v>
      </c>
      <c r="S68" s="8">
        <v>0.35</v>
      </c>
      <c r="T68" s="8"/>
      <c r="U68" s="8"/>
      <c r="V68" s="42"/>
      <c r="X68" s="8" t="s">
        <v>696</v>
      </c>
      <c r="Y68" s="8"/>
      <c r="Z68" s="29" t="s">
        <v>919</v>
      </c>
      <c r="AA68" s="11"/>
      <c r="AB68" s="11"/>
      <c r="AC68" s="11"/>
      <c r="AD68" s="14"/>
      <c r="AE68" s="79"/>
      <c r="AF68" s="79"/>
      <c r="AG68" s="79"/>
      <c r="AH68" s="49"/>
      <c r="AI68" s="49"/>
    </row>
    <row r="69" ht="15.75" customHeight="1">
      <c r="A69" s="8">
        <f t="shared" si="2"/>
        <v>310024</v>
      </c>
      <c r="B69" s="4" t="s">
        <v>683</v>
      </c>
      <c r="C69" s="42">
        <v>2.0</v>
      </c>
      <c r="D69" s="42"/>
      <c r="E69" s="42"/>
      <c r="F69" s="42">
        <v>1.0</v>
      </c>
      <c r="G69" s="64"/>
      <c r="H69" s="64">
        <v>1.55</v>
      </c>
      <c r="I69" s="42"/>
      <c r="J69" s="42"/>
      <c r="K69" s="42">
        <v>8.0</v>
      </c>
      <c r="L69" s="42"/>
      <c r="M69" s="8" t="s">
        <v>578</v>
      </c>
      <c r="N69" s="53">
        <v>62.0</v>
      </c>
      <c r="O69" s="8"/>
      <c r="P69" s="54"/>
      <c r="Q69" s="54"/>
      <c r="R69" s="54">
        <v>4002.0</v>
      </c>
      <c r="S69" s="8">
        <v>0.25</v>
      </c>
      <c r="T69" s="8"/>
      <c r="U69" s="8"/>
      <c r="V69" s="42"/>
      <c r="W69" s="60" t="s">
        <v>579</v>
      </c>
      <c r="X69" s="60" t="s">
        <v>580</v>
      </c>
      <c r="Y69" s="8"/>
      <c r="Z69" s="29" t="s">
        <v>921</v>
      </c>
      <c r="AA69" s="11"/>
      <c r="AB69" s="11"/>
      <c r="AC69" s="11"/>
      <c r="AD69" s="14"/>
      <c r="AE69" s="79"/>
      <c r="AF69" s="79"/>
      <c r="AG69" s="79"/>
      <c r="AH69" s="49"/>
      <c r="AI69" s="49"/>
    </row>
    <row r="70" ht="15.75" customHeight="1">
      <c r="A70" s="8">
        <f t="shared" si="2"/>
        <v>310025</v>
      </c>
      <c r="B70" s="4" t="s">
        <v>690</v>
      </c>
      <c r="C70" s="42">
        <v>-2.0</v>
      </c>
      <c r="D70" s="42"/>
      <c r="E70" s="42"/>
      <c r="F70" s="42">
        <v>1.0</v>
      </c>
      <c r="G70" s="64"/>
      <c r="H70" s="64">
        <v>1.55</v>
      </c>
      <c r="I70" s="42"/>
      <c r="J70" s="42"/>
      <c r="K70" s="42">
        <v>8.0</v>
      </c>
      <c r="L70" s="42"/>
      <c r="M70" s="8" t="s">
        <v>630</v>
      </c>
      <c r="N70" s="53">
        <v>31.0</v>
      </c>
      <c r="O70" s="8"/>
      <c r="P70" s="54"/>
      <c r="Q70" s="54"/>
      <c r="R70" s="54"/>
      <c r="S70" s="8"/>
      <c r="T70" s="8"/>
      <c r="U70" s="8"/>
      <c r="V70" s="42"/>
      <c r="W70" s="8"/>
      <c r="X70" s="8" t="s">
        <v>630</v>
      </c>
      <c r="Y70" s="8"/>
      <c r="Z70" s="29" t="s">
        <v>334</v>
      </c>
      <c r="AA70" s="11"/>
      <c r="AB70" s="11"/>
      <c r="AC70" s="11"/>
      <c r="AD70" s="14"/>
      <c r="AE70" s="79"/>
      <c r="AF70" s="79"/>
      <c r="AG70" s="79"/>
      <c r="AH70" s="49"/>
      <c r="AI70" s="49"/>
    </row>
    <row r="71" ht="15.75" customHeight="1">
      <c r="A71" s="8">
        <f t="shared" si="2"/>
        <v>310026</v>
      </c>
      <c r="B71" s="4" t="s">
        <v>698</v>
      </c>
      <c r="C71" s="42">
        <v>-5.0</v>
      </c>
      <c r="D71" s="42"/>
      <c r="E71" s="42"/>
      <c r="F71" s="42">
        <v>1.0</v>
      </c>
      <c r="G71" s="64"/>
      <c r="H71" s="64"/>
      <c r="I71" s="42"/>
      <c r="J71" s="42"/>
      <c r="K71" s="42">
        <v>10.0</v>
      </c>
      <c r="L71" s="42"/>
      <c r="M71" s="8"/>
      <c r="N71" s="53">
        <v>32.0</v>
      </c>
      <c r="O71" s="8"/>
      <c r="P71" s="54"/>
      <c r="Q71" s="54"/>
      <c r="R71" s="54" t="s">
        <v>924</v>
      </c>
      <c r="S71" s="8"/>
      <c r="T71" s="8"/>
      <c r="U71" s="8"/>
      <c r="V71" s="42"/>
      <c r="W71" s="8"/>
      <c r="X71" s="8" t="s">
        <v>647</v>
      </c>
      <c r="Y71" s="8"/>
      <c r="Z71" s="29" t="s">
        <v>699</v>
      </c>
      <c r="AA71" s="11"/>
      <c r="AB71" s="11"/>
      <c r="AC71" s="11"/>
      <c r="AD71" s="14"/>
      <c r="AE71" s="79"/>
      <c r="AF71" s="79"/>
      <c r="AG71" s="79"/>
      <c r="AH71" s="49"/>
      <c r="AI71" s="49"/>
    </row>
    <row r="72" ht="15.75" customHeight="1">
      <c r="A72" s="8">
        <f t="shared" si="2"/>
        <v>310027</v>
      </c>
      <c r="B72" s="4" t="s">
        <v>706</v>
      </c>
      <c r="C72" s="42">
        <v>1.0</v>
      </c>
      <c r="D72" s="42"/>
      <c r="E72" s="42"/>
      <c r="F72" s="42">
        <v>1.0</v>
      </c>
      <c r="G72" s="64">
        <v>3.0</v>
      </c>
      <c r="H72" s="64"/>
      <c r="I72" s="42"/>
      <c r="J72" s="42"/>
      <c r="K72" s="42">
        <v>8.0</v>
      </c>
      <c r="L72" s="42"/>
      <c r="M72" s="8" t="s">
        <v>544</v>
      </c>
      <c r="N72" s="53">
        <v>27.0</v>
      </c>
      <c r="O72" s="8"/>
      <c r="P72" s="54">
        <v>1005.0</v>
      </c>
      <c r="Q72" s="54">
        <v>0.4</v>
      </c>
      <c r="R72" s="54"/>
      <c r="S72" s="8"/>
      <c r="T72" s="8"/>
      <c r="U72" s="8"/>
      <c r="V72" s="42"/>
      <c r="W72" s="8"/>
      <c r="X72" s="8" t="s">
        <v>546</v>
      </c>
      <c r="Y72" s="8"/>
      <c r="Z72" s="29" t="s">
        <v>927</v>
      </c>
      <c r="AA72" s="11"/>
      <c r="AB72" s="11"/>
      <c r="AC72" s="11"/>
      <c r="AD72" s="14"/>
      <c r="AE72" s="79"/>
      <c r="AF72" s="79"/>
      <c r="AG72" s="79"/>
      <c r="AH72" s="49"/>
      <c r="AI72" s="49"/>
    </row>
    <row r="73" ht="15.75" customHeight="1">
      <c r="A73" s="8">
        <f t="shared" si="2"/>
        <v>310028</v>
      </c>
      <c r="B73" s="4" t="s">
        <v>717</v>
      </c>
      <c r="C73" s="42">
        <v>-2.0</v>
      </c>
      <c r="D73" s="42"/>
      <c r="E73" s="42"/>
      <c r="F73" s="42">
        <v>1.0</v>
      </c>
      <c r="G73" s="64"/>
      <c r="H73" s="64"/>
      <c r="I73" s="42"/>
      <c r="J73" s="42"/>
      <c r="K73" s="42">
        <v>11.0</v>
      </c>
      <c r="L73" s="42"/>
      <c r="M73" s="8"/>
      <c r="N73" s="53">
        <v>38.0</v>
      </c>
      <c r="O73" s="8">
        <v>80.0</v>
      </c>
      <c r="P73" s="54"/>
      <c r="Q73" s="54"/>
      <c r="R73" s="54"/>
      <c r="S73" s="8"/>
      <c r="T73" s="8"/>
      <c r="U73" s="8"/>
      <c r="V73" s="42"/>
      <c r="W73" s="8"/>
      <c r="X73" s="8" t="s">
        <v>909</v>
      </c>
      <c r="Y73" s="8"/>
      <c r="Z73" s="29" t="s">
        <v>718</v>
      </c>
      <c r="AA73" s="11"/>
      <c r="AB73" s="11"/>
      <c r="AC73" s="11"/>
      <c r="AD73" s="14"/>
      <c r="AE73" s="79"/>
      <c r="AF73" s="79"/>
      <c r="AG73" s="79"/>
      <c r="AH73" s="49"/>
      <c r="AI73" s="49"/>
    </row>
    <row r="74" ht="15.75" customHeight="1">
      <c r="A74" s="8">
        <f t="shared" si="2"/>
        <v>310029</v>
      </c>
      <c r="B74" s="4" t="s">
        <v>728</v>
      </c>
      <c r="C74" s="42">
        <v>1.0</v>
      </c>
      <c r="D74" s="42">
        <v>1.0</v>
      </c>
      <c r="E74" s="42"/>
      <c r="F74" s="42">
        <v>1.0</v>
      </c>
      <c r="G74" s="64">
        <v>3.15</v>
      </c>
      <c r="H74" s="64"/>
      <c r="I74" s="42"/>
      <c r="J74" s="42"/>
      <c r="K74" s="42">
        <v>8.0</v>
      </c>
      <c r="L74" s="42"/>
      <c r="M74" s="8" t="s">
        <v>544</v>
      </c>
      <c r="N74" s="53">
        <v>30.0</v>
      </c>
      <c r="O74" s="8"/>
      <c r="P74" s="54"/>
      <c r="Q74" s="54"/>
      <c r="R74" s="54"/>
      <c r="S74" s="8"/>
      <c r="T74" s="8"/>
      <c r="U74" s="8"/>
      <c r="V74" s="42"/>
      <c r="W74" s="8"/>
      <c r="X74" s="8" t="s">
        <v>546</v>
      </c>
      <c r="Y74" s="8"/>
      <c r="Z74" s="29" t="s">
        <v>931</v>
      </c>
      <c r="AA74" s="11"/>
      <c r="AB74" s="11"/>
      <c r="AC74" s="11"/>
      <c r="AD74" s="14"/>
      <c r="AE74" s="79"/>
      <c r="AF74" s="79"/>
      <c r="AG74" s="79"/>
      <c r="AH74" s="49"/>
      <c r="AI74" s="49"/>
    </row>
    <row r="75" ht="15.75" customHeight="1">
      <c r="A75" s="8">
        <f t="shared" si="2"/>
        <v>310030</v>
      </c>
      <c r="B75" s="4" t="s">
        <v>744</v>
      </c>
      <c r="C75" s="42">
        <v>-2.0</v>
      </c>
      <c r="D75" s="42">
        <v>1.0</v>
      </c>
      <c r="E75" s="42"/>
      <c r="F75" s="42">
        <v>1.0</v>
      </c>
      <c r="G75" s="64"/>
      <c r="H75" s="64">
        <v>1.55</v>
      </c>
      <c r="I75" s="42"/>
      <c r="J75" s="42"/>
      <c r="K75" s="42">
        <v>9.0</v>
      </c>
      <c r="L75" s="42"/>
      <c r="M75" s="8" t="s">
        <v>630</v>
      </c>
      <c r="N75" s="53">
        <v>32.0</v>
      </c>
      <c r="O75" s="8"/>
      <c r="P75" s="54"/>
      <c r="Q75" s="54"/>
      <c r="R75" s="54">
        <v>1004.0</v>
      </c>
      <c r="S75" s="8">
        <v>0.4</v>
      </c>
      <c r="T75" s="8"/>
      <c r="U75" s="8"/>
      <c r="V75" s="42"/>
      <c r="W75" s="8"/>
      <c r="X75" s="60" t="s">
        <v>934</v>
      </c>
      <c r="Y75" s="8"/>
      <c r="Z75" s="29" t="s">
        <v>935</v>
      </c>
      <c r="AA75" s="11"/>
      <c r="AB75" s="11"/>
      <c r="AC75" s="11"/>
      <c r="AD75" s="14"/>
      <c r="AE75" s="79"/>
      <c r="AF75" s="79"/>
      <c r="AG75" s="79"/>
      <c r="AH75" s="49"/>
      <c r="AI75" s="49"/>
    </row>
    <row r="76" ht="15.75" customHeight="1">
      <c r="A76" s="8">
        <f t="shared" si="2"/>
        <v>310031</v>
      </c>
      <c r="B76" s="4" t="s">
        <v>759</v>
      </c>
      <c r="C76" s="42">
        <v>-1.0</v>
      </c>
      <c r="D76" s="42"/>
      <c r="E76" s="42"/>
      <c r="F76" s="42">
        <v>1.0</v>
      </c>
      <c r="G76" s="64"/>
      <c r="H76" s="64"/>
      <c r="I76" s="42"/>
      <c r="J76" s="42"/>
      <c r="K76" s="42">
        <v>10.0</v>
      </c>
      <c r="L76" s="42"/>
      <c r="M76" s="8"/>
      <c r="N76" s="53">
        <v>29.0</v>
      </c>
      <c r="O76" s="8"/>
      <c r="P76" s="54">
        <v>3003.0</v>
      </c>
      <c r="Q76" s="54">
        <v>0.25</v>
      </c>
      <c r="R76" s="54"/>
      <c r="S76" s="8"/>
      <c r="T76" s="8"/>
      <c r="U76" s="8"/>
      <c r="V76" s="42"/>
      <c r="W76" s="8"/>
      <c r="X76" s="8" t="s">
        <v>647</v>
      </c>
      <c r="Y76" s="8"/>
      <c r="Z76" s="83" t="s">
        <v>937</v>
      </c>
      <c r="AA76" s="11"/>
      <c r="AB76" s="11"/>
      <c r="AC76" s="11"/>
      <c r="AD76" s="14"/>
      <c r="AE76" s="79"/>
      <c r="AF76" s="79"/>
      <c r="AG76" s="79"/>
      <c r="AH76" s="49"/>
      <c r="AI76" s="49"/>
    </row>
    <row r="77" ht="14.25" customHeight="1">
      <c r="A77" s="8"/>
      <c r="B77" s="1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48"/>
      <c r="P77" s="49"/>
      <c r="Q77" s="49"/>
      <c r="R77" s="49"/>
      <c r="V77" s="47"/>
      <c r="AG77" s="49"/>
      <c r="AH77" s="49"/>
      <c r="AI77" s="49"/>
    </row>
    <row r="78" ht="14.25" customHeight="1">
      <c r="A78" s="3" t="s">
        <v>484</v>
      </c>
      <c r="B78" s="6" t="s">
        <v>487</v>
      </c>
      <c r="C78" s="50" t="s">
        <v>489</v>
      </c>
      <c r="D78" s="50" t="s">
        <v>490</v>
      </c>
      <c r="E78" s="50" t="s">
        <v>491</v>
      </c>
      <c r="F78" s="50" t="s">
        <v>845</v>
      </c>
      <c r="G78" s="40" t="s">
        <v>496</v>
      </c>
      <c r="H78" s="40" t="s">
        <v>499</v>
      </c>
      <c r="I78" s="40" t="s">
        <v>295</v>
      </c>
      <c r="J78" s="40" t="s">
        <v>503</v>
      </c>
      <c r="K78" s="40" t="s">
        <v>505</v>
      </c>
      <c r="L78" s="40" t="s">
        <v>506</v>
      </c>
      <c r="M78" s="3" t="s">
        <v>507</v>
      </c>
      <c r="N78" s="51" t="s">
        <v>509</v>
      </c>
      <c r="O78" s="3" t="s">
        <v>513</v>
      </c>
      <c r="P78" s="52" t="s">
        <v>514</v>
      </c>
      <c r="Q78" s="52" t="s">
        <v>515</v>
      </c>
      <c r="R78" s="40" t="s">
        <v>516</v>
      </c>
      <c r="S78" s="40" t="s">
        <v>517</v>
      </c>
      <c r="T78" s="3" t="s">
        <v>518</v>
      </c>
      <c r="U78" s="52" t="s">
        <v>519</v>
      </c>
      <c r="V78" s="42" t="s">
        <v>520</v>
      </c>
      <c r="W78" s="3" t="s">
        <v>522</v>
      </c>
      <c r="X78" s="3" t="s">
        <v>523</v>
      </c>
      <c r="Y78" s="3" t="s">
        <v>525</v>
      </c>
      <c r="Z78" s="10" t="s">
        <v>526</v>
      </c>
      <c r="AA78" s="11"/>
      <c r="AB78" s="11"/>
      <c r="AC78" s="11"/>
      <c r="AD78" s="14"/>
      <c r="AG78" s="49"/>
      <c r="AH78" s="49"/>
      <c r="AI78" s="49"/>
    </row>
    <row r="79" ht="14.25" customHeight="1">
      <c r="A79" s="8">
        <v>890001.0</v>
      </c>
      <c r="B79" s="4" t="s">
        <v>29</v>
      </c>
      <c r="C79" s="42">
        <v>1.0</v>
      </c>
      <c r="D79" s="42"/>
      <c r="E79" s="42"/>
      <c r="F79" s="42"/>
      <c r="G79" s="42">
        <v>3.0</v>
      </c>
      <c r="H79" s="8"/>
      <c r="I79" s="42"/>
      <c r="J79" s="42"/>
      <c r="K79" s="42"/>
      <c r="L79" s="42"/>
      <c r="M79" s="8" t="s">
        <v>544</v>
      </c>
      <c r="N79" s="53"/>
      <c r="O79" s="8"/>
      <c r="P79" s="54"/>
      <c r="Q79" s="54"/>
      <c r="R79" s="42">
        <v>5002.0</v>
      </c>
      <c r="S79" s="42">
        <v>0.5</v>
      </c>
      <c r="T79" s="8"/>
      <c r="U79" s="8"/>
      <c r="V79" s="42"/>
      <c r="W79" s="8"/>
      <c r="X79" s="8" t="s">
        <v>696</v>
      </c>
      <c r="Y79" s="8"/>
      <c r="Z79" s="29" t="s">
        <v>948</v>
      </c>
      <c r="AA79" s="11"/>
      <c r="AB79" s="11"/>
      <c r="AC79" s="11"/>
      <c r="AD79" s="14"/>
      <c r="AG79" s="49"/>
      <c r="AH79" s="49"/>
      <c r="AI79" s="49"/>
    </row>
    <row r="80" ht="14.25" customHeight="1">
      <c r="A80" s="8">
        <v>890002.0</v>
      </c>
      <c r="B80" s="4" t="s">
        <v>950</v>
      </c>
      <c r="C80" s="42">
        <v>-2.0</v>
      </c>
      <c r="D80" s="42">
        <v>1.0</v>
      </c>
      <c r="E80" s="42"/>
      <c r="F80" s="42"/>
      <c r="G80" s="42">
        <v>3.0</v>
      </c>
      <c r="H80" s="8"/>
      <c r="I80" s="42"/>
      <c r="J80" s="42"/>
      <c r="K80" s="42"/>
      <c r="L80" s="42"/>
      <c r="M80" s="8" t="s">
        <v>656</v>
      </c>
      <c r="N80" s="53"/>
      <c r="O80" s="8"/>
      <c r="P80" s="54"/>
      <c r="Q80" s="54"/>
      <c r="R80" s="42">
        <v>1999.0</v>
      </c>
      <c r="S80" s="42"/>
      <c r="T80" s="8"/>
      <c r="U80" s="8"/>
      <c r="V80" s="42"/>
      <c r="W80" s="8"/>
      <c r="X80" s="8" t="s">
        <v>859</v>
      </c>
      <c r="Y80" s="8"/>
      <c r="Z80" s="29" t="s">
        <v>954</v>
      </c>
      <c r="AA80" s="11"/>
      <c r="AB80" s="11"/>
      <c r="AC80" s="11"/>
      <c r="AD80" s="14"/>
      <c r="AG80" s="49"/>
      <c r="AH80" s="49"/>
      <c r="AI80" s="49"/>
    </row>
    <row r="81" ht="14.25" customHeight="1">
      <c r="A81" s="8">
        <v>890003.0</v>
      </c>
      <c r="B81" s="4" t="s">
        <v>88</v>
      </c>
      <c r="C81" s="42">
        <v>2.0</v>
      </c>
      <c r="D81" s="42"/>
      <c r="E81" s="42"/>
      <c r="F81" s="42"/>
      <c r="G81" s="42">
        <v>1.65</v>
      </c>
      <c r="H81" s="8"/>
      <c r="I81" s="42"/>
      <c r="J81" s="42"/>
      <c r="K81" s="42"/>
      <c r="L81" s="42"/>
      <c r="M81" s="8" t="s">
        <v>544</v>
      </c>
      <c r="N81" s="53"/>
      <c r="O81" s="8"/>
      <c r="P81" s="54">
        <v>3003.0</v>
      </c>
      <c r="Q81" s="54"/>
      <c r="R81" s="42"/>
      <c r="S81" s="42"/>
      <c r="T81" s="8"/>
      <c r="U81" s="8"/>
      <c r="V81" s="42"/>
      <c r="W81" s="8"/>
      <c r="X81" s="8" t="s">
        <v>546</v>
      </c>
      <c r="Y81" s="8"/>
      <c r="Z81" s="29" t="s">
        <v>958</v>
      </c>
      <c r="AA81" s="11"/>
      <c r="AB81" s="11"/>
      <c r="AC81" s="11"/>
      <c r="AD81" s="14"/>
      <c r="AG81" s="49"/>
      <c r="AH81" s="49"/>
      <c r="AI81" s="49"/>
    </row>
    <row r="82" ht="14.25" customHeight="1">
      <c r="A82" s="8">
        <v>890004.0</v>
      </c>
      <c r="B82" s="4" t="s">
        <v>111</v>
      </c>
      <c r="C82" s="42">
        <v>1.0</v>
      </c>
      <c r="D82" s="42"/>
      <c r="E82" s="42"/>
      <c r="F82" s="42"/>
      <c r="G82" s="42">
        <v>3.1</v>
      </c>
      <c r="H82" s="8"/>
      <c r="I82" s="42"/>
      <c r="J82" s="42"/>
      <c r="K82" s="42"/>
      <c r="L82" s="42"/>
      <c r="M82" s="8" t="s">
        <v>544</v>
      </c>
      <c r="N82" s="53"/>
      <c r="O82" s="8"/>
      <c r="P82" s="54"/>
      <c r="Q82" s="54"/>
      <c r="R82" s="42">
        <v>4004.0</v>
      </c>
      <c r="S82" s="42"/>
      <c r="T82" s="8"/>
      <c r="U82" s="8"/>
      <c r="V82" s="42"/>
      <c r="W82" s="8"/>
      <c r="X82" s="8" t="s">
        <v>696</v>
      </c>
      <c r="Y82" s="8"/>
      <c r="Z82" s="29" t="s">
        <v>959</v>
      </c>
      <c r="AA82" s="11"/>
      <c r="AB82" s="11"/>
      <c r="AC82" s="11"/>
      <c r="AD82" s="14"/>
      <c r="AG82" s="49"/>
      <c r="AH82" s="49"/>
      <c r="AI82" s="49"/>
    </row>
    <row r="83" ht="14.25" customHeight="1">
      <c r="A83" s="8">
        <v>890005.0</v>
      </c>
      <c r="B83" s="4" t="s">
        <v>143</v>
      </c>
      <c r="C83" s="42">
        <v>5.0</v>
      </c>
      <c r="D83" s="42"/>
      <c r="E83" s="42"/>
      <c r="F83" s="42"/>
      <c r="G83" s="42"/>
      <c r="H83" s="8">
        <v>0.6</v>
      </c>
      <c r="I83" s="42"/>
      <c r="J83" s="42"/>
      <c r="K83" s="42"/>
      <c r="L83" s="42"/>
      <c r="M83" s="8" t="s">
        <v>578</v>
      </c>
      <c r="N83" s="53"/>
      <c r="O83" s="8"/>
      <c r="P83" s="54"/>
      <c r="Q83" s="54"/>
      <c r="R83" s="42">
        <v>4001.0</v>
      </c>
      <c r="S83" s="42"/>
      <c r="T83" s="8"/>
      <c r="U83" s="8"/>
      <c r="V83" s="42"/>
      <c r="W83" s="8" t="s">
        <v>614</v>
      </c>
      <c r="X83" s="8" t="s">
        <v>615</v>
      </c>
      <c r="Y83" s="8"/>
      <c r="Z83" s="29" t="s">
        <v>963</v>
      </c>
      <c r="AA83" s="11"/>
      <c r="AB83" s="11"/>
      <c r="AC83" s="11"/>
      <c r="AD83" s="14"/>
      <c r="AG83" s="49"/>
      <c r="AH83" s="49"/>
      <c r="AI83" s="49"/>
    </row>
    <row r="84" ht="14.25" customHeight="1">
      <c r="A84" s="8">
        <v>890006.0</v>
      </c>
      <c r="B84" s="4" t="s">
        <v>966</v>
      </c>
      <c r="C84" s="42">
        <v>-2.0</v>
      </c>
      <c r="D84" s="42">
        <v>1.0</v>
      </c>
      <c r="E84" s="42"/>
      <c r="F84" s="42"/>
      <c r="G84" s="42"/>
      <c r="H84" s="8">
        <v>3.0</v>
      </c>
      <c r="I84" s="42"/>
      <c r="J84" s="42"/>
      <c r="K84" s="42"/>
      <c r="L84" s="42"/>
      <c r="M84" s="8" t="s">
        <v>630</v>
      </c>
      <c r="N84" s="53"/>
      <c r="O84" s="8"/>
      <c r="P84" s="54"/>
      <c r="Q84" s="54"/>
      <c r="R84" s="54"/>
      <c r="S84" s="8"/>
      <c r="T84" s="8"/>
      <c r="U84" s="8"/>
      <c r="V84" s="42"/>
      <c r="W84" s="8"/>
      <c r="X84" s="8" t="s">
        <v>630</v>
      </c>
      <c r="Y84" s="8"/>
      <c r="Z84" s="29" t="s">
        <v>968</v>
      </c>
      <c r="AA84" s="11"/>
      <c r="AB84" s="11"/>
      <c r="AC84" s="11"/>
      <c r="AD84" s="14"/>
      <c r="AG84" s="49"/>
      <c r="AH84" s="49"/>
      <c r="AI84" s="49"/>
    </row>
    <row r="85" ht="14.25" customHeight="1">
      <c r="A85" s="8">
        <v>890007.0</v>
      </c>
      <c r="B85" s="4" t="s">
        <v>191</v>
      </c>
      <c r="C85" s="42">
        <v>3.0</v>
      </c>
      <c r="D85" s="42"/>
      <c r="E85" s="42"/>
      <c r="F85" s="42"/>
      <c r="G85" s="42"/>
      <c r="H85" s="42"/>
      <c r="I85" s="42"/>
      <c r="J85" s="42"/>
      <c r="K85" s="42"/>
      <c r="L85" s="42"/>
      <c r="M85" s="8" t="s">
        <v>544</v>
      </c>
      <c r="N85" s="53"/>
      <c r="O85" s="8"/>
      <c r="P85" s="54"/>
      <c r="Q85" s="54"/>
      <c r="R85" s="81" t="str">
        <f>"2002,2002"</f>
        <v>2002,2002</v>
      </c>
      <c r="S85" s="8"/>
      <c r="T85" s="8"/>
      <c r="U85" s="8"/>
      <c r="V85" s="42"/>
      <c r="W85" s="8"/>
      <c r="X85" s="8" t="s">
        <v>546</v>
      </c>
      <c r="Y85" s="8"/>
      <c r="Z85" s="29" t="s">
        <v>194</v>
      </c>
      <c r="AA85" s="11"/>
      <c r="AB85" s="11"/>
      <c r="AC85" s="11"/>
      <c r="AD85" s="14"/>
      <c r="AG85" s="49"/>
      <c r="AH85" s="49"/>
      <c r="AI85" s="49"/>
    </row>
    <row r="86" ht="14.25" customHeight="1">
      <c r="C86" s="47"/>
      <c r="D86" s="47"/>
      <c r="E86" s="47"/>
      <c r="F86" s="47"/>
      <c r="G86" s="47"/>
      <c r="H86" s="47"/>
      <c r="I86" s="47"/>
      <c r="J86" s="47"/>
      <c r="K86" s="47"/>
      <c r="L86" s="47"/>
      <c r="N86" s="48"/>
      <c r="P86" s="49"/>
      <c r="Q86" s="49"/>
      <c r="R86" s="49"/>
      <c r="V86" s="47"/>
      <c r="Z86" s="85"/>
      <c r="AG86" s="49"/>
      <c r="AH86" s="49"/>
      <c r="AI86" s="49"/>
    </row>
    <row r="87" ht="14.25" customHeight="1">
      <c r="A87" s="3" t="s">
        <v>484</v>
      </c>
      <c r="B87" s="6" t="s">
        <v>487</v>
      </c>
      <c r="C87" s="50" t="s">
        <v>489</v>
      </c>
      <c r="D87" s="50" t="s">
        <v>490</v>
      </c>
      <c r="E87" s="50" t="s">
        <v>491</v>
      </c>
      <c r="F87" s="50" t="s">
        <v>845</v>
      </c>
      <c r="G87" s="40" t="s">
        <v>496</v>
      </c>
      <c r="H87" s="40" t="s">
        <v>499</v>
      </c>
      <c r="I87" s="40" t="s">
        <v>295</v>
      </c>
      <c r="J87" s="40" t="s">
        <v>503</v>
      </c>
      <c r="K87" s="40" t="s">
        <v>505</v>
      </c>
      <c r="L87" s="40" t="s">
        <v>506</v>
      </c>
      <c r="M87" s="3" t="s">
        <v>507</v>
      </c>
      <c r="N87" s="51" t="s">
        <v>509</v>
      </c>
      <c r="O87" s="3" t="s">
        <v>513</v>
      </c>
      <c r="P87" s="52" t="s">
        <v>514</v>
      </c>
      <c r="Q87" s="52" t="s">
        <v>515</v>
      </c>
      <c r="R87" s="52" t="s">
        <v>516</v>
      </c>
      <c r="S87" s="52" t="s">
        <v>517</v>
      </c>
      <c r="T87" s="3" t="s">
        <v>518</v>
      </c>
      <c r="U87" s="52" t="s">
        <v>519</v>
      </c>
      <c r="V87" s="42" t="s">
        <v>520</v>
      </c>
      <c r="W87" s="3" t="s">
        <v>522</v>
      </c>
      <c r="X87" s="3" t="s">
        <v>523</v>
      </c>
      <c r="Y87" s="3" t="s">
        <v>525</v>
      </c>
      <c r="Z87" s="10" t="s">
        <v>526</v>
      </c>
      <c r="AA87" s="11"/>
      <c r="AB87" s="11"/>
      <c r="AC87" s="11"/>
      <c r="AD87" s="14"/>
      <c r="AG87" s="49"/>
      <c r="AH87" s="49"/>
      <c r="AI87" s="49"/>
    </row>
    <row r="88" ht="14.25" customHeight="1">
      <c r="A88" s="8">
        <v>990001.0</v>
      </c>
      <c r="B88" s="4" t="s">
        <v>977</v>
      </c>
      <c r="C88" s="42">
        <v>-5.0</v>
      </c>
      <c r="D88" s="42"/>
      <c r="E88" s="8"/>
      <c r="F88" s="42"/>
      <c r="G88" s="42"/>
      <c r="H88" s="42"/>
      <c r="I88" s="42"/>
      <c r="J88" s="42"/>
      <c r="K88" s="42">
        <v>3.0</v>
      </c>
      <c r="L88" s="42"/>
      <c r="M88" s="8"/>
      <c r="N88" s="53"/>
      <c r="O88" s="8"/>
      <c r="P88" s="54"/>
      <c r="Q88" s="54"/>
      <c r="R88" s="42">
        <v>1001.0</v>
      </c>
      <c r="S88" s="42"/>
      <c r="T88" s="42"/>
      <c r="U88" s="42"/>
      <c r="V88" s="42"/>
      <c r="W88" s="42"/>
      <c r="X88" s="42" t="s">
        <v>647</v>
      </c>
      <c r="Y88" s="42"/>
      <c r="Z88" s="29" t="s">
        <v>981</v>
      </c>
      <c r="AA88" s="11"/>
      <c r="AB88" s="11"/>
      <c r="AC88" s="11"/>
      <c r="AD88" s="14"/>
      <c r="AG88" s="49"/>
      <c r="AH88" s="49"/>
      <c r="AI88" s="49"/>
    </row>
    <row r="89" ht="14.25" customHeight="1">
      <c r="A89" s="8">
        <v>990002.0</v>
      </c>
      <c r="B89" s="4" t="s">
        <v>983</v>
      </c>
      <c r="C89" s="42">
        <v>-5.0</v>
      </c>
      <c r="D89" s="42"/>
      <c r="E89" s="8"/>
      <c r="F89" s="42"/>
      <c r="G89" s="42"/>
      <c r="H89" s="42"/>
      <c r="I89" s="42"/>
      <c r="J89" s="42"/>
      <c r="K89" s="42">
        <v>3.0</v>
      </c>
      <c r="L89" s="42"/>
      <c r="M89" s="8"/>
      <c r="N89" s="53"/>
      <c r="O89" s="8"/>
      <c r="P89" s="54"/>
      <c r="Q89" s="54"/>
      <c r="R89" s="42">
        <v>1002.0</v>
      </c>
      <c r="S89" s="42"/>
      <c r="T89" s="42"/>
      <c r="U89" s="42"/>
      <c r="V89" s="42"/>
      <c r="W89" s="42"/>
      <c r="X89" s="42" t="s">
        <v>647</v>
      </c>
      <c r="Y89" s="42"/>
      <c r="Z89" s="29" t="s">
        <v>984</v>
      </c>
      <c r="AA89" s="11"/>
      <c r="AB89" s="11"/>
      <c r="AC89" s="11"/>
      <c r="AD89" s="14"/>
      <c r="AG89" s="49"/>
      <c r="AH89" s="49"/>
      <c r="AI89" s="49"/>
    </row>
    <row r="90" ht="14.25" customHeight="1">
      <c r="A90" s="8">
        <v>990003.0</v>
      </c>
      <c r="B90" s="4" t="s">
        <v>987</v>
      </c>
      <c r="C90" s="42">
        <v>-5.0</v>
      </c>
      <c r="D90" s="42"/>
      <c r="E90" s="8"/>
      <c r="F90" s="42"/>
      <c r="G90" s="42"/>
      <c r="H90" s="42"/>
      <c r="I90" s="42"/>
      <c r="J90" s="42"/>
      <c r="K90" s="42">
        <v>3.0</v>
      </c>
      <c r="L90" s="42"/>
      <c r="M90" s="8"/>
      <c r="N90" s="53"/>
      <c r="O90" s="8"/>
      <c r="P90" s="54"/>
      <c r="Q90" s="54"/>
      <c r="R90" s="42">
        <v>1007.0</v>
      </c>
      <c r="S90" s="42"/>
      <c r="T90" s="42"/>
      <c r="U90" s="42"/>
      <c r="V90" s="42"/>
      <c r="W90" s="42"/>
      <c r="X90" s="42" t="s">
        <v>647</v>
      </c>
      <c r="Y90" s="42"/>
      <c r="Z90" s="29" t="s">
        <v>991</v>
      </c>
      <c r="AA90" s="11"/>
      <c r="AB90" s="11"/>
      <c r="AC90" s="11"/>
      <c r="AD90" s="14"/>
      <c r="AG90" s="49"/>
      <c r="AH90" s="49"/>
      <c r="AI90" s="49"/>
    </row>
    <row r="91" ht="14.25" customHeight="1">
      <c r="A91" s="8">
        <v>990004.0</v>
      </c>
      <c r="B91" s="4" t="s">
        <v>992</v>
      </c>
      <c r="C91" s="42">
        <v>-5.0</v>
      </c>
      <c r="D91" s="42"/>
      <c r="E91" s="8"/>
      <c r="F91" s="42"/>
      <c r="G91" s="42"/>
      <c r="H91" s="42"/>
      <c r="I91" s="42"/>
      <c r="J91" s="42"/>
      <c r="K91" s="42">
        <v>3.0</v>
      </c>
      <c r="L91" s="42"/>
      <c r="M91" s="8"/>
      <c r="N91" s="53"/>
      <c r="O91" s="8"/>
      <c r="P91" s="54"/>
      <c r="Q91" s="54"/>
      <c r="R91" s="42">
        <v>1005.0</v>
      </c>
      <c r="S91" s="42"/>
      <c r="T91" s="42"/>
      <c r="U91" s="42"/>
      <c r="V91" s="42"/>
      <c r="W91" s="42"/>
      <c r="X91" s="42" t="s">
        <v>647</v>
      </c>
      <c r="Y91" s="42"/>
      <c r="Z91" s="29" t="s">
        <v>994</v>
      </c>
      <c r="AA91" s="11"/>
      <c r="AB91" s="11"/>
      <c r="AC91" s="11"/>
      <c r="AD91" s="14"/>
      <c r="AG91" s="49"/>
      <c r="AH91" s="49"/>
      <c r="AI91" s="49"/>
    </row>
    <row r="92" ht="14.25" customHeight="1">
      <c r="A92" s="8">
        <v>990005.0</v>
      </c>
      <c r="B92" s="4" t="s">
        <v>995</v>
      </c>
      <c r="C92" s="42">
        <v>-5.0</v>
      </c>
      <c r="D92" s="42"/>
      <c r="E92" s="8"/>
      <c r="F92" s="42"/>
      <c r="G92" s="42"/>
      <c r="H92" s="42"/>
      <c r="I92" s="42"/>
      <c r="J92" s="42"/>
      <c r="K92" s="42">
        <v>3.0</v>
      </c>
      <c r="L92" s="42"/>
      <c r="M92" s="8"/>
      <c r="N92" s="53"/>
      <c r="O92" s="8"/>
      <c r="P92" s="54"/>
      <c r="Q92" s="54"/>
      <c r="R92" s="42">
        <v>1003.0</v>
      </c>
      <c r="S92" s="42"/>
      <c r="T92" s="42"/>
      <c r="U92" s="42"/>
      <c r="V92" s="42"/>
      <c r="W92" s="42"/>
      <c r="X92" s="42" t="s">
        <v>647</v>
      </c>
      <c r="Y92" s="42"/>
      <c r="Z92" s="29" t="s">
        <v>998</v>
      </c>
      <c r="AA92" s="11"/>
      <c r="AB92" s="11"/>
      <c r="AC92" s="11"/>
      <c r="AD92" s="14"/>
    </row>
    <row r="93" ht="14.25" customHeight="1">
      <c r="A93" s="8">
        <v>990006.0</v>
      </c>
      <c r="B93" s="4" t="s">
        <v>1001</v>
      </c>
      <c r="C93" s="42">
        <v>-5.0</v>
      </c>
      <c r="D93" s="42"/>
      <c r="E93" s="8"/>
      <c r="F93" s="42"/>
      <c r="G93" s="42"/>
      <c r="H93" s="42"/>
      <c r="I93" s="42"/>
      <c r="J93" s="42"/>
      <c r="K93" s="42">
        <v>3.0</v>
      </c>
      <c r="L93" s="42"/>
      <c r="M93" s="8"/>
      <c r="N93" s="53"/>
      <c r="O93" s="8"/>
      <c r="P93" s="54"/>
      <c r="Q93" s="54"/>
      <c r="R93" s="42">
        <v>1004.0</v>
      </c>
      <c r="S93" s="42"/>
      <c r="T93" s="42"/>
      <c r="U93" s="42"/>
      <c r="V93" s="42"/>
      <c r="W93" s="42"/>
      <c r="X93" s="42" t="s">
        <v>647</v>
      </c>
      <c r="Y93" s="42"/>
      <c r="Z93" s="29" t="s">
        <v>1002</v>
      </c>
      <c r="AA93" s="11"/>
      <c r="AB93" s="11"/>
      <c r="AC93" s="11"/>
      <c r="AD93" s="14"/>
    </row>
    <row r="94" ht="14.25" customHeight="1">
      <c r="A94" s="8">
        <v>990007.0</v>
      </c>
      <c r="B94" s="4" t="s">
        <v>195</v>
      </c>
      <c r="C94" s="42">
        <v>-5.0</v>
      </c>
      <c r="D94" s="42"/>
      <c r="E94" s="8"/>
      <c r="F94" s="42"/>
      <c r="G94" s="42"/>
      <c r="H94" s="42"/>
      <c r="I94" s="42"/>
      <c r="J94" s="42"/>
      <c r="K94" s="42">
        <v>3.0</v>
      </c>
      <c r="L94" s="42"/>
      <c r="M94" s="8"/>
      <c r="N94" s="53"/>
      <c r="O94" s="8"/>
      <c r="P94" s="54"/>
      <c r="Q94" s="54"/>
      <c r="R94" s="42">
        <v>3020.0</v>
      </c>
      <c r="S94" s="42"/>
      <c r="T94" s="42"/>
      <c r="U94" s="42"/>
      <c r="V94" s="42"/>
      <c r="W94" s="42"/>
      <c r="X94" s="42" t="s">
        <v>647</v>
      </c>
      <c r="Y94" s="42"/>
      <c r="Z94" s="29" t="s">
        <v>1007</v>
      </c>
      <c r="AA94" s="11"/>
      <c r="AB94" s="11"/>
      <c r="AC94" s="11"/>
      <c r="AD94" s="14"/>
    </row>
    <row r="95" ht="14.25" customHeight="1">
      <c r="C95" s="47"/>
      <c r="D95" s="47"/>
      <c r="E95" s="47"/>
      <c r="F95" s="47"/>
      <c r="G95" s="47"/>
      <c r="H95" s="47"/>
      <c r="I95" s="47"/>
      <c r="J95" s="47"/>
      <c r="K95" s="47"/>
      <c r="L95" s="47"/>
      <c r="N95" s="48"/>
      <c r="P95" s="49"/>
      <c r="Q95" s="49"/>
      <c r="R95" s="49"/>
      <c r="V95" s="47"/>
    </row>
    <row r="96" ht="14.25" customHeight="1">
      <c r="A96" s="3" t="s">
        <v>484</v>
      </c>
      <c r="B96" s="6" t="s">
        <v>487</v>
      </c>
      <c r="C96" s="50" t="s">
        <v>489</v>
      </c>
      <c r="D96" s="50" t="s">
        <v>490</v>
      </c>
      <c r="E96" s="50" t="s">
        <v>491</v>
      </c>
      <c r="F96" s="50" t="s">
        <v>492</v>
      </c>
      <c r="G96" s="40" t="s">
        <v>496</v>
      </c>
      <c r="H96" s="40" t="s">
        <v>499</v>
      </c>
      <c r="I96" s="40" t="s">
        <v>295</v>
      </c>
      <c r="J96" s="40" t="s">
        <v>503</v>
      </c>
      <c r="K96" s="40" t="s">
        <v>505</v>
      </c>
      <c r="L96" s="40" t="s">
        <v>506</v>
      </c>
      <c r="M96" s="3" t="s">
        <v>507</v>
      </c>
      <c r="N96" s="51" t="s">
        <v>509</v>
      </c>
      <c r="O96" s="3" t="s">
        <v>513</v>
      </c>
      <c r="P96" s="52" t="s">
        <v>514</v>
      </c>
      <c r="Q96" s="52" t="s">
        <v>1010</v>
      </c>
      <c r="R96" s="52" t="s">
        <v>516</v>
      </c>
      <c r="S96" s="52" t="s">
        <v>517</v>
      </c>
      <c r="T96" s="3" t="s">
        <v>518</v>
      </c>
      <c r="U96" s="52" t="s">
        <v>519</v>
      </c>
      <c r="V96" s="42" t="s">
        <v>520</v>
      </c>
      <c r="W96" s="3" t="s">
        <v>522</v>
      </c>
      <c r="X96" s="3" t="s">
        <v>523</v>
      </c>
      <c r="Y96" s="3" t="s">
        <v>525</v>
      </c>
      <c r="Z96" s="10" t="s">
        <v>526</v>
      </c>
      <c r="AA96" s="11"/>
      <c r="AB96" s="11"/>
      <c r="AC96" s="11"/>
      <c r="AD96" s="14"/>
    </row>
    <row r="97" ht="14.25" customHeight="1">
      <c r="A97" s="42">
        <v>211001.0</v>
      </c>
      <c r="B97" s="4" t="s">
        <v>1012</v>
      </c>
      <c r="C97" s="42">
        <v>2.0</v>
      </c>
      <c r="D97" s="42"/>
      <c r="E97" s="8"/>
      <c r="F97" s="42">
        <v>1.0</v>
      </c>
      <c r="G97" s="42"/>
      <c r="H97" s="42">
        <v>2.4</v>
      </c>
      <c r="I97" s="42"/>
      <c r="J97" s="42"/>
      <c r="K97" s="42"/>
      <c r="L97" s="42"/>
      <c r="M97" s="8" t="s">
        <v>578</v>
      </c>
      <c r="N97" s="53">
        <v>96.0</v>
      </c>
      <c r="O97" s="8"/>
      <c r="P97" s="54"/>
      <c r="Q97" s="54"/>
      <c r="R97" s="54">
        <v>4001.0</v>
      </c>
      <c r="S97" s="54">
        <v>0.5</v>
      </c>
      <c r="T97" s="8"/>
      <c r="U97" s="8"/>
      <c r="V97" s="42"/>
      <c r="W97" s="8" t="s">
        <v>614</v>
      </c>
      <c r="X97" s="8" t="s">
        <v>615</v>
      </c>
      <c r="Y97" s="8"/>
      <c r="Z97" s="29" t="s">
        <v>1022</v>
      </c>
      <c r="AA97" s="11"/>
      <c r="AB97" s="11"/>
      <c r="AC97" s="11"/>
      <c r="AD97" s="14"/>
    </row>
    <row r="98" ht="14.25" customHeight="1">
      <c r="A98" s="42">
        <v>212001.0</v>
      </c>
      <c r="B98" s="4" t="s">
        <v>1031</v>
      </c>
      <c r="C98" s="42">
        <v>4.0</v>
      </c>
      <c r="D98" s="42"/>
      <c r="E98" s="8"/>
      <c r="F98" s="42">
        <v>1.0</v>
      </c>
      <c r="G98" s="42"/>
      <c r="H98" s="42">
        <v>2.4</v>
      </c>
      <c r="I98" s="42"/>
      <c r="J98" s="42"/>
      <c r="K98" s="42"/>
      <c r="L98" s="42"/>
      <c r="M98" s="8" t="s">
        <v>578</v>
      </c>
      <c r="N98" s="53">
        <f t="shared" ref="N98:N101" si="3">N97-4</f>
        <v>92</v>
      </c>
      <c r="O98" s="8"/>
      <c r="P98" s="54"/>
      <c r="Q98" s="54"/>
      <c r="R98" s="54">
        <v>4001.0</v>
      </c>
      <c r="S98" s="54">
        <v>0.7</v>
      </c>
      <c r="T98" s="8"/>
      <c r="U98" s="8"/>
      <c r="V98" s="42"/>
      <c r="W98" s="8" t="s">
        <v>614</v>
      </c>
      <c r="X98" s="8" t="s">
        <v>615</v>
      </c>
      <c r="Y98" s="8"/>
      <c r="Z98" s="29" t="s">
        <v>1054</v>
      </c>
      <c r="AA98" s="11"/>
      <c r="AB98" s="11"/>
      <c r="AC98" s="11"/>
      <c r="AD98" s="14"/>
    </row>
    <row r="99" ht="14.25" customHeight="1">
      <c r="A99" s="42">
        <v>213001.0</v>
      </c>
      <c r="B99" s="4" t="s">
        <v>1058</v>
      </c>
      <c r="C99" s="42">
        <v>4.0</v>
      </c>
      <c r="D99" s="42"/>
      <c r="E99" s="8"/>
      <c r="F99" s="42">
        <v>1.0</v>
      </c>
      <c r="G99" s="42"/>
      <c r="H99" s="42">
        <v>2.4</v>
      </c>
      <c r="I99" s="42"/>
      <c r="J99" s="42"/>
      <c r="K99" s="42"/>
      <c r="L99" s="42"/>
      <c r="M99" s="8" t="s">
        <v>578</v>
      </c>
      <c r="N99" s="53">
        <f t="shared" si="3"/>
        <v>88</v>
      </c>
      <c r="O99" s="8"/>
      <c r="P99" s="54"/>
      <c r="Q99" s="54"/>
      <c r="R99" s="54">
        <v>4001.0</v>
      </c>
      <c r="S99" s="54">
        <v>0.7</v>
      </c>
      <c r="T99" s="8"/>
      <c r="U99" s="8"/>
      <c r="V99" s="42"/>
      <c r="W99" s="8" t="s">
        <v>614</v>
      </c>
      <c r="X99" s="8" t="s">
        <v>615</v>
      </c>
      <c r="Y99" s="8"/>
      <c r="Z99" s="29" t="s">
        <v>1064</v>
      </c>
      <c r="AA99" s="11"/>
      <c r="AB99" s="11"/>
      <c r="AC99" s="11"/>
      <c r="AD99" s="14"/>
    </row>
    <row r="100" ht="14.25" customHeight="1">
      <c r="A100" s="42">
        <v>214001.0</v>
      </c>
      <c r="B100" s="4" t="s">
        <v>1069</v>
      </c>
      <c r="C100" s="42">
        <v>4.0</v>
      </c>
      <c r="D100" s="42"/>
      <c r="E100" s="8"/>
      <c r="F100" s="42">
        <v>1.0</v>
      </c>
      <c r="G100" s="42"/>
      <c r="H100" s="42">
        <v>2.4</v>
      </c>
      <c r="I100" s="42"/>
      <c r="J100" s="42"/>
      <c r="K100" s="42"/>
      <c r="L100" s="42"/>
      <c r="M100" s="8" t="s">
        <v>578</v>
      </c>
      <c r="N100" s="53">
        <f t="shared" si="3"/>
        <v>84</v>
      </c>
      <c r="O100" s="8"/>
      <c r="P100" s="54"/>
      <c r="Q100" s="54"/>
      <c r="R100" s="54">
        <v>4001.0</v>
      </c>
      <c r="S100" s="8"/>
      <c r="T100" s="8"/>
      <c r="U100" s="8"/>
      <c r="V100" s="42"/>
      <c r="W100" s="8" t="s">
        <v>614</v>
      </c>
      <c r="X100" s="8" t="s">
        <v>615</v>
      </c>
      <c r="Y100" s="8"/>
      <c r="Z100" s="29" t="s">
        <v>1073</v>
      </c>
      <c r="AA100" s="11"/>
      <c r="AB100" s="11"/>
      <c r="AC100" s="11"/>
      <c r="AD100" s="14"/>
    </row>
    <row r="101" ht="14.25" customHeight="1">
      <c r="A101" s="42">
        <v>215001.0</v>
      </c>
      <c r="B101" s="4" t="s">
        <v>1078</v>
      </c>
      <c r="C101" s="42">
        <v>4.0</v>
      </c>
      <c r="D101" s="42"/>
      <c r="E101" s="8"/>
      <c r="F101" s="42">
        <v>1.0</v>
      </c>
      <c r="G101" s="42"/>
      <c r="H101" s="42">
        <v>2.4</v>
      </c>
      <c r="I101" s="42"/>
      <c r="J101" s="42"/>
      <c r="K101" s="42"/>
      <c r="L101" s="42"/>
      <c r="M101" s="8" t="s">
        <v>578</v>
      </c>
      <c r="N101" s="53">
        <f t="shared" si="3"/>
        <v>80</v>
      </c>
      <c r="O101" s="8"/>
      <c r="P101" s="54"/>
      <c r="Q101" s="54"/>
      <c r="R101" s="54">
        <v>4001.0</v>
      </c>
      <c r="S101" s="8"/>
      <c r="T101" s="8"/>
      <c r="U101" s="8">
        <v>1999.0</v>
      </c>
      <c r="V101" s="42"/>
      <c r="W101" s="8" t="s">
        <v>614</v>
      </c>
      <c r="X101" s="8" t="s">
        <v>615</v>
      </c>
      <c r="Y101" s="8"/>
      <c r="Z101" s="29" t="s">
        <v>1085</v>
      </c>
      <c r="AA101" s="11"/>
      <c r="AB101" s="11"/>
      <c r="AC101" s="11"/>
      <c r="AD101" s="14"/>
    </row>
    <row r="102" ht="15.75" customHeight="1">
      <c r="A102" s="42">
        <f t="shared" ref="A102:A156" si="4">A97+1</f>
        <v>211002</v>
      </c>
      <c r="B102" s="4" t="s">
        <v>1092</v>
      </c>
      <c r="C102" s="42">
        <v>2.0</v>
      </c>
      <c r="D102" s="42">
        <v>1.0</v>
      </c>
      <c r="E102" s="8"/>
      <c r="F102" s="42">
        <v>1.0</v>
      </c>
      <c r="G102" s="42"/>
      <c r="H102" s="42">
        <v>2.5</v>
      </c>
      <c r="I102" s="42"/>
      <c r="J102" s="42"/>
      <c r="K102" s="42"/>
      <c r="L102" s="42"/>
      <c r="M102" s="8" t="s">
        <v>578</v>
      </c>
      <c r="N102" s="53">
        <v>95.0</v>
      </c>
      <c r="O102" s="8"/>
      <c r="P102" s="54"/>
      <c r="Q102" s="54"/>
      <c r="R102" s="54" t="str">
        <f t="shared" ref="R102:R104" si="5">"4002,2004"</f>
        <v>4002,2004</v>
      </c>
      <c r="S102" s="54">
        <v>0.4</v>
      </c>
      <c r="T102" s="8"/>
      <c r="U102" s="8"/>
      <c r="V102" s="42"/>
      <c r="W102" s="60" t="s">
        <v>579</v>
      </c>
      <c r="X102" s="60" t="s">
        <v>580</v>
      </c>
      <c r="Y102" s="8"/>
      <c r="Z102" s="29" t="s">
        <v>1097</v>
      </c>
      <c r="AA102" s="11"/>
      <c r="AB102" s="11"/>
      <c r="AC102" s="11"/>
      <c r="AD102" s="14"/>
    </row>
    <row r="103" ht="15.75" customHeight="1">
      <c r="A103" s="42">
        <f t="shared" si="4"/>
        <v>212002</v>
      </c>
      <c r="B103" s="4" t="s">
        <v>1101</v>
      </c>
      <c r="C103" s="42">
        <v>2.0</v>
      </c>
      <c r="D103" s="42">
        <v>1.0</v>
      </c>
      <c r="E103" s="8"/>
      <c r="F103" s="42">
        <v>1.0</v>
      </c>
      <c r="G103" s="42"/>
      <c r="H103" s="42">
        <v>2.5</v>
      </c>
      <c r="I103" s="42"/>
      <c r="J103" s="42"/>
      <c r="K103" s="42"/>
      <c r="L103" s="42"/>
      <c r="M103" s="8" t="s">
        <v>578</v>
      </c>
      <c r="N103" s="53">
        <f t="shared" ref="N103:N106" si="6">N102-4</f>
        <v>91</v>
      </c>
      <c r="O103" s="8"/>
      <c r="P103" s="54"/>
      <c r="Q103" s="54"/>
      <c r="R103" s="54" t="str">
        <f t="shared" si="5"/>
        <v>4002,2004</v>
      </c>
      <c r="S103" s="54">
        <v>0.5</v>
      </c>
      <c r="T103" s="8"/>
      <c r="U103" s="8"/>
      <c r="V103" s="42"/>
      <c r="W103" s="60" t="s">
        <v>579</v>
      </c>
      <c r="X103" s="60" t="s">
        <v>580</v>
      </c>
      <c r="Y103" s="8"/>
      <c r="Z103" s="29" t="s">
        <v>1108</v>
      </c>
      <c r="AA103" s="11"/>
      <c r="AB103" s="11"/>
      <c r="AC103" s="11"/>
      <c r="AD103" s="14"/>
    </row>
    <row r="104" ht="15.75" customHeight="1">
      <c r="A104" s="42">
        <f t="shared" si="4"/>
        <v>213002</v>
      </c>
      <c r="B104" s="4" t="s">
        <v>1110</v>
      </c>
      <c r="C104" s="42">
        <v>3.0</v>
      </c>
      <c r="D104" s="42">
        <v>1.0</v>
      </c>
      <c r="E104" s="8"/>
      <c r="F104" s="42">
        <v>1.0</v>
      </c>
      <c r="G104" s="42"/>
      <c r="H104" s="42">
        <v>2.5</v>
      </c>
      <c r="I104" s="42"/>
      <c r="J104" s="42"/>
      <c r="K104" s="42"/>
      <c r="L104" s="42"/>
      <c r="M104" s="8" t="s">
        <v>578</v>
      </c>
      <c r="N104" s="53">
        <f t="shared" si="6"/>
        <v>87</v>
      </c>
      <c r="O104" s="8"/>
      <c r="P104" s="54"/>
      <c r="Q104" s="54"/>
      <c r="R104" s="54" t="str">
        <f t="shared" si="5"/>
        <v>4002,2004</v>
      </c>
      <c r="S104" s="54">
        <v>0.5</v>
      </c>
      <c r="T104" s="8"/>
      <c r="U104" s="8"/>
      <c r="V104" s="42"/>
      <c r="W104" s="60" t="s">
        <v>579</v>
      </c>
      <c r="X104" s="60" t="s">
        <v>580</v>
      </c>
      <c r="Y104" s="8"/>
      <c r="Z104" s="29" t="s">
        <v>1115</v>
      </c>
      <c r="AA104" s="11"/>
      <c r="AB104" s="11"/>
      <c r="AC104" s="11"/>
      <c r="AD104" s="14"/>
    </row>
    <row r="105" ht="15.75" customHeight="1">
      <c r="A105" s="42">
        <f t="shared" si="4"/>
        <v>214002</v>
      </c>
      <c r="B105" s="4" t="s">
        <v>1120</v>
      </c>
      <c r="C105" s="42">
        <v>3.0</v>
      </c>
      <c r="D105" s="42">
        <v>1.0</v>
      </c>
      <c r="E105" s="8"/>
      <c r="F105" s="42">
        <v>1.0</v>
      </c>
      <c r="G105" s="42"/>
      <c r="H105" s="42">
        <v>2.5</v>
      </c>
      <c r="I105" s="42"/>
      <c r="J105" s="42"/>
      <c r="K105" s="42"/>
      <c r="L105" s="42"/>
      <c r="M105" s="8" t="s">
        <v>578</v>
      </c>
      <c r="N105" s="53">
        <f t="shared" si="6"/>
        <v>83</v>
      </c>
      <c r="O105" s="8"/>
      <c r="P105" s="54"/>
      <c r="Q105" s="54"/>
      <c r="R105" s="54" t="str">
        <f t="shared" ref="R105:R106" si="7">"4002,2004,5003"</f>
        <v>4002,2004,5003</v>
      </c>
      <c r="S105" s="54">
        <v>0.5</v>
      </c>
      <c r="T105" s="8"/>
      <c r="U105" s="8"/>
      <c r="V105" s="42"/>
      <c r="W105" s="60" t="s">
        <v>579</v>
      </c>
      <c r="X105" s="60" t="s">
        <v>580</v>
      </c>
      <c r="Y105" s="8"/>
      <c r="Z105" s="29" t="s">
        <v>1125</v>
      </c>
      <c r="AA105" s="11"/>
      <c r="AB105" s="11"/>
      <c r="AC105" s="11"/>
      <c r="AD105" s="14"/>
    </row>
    <row r="106" ht="15.75" customHeight="1">
      <c r="A106" s="42">
        <f t="shared" si="4"/>
        <v>215002</v>
      </c>
      <c r="B106" s="4" t="s">
        <v>1131</v>
      </c>
      <c r="C106" s="42">
        <v>3.0</v>
      </c>
      <c r="D106" s="42">
        <v>1.0</v>
      </c>
      <c r="E106" s="8"/>
      <c r="F106" s="42">
        <v>1.0</v>
      </c>
      <c r="G106" s="42"/>
      <c r="H106" s="42">
        <v>2.5</v>
      </c>
      <c r="I106" s="42"/>
      <c r="J106" s="42"/>
      <c r="K106" s="42"/>
      <c r="L106" s="42"/>
      <c r="M106" s="8" t="s">
        <v>578</v>
      </c>
      <c r="N106" s="53">
        <f t="shared" si="6"/>
        <v>79</v>
      </c>
      <c r="O106" s="8"/>
      <c r="P106" s="54"/>
      <c r="Q106" s="54"/>
      <c r="R106" s="54" t="str">
        <f t="shared" si="7"/>
        <v>4002,2004,5003</v>
      </c>
      <c r="S106" s="54">
        <v>0.8</v>
      </c>
      <c r="T106" s="8"/>
      <c r="U106" s="8"/>
      <c r="V106" s="42"/>
      <c r="W106" s="60" t="s">
        <v>579</v>
      </c>
      <c r="X106" s="60" t="s">
        <v>580</v>
      </c>
      <c r="Y106" s="8"/>
      <c r="Z106" s="29" t="s">
        <v>1135</v>
      </c>
      <c r="AA106" s="11"/>
      <c r="AB106" s="11"/>
      <c r="AC106" s="11"/>
      <c r="AD106" s="14"/>
    </row>
    <row r="107" ht="15.75" customHeight="1">
      <c r="A107" s="42">
        <f t="shared" si="4"/>
        <v>211003</v>
      </c>
      <c r="B107" s="4" t="s">
        <v>1139</v>
      </c>
      <c r="C107" s="42">
        <v>-2.0</v>
      </c>
      <c r="D107" s="42"/>
      <c r="E107" s="8"/>
      <c r="F107" s="42">
        <v>1.0</v>
      </c>
      <c r="G107" s="42"/>
      <c r="H107" s="42">
        <v>2.4</v>
      </c>
      <c r="I107" s="42"/>
      <c r="J107" s="42"/>
      <c r="K107" s="42"/>
      <c r="L107" s="42"/>
      <c r="M107" s="8" t="s">
        <v>630</v>
      </c>
      <c r="N107" s="53">
        <v>48.0</v>
      </c>
      <c r="O107" s="8"/>
      <c r="P107" s="54"/>
      <c r="Q107" s="54"/>
      <c r="R107" s="54" t="str">
        <f t="shared" ref="R107:R111" si="8">"2002,2002"</f>
        <v>2002,2002</v>
      </c>
      <c r="S107" s="8"/>
      <c r="T107" s="8"/>
      <c r="U107" s="8"/>
      <c r="V107" s="42"/>
      <c r="W107" s="60" t="s">
        <v>579</v>
      </c>
      <c r="X107" s="60" t="s">
        <v>580</v>
      </c>
      <c r="Y107" s="8"/>
      <c r="Z107" s="29" t="s">
        <v>1145</v>
      </c>
      <c r="AA107" s="11"/>
      <c r="AB107" s="11"/>
      <c r="AC107" s="11"/>
      <c r="AD107" s="14"/>
    </row>
    <row r="108" ht="15.75" customHeight="1">
      <c r="A108" s="42">
        <f t="shared" si="4"/>
        <v>212003</v>
      </c>
      <c r="B108" s="4" t="s">
        <v>1149</v>
      </c>
      <c r="C108" s="42">
        <v>-2.0</v>
      </c>
      <c r="D108" s="42"/>
      <c r="E108" s="8"/>
      <c r="F108" s="42">
        <v>1.0</v>
      </c>
      <c r="G108" s="42"/>
      <c r="H108" s="42">
        <v>2.4</v>
      </c>
      <c r="I108" s="42"/>
      <c r="J108" s="42"/>
      <c r="K108" s="42"/>
      <c r="L108" s="42"/>
      <c r="M108" s="8" t="s">
        <v>630</v>
      </c>
      <c r="N108" s="53">
        <f t="shared" ref="N108:N111" si="9">N107-4</f>
        <v>44</v>
      </c>
      <c r="O108" s="8"/>
      <c r="P108" s="54"/>
      <c r="Q108" s="54"/>
      <c r="R108" s="54" t="str">
        <f t="shared" si="8"/>
        <v>2002,2002</v>
      </c>
      <c r="S108" s="8"/>
      <c r="T108" s="8" t="str">
        <f t="shared" ref="T108:T110" si="10">"4001"</f>
        <v>4001</v>
      </c>
      <c r="U108" s="8"/>
      <c r="V108" s="42"/>
      <c r="W108" s="60" t="s">
        <v>579</v>
      </c>
      <c r="X108" s="60" t="s">
        <v>580</v>
      </c>
      <c r="Y108" s="8"/>
      <c r="Z108" s="29" t="s">
        <v>1155</v>
      </c>
      <c r="AA108" s="11"/>
      <c r="AB108" s="11"/>
      <c r="AC108" s="11"/>
      <c r="AD108" s="14"/>
    </row>
    <row r="109" ht="15.75" customHeight="1">
      <c r="A109" s="42">
        <f t="shared" si="4"/>
        <v>213003</v>
      </c>
      <c r="B109" s="4" t="s">
        <v>1158</v>
      </c>
      <c r="C109" s="42">
        <v>-2.0</v>
      </c>
      <c r="D109" s="42"/>
      <c r="E109" s="8"/>
      <c r="F109" s="42">
        <v>1.0</v>
      </c>
      <c r="G109" s="42"/>
      <c r="H109" s="42">
        <v>2.4</v>
      </c>
      <c r="I109" s="42"/>
      <c r="J109" s="42"/>
      <c r="K109" s="42"/>
      <c r="L109" s="42"/>
      <c r="M109" s="8" t="s">
        <v>630</v>
      </c>
      <c r="N109" s="53">
        <f t="shared" si="9"/>
        <v>40</v>
      </c>
      <c r="O109" s="8"/>
      <c r="P109" s="54"/>
      <c r="Q109" s="54"/>
      <c r="R109" s="54" t="str">
        <f t="shared" si="8"/>
        <v>2002,2002</v>
      </c>
      <c r="S109" s="8"/>
      <c r="T109" s="8" t="str">
        <f t="shared" si="10"/>
        <v>4001</v>
      </c>
      <c r="U109" s="8"/>
      <c r="V109" s="42"/>
      <c r="W109" s="60" t="s">
        <v>579</v>
      </c>
      <c r="X109" s="60" t="s">
        <v>580</v>
      </c>
      <c r="Y109" s="8"/>
      <c r="Z109" s="29" t="s">
        <v>1162</v>
      </c>
      <c r="AA109" s="11"/>
      <c r="AB109" s="11"/>
      <c r="AC109" s="11"/>
      <c r="AD109" s="14"/>
    </row>
    <row r="110" ht="15.75" customHeight="1">
      <c r="A110" s="42">
        <f t="shared" si="4"/>
        <v>214003</v>
      </c>
      <c r="B110" s="4" t="s">
        <v>1165</v>
      </c>
      <c r="C110" s="42">
        <v>-4.0</v>
      </c>
      <c r="D110" s="42"/>
      <c r="E110" s="8"/>
      <c r="F110" s="42">
        <v>1.0</v>
      </c>
      <c r="G110" s="42"/>
      <c r="H110" s="42">
        <v>2.4</v>
      </c>
      <c r="I110" s="42"/>
      <c r="J110" s="42"/>
      <c r="K110" s="42"/>
      <c r="L110" s="42"/>
      <c r="M110" s="8" t="s">
        <v>630</v>
      </c>
      <c r="N110" s="53">
        <f t="shared" si="9"/>
        <v>36</v>
      </c>
      <c r="O110" s="8"/>
      <c r="P110" s="54"/>
      <c r="Q110" s="54"/>
      <c r="R110" s="54" t="str">
        <f t="shared" si="8"/>
        <v>2002,2002</v>
      </c>
      <c r="S110" s="8"/>
      <c r="T110" s="8" t="str">
        <f t="shared" si="10"/>
        <v>4001</v>
      </c>
      <c r="U110" s="8"/>
      <c r="V110" s="42"/>
      <c r="W110" s="60" t="s">
        <v>579</v>
      </c>
      <c r="X110" s="60" t="s">
        <v>580</v>
      </c>
      <c r="Y110" s="8"/>
      <c r="Z110" s="29" t="s">
        <v>1169</v>
      </c>
      <c r="AA110" s="11"/>
      <c r="AB110" s="11"/>
      <c r="AC110" s="11"/>
      <c r="AD110" s="14"/>
    </row>
    <row r="111" ht="15.75" customHeight="1">
      <c r="A111" s="42">
        <f t="shared" si="4"/>
        <v>215003</v>
      </c>
      <c r="B111" s="4" t="s">
        <v>1172</v>
      </c>
      <c r="C111" s="42">
        <v>-4.0</v>
      </c>
      <c r="D111" s="42"/>
      <c r="E111" s="8"/>
      <c r="F111" s="42">
        <v>1.0</v>
      </c>
      <c r="G111" s="42"/>
      <c r="H111" s="42">
        <v>2.4</v>
      </c>
      <c r="I111" s="42"/>
      <c r="J111" s="42"/>
      <c r="K111" s="42"/>
      <c r="L111" s="42"/>
      <c r="M111" s="8" t="s">
        <v>630</v>
      </c>
      <c r="N111" s="53">
        <f t="shared" si="9"/>
        <v>32</v>
      </c>
      <c r="O111" s="8"/>
      <c r="P111" s="54"/>
      <c r="Q111" s="54"/>
      <c r="R111" s="54" t="str">
        <f t="shared" si="8"/>
        <v>2002,2002</v>
      </c>
      <c r="S111" s="8"/>
      <c r="T111" s="100" t="str">
        <f>"4001,4002,4003,4004,4005,5001,5002,5003,5004"</f>
        <v>4001,4002,4003,4004,4005,5001,5002,5003,5004</v>
      </c>
      <c r="U111" s="8"/>
      <c r="V111" s="42"/>
      <c r="W111" s="60" t="s">
        <v>579</v>
      </c>
      <c r="X111" s="60" t="s">
        <v>580</v>
      </c>
      <c r="Y111" s="8"/>
      <c r="Z111" s="29" t="s">
        <v>1180</v>
      </c>
      <c r="AA111" s="11"/>
      <c r="AB111" s="11"/>
      <c r="AC111" s="11"/>
      <c r="AD111" s="14"/>
    </row>
    <row r="112" ht="14.25" customHeight="1">
      <c r="A112" s="42">
        <f t="shared" si="4"/>
        <v>211004</v>
      </c>
      <c r="B112" s="4" t="s">
        <v>1183</v>
      </c>
      <c r="C112" s="42">
        <v>4.0</v>
      </c>
      <c r="D112" s="42">
        <v>1.0</v>
      </c>
      <c r="E112" s="8"/>
      <c r="F112" s="42">
        <v>1.0</v>
      </c>
      <c r="G112" s="42">
        <v>1.25</v>
      </c>
      <c r="H112" s="42"/>
      <c r="I112" s="42"/>
      <c r="J112" s="42"/>
      <c r="K112" s="42"/>
      <c r="L112" s="42"/>
      <c r="M112" s="8" t="s">
        <v>544</v>
      </c>
      <c r="N112" s="53">
        <v>47.0</v>
      </c>
      <c r="O112" s="8"/>
      <c r="P112" s="54"/>
      <c r="Q112" s="54"/>
      <c r="R112" s="54" t="str">
        <f t="shared" ref="R112:R113" si="11">"2001,2005,2005"</f>
        <v>2001,2005,2005</v>
      </c>
      <c r="S112" s="8"/>
      <c r="T112" s="8"/>
      <c r="U112" s="8"/>
      <c r="V112" s="42"/>
      <c r="W112" s="8"/>
      <c r="X112" s="8" t="s">
        <v>546</v>
      </c>
      <c r="Y112" s="8"/>
      <c r="Z112" s="29" t="s">
        <v>1189</v>
      </c>
      <c r="AA112" s="11"/>
      <c r="AB112" s="11"/>
      <c r="AC112" s="11"/>
      <c r="AD112" s="14"/>
    </row>
    <row r="113" ht="14.25" customHeight="1">
      <c r="A113" s="42">
        <f t="shared" si="4"/>
        <v>212004</v>
      </c>
      <c r="B113" s="4" t="s">
        <v>1192</v>
      </c>
      <c r="C113" s="42">
        <v>5.0</v>
      </c>
      <c r="D113" s="42">
        <v>1.0</v>
      </c>
      <c r="E113" s="8"/>
      <c r="F113" s="42">
        <v>1.0</v>
      </c>
      <c r="G113" s="42">
        <v>1.25</v>
      </c>
      <c r="H113" s="42"/>
      <c r="I113" s="42"/>
      <c r="J113" s="42"/>
      <c r="K113" s="42"/>
      <c r="L113" s="42"/>
      <c r="M113" s="8" t="s">
        <v>544</v>
      </c>
      <c r="N113" s="53">
        <f t="shared" ref="N113:N116" si="12">N112-4</f>
        <v>43</v>
      </c>
      <c r="O113" s="8"/>
      <c r="P113" s="54"/>
      <c r="Q113" s="54"/>
      <c r="R113" s="54" t="str">
        <f t="shared" si="11"/>
        <v>2001,2005,2005</v>
      </c>
      <c r="S113" s="8"/>
      <c r="T113" s="8"/>
      <c r="U113" s="8"/>
      <c r="V113" s="42"/>
      <c r="W113" s="8"/>
      <c r="X113" s="8" t="s">
        <v>546</v>
      </c>
      <c r="Y113" s="8"/>
      <c r="Z113" s="29" t="s">
        <v>1197</v>
      </c>
      <c r="AA113" s="11"/>
      <c r="AB113" s="11"/>
      <c r="AC113" s="11"/>
      <c r="AD113" s="14"/>
    </row>
    <row r="114" ht="14.25" customHeight="1">
      <c r="A114" s="42">
        <f t="shared" si="4"/>
        <v>213004</v>
      </c>
      <c r="B114" s="4" t="s">
        <v>1203</v>
      </c>
      <c r="C114" s="42">
        <v>5.0</v>
      </c>
      <c r="D114" s="42">
        <v>1.0</v>
      </c>
      <c r="E114" s="8"/>
      <c r="F114" s="42">
        <v>1.0</v>
      </c>
      <c r="G114" s="42">
        <v>1.25</v>
      </c>
      <c r="H114" s="42"/>
      <c r="I114" s="42"/>
      <c r="J114" s="42"/>
      <c r="K114" s="42"/>
      <c r="L114" s="42"/>
      <c r="M114" s="8" t="s">
        <v>544</v>
      </c>
      <c r="N114" s="53">
        <f t="shared" si="12"/>
        <v>39</v>
      </c>
      <c r="O114" s="8"/>
      <c r="P114" s="54"/>
      <c r="Q114" s="54"/>
      <c r="R114" s="54" t="str">
        <f>"2001,2001,2004,2004,2005,2005"</f>
        <v>2001,2001,2004,2004,2005,2005</v>
      </c>
      <c r="S114" s="8"/>
      <c r="T114" s="8"/>
      <c r="U114" s="8"/>
      <c r="V114" s="42"/>
      <c r="W114" s="8"/>
      <c r="X114" s="8" t="s">
        <v>546</v>
      </c>
      <c r="Y114" s="8"/>
      <c r="Z114" s="29" t="s">
        <v>1208</v>
      </c>
      <c r="AA114" s="11"/>
      <c r="AB114" s="11"/>
      <c r="AC114" s="11"/>
      <c r="AD114" s="14"/>
    </row>
    <row r="115" ht="14.25" customHeight="1">
      <c r="A115" s="42">
        <f t="shared" si="4"/>
        <v>214004</v>
      </c>
      <c r="B115" s="4" t="s">
        <v>1212</v>
      </c>
      <c r="C115" s="42">
        <v>5.0</v>
      </c>
      <c r="D115" s="42">
        <v>1.0</v>
      </c>
      <c r="E115" s="8"/>
      <c r="F115" s="42">
        <v>1.0</v>
      </c>
      <c r="G115" s="42">
        <v>1.25</v>
      </c>
      <c r="H115" s="42"/>
      <c r="I115" s="42"/>
      <c r="J115" s="42"/>
      <c r="K115" s="42"/>
      <c r="L115" s="42"/>
      <c r="M115" s="8" t="s">
        <v>544</v>
      </c>
      <c r="N115" s="53">
        <f t="shared" si="12"/>
        <v>35</v>
      </c>
      <c r="O115" s="8"/>
      <c r="P115" s="54"/>
      <c r="Q115" s="54"/>
      <c r="R115" s="54" t="str">
        <f t="shared" ref="R115:R116" si="13">"2001,2001,2004,2004,2005,2005,2007,2007"</f>
        <v>2001,2001,2004,2004,2005,2005,2007,2007</v>
      </c>
      <c r="S115" s="8"/>
      <c r="T115" s="8"/>
      <c r="U115" s="8"/>
      <c r="V115" s="42"/>
      <c r="W115" s="8"/>
      <c r="X115" s="8" t="s">
        <v>546</v>
      </c>
      <c r="Y115" s="8"/>
      <c r="Z115" s="29" t="s">
        <v>1218</v>
      </c>
      <c r="AA115" s="11"/>
      <c r="AB115" s="11"/>
      <c r="AC115" s="11"/>
      <c r="AD115" s="14"/>
    </row>
    <row r="116" ht="14.25" customHeight="1">
      <c r="A116" s="42">
        <f t="shared" si="4"/>
        <v>215004</v>
      </c>
      <c r="B116" s="4" t="s">
        <v>1222</v>
      </c>
      <c r="C116" s="42">
        <v>5.0</v>
      </c>
      <c r="D116" s="42">
        <v>1.0</v>
      </c>
      <c r="E116" s="8"/>
      <c r="F116" s="42">
        <v>1.0</v>
      </c>
      <c r="G116" s="42">
        <v>1.25</v>
      </c>
      <c r="H116" s="42"/>
      <c r="I116" s="42"/>
      <c r="J116" s="42"/>
      <c r="K116" s="42"/>
      <c r="L116" s="42"/>
      <c r="M116" s="8" t="s">
        <v>544</v>
      </c>
      <c r="N116" s="53">
        <f t="shared" si="12"/>
        <v>31</v>
      </c>
      <c r="O116" s="8"/>
      <c r="P116" s="54"/>
      <c r="Q116" s="54"/>
      <c r="R116" s="54" t="str">
        <f t="shared" si="13"/>
        <v>2001,2001,2004,2004,2005,2005,2007,2007</v>
      </c>
      <c r="S116" s="8"/>
      <c r="T116" s="54" t="str">
        <f>"1001,1002,1003,1004,1005,1006,1007,1008,1009,1010"</f>
        <v>1001,1002,1003,1004,1005,1006,1007,1008,1009,1010</v>
      </c>
      <c r="U116" s="8"/>
      <c r="V116" s="42"/>
      <c r="W116" s="8"/>
      <c r="X116" s="8" t="s">
        <v>546</v>
      </c>
      <c r="Y116" s="8"/>
      <c r="Z116" s="29" t="s">
        <v>1229</v>
      </c>
      <c r="AA116" s="11"/>
      <c r="AB116" s="11"/>
      <c r="AC116" s="11"/>
      <c r="AD116" s="14"/>
    </row>
    <row r="117" ht="14.25" customHeight="1">
      <c r="A117" s="42">
        <f t="shared" si="4"/>
        <v>211005</v>
      </c>
      <c r="B117" s="4" t="s">
        <v>1231</v>
      </c>
      <c r="C117" s="42">
        <v>1.0</v>
      </c>
      <c r="D117" s="42">
        <v>1.0</v>
      </c>
      <c r="E117" s="8"/>
      <c r="F117" s="42">
        <v>1.0</v>
      </c>
      <c r="G117" s="42">
        <v>5.0</v>
      </c>
      <c r="H117" s="42"/>
      <c r="I117" s="42"/>
      <c r="J117" s="42"/>
      <c r="K117" s="42"/>
      <c r="L117" s="42"/>
      <c r="M117" s="8" t="s">
        <v>544</v>
      </c>
      <c r="N117" s="53">
        <v>49.0</v>
      </c>
      <c r="O117" s="8"/>
      <c r="P117" s="54">
        <v>1005.0</v>
      </c>
      <c r="R117" s="54">
        <v>2008.0</v>
      </c>
      <c r="S117" s="8"/>
      <c r="T117" s="8"/>
      <c r="U117" s="8"/>
      <c r="V117" s="42"/>
      <c r="W117" s="8"/>
      <c r="X117" s="8" t="s">
        <v>546</v>
      </c>
      <c r="Y117" s="8"/>
      <c r="Z117" s="29" t="s">
        <v>1236</v>
      </c>
      <c r="AA117" s="11"/>
      <c r="AB117" s="11"/>
      <c r="AC117" s="11"/>
      <c r="AD117" s="14"/>
    </row>
    <row r="118" ht="14.25" customHeight="1">
      <c r="A118" s="42">
        <f t="shared" si="4"/>
        <v>212005</v>
      </c>
      <c r="B118" s="4" t="s">
        <v>1238</v>
      </c>
      <c r="C118" s="42">
        <v>1.0</v>
      </c>
      <c r="D118" s="42">
        <v>1.0</v>
      </c>
      <c r="E118" s="8"/>
      <c r="F118" s="42">
        <v>1.0</v>
      </c>
      <c r="G118" s="42">
        <v>5.0</v>
      </c>
      <c r="H118" s="42"/>
      <c r="I118" s="42"/>
      <c r="J118" s="42"/>
      <c r="K118" s="42"/>
      <c r="L118" s="42"/>
      <c r="M118" s="8" t="s">
        <v>544</v>
      </c>
      <c r="N118" s="53">
        <f t="shared" ref="N118:N121" si="14">N117-4</f>
        <v>45</v>
      </c>
      <c r="O118" s="8"/>
      <c r="P118" s="54" t="str">
        <f>"1005,3003"</f>
        <v>1005,3003</v>
      </c>
      <c r="Q118" s="54"/>
      <c r="R118" s="54">
        <v>2008.0</v>
      </c>
      <c r="S118" s="8"/>
      <c r="T118" s="8"/>
      <c r="U118" s="8"/>
      <c r="V118" s="42"/>
      <c r="W118" s="8"/>
      <c r="X118" s="8" t="s">
        <v>546</v>
      </c>
      <c r="Y118" s="8"/>
      <c r="Z118" s="29" t="s">
        <v>1245</v>
      </c>
      <c r="AA118" s="11"/>
      <c r="AB118" s="11"/>
      <c r="AC118" s="11"/>
      <c r="AD118" s="14"/>
    </row>
    <row r="119" ht="14.25" customHeight="1">
      <c r="A119" s="42">
        <f t="shared" si="4"/>
        <v>213005</v>
      </c>
      <c r="B119" s="4" t="s">
        <v>1247</v>
      </c>
      <c r="C119" s="42">
        <v>1.0</v>
      </c>
      <c r="D119" s="42">
        <v>1.0</v>
      </c>
      <c r="E119" s="8"/>
      <c r="F119" s="42">
        <v>1.0</v>
      </c>
      <c r="G119" s="42">
        <v>5.0</v>
      </c>
      <c r="H119" s="42"/>
      <c r="I119" s="42"/>
      <c r="J119" s="42"/>
      <c r="K119" s="42"/>
      <c r="L119" s="42"/>
      <c r="M119" s="8" t="s">
        <v>544</v>
      </c>
      <c r="N119" s="53">
        <f t="shared" si="14"/>
        <v>41</v>
      </c>
      <c r="O119" s="8"/>
      <c r="P119" s="54" t="str">
        <f t="shared" ref="P119:P120" si="15">"1005,3003,3010"</f>
        <v>1005,3003,3010</v>
      </c>
      <c r="R119" s="54">
        <v>2008.0</v>
      </c>
      <c r="S119" s="8"/>
      <c r="T119" s="8"/>
      <c r="U119" s="8"/>
      <c r="V119" s="42"/>
      <c r="W119" s="8"/>
      <c r="X119" s="8" t="s">
        <v>546</v>
      </c>
      <c r="Y119" s="8"/>
      <c r="Z119" s="29" t="s">
        <v>1255</v>
      </c>
      <c r="AA119" s="11"/>
      <c r="AB119" s="11"/>
      <c r="AC119" s="11"/>
      <c r="AD119" s="14"/>
    </row>
    <row r="120" ht="14.25" customHeight="1">
      <c r="A120" s="42">
        <f t="shared" si="4"/>
        <v>214005</v>
      </c>
      <c r="B120" s="4" t="s">
        <v>1260</v>
      </c>
      <c r="C120" s="42">
        <v>1.0</v>
      </c>
      <c r="D120" s="42">
        <v>1.0</v>
      </c>
      <c r="E120" s="8"/>
      <c r="F120" s="42">
        <v>1.0</v>
      </c>
      <c r="G120" s="42">
        <v>5.0</v>
      </c>
      <c r="H120" s="42"/>
      <c r="I120" s="42"/>
      <c r="J120" s="42"/>
      <c r="K120" s="42"/>
      <c r="L120" s="42"/>
      <c r="M120" s="8" t="s">
        <v>544</v>
      </c>
      <c r="N120" s="53">
        <f t="shared" si="14"/>
        <v>37</v>
      </c>
      <c r="O120" s="8"/>
      <c r="P120" s="54" t="str">
        <f t="shared" si="15"/>
        <v>1005,3003,3010</v>
      </c>
      <c r="Q120" s="54"/>
      <c r="R120" s="54">
        <v>2008.0</v>
      </c>
      <c r="S120" s="8"/>
      <c r="T120" s="8"/>
      <c r="U120" s="8"/>
      <c r="V120" s="42"/>
      <c r="W120" s="8"/>
      <c r="X120" s="8" t="s">
        <v>546</v>
      </c>
      <c r="Y120" s="8"/>
      <c r="Z120" s="29" t="s">
        <v>1255</v>
      </c>
      <c r="AA120" s="11"/>
      <c r="AB120" s="11"/>
      <c r="AC120" s="11"/>
      <c r="AD120" s="14"/>
    </row>
    <row r="121" ht="14.25" customHeight="1">
      <c r="A121" s="42">
        <f t="shared" si="4"/>
        <v>215005</v>
      </c>
      <c r="B121" s="4" t="s">
        <v>1264</v>
      </c>
      <c r="C121" s="42">
        <v>1.0</v>
      </c>
      <c r="D121" s="42">
        <v>1.0</v>
      </c>
      <c r="E121" s="8"/>
      <c r="F121" s="42">
        <v>1.0</v>
      </c>
      <c r="G121" s="42">
        <v>5.0</v>
      </c>
      <c r="H121" s="42"/>
      <c r="I121" s="42"/>
      <c r="J121" s="42"/>
      <c r="K121" s="42"/>
      <c r="L121" s="42"/>
      <c r="M121" s="8" t="s">
        <v>544</v>
      </c>
      <c r="N121" s="53">
        <f t="shared" si="14"/>
        <v>33</v>
      </c>
      <c r="O121" s="8"/>
      <c r="P121" s="54" t="str">
        <f>"1005,3003,3010,3011"</f>
        <v>1005,3003,3010,3011</v>
      </c>
      <c r="Q121" s="54"/>
      <c r="R121" s="54">
        <v>1005.0</v>
      </c>
      <c r="S121" s="8"/>
      <c r="T121" s="8"/>
      <c r="U121" s="8"/>
      <c r="V121" s="42"/>
      <c r="W121" s="8"/>
      <c r="X121" s="8" t="s">
        <v>546</v>
      </c>
      <c r="Y121" s="8"/>
      <c r="Z121" s="29" t="s">
        <v>1269</v>
      </c>
      <c r="AA121" s="11"/>
      <c r="AB121" s="11"/>
      <c r="AC121" s="11"/>
      <c r="AD121" s="14"/>
    </row>
    <row r="122" ht="15.75" customHeight="1">
      <c r="A122" s="42">
        <f t="shared" si="4"/>
        <v>211006</v>
      </c>
      <c r="B122" s="4" t="s">
        <v>1272</v>
      </c>
      <c r="C122" s="42">
        <v>-2.0</v>
      </c>
      <c r="D122" s="42">
        <v>1.0</v>
      </c>
      <c r="E122" s="8"/>
      <c r="F122" s="42">
        <v>1.0</v>
      </c>
      <c r="G122" s="42"/>
      <c r="H122" s="42"/>
      <c r="I122" s="42"/>
      <c r="J122" s="42"/>
      <c r="K122" s="42"/>
      <c r="L122" s="42"/>
      <c r="M122" s="8"/>
      <c r="N122" s="53">
        <v>80.0</v>
      </c>
      <c r="O122" s="8"/>
      <c r="P122" s="54">
        <v>3001.0</v>
      </c>
      <c r="Q122" s="54"/>
      <c r="R122" s="54">
        <v>1996.0</v>
      </c>
      <c r="S122" s="8"/>
      <c r="T122" s="8"/>
      <c r="U122" s="8"/>
      <c r="V122" s="42"/>
      <c r="W122" s="8"/>
      <c r="X122" s="60" t="s">
        <v>647</v>
      </c>
      <c r="Y122" s="8"/>
      <c r="Z122" s="29" t="s">
        <v>1276</v>
      </c>
      <c r="AA122" s="11"/>
      <c r="AB122" s="11"/>
      <c r="AC122" s="11"/>
      <c r="AD122" s="14"/>
    </row>
    <row r="123" ht="15.75" customHeight="1">
      <c r="A123" s="42">
        <f t="shared" si="4"/>
        <v>212006</v>
      </c>
      <c r="B123" s="4" t="s">
        <v>1279</v>
      </c>
      <c r="C123" s="42">
        <v>-2.0</v>
      </c>
      <c r="D123" s="42">
        <v>1.0</v>
      </c>
      <c r="E123" s="8"/>
      <c r="F123" s="42">
        <v>1.0</v>
      </c>
      <c r="G123" s="42"/>
      <c r="H123" s="42"/>
      <c r="I123" s="42"/>
      <c r="J123" s="42"/>
      <c r="K123" s="42"/>
      <c r="L123" s="42"/>
      <c r="M123" s="8"/>
      <c r="N123" s="53">
        <f t="shared" ref="N123:N126" si="16">N122-4</f>
        <v>76</v>
      </c>
      <c r="O123" s="8"/>
      <c r="P123" s="54" t="str">
        <f t="shared" ref="P123:P124" si="17">"3001,1012"</f>
        <v>3001,1012</v>
      </c>
      <c r="Q123" s="54"/>
      <c r="R123" s="54">
        <v>1996.0</v>
      </c>
      <c r="S123" s="8"/>
      <c r="T123" s="8"/>
      <c r="U123" s="8"/>
      <c r="V123" s="42"/>
      <c r="W123" s="8"/>
      <c r="X123" s="60" t="s">
        <v>647</v>
      </c>
      <c r="Y123" s="8"/>
      <c r="Z123" s="29" t="s">
        <v>1286</v>
      </c>
      <c r="AA123" s="11"/>
      <c r="AB123" s="11"/>
      <c r="AC123" s="11"/>
      <c r="AD123" s="14"/>
    </row>
    <row r="124" ht="15.75" customHeight="1">
      <c r="A124" s="42">
        <f t="shared" si="4"/>
        <v>213006</v>
      </c>
      <c r="B124" s="4" t="s">
        <v>1290</v>
      </c>
      <c r="C124" s="42">
        <v>-3.0</v>
      </c>
      <c r="D124" s="42">
        <v>1.0</v>
      </c>
      <c r="E124" s="8"/>
      <c r="F124" s="42">
        <v>1.0</v>
      </c>
      <c r="G124" s="42"/>
      <c r="H124" s="42"/>
      <c r="I124" s="42"/>
      <c r="J124" s="42"/>
      <c r="K124" s="42"/>
      <c r="L124" s="42"/>
      <c r="M124" s="8"/>
      <c r="N124" s="53">
        <f t="shared" si="16"/>
        <v>72</v>
      </c>
      <c r="O124" s="8"/>
      <c r="P124" s="54" t="str">
        <f t="shared" si="17"/>
        <v>3001,1012</v>
      </c>
      <c r="Q124" s="54"/>
      <c r="R124" s="54">
        <v>1996.0</v>
      </c>
      <c r="S124" s="8"/>
      <c r="T124" s="8"/>
      <c r="U124" s="8"/>
      <c r="V124" s="42"/>
      <c r="W124" s="8"/>
      <c r="X124" s="60" t="s">
        <v>647</v>
      </c>
      <c r="Y124" s="8"/>
      <c r="Z124" s="29" t="s">
        <v>1293</v>
      </c>
      <c r="AA124" s="11"/>
      <c r="AB124" s="11"/>
      <c r="AC124" s="11"/>
      <c r="AD124" s="14"/>
    </row>
    <row r="125" ht="15.75" customHeight="1">
      <c r="A125" s="42">
        <f t="shared" si="4"/>
        <v>214006</v>
      </c>
      <c r="B125" s="4" t="s">
        <v>1295</v>
      </c>
      <c r="C125" s="42">
        <v>-3.0</v>
      </c>
      <c r="D125" s="42">
        <v>1.0</v>
      </c>
      <c r="E125" s="8"/>
      <c r="F125" s="42">
        <v>1.0</v>
      </c>
      <c r="G125" s="42"/>
      <c r="H125" s="42"/>
      <c r="I125" s="42"/>
      <c r="J125" s="42"/>
      <c r="K125" s="42"/>
      <c r="L125" s="42"/>
      <c r="M125" s="8"/>
      <c r="N125" s="53">
        <f t="shared" si="16"/>
        <v>68</v>
      </c>
      <c r="O125" s="8"/>
      <c r="P125" s="54" t="str">
        <f t="shared" ref="P125:P126" si="18">"3001,1012,1012"</f>
        <v>3001,1012,1012</v>
      </c>
      <c r="Q125" s="54"/>
      <c r="R125" s="54">
        <v>1996.0</v>
      </c>
      <c r="S125" s="8"/>
      <c r="T125" s="8"/>
      <c r="U125" s="8"/>
      <c r="V125" s="42"/>
      <c r="W125" s="8"/>
      <c r="X125" s="60" t="s">
        <v>647</v>
      </c>
      <c r="Y125" s="8"/>
      <c r="Z125" s="29" t="s">
        <v>1298</v>
      </c>
      <c r="AA125" s="11"/>
      <c r="AB125" s="11"/>
      <c r="AC125" s="11"/>
      <c r="AD125" s="14"/>
    </row>
    <row r="126" ht="15.75" customHeight="1">
      <c r="A126" s="42">
        <f t="shared" si="4"/>
        <v>215006</v>
      </c>
      <c r="B126" s="4" t="s">
        <v>1302</v>
      </c>
      <c r="C126" s="42">
        <v>-3.0</v>
      </c>
      <c r="D126" s="42">
        <v>1.0</v>
      </c>
      <c r="E126" s="8"/>
      <c r="F126" s="42">
        <v>1.0</v>
      </c>
      <c r="G126" s="42"/>
      <c r="H126" s="42"/>
      <c r="I126" s="42"/>
      <c r="J126" s="42"/>
      <c r="K126" s="42"/>
      <c r="L126" s="42"/>
      <c r="M126" s="8"/>
      <c r="N126" s="53">
        <f t="shared" si="16"/>
        <v>64</v>
      </c>
      <c r="O126" s="8"/>
      <c r="P126" s="54" t="str">
        <f t="shared" si="18"/>
        <v>3001,1012,1012</v>
      </c>
      <c r="Q126" s="54"/>
      <c r="R126" s="54">
        <v>1996.0</v>
      </c>
      <c r="S126" s="8"/>
      <c r="T126" s="8"/>
      <c r="U126" s="8">
        <v>4002.0</v>
      </c>
      <c r="V126" s="42"/>
      <c r="W126" s="8"/>
      <c r="X126" s="60" t="s">
        <v>647</v>
      </c>
      <c r="Y126" s="8"/>
      <c r="Z126" s="29" t="s">
        <v>1305</v>
      </c>
      <c r="AA126" s="11"/>
      <c r="AB126" s="11"/>
      <c r="AC126" s="11"/>
      <c r="AD126" s="14"/>
    </row>
    <row r="127" ht="15.75" customHeight="1">
      <c r="A127" s="42">
        <f t="shared" si="4"/>
        <v>211007</v>
      </c>
      <c r="B127" s="4" t="s">
        <v>1308</v>
      </c>
      <c r="C127" s="42">
        <v>-2.0</v>
      </c>
      <c r="D127" s="42"/>
      <c r="E127" s="8"/>
      <c r="F127" s="42">
        <v>1.0</v>
      </c>
      <c r="G127" s="42"/>
      <c r="H127" s="42">
        <v>2.5</v>
      </c>
      <c r="I127" s="42"/>
      <c r="J127" s="42"/>
      <c r="K127" s="42"/>
      <c r="L127" s="42"/>
      <c r="M127" s="8" t="s">
        <v>656</v>
      </c>
      <c r="N127" s="53">
        <v>48.0</v>
      </c>
      <c r="O127" s="8"/>
      <c r="P127" s="54"/>
      <c r="Q127" s="54"/>
      <c r="R127" s="54" t="str">
        <f t="shared" ref="R127:R129" si="19">"1999,1996"</f>
        <v>1999,1996</v>
      </c>
      <c r="S127" s="8"/>
      <c r="T127" s="8"/>
      <c r="U127" s="8"/>
      <c r="V127" s="42"/>
      <c r="W127" s="8"/>
      <c r="X127" s="60" t="s">
        <v>647</v>
      </c>
      <c r="Y127" s="8"/>
      <c r="Z127" s="29" t="s">
        <v>1313</v>
      </c>
      <c r="AA127" s="11"/>
      <c r="AB127" s="11"/>
      <c r="AC127" s="11"/>
      <c r="AD127" s="14"/>
    </row>
    <row r="128" ht="15.75" customHeight="1">
      <c r="A128" s="42">
        <f t="shared" si="4"/>
        <v>212007</v>
      </c>
      <c r="B128" s="4" t="s">
        <v>1317</v>
      </c>
      <c r="C128" s="42">
        <v>-2.0</v>
      </c>
      <c r="D128" s="42"/>
      <c r="E128" s="8"/>
      <c r="F128" s="42">
        <v>1.0</v>
      </c>
      <c r="G128" s="42"/>
      <c r="H128" s="42">
        <v>2.5</v>
      </c>
      <c r="I128" s="42"/>
      <c r="J128" s="42"/>
      <c r="K128" s="42"/>
      <c r="L128" s="42"/>
      <c r="M128" s="8" t="s">
        <v>656</v>
      </c>
      <c r="N128" s="53">
        <f t="shared" ref="N128:N131" si="20">N127-4</f>
        <v>44</v>
      </c>
      <c r="O128" s="8"/>
      <c r="P128" s="54">
        <v>3003.0</v>
      </c>
      <c r="Q128" s="54"/>
      <c r="R128" s="54" t="str">
        <f t="shared" si="19"/>
        <v>1999,1996</v>
      </c>
      <c r="S128" s="8"/>
      <c r="T128" s="8"/>
      <c r="U128" s="8"/>
      <c r="V128" s="42"/>
      <c r="W128" s="8"/>
      <c r="X128" s="60" t="s">
        <v>647</v>
      </c>
      <c r="Y128" s="8"/>
      <c r="Z128" s="29" t="s">
        <v>1321</v>
      </c>
      <c r="AA128" s="11"/>
      <c r="AB128" s="11"/>
      <c r="AC128" s="11"/>
      <c r="AD128" s="14"/>
    </row>
    <row r="129" ht="15.75" customHeight="1">
      <c r="A129" s="42">
        <f t="shared" si="4"/>
        <v>213007</v>
      </c>
      <c r="B129" s="4" t="s">
        <v>1325</v>
      </c>
      <c r="C129" s="42">
        <v>-2.0</v>
      </c>
      <c r="D129" s="42"/>
      <c r="E129" s="8"/>
      <c r="F129" s="42">
        <v>1.0</v>
      </c>
      <c r="G129" s="42"/>
      <c r="H129" s="42">
        <v>2.5</v>
      </c>
      <c r="I129" s="42"/>
      <c r="J129" s="42"/>
      <c r="K129" s="42"/>
      <c r="L129" s="42"/>
      <c r="M129" s="8" t="s">
        <v>656</v>
      </c>
      <c r="N129" s="53">
        <f t="shared" si="20"/>
        <v>40</v>
      </c>
      <c r="O129" s="8"/>
      <c r="P129" s="54" t="str">
        <f t="shared" ref="P129:P131" si="21">"3003,1997"</f>
        <v>3003,1997</v>
      </c>
      <c r="Q129" s="54"/>
      <c r="R129" s="54" t="str">
        <f t="shared" si="19"/>
        <v>1999,1996</v>
      </c>
      <c r="S129" s="8"/>
      <c r="T129" s="8"/>
      <c r="U129" s="8"/>
      <c r="V129" s="42"/>
      <c r="W129" s="8"/>
      <c r="X129" s="60" t="s">
        <v>647</v>
      </c>
      <c r="Y129" s="8"/>
      <c r="Z129" s="29" t="s">
        <v>1331</v>
      </c>
      <c r="AA129" s="11"/>
      <c r="AB129" s="11"/>
      <c r="AC129" s="11"/>
      <c r="AD129" s="14"/>
    </row>
    <row r="130" ht="15.75" customHeight="1">
      <c r="A130" s="42">
        <f t="shared" si="4"/>
        <v>214007</v>
      </c>
      <c r="B130" s="4" t="s">
        <v>1334</v>
      </c>
      <c r="C130" s="42">
        <v>-2.0</v>
      </c>
      <c r="D130" s="42"/>
      <c r="E130" s="8"/>
      <c r="F130" s="42">
        <v>1.0</v>
      </c>
      <c r="G130" s="42"/>
      <c r="H130" s="42">
        <v>2.5</v>
      </c>
      <c r="I130" s="42"/>
      <c r="J130" s="42"/>
      <c r="K130" s="42"/>
      <c r="L130" s="42"/>
      <c r="M130" s="8" t="s">
        <v>656</v>
      </c>
      <c r="N130" s="53">
        <f t="shared" si="20"/>
        <v>36</v>
      </c>
      <c r="O130" s="8"/>
      <c r="P130" s="54" t="str">
        <f t="shared" si="21"/>
        <v>3003,1997</v>
      </c>
      <c r="Q130" s="54"/>
      <c r="R130" s="54" t="str">
        <f t="shared" ref="R130:R131" si="22">"1999,1996,1002,1004"</f>
        <v>1999,1996,1002,1004</v>
      </c>
      <c r="S130" s="8"/>
      <c r="T130" s="8"/>
      <c r="U130" s="8"/>
      <c r="V130" s="42"/>
      <c r="W130" s="8"/>
      <c r="X130" s="60" t="s">
        <v>647</v>
      </c>
      <c r="Y130" s="8"/>
      <c r="Z130" s="29" t="s">
        <v>1339</v>
      </c>
      <c r="AA130" s="11"/>
      <c r="AB130" s="11"/>
      <c r="AC130" s="11"/>
      <c r="AD130" s="14"/>
    </row>
    <row r="131" ht="15.75" customHeight="1">
      <c r="A131" s="42">
        <f t="shared" si="4"/>
        <v>215007</v>
      </c>
      <c r="B131" s="4" t="s">
        <v>1342</v>
      </c>
      <c r="C131" s="42">
        <v>-3.0</v>
      </c>
      <c r="D131" s="42"/>
      <c r="E131" s="8"/>
      <c r="F131" s="42">
        <v>1.0</v>
      </c>
      <c r="G131" s="42"/>
      <c r="H131" s="42">
        <v>2.5</v>
      </c>
      <c r="I131" s="42"/>
      <c r="J131" s="42"/>
      <c r="K131" s="42"/>
      <c r="L131" s="42"/>
      <c r="M131" s="8" t="s">
        <v>656</v>
      </c>
      <c r="N131" s="53">
        <f t="shared" si="20"/>
        <v>32</v>
      </c>
      <c r="O131" s="8"/>
      <c r="P131" s="54" t="str">
        <f t="shared" si="21"/>
        <v>3003,1997</v>
      </c>
      <c r="Q131" s="54"/>
      <c r="R131" s="54" t="str">
        <f t="shared" si="22"/>
        <v>1999,1996,1002,1004</v>
      </c>
      <c r="S131" s="8"/>
      <c r="T131" s="8"/>
      <c r="U131" s="8"/>
      <c r="V131" s="42"/>
      <c r="W131" s="8"/>
      <c r="X131" s="60" t="s">
        <v>647</v>
      </c>
      <c r="Y131" s="8"/>
      <c r="Z131" s="29" t="s">
        <v>1345</v>
      </c>
      <c r="AA131" s="11"/>
      <c r="AB131" s="11"/>
      <c r="AC131" s="11"/>
      <c r="AD131" s="14"/>
    </row>
    <row r="132" ht="15.75" customHeight="1">
      <c r="A132" s="42">
        <f t="shared" si="4"/>
        <v>211008</v>
      </c>
      <c r="B132" s="63" t="s">
        <v>1350</v>
      </c>
      <c r="C132" s="42">
        <v>1.0</v>
      </c>
      <c r="D132" s="64"/>
      <c r="E132" s="8"/>
      <c r="F132" s="42">
        <v>1.0</v>
      </c>
      <c r="G132" s="64"/>
      <c r="H132" s="64">
        <v>4.8</v>
      </c>
      <c r="I132" s="42"/>
      <c r="J132" s="42"/>
      <c r="K132" s="42"/>
      <c r="L132" s="42"/>
      <c r="M132" s="8" t="s">
        <v>578</v>
      </c>
      <c r="N132" s="53">
        <v>96.0</v>
      </c>
      <c r="O132" s="63"/>
      <c r="P132" s="65">
        <v>1003.0</v>
      </c>
      <c r="Q132" s="65"/>
      <c r="R132" s="65">
        <v>4001.0</v>
      </c>
      <c r="S132" s="63">
        <v>0.5</v>
      </c>
      <c r="T132" s="63"/>
      <c r="U132" s="63"/>
      <c r="V132" s="64"/>
      <c r="W132" s="60" t="s">
        <v>579</v>
      </c>
      <c r="X132" s="60" t="s">
        <v>580</v>
      </c>
      <c r="Y132" s="60"/>
      <c r="Z132" s="29" t="s">
        <v>1355</v>
      </c>
      <c r="AA132" s="11"/>
      <c r="AB132" s="11"/>
      <c r="AC132" s="11"/>
      <c r="AD132" s="14"/>
    </row>
    <row r="133" ht="15.75" customHeight="1">
      <c r="A133" s="42">
        <f t="shared" si="4"/>
        <v>212008</v>
      </c>
      <c r="B133" s="63" t="s">
        <v>1357</v>
      </c>
      <c r="C133" s="42">
        <v>1.0</v>
      </c>
      <c r="D133" s="64"/>
      <c r="E133" s="8"/>
      <c r="F133" s="42">
        <v>1.0</v>
      </c>
      <c r="G133" s="64"/>
      <c r="H133" s="64">
        <v>4.8</v>
      </c>
      <c r="I133" s="42"/>
      <c r="J133" s="42"/>
      <c r="K133" s="42"/>
      <c r="L133" s="42"/>
      <c r="M133" s="8" t="s">
        <v>578</v>
      </c>
      <c r="N133" s="53">
        <f t="shared" ref="N133:N136" si="23">N132-4</f>
        <v>92</v>
      </c>
      <c r="O133" s="63"/>
      <c r="P133" s="65"/>
      <c r="Q133" s="65"/>
      <c r="R133" s="65">
        <v>4001.0</v>
      </c>
      <c r="S133" s="63"/>
      <c r="T133" s="63"/>
      <c r="U133" s="63"/>
      <c r="V133" s="64"/>
      <c r="W133" s="60" t="s">
        <v>579</v>
      </c>
      <c r="X133" s="60" t="s">
        <v>580</v>
      </c>
      <c r="Y133" s="60"/>
      <c r="Z133" s="29" t="s">
        <v>1362</v>
      </c>
      <c r="AA133" s="11"/>
      <c r="AB133" s="11"/>
      <c r="AC133" s="11"/>
      <c r="AD133" s="14"/>
    </row>
    <row r="134" ht="15.75" customHeight="1">
      <c r="A134" s="42">
        <f t="shared" si="4"/>
        <v>213008</v>
      </c>
      <c r="B134" s="63" t="s">
        <v>1366</v>
      </c>
      <c r="C134" s="42">
        <v>2.0</v>
      </c>
      <c r="D134" s="64"/>
      <c r="E134" s="8"/>
      <c r="F134" s="42">
        <v>1.0</v>
      </c>
      <c r="G134" s="64"/>
      <c r="H134" s="64">
        <v>4.8</v>
      </c>
      <c r="I134" s="42"/>
      <c r="J134" s="42"/>
      <c r="K134" s="42"/>
      <c r="L134" s="42"/>
      <c r="M134" s="8" t="s">
        <v>578</v>
      </c>
      <c r="N134" s="53">
        <f t="shared" si="23"/>
        <v>88</v>
      </c>
      <c r="O134" s="63"/>
      <c r="P134" s="65"/>
      <c r="Q134" s="65"/>
      <c r="R134" s="65">
        <v>4001.0</v>
      </c>
      <c r="S134" s="63"/>
      <c r="T134" s="63"/>
      <c r="U134" s="63"/>
      <c r="V134" s="64"/>
      <c r="W134" s="60" t="s">
        <v>579</v>
      </c>
      <c r="X134" s="60" t="s">
        <v>580</v>
      </c>
      <c r="Y134" s="60"/>
      <c r="Z134" s="29" t="s">
        <v>1369</v>
      </c>
      <c r="AA134" s="11"/>
      <c r="AB134" s="11"/>
      <c r="AC134" s="11"/>
      <c r="AD134" s="14"/>
    </row>
    <row r="135" ht="15.75" customHeight="1">
      <c r="A135" s="42">
        <f t="shared" si="4"/>
        <v>214008</v>
      </c>
      <c r="B135" s="63" t="s">
        <v>1373</v>
      </c>
      <c r="C135" s="42">
        <v>2.0</v>
      </c>
      <c r="D135" s="64"/>
      <c r="E135" s="8"/>
      <c r="F135" s="42">
        <v>1.0</v>
      </c>
      <c r="G135" s="64"/>
      <c r="H135" s="64">
        <v>4.8</v>
      </c>
      <c r="I135" s="42"/>
      <c r="J135" s="42"/>
      <c r="K135" s="42"/>
      <c r="L135" s="42"/>
      <c r="M135" s="8" t="s">
        <v>578</v>
      </c>
      <c r="N135" s="53">
        <f t="shared" si="23"/>
        <v>84</v>
      </c>
      <c r="O135" s="63"/>
      <c r="P135" s="65">
        <v>3003.0</v>
      </c>
      <c r="Q135" s="65"/>
      <c r="R135" s="65">
        <v>4001.0</v>
      </c>
      <c r="S135" s="63"/>
      <c r="T135" s="63"/>
      <c r="U135" s="63"/>
      <c r="V135" s="64"/>
      <c r="W135" s="60" t="s">
        <v>579</v>
      </c>
      <c r="X135" s="60" t="s">
        <v>580</v>
      </c>
      <c r="Y135" s="60"/>
      <c r="Z135" s="29" t="s">
        <v>1378</v>
      </c>
      <c r="AA135" s="11"/>
      <c r="AB135" s="11"/>
      <c r="AC135" s="11"/>
      <c r="AD135" s="14"/>
    </row>
    <row r="136" ht="15.75" customHeight="1">
      <c r="A136" s="42">
        <f t="shared" si="4"/>
        <v>215008</v>
      </c>
      <c r="B136" s="63" t="s">
        <v>1381</v>
      </c>
      <c r="C136" s="42">
        <v>3.0</v>
      </c>
      <c r="D136" s="64"/>
      <c r="E136" s="8"/>
      <c r="F136" s="42">
        <v>1.0</v>
      </c>
      <c r="G136" s="64"/>
      <c r="H136" s="64">
        <v>4.8</v>
      </c>
      <c r="I136" s="42"/>
      <c r="J136" s="42"/>
      <c r="K136" s="42"/>
      <c r="L136" s="42"/>
      <c r="M136" s="8" t="s">
        <v>578</v>
      </c>
      <c r="N136" s="53">
        <f t="shared" si="23"/>
        <v>80</v>
      </c>
      <c r="O136" s="63"/>
      <c r="P136" s="65">
        <v>3003.0</v>
      </c>
      <c r="Q136" s="65"/>
      <c r="R136" s="65">
        <v>4001.0</v>
      </c>
      <c r="S136" s="63"/>
      <c r="T136" s="63"/>
      <c r="U136" s="63"/>
      <c r="V136" s="64"/>
      <c r="W136" s="60" t="s">
        <v>579</v>
      </c>
      <c r="X136" s="60" t="s">
        <v>580</v>
      </c>
      <c r="Y136" s="60"/>
      <c r="Z136" s="29" t="s">
        <v>1387</v>
      </c>
      <c r="AA136" s="11"/>
      <c r="AB136" s="11"/>
      <c r="AC136" s="11"/>
      <c r="AD136" s="14"/>
    </row>
    <row r="137" ht="15.75" customHeight="1">
      <c r="A137" s="42">
        <f t="shared" si="4"/>
        <v>211009</v>
      </c>
      <c r="B137" s="63" t="s">
        <v>1391</v>
      </c>
      <c r="C137" s="42">
        <v>1.0</v>
      </c>
      <c r="D137" s="64"/>
      <c r="E137" s="8"/>
      <c r="F137" s="42">
        <v>1.0</v>
      </c>
      <c r="G137" s="64">
        <v>4.8</v>
      </c>
      <c r="H137" s="64"/>
      <c r="I137" s="42"/>
      <c r="J137" s="42"/>
      <c r="K137" s="42"/>
      <c r="L137" s="42"/>
      <c r="M137" s="8" t="s">
        <v>544</v>
      </c>
      <c r="N137" s="53">
        <v>96.0</v>
      </c>
      <c r="O137" s="63"/>
      <c r="P137" s="65" t="str">
        <f>"1005,3003"</f>
        <v>1005,3003</v>
      </c>
      <c r="Q137" s="65"/>
      <c r="R137" s="65"/>
      <c r="S137" s="63"/>
      <c r="T137" s="63"/>
      <c r="U137" s="63"/>
      <c r="V137" s="64"/>
      <c r="W137" s="60" t="s">
        <v>579</v>
      </c>
      <c r="X137" s="60" t="s">
        <v>580</v>
      </c>
      <c r="Y137" s="60"/>
      <c r="Z137" s="29" t="s">
        <v>1395</v>
      </c>
      <c r="AA137" s="11"/>
      <c r="AB137" s="11"/>
      <c r="AC137" s="11"/>
      <c r="AD137" s="14"/>
    </row>
    <row r="138" ht="15.75" customHeight="1">
      <c r="A138" s="42">
        <f t="shared" si="4"/>
        <v>212009</v>
      </c>
      <c r="B138" s="63" t="s">
        <v>1397</v>
      </c>
      <c r="C138" s="42">
        <v>1.0</v>
      </c>
      <c r="D138" s="64"/>
      <c r="E138" s="8"/>
      <c r="F138" s="42">
        <v>1.0</v>
      </c>
      <c r="G138" s="64">
        <v>4.8</v>
      </c>
      <c r="H138" s="64"/>
      <c r="I138" s="42"/>
      <c r="J138" s="42"/>
      <c r="K138" s="42"/>
      <c r="L138" s="42"/>
      <c r="M138" s="8" t="s">
        <v>544</v>
      </c>
      <c r="N138" s="53">
        <f t="shared" ref="N138:N141" si="24">N137-4</f>
        <v>92</v>
      </c>
      <c r="O138" s="63"/>
      <c r="P138" s="65" t="str">
        <f>"1005,3003,1007"</f>
        <v>1005,3003,1007</v>
      </c>
      <c r="Q138" s="65"/>
      <c r="R138" s="65"/>
      <c r="S138" s="63"/>
      <c r="T138" s="63"/>
      <c r="U138" s="63"/>
      <c r="V138" s="64"/>
      <c r="W138" s="60" t="s">
        <v>579</v>
      </c>
      <c r="X138" s="60" t="s">
        <v>580</v>
      </c>
      <c r="Y138" s="60"/>
      <c r="Z138" s="29" t="s">
        <v>1403</v>
      </c>
      <c r="AA138" s="11"/>
      <c r="AB138" s="11"/>
      <c r="AC138" s="11"/>
      <c r="AD138" s="14"/>
    </row>
    <row r="139" ht="15.75" customHeight="1">
      <c r="A139" s="42">
        <f t="shared" si="4"/>
        <v>213009</v>
      </c>
      <c r="B139" s="63" t="s">
        <v>1397</v>
      </c>
      <c r="C139" s="42">
        <v>1.0</v>
      </c>
      <c r="D139" s="64"/>
      <c r="E139" s="8"/>
      <c r="F139" s="42">
        <v>1.0</v>
      </c>
      <c r="G139" s="64">
        <v>4.8</v>
      </c>
      <c r="H139" s="64"/>
      <c r="I139" s="42"/>
      <c r="J139" s="42"/>
      <c r="K139" s="42"/>
      <c r="L139" s="42"/>
      <c r="M139" s="8" t="s">
        <v>544</v>
      </c>
      <c r="N139" s="53">
        <f t="shared" si="24"/>
        <v>88</v>
      </c>
      <c r="O139" s="63"/>
      <c r="P139" s="65" t="str">
        <f t="shared" ref="P139:P140" si="25">"1005,3003,1007,1006"</f>
        <v>1005,3003,1007,1006</v>
      </c>
      <c r="Q139" s="65"/>
      <c r="R139" s="65"/>
      <c r="S139" s="63"/>
      <c r="T139" s="63"/>
      <c r="U139" s="63"/>
      <c r="V139" s="64"/>
      <c r="W139" s="60" t="s">
        <v>579</v>
      </c>
      <c r="X139" s="60" t="s">
        <v>580</v>
      </c>
      <c r="Y139" s="60"/>
      <c r="Z139" s="29" t="s">
        <v>1408</v>
      </c>
      <c r="AA139" s="11"/>
      <c r="AB139" s="11"/>
      <c r="AC139" s="11"/>
      <c r="AD139" s="14"/>
    </row>
    <row r="140" ht="15.75" customHeight="1">
      <c r="A140" s="42">
        <f t="shared" si="4"/>
        <v>214009</v>
      </c>
      <c r="B140" s="63" t="s">
        <v>1397</v>
      </c>
      <c r="C140" s="42">
        <v>2.0</v>
      </c>
      <c r="D140" s="64"/>
      <c r="E140" s="8"/>
      <c r="F140" s="42">
        <v>1.0</v>
      </c>
      <c r="G140" s="64">
        <v>4.8</v>
      </c>
      <c r="H140" s="64"/>
      <c r="I140" s="42"/>
      <c r="J140" s="42"/>
      <c r="K140" s="42"/>
      <c r="L140" s="42"/>
      <c r="M140" s="8" t="s">
        <v>544</v>
      </c>
      <c r="N140" s="53">
        <f t="shared" si="24"/>
        <v>84</v>
      </c>
      <c r="O140" s="63"/>
      <c r="P140" s="65" t="str">
        <f t="shared" si="25"/>
        <v>1005,3003,1007,1006</v>
      </c>
      <c r="Q140" s="65"/>
      <c r="R140" s="65"/>
      <c r="S140" s="63"/>
      <c r="T140" s="63"/>
      <c r="U140" s="63"/>
      <c r="V140" s="64"/>
      <c r="W140" s="60" t="s">
        <v>579</v>
      </c>
      <c r="X140" s="60" t="s">
        <v>580</v>
      </c>
      <c r="Y140" s="60"/>
      <c r="Z140" s="29" t="s">
        <v>1413</v>
      </c>
      <c r="AA140" s="11"/>
      <c r="AB140" s="11"/>
      <c r="AC140" s="11"/>
      <c r="AD140" s="14"/>
    </row>
    <row r="141" ht="15.75" customHeight="1">
      <c r="A141" s="42">
        <f t="shared" si="4"/>
        <v>215009</v>
      </c>
      <c r="B141" s="63" t="s">
        <v>1418</v>
      </c>
      <c r="C141" s="42">
        <v>2.0</v>
      </c>
      <c r="D141" s="64"/>
      <c r="E141" s="8"/>
      <c r="F141" s="42">
        <v>1.0</v>
      </c>
      <c r="G141" s="64">
        <v>4.8</v>
      </c>
      <c r="H141" s="64"/>
      <c r="I141" s="42"/>
      <c r="J141" s="42"/>
      <c r="K141" s="42"/>
      <c r="L141" s="42"/>
      <c r="M141" s="8" t="s">
        <v>544</v>
      </c>
      <c r="N141" s="53">
        <f t="shared" si="24"/>
        <v>80</v>
      </c>
      <c r="O141" s="63"/>
      <c r="P141" s="65" t="str">
        <f>"3003,1005,1005,1006,1006,1007,1007"</f>
        <v>3003,1005,1005,1006,1006,1007,1007</v>
      </c>
      <c r="Q141" s="65"/>
      <c r="R141" s="65"/>
      <c r="S141" s="63"/>
      <c r="T141" s="63"/>
      <c r="U141" s="63"/>
      <c r="V141" s="64"/>
      <c r="W141" s="60" t="s">
        <v>579</v>
      </c>
      <c r="X141" s="60" t="s">
        <v>580</v>
      </c>
      <c r="Y141" s="60"/>
      <c r="Z141" s="29" t="s">
        <v>1424</v>
      </c>
      <c r="AA141" s="11"/>
      <c r="AB141" s="11"/>
      <c r="AC141" s="11"/>
      <c r="AD141" s="14"/>
    </row>
    <row r="142" ht="15.75" customHeight="1">
      <c r="A142" s="42">
        <f t="shared" si="4"/>
        <v>211010</v>
      </c>
      <c r="B142" s="63" t="s">
        <v>1428</v>
      </c>
      <c r="C142" s="64">
        <v>1.0</v>
      </c>
      <c r="D142" s="64"/>
      <c r="E142" s="8"/>
      <c r="F142" s="42">
        <v>1.0</v>
      </c>
      <c r="G142" s="64">
        <v>4.8</v>
      </c>
      <c r="H142" s="64"/>
      <c r="I142" s="42"/>
      <c r="J142" s="42"/>
      <c r="K142" s="42"/>
      <c r="L142" s="42"/>
      <c r="M142" s="8" t="s">
        <v>544</v>
      </c>
      <c r="N142" s="53">
        <v>48.0</v>
      </c>
      <c r="O142" s="63"/>
      <c r="P142" s="65"/>
      <c r="Q142" s="65"/>
      <c r="R142" s="65" t="str">
        <f>"4003,4004"</f>
        <v>4003,4004</v>
      </c>
      <c r="S142" s="63">
        <v>0.4</v>
      </c>
      <c r="T142" s="63"/>
      <c r="U142" s="63"/>
      <c r="V142" s="42"/>
      <c r="W142" s="60"/>
      <c r="X142" s="8" t="s">
        <v>546</v>
      </c>
      <c r="Y142" s="60"/>
      <c r="Z142" s="29" t="s">
        <v>1432</v>
      </c>
      <c r="AA142" s="11"/>
      <c r="AB142" s="11"/>
      <c r="AC142" s="11"/>
      <c r="AD142" s="14"/>
    </row>
    <row r="143" ht="15.75" customHeight="1">
      <c r="A143" s="42">
        <f t="shared" si="4"/>
        <v>212010</v>
      </c>
      <c r="B143" s="63" t="s">
        <v>1436</v>
      </c>
      <c r="C143" s="64">
        <v>1.0</v>
      </c>
      <c r="D143" s="64"/>
      <c r="E143" s="8"/>
      <c r="F143" s="42">
        <v>1.0</v>
      </c>
      <c r="G143" s="64">
        <v>4.8</v>
      </c>
      <c r="H143" s="64"/>
      <c r="I143" s="42"/>
      <c r="J143" s="42"/>
      <c r="K143" s="42"/>
      <c r="L143" s="42"/>
      <c r="M143" s="8" t="s">
        <v>544</v>
      </c>
      <c r="N143" s="53">
        <f t="shared" ref="N143:N146" si="26">N142-4</f>
        <v>44</v>
      </c>
      <c r="O143" s="63"/>
      <c r="P143" s="65"/>
      <c r="Q143" s="65"/>
      <c r="R143" s="65" t="str">
        <f>"4003,4004,4001"</f>
        <v>4003,4004,4001</v>
      </c>
      <c r="S143" s="63">
        <v>0.4</v>
      </c>
      <c r="T143" s="63"/>
      <c r="U143" s="63"/>
      <c r="V143" s="42"/>
      <c r="W143" s="60"/>
      <c r="X143" s="8" t="s">
        <v>546</v>
      </c>
      <c r="Y143" s="60"/>
      <c r="Z143" s="29" t="s">
        <v>1442</v>
      </c>
      <c r="AA143" s="11"/>
      <c r="AB143" s="11"/>
      <c r="AC143" s="11"/>
      <c r="AD143" s="14"/>
    </row>
    <row r="144" ht="15.75" customHeight="1">
      <c r="A144" s="42">
        <f t="shared" si="4"/>
        <v>213010</v>
      </c>
      <c r="B144" s="63" t="s">
        <v>1446</v>
      </c>
      <c r="C144" s="64">
        <v>1.0</v>
      </c>
      <c r="D144" s="64"/>
      <c r="E144" s="8"/>
      <c r="F144" s="42">
        <v>1.0</v>
      </c>
      <c r="G144" s="64">
        <v>4.8</v>
      </c>
      <c r="H144" s="64"/>
      <c r="I144" s="42"/>
      <c r="J144" s="42"/>
      <c r="K144" s="42"/>
      <c r="L144" s="42"/>
      <c r="M144" s="8" t="s">
        <v>544</v>
      </c>
      <c r="N144" s="53">
        <f t="shared" si="26"/>
        <v>40</v>
      </c>
      <c r="O144" s="63"/>
      <c r="P144" s="65"/>
      <c r="Q144" s="65"/>
      <c r="R144" s="65" t="str">
        <f t="shared" ref="R144:R146" si="27">"4003,4004,4001,4002"</f>
        <v>4003,4004,4001,4002</v>
      </c>
      <c r="S144" s="63">
        <v>0.4</v>
      </c>
      <c r="T144" s="63"/>
      <c r="U144" s="63"/>
      <c r="V144" s="42"/>
      <c r="W144" s="60"/>
      <c r="X144" s="8" t="s">
        <v>546</v>
      </c>
      <c r="Y144" s="60"/>
      <c r="Z144" s="29" t="s">
        <v>1452</v>
      </c>
      <c r="AA144" s="11"/>
      <c r="AB144" s="11"/>
      <c r="AC144" s="11"/>
      <c r="AD144" s="14"/>
    </row>
    <row r="145" ht="15.75" customHeight="1">
      <c r="A145" s="42">
        <f t="shared" si="4"/>
        <v>214010</v>
      </c>
      <c r="B145" s="63" t="s">
        <v>1456</v>
      </c>
      <c r="C145" s="64">
        <v>1.0</v>
      </c>
      <c r="D145" s="64"/>
      <c r="E145" s="8"/>
      <c r="F145" s="42">
        <v>1.0</v>
      </c>
      <c r="G145" s="64">
        <v>4.8</v>
      </c>
      <c r="H145" s="64"/>
      <c r="I145" s="42"/>
      <c r="J145" s="42"/>
      <c r="K145" s="42"/>
      <c r="L145" s="42"/>
      <c r="M145" s="8" t="s">
        <v>544</v>
      </c>
      <c r="N145" s="53">
        <f t="shared" si="26"/>
        <v>36</v>
      </c>
      <c r="O145" s="63"/>
      <c r="P145" s="65"/>
      <c r="Q145" s="65"/>
      <c r="R145" s="65" t="str">
        <f t="shared" si="27"/>
        <v>4003,4004,4001,4002</v>
      </c>
      <c r="S145" s="63">
        <v>0.5</v>
      </c>
      <c r="T145" s="63"/>
      <c r="U145" s="63"/>
      <c r="V145" s="42"/>
      <c r="W145" s="60"/>
      <c r="X145" s="8" t="s">
        <v>546</v>
      </c>
      <c r="Y145" s="60"/>
      <c r="Z145" s="29" t="s">
        <v>1461</v>
      </c>
      <c r="AA145" s="11"/>
      <c r="AB145" s="11"/>
      <c r="AC145" s="11"/>
      <c r="AD145" s="14"/>
    </row>
    <row r="146" ht="15.75" customHeight="1">
      <c r="A146" s="42">
        <f t="shared" si="4"/>
        <v>215010</v>
      </c>
      <c r="B146" s="63" t="s">
        <v>1464</v>
      </c>
      <c r="C146" s="64">
        <v>1.0</v>
      </c>
      <c r="D146" s="64"/>
      <c r="E146" s="8"/>
      <c r="F146" s="42">
        <v>1.0</v>
      </c>
      <c r="G146" s="64">
        <v>4.8</v>
      </c>
      <c r="H146" s="64"/>
      <c r="I146" s="42"/>
      <c r="J146" s="42"/>
      <c r="K146" s="42"/>
      <c r="L146" s="42"/>
      <c r="M146" s="8" t="s">
        <v>544</v>
      </c>
      <c r="N146" s="53">
        <f t="shared" si="26"/>
        <v>32</v>
      </c>
      <c r="O146" s="63"/>
      <c r="P146" s="65"/>
      <c r="Q146" s="65"/>
      <c r="R146" s="65" t="str">
        <f t="shared" si="27"/>
        <v>4003,4004,4001,4002</v>
      </c>
      <c r="S146" s="63">
        <v>0.8</v>
      </c>
      <c r="T146" s="63"/>
      <c r="U146" s="63"/>
      <c r="V146" s="42"/>
      <c r="W146" s="60"/>
      <c r="X146" s="8" t="s">
        <v>546</v>
      </c>
      <c r="Y146" s="60"/>
      <c r="Z146" s="29" t="s">
        <v>1470</v>
      </c>
      <c r="AA146" s="11"/>
      <c r="AB146" s="11"/>
      <c r="AC146" s="11"/>
      <c r="AD146" s="14"/>
    </row>
    <row r="147" ht="15.75" customHeight="1">
      <c r="A147" s="42">
        <f t="shared" si="4"/>
        <v>211011</v>
      </c>
      <c r="B147" s="63" t="s">
        <v>1473</v>
      </c>
      <c r="C147" s="64">
        <v>-2.0</v>
      </c>
      <c r="D147" s="64"/>
      <c r="E147" s="8"/>
      <c r="F147" s="42">
        <v>1.0</v>
      </c>
      <c r="G147" s="64">
        <v>2.4</v>
      </c>
      <c r="H147" s="64"/>
      <c r="I147" s="42"/>
      <c r="J147" s="42"/>
      <c r="K147" s="42"/>
      <c r="L147" s="42"/>
      <c r="M147" s="8" t="s">
        <v>544</v>
      </c>
      <c r="N147" s="53">
        <v>48.0</v>
      </c>
      <c r="O147" s="63"/>
      <c r="P147" s="65"/>
      <c r="Q147" s="65"/>
      <c r="R147" s="65" t="str">
        <f>"1999,3002"</f>
        <v>1999,3002</v>
      </c>
      <c r="S147" s="63"/>
      <c r="T147" s="63"/>
      <c r="U147" s="63"/>
      <c r="V147" s="42"/>
      <c r="W147" s="60"/>
      <c r="X147" s="60" t="s">
        <v>647</v>
      </c>
      <c r="Y147" s="60"/>
      <c r="Z147" s="29" t="s">
        <v>1478</v>
      </c>
      <c r="AA147" s="11"/>
      <c r="AB147" s="11"/>
      <c r="AC147" s="11"/>
      <c r="AD147" s="14"/>
    </row>
    <row r="148" ht="15.75" customHeight="1">
      <c r="A148" s="42">
        <f t="shared" si="4"/>
        <v>212011</v>
      </c>
      <c r="B148" s="63" t="s">
        <v>1436</v>
      </c>
      <c r="C148" s="64">
        <v>-2.0</v>
      </c>
      <c r="D148" s="64"/>
      <c r="E148" s="8"/>
      <c r="F148" s="42">
        <v>1.0</v>
      </c>
      <c r="G148" s="64">
        <v>2.4</v>
      </c>
      <c r="H148" s="64"/>
      <c r="I148" s="42"/>
      <c r="J148" s="42"/>
      <c r="K148" s="42"/>
      <c r="L148" s="42"/>
      <c r="M148" s="8" t="s">
        <v>544</v>
      </c>
      <c r="N148" s="53">
        <f t="shared" ref="N148:N151" si="28">N147-4</f>
        <v>44</v>
      </c>
      <c r="O148" s="63"/>
      <c r="P148" s="65"/>
      <c r="Q148" s="65"/>
      <c r="R148" s="65" t="str">
        <f>"1999,3002,1998"</f>
        <v>1999,3002,1998</v>
      </c>
      <c r="S148" s="63"/>
      <c r="T148" s="63"/>
      <c r="U148" s="63"/>
      <c r="V148" s="42"/>
      <c r="W148" s="60"/>
      <c r="X148" s="60" t="s">
        <v>647</v>
      </c>
      <c r="Y148" s="60"/>
      <c r="Z148" s="29" t="s">
        <v>1486</v>
      </c>
      <c r="AA148" s="11"/>
      <c r="AB148" s="11"/>
      <c r="AC148" s="11"/>
      <c r="AD148" s="14"/>
    </row>
    <row r="149" ht="15.75" customHeight="1">
      <c r="A149" s="42">
        <f t="shared" si="4"/>
        <v>213011</v>
      </c>
      <c r="B149" s="63" t="s">
        <v>1446</v>
      </c>
      <c r="C149" s="64">
        <v>-2.0</v>
      </c>
      <c r="D149" s="64"/>
      <c r="E149" s="8"/>
      <c r="F149" s="42">
        <v>1.0</v>
      </c>
      <c r="G149" s="64">
        <v>2.4</v>
      </c>
      <c r="H149" s="64"/>
      <c r="I149" s="42"/>
      <c r="J149" s="42"/>
      <c r="K149" s="42"/>
      <c r="L149" s="42"/>
      <c r="M149" s="8" t="s">
        <v>544</v>
      </c>
      <c r="N149" s="53">
        <f t="shared" si="28"/>
        <v>40</v>
      </c>
      <c r="O149" s="63"/>
      <c r="P149" s="65"/>
      <c r="Q149" s="65"/>
      <c r="R149" s="65" t="str">
        <f t="shared" ref="R149:R150" si="29">"1999,3002,1998,3013"</f>
        <v>1999,3002,1998,3013</v>
      </c>
      <c r="S149" s="63"/>
      <c r="T149" s="63"/>
      <c r="U149" s="63"/>
      <c r="V149" s="42"/>
      <c r="W149" s="60"/>
      <c r="X149" s="60" t="s">
        <v>647</v>
      </c>
      <c r="Y149" s="60"/>
      <c r="Z149" s="29" t="s">
        <v>1496</v>
      </c>
      <c r="AA149" s="11"/>
      <c r="AB149" s="11"/>
      <c r="AC149" s="11"/>
      <c r="AD149" s="14"/>
    </row>
    <row r="150" ht="15.75" customHeight="1">
      <c r="A150" s="42">
        <f t="shared" si="4"/>
        <v>214011</v>
      </c>
      <c r="B150" s="63" t="s">
        <v>1456</v>
      </c>
      <c r="C150" s="64">
        <v>-2.0</v>
      </c>
      <c r="D150" s="64"/>
      <c r="E150" s="8"/>
      <c r="F150" s="42">
        <v>1.0</v>
      </c>
      <c r="G150" s="64">
        <v>2.4</v>
      </c>
      <c r="H150" s="64"/>
      <c r="I150" s="42"/>
      <c r="J150" s="42"/>
      <c r="K150" s="42"/>
      <c r="L150" s="42"/>
      <c r="M150" s="8" t="s">
        <v>544</v>
      </c>
      <c r="N150" s="53">
        <f t="shared" si="28"/>
        <v>36</v>
      </c>
      <c r="O150" s="63"/>
      <c r="P150" s="65"/>
      <c r="Q150" s="65"/>
      <c r="R150" s="65" t="str">
        <f t="shared" si="29"/>
        <v>1999,3002,1998,3013</v>
      </c>
      <c r="S150" s="63"/>
      <c r="T150" s="63"/>
      <c r="U150" s="63"/>
      <c r="V150" s="42"/>
      <c r="W150" s="60"/>
      <c r="X150" s="60" t="s">
        <v>647</v>
      </c>
      <c r="Y150" s="60"/>
      <c r="Z150" s="29" t="s">
        <v>1496</v>
      </c>
      <c r="AA150" s="11"/>
      <c r="AB150" s="11"/>
      <c r="AC150" s="11"/>
      <c r="AD150" s="14"/>
    </row>
    <row r="151" ht="15.75" customHeight="1">
      <c r="A151" s="42">
        <f t="shared" si="4"/>
        <v>215011</v>
      </c>
      <c r="B151" s="63" t="s">
        <v>1507</v>
      </c>
      <c r="C151" s="64">
        <v>-2.0</v>
      </c>
      <c r="D151" s="64"/>
      <c r="E151" s="8"/>
      <c r="F151" s="42">
        <v>1.0</v>
      </c>
      <c r="G151" s="64">
        <v>2.4</v>
      </c>
      <c r="H151" s="64"/>
      <c r="I151" s="42"/>
      <c r="J151" s="42"/>
      <c r="K151" s="42"/>
      <c r="L151" s="42"/>
      <c r="M151" s="8" t="s">
        <v>544</v>
      </c>
      <c r="N151" s="53">
        <f t="shared" si="28"/>
        <v>32</v>
      </c>
      <c r="O151" s="63"/>
      <c r="P151" s="65"/>
      <c r="Q151" s="65"/>
      <c r="R151" s="65" t="str">
        <f>"1999,3002,1998,3014"</f>
        <v>1999,3002,1998,3014</v>
      </c>
      <c r="S151" s="63"/>
      <c r="T151" s="63"/>
      <c r="U151" s="63"/>
      <c r="V151" s="42"/>
      <c r="W151" s="60"/>
      <c r="X151" s="60" t="s">
        <v>647</v>
      </c>
      <c r="Y151" s="60"/>
      <c r="Z151" s="29" t="s">
        <v>1510</v>
      </c>
      <c r="AA151" s="11"/>
      <c r="AB151" s="11"/>
      <c r="AC151" s="11"/>
      <c r="AD151" s="14"/>
    </row>
    <row r="152" ht="15.75" customHeight="1">
      <c r="A152" s="42">
        <f t="shared" si="4"/>
        <v>211012</v>
      </c>
      <c r="B152" s="63" t="s">
        <v>1512</v>
      </c>
      <c r="C152" s="64">
        <v>-2.0</v>
      </c>
      <c r="D152" s="64">
        <v>1.0</v>
      </c>
      <c r="E152" s="8"/>
      <c r="F152" s="42">
        <v>1.0</v>
      </c>
      <c r="G152" s="64"/>
      <c r="H152" s="64">
        <v>2.5</v>
      </c>
      <c r="I152" s="42"/>
      <c r="J152" s="42"/>
      <c r="K152" s="42"/>
      <c r="L152" s="42"/>
      <c r="M152" s="8" t="s">
        <v>578</v>
      </c>
      <c r="N152" s="53">
        <v>99.0</v>
      </c>
      <c r="O152" s="63">
        <v>50.0</v>
      </c>
      <c r="P152" s="65"/>
      <c r="Q152" s="65"/>
      <c r="R152" s="65">
        <v>3004.0</v>
      </c>
      <c r="S152" s="63">
        <v>0.3</v>
      </c>
      <c r="T152" s="63"/>
      <c r="U152" s="63"/>
      <c r="V152" s="42"/>
      <c r="W152" s="60"/>
      <c r="X152" s="8" t="s">
        <v>630</v>
      </c>
      <c r="Y152" s="60"/>
      <c r="Z152" s="29" t="s">
        <v>498</v>
      </c>
      <c r="AA152" s="11"/>
      <c r="AB152" s="11"/>
      <c r="AC152" s="11"/>
      <c r="AD152" s="14"/>
    </row>
    <row r="153" ht="15.75" customHeight="1">
      <c r="A153" s="42">
        <f t="shared" si="4"/>
        <v>212012</v>
      </c>
      <c r="B153" s="63" t="s">
        <v>1519</v>
      </c>
      <c r="C153" s="64">
        <v>-3.0</v>
      </c>
      <c r="D153" s="64">
        <v>1.0</v>
      </c>
      <c r="E153" s="8"/>
      <c r="F153" s="42">
        <v>1.0</v>
      </c>
      <c r="G153" s="64"/>
      <c r="H153" s="64">
        <v>2.5</v>
      </c>
      <c r="I153" s="42"/>
      <c r="J153" s="42"/>
      <c r="K153" s="42"/>
      <c r="L153" s="42"/>
      <c r="M153" s="8" t="s">
        <v>578</v>
      </c>
      <c r="N153" s="53">
        <f t="shared" ref="N153:N156" si="30">N152-4</f>
        <v>95</v>
      </c>
      <c r="O153" s="63"/>
      <c r="P153" s="65"/>
      <c r="Q153" s="65"/>
      <c r="R153" s="65">
        <v>3004.0</v>
      </c>
      <c r="S153" s="63">
        <v>0.3</v>
      </c>
      <c r="T153" s="63"/>
      <c r="U153" s="63"/>
      <c r="V153" s="42"/>
      <c r="W153" s="60"/>
      <c r="X153" s="8" t="s">
        <v>630</v>
      </c>
      <c r="Y153" s="60"/>
      <c r="Z153" s="29" t="s">
        <v>498</v>
      </c>
      <c r="AA153" s="11"/>
      <c r="AB153" s="11"/>
      <c r="AC153" s="11"/>
      <c r="AD153" s="14"/>
    </row>
    <row r="154" ht="15.75" customHeight="1">
      <c r="A154" s="42">
        <f t="shared" si="4"/>
        <v>213012</v>
      </c>
      <c r="B154" s="63" t="s">
        <v>1526</v>
      </c>
      <c r="C154" s="64">
        <v>-3.0</v>
      </c>
      <c r="D154" s="64">
        <v>1.0</v>
      </c>
      <c r="E154" s="8"/>
      <c r="F154" s="42">
        <v>1.0</v>
      </c>
      <c r="G154" s="64"/>
      <c r="H154" s="64">
        <v>2.5</v>
      </c>
      <c r="I154" s="42"/>
      <c r="J154" s="42"/>
      <c r="K154" s="42"/>
      <c r="L154" s="42"/>
      <c r="M154" s="8" t="s">
        <v>578</v>
      </c>
      <c r="N154" s="53">
        <f t="shared" si="30"/>
        <v>91</v>
      </c>
      <c r="O154" s="63"/>
      <c r="P154" s="65"/>
      <c r="Q154" s="65"/>
      <c r="R154" s="65" t="str">
        <f t="shared" ref="R154:R155" si="31">"3004,3015"</f>
        <v>3004,3015</v>
      </c>
      <c r="S154" s="63">
        <v>0.4</v>
      </c>
      <c r="T154" s="63"/>
      <c r="U154" s="63"/>
      <c r="V154" s="42"/>
      <c r="W154" s="60"/>
      <c r="X154" s="8" t="s">
        <v>630</v>
      </c>
      <c r="Y154" s="60"/>
      <c r="Z154" s="29" t="s">
        <v>498</v>
      </c>
      <c r="AA154" s="11"/>
      <c r="AB154" s="11"/>
      <c r="AC154" s="11"/>
      <c r="AD154" s="14"/>
    </row>
    <row r="155" ht="15.75" customHeight="1">
      <c r="A155" s="42">
        <f t="shared" si="4"/>
        <v>214012</v>
      </c>
      <c r="B155" s="63" t="s">
        <v>1531</v>
      </c>
      <c r="C155" s="64">
        <v>-4.0</v>
      </c>
      <c r="D155" s="64">
        <v>1.0</v>
      </c>
      <c r="E155" s="8"/>
      <c r="F155" s="42">
        <v>1.0</v>
      </c>
      <c r="G155" s="64"/>
      <c r="H155" s="64">
        <v>2.5</v>
      </c>
      <c r="I155" s="42"/>
      <c r="J155" s="42"/>
      <c r="K155" s="42"/>
      <c r="L155" s="42"/>
      <c r="M155" s="8" t="s">
        <v>578</v>
      </c>
      <c r="N155" s="53">
        <f t="shared" si="30"/>
        <v>87</v>
      </c>
      <c r="O155" s="63"/>
      <c r="P155" s="65"/>
      <c r="Q155" s="65"/>
      <c r="R155" s="65" t="str">
        <f t="shared" si="31"/>
        <v>3004,3015</v>
      </c>
      <c r="S155" s="63">
        <v>0.4</v>
      </c>
      <c r="T155" s="63"/>
      <c r="U155" s="63"/>
      <c r="V155" s="42"/>
      <c r="W155" s="60"/>
      <c r="X155" s="8" t="s">
        <v>630</v>
      </c>
      <c r="Y155" s="60"/>
      <c r="Z155" s="29" t="s">
        <v>498</v>
      </c>
      <c r="AA155" s="11"/>
      <c r="AB155" s="11"/>
      <c r="AC155" s="11"/>
      <c r="AD155" s="14"/>
    </row>
    <row r="156" ht="15.75" customHeight="1">
      <c r="A156" s="42">
        <f t="shared" si="4"/>
        <v>215012</v>
      </c>
      <c r="B156" s="63" t="s">
        <v>1543</v>
      </c>
      <c r="C156" s="64">
        <v>-4.0</v>
      </c>
      <c r="D156" s="64">
        <v>1.0</v>
      </c>
      <c r="E156" s="8"/>
      <c r="F156" s="42">
        <v>1.0</v>
      </c>
      <c r="G156" s="64"/>
      <c r="H156" s="64">
        <v>2.5</v>
      </c>
      <c r="I156" s="42"/>
      <c r="J156" s="42"/>
      <c r="K156" s="42"/>
      <c r="L156" s="42"/>
      <c r="M156" s="8" t="s">
        <v>578</v>
      </c>
      <c r="N156" s="53">
        <f t="shared" si="30"/>
        <v>83</v>
      </c>
      <c r="O156" s="63"/>
      <c r="P156" s="65"/>
      <c r="Q156" s="65"/>
      <c r="R156" s="65" t="str">
        <f>"3004,3015,3016"</f>
        <v>3004,3015,3016</v>
      </c>
      <c r="S156" s="63">
        <v>0.5</v>
      </c>
      <c r="T156" s="63"/>
      <c r="U156" s="63"/>
      <c r="V156" s="42"/>
      <c r="W156" s="60"/>
      <c r="X156" s="8" t="s">
        <v>630</v>
      </c>
      <c r="Y156" s="60"/>
      <c r="Z156" s="29" t="s">
        <v>498</v>
      </c>
      <c r="AA156" s="11"/>
      <c r="AB156" s="11"/>
      <c r="AC156" s="11"/>
      <c r="AD156" s="14"/>
    </row>
    <row r="157" ht="15.75" customHeight="1">
      <c r="A157" s="42"/>
      <c r="B157" s="63"/>
      <c r="C157" s="64"/>
      <c r="D157" s="64"/>
      <c r="E157" s="8"/>
      <c r="F157" s="42"/>
      <c r="G157" s="64"/>
      <c r="H157" s="64"/>
      <c r="I157" s="42"/>
      <c r="J157" s="42"/>
      <c r="K157" s="42"/>
      <c r="L157" s="42"/>
      <c r="M157" s="8"/>
      <c r="N157" s="53"/>
      <c r="O157" s="63"/>
      <c r="P157" s="65"/>
      <c r="Q157" s="65"/>
      <c r="R157" s="65"/>
      <c r="S157" s="63"/>
      <c r="T157" s="63"/>
      <c r="U157" s="63"/>
      <c r="V157" s="42"/>
      <c r="W157" s="60"/>
      <c r="X157" s="8"/>
      <c r="Y157" s="60"/>
      <c r="Z157" s="83"/>
      <c r="AA157" s="11"/>
      <c r="AB157" s="11"/>
      <c r="AC157" s="11"/>
      <c r="AD157" s="14"/>
    </row>
    <row r="158" ht="15.75" customHeight="1">
      <c r="A158" s="42"/>
      <c r="B158" s="63"/>
      <c r="C158" s="64"/>
      <c r="D158" s="64"/>
      <c r="E158" s="8"/>
      <c r="F158" s="42"/>
      <c r="G158" s="64"/>
      <c r="H158" s="64"/>
      <c r="I158" s="42"/>
      <c r="J158" s="42"/>
      <c r="K158" s="42"/>
      <c r="L158" s="42"/>
      <c r="M158" s="8"/>
      <c r="N158" s="53"/>
      <c r="O158" s="63"/>
      <c r="P158" s="65"/>
      <c r="Q158" s="65"/>
      <c r="R158" s="65"/>
      <c r="S158" s="63"/>
      <c r="T158" s="63"/>
      <c r="U158" s="63"/>
      <c r="V158" s="42"/>
      <c r="W158" s="60"/>
      <c r="X158" s="8"/>
      <c r="Y158" s="60"/>
      <c r="Z158" s="83"/>
      <c r="AA158" s="11"/>
      <c r="AB158" s="11"/>
      <c r="AC158" s="11"/>
      <c r="AD158" s="14"/>
    </row>
    <row r="159" ht="15.75" customHeight="1">
      <c r="A159" s="42"/>
      <c r="B159" s="63"/>
      <c r="C159" s="64"/>
      <c r="D159" s="64"/>
      <c r="E159" s="8"/>
      <c r="F159" s="42"/>
      <c r="G159" s="64"/>
      <c r="H159" s="64"/>
      <c r="I159" s="42"/>
      <c r="J159" s="42"/>
      <c r="K159" s="42"/>
      <c r="L159" s="42"/>
      <c r="M159" s="8"/>
      <c r="N159" s="53"/>
      <c r="O159" s="63"/>
      <c r="P159" s="65"/>
      <c r="Q159" s="65"/>
      <c r="R159" s="65"/>
      <c r="S159" s="63"/>
      <c r="T159" s="63"/>
      <c r="U159" s="63"/>
      <c r="V159" s="42"/>
      <c r="W159" s="60"/>
      <c r="X159" s="8"/>
      <c r="Y159" s="60"/>
      <c r="Z159" s="83"/>
      <c r="AA159" s="11"/>
      <c r="AB159" s="11"/>
      <c r="AC159" s="11"/>
      <c r="AD159" s="14"/>
    </row>
    <row r="160" ht="15.75" customHeight="1">
      <c r="A160" s="42"/>
      <c r="B160" s="63"/>
      <c r="C160" s="64"/>
      <c r="D160" s="64"/>
      <c r="E160" s="8"/>
      <c r="F160" s="42"/>
      <c r="G160" s="64"/>
      <c r="H160" s="64"/>
      <c r="I160" s="42"/>
      <c r="J160" s="42"/>
      <c r="K160" s="42"/>
      <c r="L160" s="42"/>
      <c r="M160" s="8"/>
      <c r="N160" s="53"/>
      <c r="O160" s="63"/>
      <c r="P160" s="65"/>
      <c r="Q160" s="65"/>
      <c r="R160" s="65"/>
      <c r="S160" s="63"/>
      <c r="T160" s="63"/>
      <c r="U160" s="63"/>
      <c r="V160" s="42"/>
      <c r="W160" s="60"/>
      <c r="X160" s="8"/>
      <c r="Y160" s="60"/>
      <c r="Z160" s="83"/>
      <c r="AA160" s="11"/>
      <c r="AB160" s="11"/>
      <c r="AC160" s="11"/>
      <c r="AD160" s="14"/>
    </row>
    <row r="161" ht="15.75" customHeight="1">
      <c r="A161" s="42"/>
      <c r="B161" s="63"/>
      <c r="C161" s="64"/>
      <c r="D161" s="64"/>
      <c r="E161" s="8"/>
      <c r="F161" s="42"/>
      <c r="G161" s="64"/>
      <c r="H161" s="64"/>
      <c r="I161" s="42"/>
      <c r="J161" s="42"/>
      <c r="K161" s="42"/>
      <c r="L161" s="42"/>
      <c r="M161" s="8"/>
      <c r="N161" s="53"/>
      <c r="O161" s="63"/>
      <c r="P161" s="65"/>
      <c r="Q161" s="65"/>
      <c r="R161" s="65"/>
      <c r="S161" s="63"/>
      <c r="T161" s="63"/>
      <c r="U161" s="63"/>
      <c r="V161" s="42"/>
      <c r="W161" s="60"/>
      <c r="X161" s="8"/>
      <c r="Y161" s="60"/>
      <c r="Z161" s="83"/>
      <c r="AA161" s="11"/>
      <c r="AB161" s="11"/>
      <c r="AC161" s="11"/>
      <c r="AD161" s="14"/>
    </row>
    <row r="162" ht="15.75" customHeight="1">
      <c r="A162" s="42"/>
      <c r="B162" s="8"/>
      <c r="C162" s="42"/>
      <c r="D162" s="42"/>
      <c r="E162" s="8"/>
      <c r="F162" s="42"/>
      <c r="G162" s="42"/>
      <c r="H162" s="42"/>
      <c r="I162" s="42"/>
      <c r="J162" s="42"/>
      <c r="K162" s="42"/>
      <c r="L162" s="42"/>
      <c r="M162" s="8"/>
      <c r="N162" s="53"/>
      <c r="O162" s="8"/>
      <c r="P162" s="54"/>
      <c r="Q162" s="54"/>
      <c r="R162" s="54"/>
      <c r="S162" s="8"/>
      <c r="T162" s="8"/>
      <c r="U162" s="8"/>
      <c r="V162" s="42"/>
      <c r="W162" s="60"/>
      <c r="X162" s="60"/>
      <c r="Y162" s="8"/>
      <c r="Z162" s="8"/>
      <c r="AA162" s="8"/>
      <c r="AB162" s="8"/>
      <c r="AC162" s="8"/>
      <c r="AD162" s="8"/>
    </row>
    <row r="163" ht="14.25" customHeight="1">
      <c r="A163" s="3" t="s">
        <v>484</v>
      </c>
      <c r="B163" s="6" t="s">
        <v>487</v>
      </c>
      <c r="C163" s="50" t="s">
        <v>489</v>
      </c>
      <c r="D163" s="50" t="s">
        <v>490</v>
      </c>
      <c r="E163" s="50" t="s">
        <v>491</v>
      </c>
      <c r="F163" s="50" t="s">
        <v>492</v>
      </c>
      <c r="G163" s="40" t="s">
        <v>496</v>
      </c>
      <c r="H163" s="40" t="s">
        <v>499</v>
      </c>
      <c r="I163" s="40" t="s">
        <v>295</v>
      </c>
      <c r="J163" s="40" t="s">
        <v>503</v>
      </c>
      <c r="K163" s="40" t="s">
        <v>505</v>
      </c>
      <c r="L163" s="40" t="s">
        <v>506</v>
      </c>
      <c r="M163" s="3" t="s">
        <v>507</v>
      </c>
      <c r="N163" s="51" t="s">
        <v>509</v>
      </c>
      <c r="O163" s="3" t="s">
        <v>513</v>
      </c>
      <c r="P163" s="52" t="s">
        <v>514</v>
      </c>
      <c r="Q163" s="52" t="s">
        <v>1010</v>
      </c>
      <c r="R163" s="52" t="s">
        <v>516</v>
      </c>
      <c r="S163" s="52" t="s">
        <v>517</v>
      </c>
      <c r="T163" s="3" t="s">
        <v>518</v>
      </c>
      <c r="U163" s="52" t="s">
        <v>519</v>
      </c>
      <c r="V163" s="42" t="s">
        <v>520</v>
      </c>
      <c r="W163" s="3" t="s">
        <v>522</v>
      </c>
      <c r="X163" s="3" t="s">
        <v>523</v>
      </c>
      <c r="Y163" s="3" t="s">
        <v>525</v>
      </c>
      <c r="Z163" s="10" t="s">
        <v>526</v>
      </c>
      <c r="AA163" s="11"/>
      <c r="AB163" s="11"/>
      <c r="AC163" s="11"/>
      <c r="AD163" s="14"/>
    </row>
    <row r="164" ht="14.25" customHeight="1">
      <c r="A164" s="42">
        <v>311001.0</v>
      </c>
      <c r="B164" s="4" t="s">
        <v>1593</v>
      </c>
      <c r="C164" s="42">
        <v>5.0</v>
      </c>
      <c r="D164" s="42"/>
      <c r="E164" s="42"/>
      <c r="F164" s="42">
        <v>1.0</v>
      </c>
      <c r="G164" s="42"/>
      <c r="H164" s="42">
        <v>1.0</v>
      </c>
      <c r="I164" s="42"/>
      <c r="J164" s="42"/>
      <c r="K164" s="42">
        <v>7.0</v>
      </c>
      <c r="L164" s="42"/>
      <c r="M164" s="8" t="s">
        <v>578</v>
      </c>
      <c r="N164" s="53">
        <v>103.0</v>
      </c>
      <c r="O164" s="8"/>
      <c r="P164" s="54"/>
      <c r="Q164" s="54"/>
      <c r="R164" s="54">
        <v>4001.0</v>
      </c>
      <c r="S164" s="8"/>
      <c r="T164" s="8"/>
      <c r="U164" s="8"/>
      <c r="V164" s="42"/>
      <c r="W164" s="8" t="s">
        <v>614</v>
      </c>
      <c r="X164" s="8" t="s">
        <v>615</v>
      </c>
      <c r="Y164" s="8"/>
      <c r="Z164" s="29" t="s">
        <v>849</v>
      </c>
      <c r="AA164" s="11"/>
      <c r="AB164" s="11"/>
      <c r="AC164" s="11"/>
      <c r="AD164" s="14"/>
    </row>
    <row r="165" ht="14.25" customHeight="1">
      <c r="A165" s="42">
        <v>312001.0</v>
      </c>
      <c r="B165" s="4" t="s">
        <v>1597</v>
      </c>
      <c r="C165" s="42">
        <v>5.0</v>
      </c>
      <c r="D165" s="42"/>
      <c r="E165" s="42"/>
      <c r="F165" s="42">
        <v>1.0</v>
      </c>
      <c r="G165" s="42"/>
      <c r="H165" s="42">
        <v>1.0</v>
      </c>
      <c r="I165" s="42"/>
      <c r="J165" s="42"/>
      <c r="K165" s="42">
        <f>K164</f>
        <v>7</v>
      </c>
      <c r="L165" s="42"/>
      <c r="M165" s="8" t="s">
        <v>578</v>
      </c>
      <c r="N165" s="53">
        <f t="shared" ref="N165:N168" si="32">N164-4</f>
        <v>99</v>
      </c>
      <c r="O165" s="8"/>
      <c r="P165" s="54">
        <v>3008.0</v>
      </c>
      <c r="Q165" s="54"/>
      <c r="R165" s="54">
        <v>4001.0</v>
      </c>
      <c r="S165" s="8"/>
      <c r="T165" s="8"/>
      <c r="U165" s="8"/>
      <c r="V165" s="42"/>
      <c r="W165" s="8" t="s">
        <v>614</v>
      </c>
      <c r="X165" s="8" t="s">
        <v>615</v>
      </c>
      <c r="Y165" s="8"/>
      <c r="Z165" s="29" t="s">
        <v>1602</v>
      </c>
      <c r="AA165" s="11"/>
      <c r="AB165" s="11"/>
      <c r="AC165" s="11"/>
      <c r="AD165" s="14"/>
    </row>
    <row r="166" ht="14.25" customHeight="1">
      <c r="A166" s="42">
        <v>313001.0</v>
      </c>
      <c r="B166" s="4" t="s">
        <v>1604</v>
      </c>
      <c r="C166" s="42">
        <v>5.0</v>
      </c>
      <c r="D166" s="42"/>
      <c r="E166" s="42"/>
      <c r="F166" s="42">
        <v>1.0</v>
      </c>
      <c r="G166" s="42"/>
      <c r="H166" s="42">
        <v>1.0</v>
      </c>
      <c r="I166" s="42"/>
      <c r="J166" s="42"/>
      <c r="K166" s="42">
        <f>K164-1</f>
        <v>6</v>
      </c>
      <c r="L166" s="42"/>
      <c r="M166" s="8" t="s">
        <v>578</v>
      </c>
      <c r="N166" s="53">
        <f t="shared" si="32"/>
        <v>95</v>
      </c>
      <c r="O166" s="8"/>
      <c r="P166" s="54"/>
      <c r="Q166" s="54"/>
      <c r="R166" s="54">
        <v>4001.0</v>
      </c>
      <c r="S166" s="8"/>
      <c r="T166" s="8"/>
      <c r="U166" s="8"/>
      <c r="V166" s="42"/>
      <c r="W166" s="8" t="s">
        <v>614</v>
      </c>
      <c r="X166" s="8" t="s">
        <v>615</v>
      </c>
      <c r="Y166" s="8"/>
      <c r="Z166" s="29" t="s">
        <v>849</v>
      </c>
      <c r="AA166" s="11"/>
      <c r="AB166" s="11"/>
      <c r="AC166" s="11"/>
      <c r="AD166" s="14"/>
    </row>
    <row r="167" ht="14.25" customHeight="1">
      <c r="A167" s="42">
        <v>314001.0</v>
      </c>
      <c r="B167" s="4" t="s">
        <v>1611</v>
      </c>
      <c r="C167" s="42">
        <v>5.0</v>
      </c>
      <c r="D167" s="42"/>
      <c r="E167" s="42"/>
      <c r="F167" s="42">
        <v>1.0</v>
      </c>
      <c r="G167" s="42"/>
      <c r="H167" s="42">
        <v>1.0</v>
      </c>
      <c r="I167" s="42"/>
      <c r="J167" s="42"/>
      <c r="K167" s="42">
        <f>K166-1</f>
        <v>5</v>
      </c>
      <c r="L167" s="42"/>
      <c r="M167" s="8" t="s">
        <v>578</v>
      </c>
      <c r="N167" s="53">
        <f t="shared" si="32"/>
        <v>91</v>
      </c>
      <c r="O167" s="8"/>
      <c r="P167" s="54"/>
      <c r="Q167" s="54"/>
      <c r="R167" s="54">
        <v>4001.0</v>
      </c>
      <c r="S167" s="8"/>
      <c r="T167" s="8"/>
      <c r="U167" s="8"/>
      <c r="V167" s="42"/>
      <c r="W167" s="8" t="s">
        <v>614</v>
      </c>
      <c r="X167" s="8" t="s">
        <v>615</v>
      </c>
      <c r="Y167" s="8"/>
      <c r="Z167" s="29" t="s">
        <v>849</v>
      </c>
      <c r="AA167" s="11"/>
      <c r="AB167" s="11"/>
      <c r="AC167" s="11"/>
      <c r="AD167" s="14"/>
    </row>
    <row r="168" ht="14.25" customHeight="1">
      <c r="A168" s="42">
        <v>315001.0</v>
      </c>
      <c r="B168" s="4" t="s">
        <v>1619</v>
      </c>
      <c r="C168" s="42">
        <v>5.0</v>
      </c>
      <c r="D168" s="42"/>
      <c r="E168" s="42"/>
      <c r="F168" s="42">
        <v>1.0</v>
      </c>
      <c r="G168" s="42"/>
      <c r="H168" s="42">
        <v>1.0</v>
      </c>
      <c r="I168" s="42"/>
      <c r="J168" s="42"/>
      <c r="K168" s="42">
        <f>K167</f>
        <v>5</v>
      </c>
      <c r="L168" s="42"/>
      <c r="M168" s="8" t="s">
        <v>578</v>
      </c>
      <c r="N168" s="53">
        <f t="shared" si="32"/>
        <v>87</v>
      </c>
      <c r="O168" s="8"/>
      <c r="P168" s="54">
        <v>3009.0</v>
      </c>
      <c r="Q168" s="54"/>
      <c r="R168" s="54">
        <v>4001.0</v>
      </c>
      <c r="S168" s="8"/>
      <c r="T168" s="8"/>
      <c r="U168" s="8"/>
      <c r="V168" s="42"/>
      <c r="W168" s="8" t="s">
        <v>614</v>
      </c>
      <c r="X168" s="8" t="s">
        <v>615</v>
      </c>
      <c r="Y168" s="8"/>
      <c r="Z168" s="29" t="s">
        <v>1625</v>
      </c>
      <c r="AA168" s="11"/>
      <c r="AB168" s="11"/>
      <c r="AC168" s="11"/>
      <c r="AD168" s="14"/>
    </row>
    <row r="169" ht="15.75" customHeight="1">
      <c r="A169" s="42">
        <f t="shared" ref="A169:A223" si="33">A164+1</f>
        <v>311002</v>
      </c>
      <c r="B169" s="4" t="s">
        <v>1630</v>
      </c>
      <c r="C169" s="42">
        <v>3.0</v>
      </c>
      <c r="D169" s="42"/>
      <c r="E169" s="42"/>
      <c r="F169" s="42">
        <v>1.0</v>
      </c>
      <c r="G169" s="42"/>
      <c r="H169" s="42">
        <v>1.6</v>
      </c>
      <c r="I169" s="42"/>
      <c r="J169" s="42"/>
      <c r="K169" s="42">
        <v>8.0</v>
      </c>
      <c r="L169" s="42"/>
      <c r="M169" s="8" t="s">
        <v>578</v>
      </c>
      <c r="N169" s="53">
        <v>96.0</v>
      </c>
      <c r="O169" s="8"/>
      <c r="P169" s="54"/>
      <c r="Q169" s="54"/>
      <c r="R169" s="54">
        <v>2004.0</v>
      </c>
      <c r="S169" s="8"/>
      <c r="T169" s="8"/>
      <c r="U169" s="8"/>
      <c r="V169" s="42"/>
      <c r="W169" s="60" t="s">
        <v>1632</v>
      </c>
      <c r="X169" s="60" t="s">
        <v>1634</v>
      </c>
      <c r="Y169" s="8"/>
      <c r="Z169" s="29" t="s">
        <v>850</v>
      </c>
      <c r="AA169" s="11"/>
      <c r="AB169" s="11"/>
      <c r="AC169" s="11"/>
      <c r="AD169" s="14"/>
    </row>
    <row r="170" ht="15.75" customHeight="1">
      <c r="A170" s="42">
        <f t="shared" si="33"/>
        <v>312002</v>
      </c>
      <c r="B170" s="4" t="s">
        <v>1638</v>
      </c>
      <c r="C170" s="42">
        <v>3.0</v>
      </c>
      <c r="D170" s="42"/>
      <c r="E170" s="42"/>
      <c r="F170" s="42">
        <v>1.0</v>
      </c>
      <c r="G170" s="42"/>
      <c r="H170" s="42">
        <v>1.6</v>
      </c>
      <c r="I170" s="42"/>
      <c r="J170" s="42"/>
      <c r="K170" s="42">
        <f>K169</f>
        <v>8</v>
      </c>
      <c r="L170" s="42"/>
      <c r="M170" s="8" t="s">
        <v>578</v>
      </c>
      <c r="N170" s="53">
        <f t="shared" ref="N170:N173" si="34">N169-4</f>
        <v>92</v>
      </c>
      <c r="O170" s="8"/>
      <c r="P170" s="54"/>
      <c r="Q170" s="54"/>
      <c r="R170" s="54" t="str">
        <f>"2004,2004,2004"</f>
        <v>2004,2004,2004</v>
      </c>
      <c r="S170" s="8"/>
      <c r="T170" s="8"/>
      <c r="U170" s="8"/>
      <c r="V170" s="42"/>
      <c r="W170" s="60" t="s">
        <v>1632</v>
      </c>
      <c r="X170" s="60" t="s">
        <v>1634</v>
      </c>
      <c r="Y170" s="8"/>
      <c r="Z170" s="29" t="s">
        <v>1644</v>
      </c>
      <c r="AA170" s="11"/>
      <c r="AB170" s="11"/>
      <c r="AC170" s="11"/>
      <c r="AD170" s="14"/>
    </row>
    <row r="171" ht="15.75" customHeight="1">
      <c r="A171" s="42">
        <f t="shared" si="33"/>
        <v>313002</v>
      </c>
      <c r="B171" s="4" t="s">
        <v>1649</v>
      </c>
      <c r="C171" s="42">
        <v>3.0</v>
      </c>
      <c r="D171" s="42"/>
      <c r="E171" s="42"/>
      <c r="F171" s="42">
        <v>1.0</v>
      </c>
      <c r="G171" s="42"/>
      <c r="H171" s="42">
        <v>1.6</v>
      </c>
      <c r="I171" s="42"/>
      <c r="J171" s="42"/>
      <c r="K171" s="42">
        <f>K169-1</f>
        <v>7</v>
      </c>
      <c r="L171" s="42"/>
      <c r="M171" s="8" t="s">
        <v>578</v>
      </c>
      <c r="N171" s="53">
        <f t="shared" si="34"/>
        <v>88</v>
      </c>
      <c r="O171" s="8"/>
      <c r="P171" s="54"/>
      <c r="Q171" s="54"/>
      <c r="R171" s="54" t="str">
        <f t="shared" ref="R171:R172" si="35">"2004,2004,2004,4002"</f>
        <v>2004,2004,2004,4002</v>
      </c>
      <c r="S171" s="8"/>
      <c r="T171" s="8"/>
      <c r="U171" s="8"/>
      <c r="V171" s="42"/>
      <c r="W171" s="60" t="s">
        <v>1632</v>
      </c>
      <c r="X171" s="60" t="s">
        <v>1634</v>
      </c>
      <c r="Y171" s="8"/>
      <c r="Z171" s="29" t="s">
        <v>1644</v>
      </c>
      <c r="AA171" s="11"/>
      <c r="AB171" s="11"/>
      <c r="AC171" s="11"/>
      <c r="AD171" s="14"/>
    </row>
    <row r="172" ht="15.75" customHeight="1">
      <c r="A172" s="42">
        <f t="shared" si="33"/>
        <v>314002</v>
      </c>
      <c r="B172" s="4" t="s">
        <v>1656</v>
      </c>
      <c r="C172" s="42">
        <v>3.0</v>
      </c>
      <c r="D172" s="42"/>
      <c r="E172" s="42"/>
      <c r="F172" s="42">
        <v>1.0</v>
      </c>
      <c r="G172" s="42"/>
      <c r="H172" s="42">
        <v>1.6</v>
      </c>
      <c r="I172" s="42"/>
      <c r="J172" s="42"/>
      <c r="K172" s="42">
        <f>K171-1</f>
        <v>6</v>
      </c>
      <c r="L172" s="42"/>
      <c r="M172" s="8" t="s">
        <v>578</v>
      </c>
      <c r="N172" s="53">
        <f t="shared" si="34"/>
        <v>84</v>
      </c>
      <c r="O172" s="8"/>
      <c r="P172" s="54"/>
      <c r="Q172" s="54"/>
      <c r="R172" s="54" t="str">
        <f t="shared" si="35"/>
        <v>2004,2004,2004,4002</v>
      </c>
      <c r="S172" s="8"/>
      <c r="T172" s="8"/>
      <c r="U172" s="8"/>
      <c r="V172" s="42"/>
      <c r="W172" s="60" t="s">
        <v>1632</v>
      </c>
      <c r="X172" s="60" t="s">
        <v>1634</v>
      </c>
      <c r="Y172" s="8"/>
      <c r="Z172" s="29" t="s">
        <v>1644</v>
      </c>
      <c r="AA172" s="11"/>
      <c r="AB172" s="11"/>
      <c r="AC172" s="11"/>
      <c r="AD172" s="14"/>
    </row>
    <row r="173" ht="15.75" customHeight="1">
      <c r="A173" s="42">
        <f t="shared" si="33"/>
        <v>315002</v>
      </c>
      <c r="B173" s="4" t="s">
        <v>1666</v>
      </c>
      <c r="C173" s="42">
        <v>3.0</v>
      </c>
      <c r="D173" s="42"/>
      <c r="E173" s="42"/>
      <c r="F173" s="42">
        <v>1.0</v>
      </c>
      <c r="G173" s="42"/>
      <c r="H173" s="42">
        <v>1.6</v>
      </c>
      <c r="I173" s="42"/>
      <c r="J173" s="42"/>
      <c r="K173" s="42">
        <f>K172</f>
        <v>6</v>
      </c>
      <c r="L173" s="42"/>
      <c r="M173" s="8" t="s">
        <v>578</v>
      </c>
      <c r="N173" s="53">
        <f t="shared" si="34"/>
        <v>80</v>
      </c>
      <c r="O173" s="8"/>
      <c r="P173" s="54"/>
      <c r="Q173" s="54"/>
      <c r="R173" s="54" t="str">
        <f>"2004,2004,2004,4002,4002,4002"</f>
        <v>2004,2004,2004,4002,4002,4002</v>
      </c>
      <c r="S173" s="8"/>
      <c r="T173" s="8"/>
      <c r="U173" s="8"/>
      <c r="V173" s="42"/>
      <c r="W173" s="60" t="s">
        <v>1632</v>
      </c>
      <c r="X173" s="60" t="s">
        <v>1634</v>
      </c>
      <c r="Y173" s="8"/>
      <c r="Z173" s="29" t="s">
        <v>1674</v>
      </c>
      <c r="AA173" s="11"/>
      <c r="AB173" s="11"/>
      <c r="AC173" s="11"/>
      <c r="AD173" s="14"/>
    </row>
    <row r="174" ht="14.25" customHeight="1">
      <c r="A174" s="42">
        <f t="shared" si="33"/>
        <v>311003</v>
      </c>
      <c r="B174" s="4" t="s">
        <v>1678</v>
      </c>
      <c r="C174" s="42">
        <v>-5.0</v>
      </c>
      <c r="D174" s="42"/>
      <c r="E174" s="42"/>
      <c r="F174" s="42">
        <v>1.0</v>
      </c>
      <c r="G174" s="42"/>
      <c r="H174" s="42">
        <v>1.0</v>
      </c>
      <c r="I174" s="42"/>
      <c r="J174" s="42"/>
      <c r="K174" s="42">
        <v>6.0</v>
      </c>
      <c r="L174" s="42"/>
      <c r="M174" s="8" t="s">
        <v>630</v>
      </c>
      <c r="N174" s="53">
        <v>49.0</v>
      </c>
      <c r="O174" s="8"/>
      <c r="P174" s="54"/>
      <c r="Q174" s="54"/>
      <c r="R174" s="54"/>
      <c r="S174" s="8"/>
      <c r="T174" s="8"/>
      <c r="U174" s="8"/>
      <c r="V174" s="42"/>
      <c r="W174" s="8"/>
      <c r="X174" s="8" t="s">
        <v>630</v>
      </c>
      <c r="Y174" s="8"/>
      <c r="Z174" s="29" t="s">
        <v>852</v>
      </c>
      <c r="AA174" s="11"/>
      <c r="AB174" s="11"/>
      <c r="AC174" s="11"/>
      <c r="AD174" s="14"/>
    </row>
    <row r="175" ht="14.25" customHeight="1">
      <c r="A175" s="42">
        <f t="shared" si="33"/>
        <v>312003</v>
      </c>
      <c r="B175" s="4" t="s">
        <v>1683</v>
      </c>
      <c r="C175" s="42">
        <v>-5.0</v>
      </c>
      <c r="D175" s="42"/>
      <c r="E175" s="42"/>
      <c r="F175" s="42">
        <v>1.0</v>
      </c>
      <c r="G175" s="42"/>
      <c r="H175" s="42">
        <v>1.0</v>
      </c>
      <c r="I175" s="42"/>
      <c r="J175" s="42"/>
      <c r="K175" s="42">
        <f>K174</f>
        <v>6</v>
      </c>
      <c r="L175" s="42"/>
      <c r="M175" s="8" t="s">
        <v>630</v>
      </c>
      <c r="N175" s="53">
        <f t="shared" ref="N175:N178" si="36">N174-4</f>
        <v>45</v>
      </c>
      <c r="O175" s="8"/>
      <c r="P175" s="54"/>
      <c r="Q175" s="54"/>
      <c r="R175" s="54" t="str">
        <f t="shared" ref="R175:R177" si="37">"1001,1001,1003,1003"</f>
        <v>1001,1001,1003,1003</v>
      </c>
      <c r="S175" s="8"/>
      <c r="T175" s="8"/>
      <c r="U175" s="8"/>
      <c r="V175" s="42"/>
      <c r="W175" s="8"/>
      <c r="X175" s="8" t="s">
        <v>630</v>
      </c>
      <c r="Y175" s="8"/>
      <c r="Z175" s="29" t="s">
        <v>1691</v>
      </c>
      <c r="AA175" s="11"/>
      <c r="AB175" s="11"/>
      <c r="AC175" s="11"/>
      <c r="AD175" s="14"/>
      <c r="AF175" s="79"/>
      <c r="AG175" s="79"/>
      <c r="AH175" s="49"/>
      <c r="AI175" s="79"/>
    </row>
    <row r="176" ht="14.25" customHeight="1">
      <c r="A176" s="42">
        <f t="shared" si="33"/>
        <v>313003</v>
      </c>
      <c r="B176" s="4" t="s">
        <v>1695</v>
      </c>
      <c r="C176" s="42">
        <v>-5.0</v>
      </c>
      <c r="D176" s="42"/>
      <c r="E176" s="42"/>
      <c r="F176" s="42">
        <v>1.0</v>
      </c>
      <c r="G176" s="42"/>
      <c r="H176" s="42">
        <v>1.0</v>
      </c>
      <c r="I176" s="42"/>
      <c r="J176" s="42"/>
      <c r="K176" s="42">
        <f>K174-1</f>
        <v>5</v>
      </c>
      <c r="L176" s="42"/>
      <c r="M176" s="8" t="s">
        <v>630</v>
      </c>
      <c r="N176" s="53">
        <f t="shared" si="36"/>
        <v>41</v>
      </c>
      <c r="O176" s="8"/>
      <c r="P176" s="54"/>
      <c r="Q176" s="54"/>
      <c r="R176" s="54" t="str">
        <f t="shared" si="37"/>
        <v>1001,1001,1003,1003</v>
      </c>
      <c r="S176" s="8"/>
      <c r="T176" s="8"/>
      <c r="U176" s="8"/>
      <c r="V176" s="42"/>
      <c r="W176" s="8"/>
      <c r="X176" s="8" t="s">
        <v>630</v>
      </c>
      <c r="Y176" s="8"/>
      <c r="Z176" s="29" t="s">
        <v>1691</v>
      </c>
      <c r="AA176" s="11"/>
      <c r="AB176" s="11"/>
      <c r="AC176" s="11"/>
      <c r="AD176" s="14"/>
      <c r="AF176" s="79"/>
      <c r="AG176" s="79"/>
      <c r="AH176" s="49"/>
      <c r="AI176" s="79"/>
    </row>
    <row r="177" ht="14.25" customHeight="1">
      <c r="A177" s="42">
        <f t="shared" si="33"/>
        <v>314003</v>
      </c>
      <c r="B177" s="4" t="s">
        <v>1707</v>
      </c>
      <c r="C177" s="42">
        <v>-5.0</v>
      </c>
      <c r="D177" s="42"/>
      <c r="E177" s="42"/>
      <c r="F177" s="42">
        <v>1.0</v>
      </c>
      <c r="G177" s="42"/>
      <c r="H177" s="42">
        <v>1.0</v>
      </c>
      <c r="I177" s="42"/>
      <c r="J177" s="42"/>
      <c r="K177" s="42">
        <f>K176-1</f>
        <v>4</v>
      </c>
      <c r="L177" s="42"/>
      <c r="M177" s="8" t="s">
        <v>630</v>
      </c>
      <c r="N177" s="53">
        <f t="shared" si="36"/>
        <v>37</v>
      </c>
      <c r="O177" s="8"/>
      <c r="P177" s="54"/>
      <c r="Q177" s="54"/>
      <c r="R177" s="54" t="str">
        <f t="shared" si="37"/>
        <v>1001,1001,1003,1003</v>
      </c>
      <c r="S177" s="8"/>
      <c r="T177" s="8"/>
      <c r="U177" s="8"/>
      <c r="V177" s="42"/>
      <c r="W177" s="8"/>
      <c r="X177" s="8" t="s">
        <v>630</v>
      </c>
      <c r="Y177" s="8"/>
      <c r="Z177" s="29" t="s">
        <v>1691</v>
      </c>
      <c r="AA177" s="11"/>
      <c r="AB177" s="11"/>
      <c r="AC177" s="11"/>
      <c r="AD177" s="14"/>
      <c r="AF177" s="79"/>
      <c r="AG177" s="79"/>
      <c r="AH177" s="49"/>
      <c r="AI177" s="79"/>
    </row>
    <row r="178" ht="14.25" customHeight="1">
      <c r="A178" s="42">
        <f t="shared" si="33"/>
        <v>315003</v>
      </c>
      <c r="B178" s="4" t="s">
        <v>1715</v>
      </c>
      <c r="C178" s="42">
        <v>-5.0</v>
      </c>
      <c r="D178" s="42"/>
      <c r="E178" s="42"/>
      <c r="F178" s="42">
        <v>1.0</v>
      </c>
      <c r="G178" s="42"/>
      <c r="H178" s="42">
        <v>1.0</v>
      </c>
      <c r="I178" s="42"/>
      <c r="J178" s="42"/>
      <c r="K178" s="42">
        <f>K177</f>
        <v>4</v>
      </c>
      <c r="L178" s="42"/>
      <c r="M178" s="8" t="s">
        <v>630</v>
      </c>
      <c r="N178" s="53">
        <f t="shared" si="36"/>
        <v>33</v>
      </c>
      <c r="O178" s="8"/>
      <c r="P178" s="54"/>
      <c r="Q178" s="54"/>
      <c r="R178" s="54" t="str">
        <f>"1001,1001,1003,1003,1005,1007"</f>
        <v>1001,1001,1003,1003,1005,1007</v>
      </c>
      <c r="S178" s="8"/>
      <c r="T178" s="8"/>
      <c r="U178" s="8"/>
      <c r="V178" s="42"/>
      <c r="W178" s="8"/>
      <c r="X178" s="8" t="s">
        <v>630</v>
      </c>
      <c r="Y178" s="8"/>
      <c r="Z178" s="29" t="s">
        <v>1720</v>
      </c>
      <c r="AA178" s="11"/>
      <c r="AB178" s="11"/>
      <c r="AC178" s="11"/>
      <c r="AD178" s="14"/>
      <c r="AF178" s="79"/>
      <c r="AG178" s="79"/>
      <c r="AH178" s="49"/>
      <c r="AI178" s="79"/>
    </row>
    <row r="179" ht="14.25" customHeight="1">
      <c r="A179" s="42">
        <f t="shared" si="33"/>
        <v>311004</v>
      </c>
      <c r="B179" s="82" t="s">
        <v>1724</v>
      </c>
      <c r="C179" s="42">
        <v>3.0</v>
      </c>
      <c r="D179" s="42"/>
      <c r="E179" s="42"/>
      <c r="F179" s="42">
        <v>1.0</v>
      </c>
      <c r="G179" s="42">
        <v>1.6</v>
      </c>
      <c r="H179" s="42"/>
      <c r="I179" s="42"/>
      <c r="J179" s="42"/>
      <c r="K179" s="42">
        <v>7.0</v>
      </c>
      <c r="L179" s="42"/>
      <c r="M179" s="8" t="s">
        <v>544</v>
      </c>
      <c r="N179" s="53">
        <v>48.0</v>
      </c>
      <c r="O179" s="8"/>
      <c r="P179" s="54">
        <v>3003.0</v>
      </c>
      <c r="Q179" s="54"/>
      <c r="R179" s="54"/>
      <c r="S179" s="8"/>
      <c r="T179" s="8"/>
      <c r="U179" s="8"/>
      <c r="V179" s="42"/>
      <c r="W179" s="8"/>
      <c r="X179" s="8" t="s">
        <v>696</v>
      </c>
      <c r="Y179" s="8"/>
      <c r="Z179" s="29" t="s">
        <v>853</v>
      </c>
      <c r="AA179" s="11"/>
      <c r="AB179" s="11"/>
      <c r="AC179" s="11"/>
      <c r="AD179" s="14"/>
    </row>
    <row r="180" ht="14.25" customHeight="1">
      <c r="A180" s="42">
        <f t="shared" si="33"/>
        <v>312004</v>
      </c>
      <c r="B180" s="82" t="s">
        <v>1729</v>
      </c>
      <c r="C180" s="42">
        <v>3.0</v>
      </c>
      <c r="D180" s="42"/>
      <c r="E180" s="42"/>
      <c r="F180" s="42">
        <v>1.0</v>
      </c>
      <c r="G180" s="42">
        <v>1.6</v>
      </c>
      <c r="H180" s="42"/>
      <c r="I180" s="42"/>
      <c r="J180" s="42"/>
      <c r="K180" s="42">
        <f>K179</f>
        <v>7</v>
      </c>
      <c r="L180" s="42"/>
      <c r="M180" s="8" t="s">
        <v>544</v>
      </c>
      <c r="N180" s="53">
        <f t="shared" ref="N180:N183" si="38">N179-4</f>
        <v>44</v>
      </c>
      <c r="O180" s="8"/>
      <c r="P180" s="54">
        <v>3003.0</v>
      </c>
      <c r="Q180" s="54"/>
      <c r="R180" s="54"/>
      <c r="S180" s="8"/>
      <c r="T180" s="8"/>
      <c r="U180" s="8"/>
      <c r="V180" s="42"/>
      <c r="W180" s="8"/>
      <c r="X180" s="8" t="s">
        <v>696</v>
      </c>
      <c r="Y180" s="8"/>
      <c r="Z180" s="29" t="s">
        <v>853</v>
      </c>
      <c r="AA180" s="11"/>
      <c r="AB180" s="11"/>
      <c r="AC180" s="11"/>
      <c r="AD180" s="14"/>
      <c r="AF180" s="79"/>
      <c r="AG180" s="79"/>
      <c r="AH180" s="49"/>
      <c r="AI180" s="79"/>
    </row>
    <row r="181" ht="14.25" customHeight="1">
      <c r="A181" s="42">
        <f t="shared" si="33"/>
        <v>313004</v>
      </c>
      <c r="B181" s="82" t="s">
        <v>1738</v>
      </c>
      <c r="C181" s="42">
        <v>3.0</v>
      </c>
      <c r="D181" s="42"/>
      <c r="E181" s="42"/>
      <c r="F181" s="42">
        <v>1.0</v>
      </c>
      <c r="G181" s="42">
        <v>1.6</v>
      </c>
      <c r="H181" s="42"/>
      <c r="I181" s="42"/>
      <c r="J181" s="42"/>
      <c r="K181" s="42">
        <f>K179-1</f>
        <v>6</v>
      </c>
      <c r="L181" s="42"/>
      <c r="M181" s="8" t="s">
        <v>544</v>
      </c>
      <c r="N181" s="53">
        <f t="shared" si="38"/>
        <v>40</v>
      </c>
      <c r="O181" s="8"/>
      <c r="P181" s="54">
        <v>3003.0</v>
      </c>
      <c r="Q181" s="54"/>
      <c r="R181" s="54">
        <v>5001.0</v>
      </c>
      <c r="S181" s="8"/>
      <c r="T181" s="8"/>
      <c r="U181" s="8"/>
      <c r="V181" s="42"/>
      <c r="W181" s="8"/>
      <c r="X181" s="8" t="s">
        <v>696</v>
      </c>
      <c r="Y181" s="8"/>
      <c r="Z181" s="29" t="s">
        <v>1747</v>
      </c>
      <c r="AA181" s="11"/>
      <c r="AB181" s="11"/>
      <c r="AC181" s="11"/>
      <c r="AD181" s="14"/>
      <c r="AF181" s="79"/>
      <c r="AG181" s="79"/>
      <c r="AH181" s="49"/>
      <c r="AI181" s="79"/>
    </row>
    <row r="182" ht="14.25" customHeight="1">
      <c r="A182" s="42">
        <f t="shared" si="33"/>
        <v>314004</v>
      </c>
      <c r="B182" s="82" t="s">
        <v>1749</v>
      </c>
      <c r="C182" s="42">
        <v>3.0</v>
      </c>
      <c r="D182" s="42"/>
      <c r="E182" s="42"/>
      <c r="F182" s="42">
        <v>1.0</v>
      </c>
      <c r="G182" s="42">
        <v>1.6</v>
      </c>
      <c r="H182" s="42"/>
      <c r="I182" s="42"/>
      <c r="J182" s="42"/>
      <c r="K182" s="42">
        <f>K181-1</f>
        <v>5</v>
      </c>
      <c r="L182" s="42"/>
      <c r="M182" s="8" t="s">
        <v>544</v>
      </c>
      <c r="N182" s="53">
        <f t="shared" si="38"/>
        <v>36</v>
      </c>
      <c r="O182" s="8"/>
      <c r="P182" s="54">
        <v>3003.0</v>
      </c>
      <c r="Q182" s="54"/>
      <c r="R182" s="54">
        <v>5001.0</v>
      </c>
      <c r="S182" s="8"/>
      <c r="T182" s="8"/>
      <c r="U182" s="8"/>
      <c r="V182" s="42"/>
      <c r="W182" s="8"/>
      <c r="X182" s="8" t="s">
        <v>696</v>
      </c>
      <c r="Y182" s="8"/>
      <c r="Z182" s="29" t="s">
        <v>1747</v>
      </c>
      <c r="AA182" s="11"/>
      <c r="AB182" s="11"/>
      <c r="AC182" s="11"/>
      <c r="AD182" s="14"/>
      <c r="AF182" s="79"/>
      <c r="AG182" s="79"/>
      <c r="AH182" s="49"/>
      <c r="AI182" s="79"/>
    </row>
    <row r="183" ht="14.25" customHeight="1">
      <c r="A183" s="42">
        <f t="shared" si="33"/>
        <v>315004</v>
      </c>
      <c r="B183" s="82" t="s">
        <v>1759</v>
      </c>
      <c r="C183" s="42">
        <v>3.0</v>
      </c>
      <c r="D183" s="42"/>
      <c r="E183" s="42"/>
      <c r="F183" s="42">
        <v>1.0</v>
      </c>
      <c r="G183" s="42">
        <v>1.6</v>
      </c>
      <c r="H183" s="42"/>
      <c r="I183" s="42"/>
      <c r="J183" s="42"/>
      <c r="K183" s="42">
        <f>K182</f>
        <v>5</v>
      </c>
      <c r="L183" s="42"/>
      <c r="M183" s="8" t="s">
        <v>544</v>
      </c>
      <c r="N183" s="53">
        <f t="shared" si="38"/>
        <v>32</v>
      </c>
      <c r="O183" s="8"/>
      <c r="P183" s="54">
        <v>3003.0</v>
      </c>
      <c r="Q183" s="54"/>
      <c r="R183" s="54">
        <v>5001.0</v>
      </c>
      <c r="S183" s="8"/>
      <c r="T183" s="8"/>
      <c r="U183" s="8"/>
      <c r="V183" s="42"/>
      <c r="W183" s="8"/>
      <c r="X183" s="8" t="s">
        <v>696</v>
      </c>
      <c r="Y183" s="8"/>
      <c r="Z183" s="29" t="s">
        <v>1747</v>
      </c>
      <c r="AA183" s="11"/>
      <c r="AB183" s="11"/>
      <c r="AC183" s="11"/>
      <c r="AD183" s="14"/>
      <c r="AF183" s="79"/>
      <c r="AG183" s="79"/>
      <c r="AH183" s="49"/>
      <c r="AI183" s="79"/>
    </row>
    <row r="184" ht="14.25" customHeight="1">
      <c r="A184" s="42">
        <f t="shared" si="33"/>
        <v>311005</v>
      </c>
      <c r="B184" s="4" t="s">
        <v>1767</v>
      </c>
      <c r="C184" s="42">
        <v>1.0</v>
      </c>
      <c r="D184" s="42"/>
      <c r="E184" s="42"/>
      <c r="F184" s="42">
        <v>1.0</v>
      </c>
      <c r="G184" s="42">
        <v>4.8</v>
      </c>
      <c r="H184" s="42"/>
      <c r="I184" s="42"/>
      <c r="J184" s="42"/>
      <c r="K184" s="42">
        <v>6.0</v>
      </c>
      <c r="L184" s="42"/>
      <c r="M184" s="8" t="s">
        <v>544</v>
      </c>
      <c r="N184" s="53">
        <v>48.0</v>
      </c>
      <c r="O184" s="8"/>
      <c r="P184" s="54">
        <v>3007.0</v>
      </c>
      <c r="Q184" s="54"/>
      <c r="R184" s="54"/>
      <c r="S184" s="8"/>
      <c r="T184" s="8"/>
      <c r="U184" s="8"/>
      <c r="V184" s="42"/>
      <c r="W184" s="8"/>
      <c r="X184" s="8" t="s">
        <v>856</v>
      </c>
      <c r="Y184" s="8"/>
      <c r="Z184" s="29" t="s">
        <v>1769</v>
      </c>
      <c r="AA184" s="11"/>
      <c r="AB184" s="11"/>
      <c r="AC184" s="11"/>
      <c r="AD184" s="14"/>
    </row>
    <row r="185" ht="14.25" customHeight="1">
      <c r="A185" s="42">
        <f t="shared" si="33"/>
        <v>312005</v>
      </c>
      <c r="B185" s="4" t="s">
        <v>1773</v>
      </c>
      <c r="C185" s="42">
        <v>1.0</v>
      </c>
      <c r="D185" s="42"/>
      <c r="E185" s="42"/>
      <c r="F185" s="42">
        <v>1.0</v>
      </c>
      <c r="G185" s="42">
        <v>4.8</v>
      </c>
      <c r="H185" s="42"/>
      <c r="I185" s="42"/>
      <c r="J185" s="42"/>
      <c r="K185" s="42">
        <f>K184</f>
        <v>6</v>
      </c>
      <c r="L185" s="42"/>
      <c r="M185" s="8" t="s">
        <v>544</v>
      </c>
      <c r="N185" s="53">
        <f t="shared" ref="N185:N188" si="39">N184-4</f>
        <v>44</v>
      </c>
      <c r="O185" s="8"/>
      <c r="P185" s="54">
        <v>3007.0</v>
      </c>
      <c r="Q185" s="54"/>
      <c r="R185" s="54"/>
      <c r="S185" s="8"/>
      <c r="T185" s="8"/>
      <c r="U185" s="8"/>
      <c r="V185" s="42"/>
      <c r="W185" s="8"/>
      <c r="X185" s="8" t="s">
        <v>856</v>
      </c>
      <c r="Y185" s="8"/>
      <c r="Z185" s="29" t="s">
        <v>1769</v>
      </c>
      <c r="AA185" s="11"/>
      <c r="AB185" s="11"/>
      <c r="AC185" s="11"/>
      <c r="AD185" s="14"/>
      <c r="AF185" s="79"/>
      <c r="AG185" s="79"/>
      <c r="AH185" s="49"/>
      <c r="AI185" s="49"/>
    </row>
    <row r="186" ht="14.25" customHeight="1">
      <c r="A186" s="42">
        <f t="shared" si="33"/>
        <v>313005</v>
      </c>
      <c r="B186" s="4" t="s">
        <v>1789</v>
      </c>
      <c r="C186" s="42">
        <v>1.0</v>
      </c>
      <c r="D186" s="42"/>
      <c r="E186" s="42"/>
      <c r="F186" s="42">
        <v>1.0</v>
      </c>
      <c r="G186" s="42">
        <v>4.8</v>
      </c>
      <c r="H186" s="42"/>
      <c r="I186" s="42"/>
      <c r="J186" s="42"/>
      <c r="K186" s="42">
        <f>K184-1</f>
        <v>5</v>
      </c>
      <c r="L186" s="42"/>
      <c r="M186" s="8" t="s">
        <v>544</v>
      </c>
      <c r="N186" s="53">
        <f t="shared" si="39"/>
        <v>40</v>
      </c>
      <c r="O186" s="8"/>
      <c r="P186" s="54" t="str">
        <f t="shared" ref="P186:P188" si="40">"3007,3012"</f>
        <v>3007,3012</v>
      </c>
      <c r="Q186" s="54"/>
      <c r="R186" s="54"/>
      <c r="S186" s="8"/>
      <c r="T186" s="8"/>
      <c r="U186" s="8"/>
      <c r="V186" s="42"/>
      <c r="W186" s="8"/>
      <c r="X186" s="8" t="s">
        <v>856</v>
      </c>
      <c r="Y186" s="8"/>
      <c r="Z186" s="29" t="s">
        <v>1799</v>
      </c>
      <c r="AA186" s="11"/>
      <c r="AB186" s="11"/>
      <c r="AC186" s="11"/>
      <c r="AD186" s="14"/>
      <c r="AF186" s="79"/>
      <c r="AG186" s="79"/>
      <c r="AH186" s="49"/>
      <c r="AI186" s="49"/>
    </row>
    <row r="187" ht="14.25" customHeight="1">
      <c r="A187" s="42">
        <f t="shared" si="33"/>
        <v>314005</v>
      </c>
      <c r="B187" s="4" t="s">
        <v>1805</v>
      </c>
      <c r="C187" s="42">
        <v>1.0</v>
      </c>
      <c r="D187" s="42"/>
      <c r="E187" s="42"/>
      <c r="F187" s="42">
        <v>1.0</v>
      </c>
      <c r="G187" s="42">
        <v>4.8</v>
      </c>
      <c r="H187" s="42"/>
      <c r="I187" s="42"/>
      <c r="J187" s="42"/>
      <c r="K187" s="42">
        <f>K186-1</f>
        <v>4</v>
      </c>
      <c r="L187" s="42"/>
      <c r="M187" s="8" t="s">
        <v>544</v>
      </c>
      <c r="N187" s="53">
        <f t="shared" si="39"/>
        <v>36</v>
      </c>
      <c r="O187" s="8"/>
      <c r="P187" s="54" t="str">
        <f t="shared" si="40"/>
        <v>3007,3012</v>
      </c>
      <c r="Q187" s="54"/>
      <c r="R187" s="54"/>
      <c r="S187" s="8"/>
      <c r="T187" s="8"/>
      <c r="U187" s="8"/>
      <c r="V187" s="42"/>
      <c r="W187" s="8"/>
      <c r="X187" s="8" t="s">
        <v>856</v>
      </c>
      <c r="Y187" s="8"/>
      <c r="Z187" s="29" t="s">
        <v>1799</v>
      </c>
      <c r="AA187" s="11"/>
      <c r="AB187" s="11"/>
      <c r="AC187" s="11"/>
      <c r="AD187" s="14"/>
      <c r="AF187" s="79"/>
      <c r="AG187" s="79"/>
      <c r="AH187" s="49"/>
      <c r="AI187" s="49"/>
    </row>
    <row r="188" ht="14.25" customHeight="1">
      <c r="A188" s="42">
        <f t="shared" si="33"/>
        <v>315005</v>
      </c>
      <c r="B188" s="4" t="s">
        <v>1819</v>
      </c>
      <c r="C188" s="42">
        <v>1.0</v>
      </c>
      <c r="D188" s="42"/>
      <c r="E188" s="42"/>
      <c r="F188" s="42">
        <v>1.0</v>
      </c>
      <c r="G188" s="42">
        <v>4.8</v>
      </c>
      <c r="H188" s="42"/>
      <c r="I188" s="42"/>
      <c r="J188" s="42"/>
      <c r="K188" s="42">
        <f>K187</f>
        <v>4</v>
      </c>
      <c r="L188" s="42"/>
      <c r="M188" s="8" t="s">
        <v>544</v>
      </c>
      <c r="N188" s="53">
        <f t="shared" si="39"/>
        <v>32</v>
      </c>
      <c r="O188" s="8"/>
      <c r="P188" s="54" t="str">
        <f t="shared" si="40"/>
        <v>3007,3012</v>
      </c>
      <c r="Q188" s="54"/>
      <c r="R188" s="54"/>
      <c r="S188" s="8"/>
      <c r="T188" s="8"/>
      <c r="U188" s="8"/>
      <c r="V188" s="42"/>
      <c r="W188" s="8"/>
      <c r="X188" s="8" t="s">
        <v>856</v>
      </c>
      <c r="Y188" s="8"/>
      <c r="Z188" s="29" t="s">
        <v>1799</v>
      </c>
      <c r="AA188" s="11"/>
      <c r="AB188" s="11"/>
      <c r="AC188" s="11"/>
      <c r="AD188" s="14"/>
    </row>
    <row r="189" ht="14.25" customHeight="1">
      <c r="A189" s="42">
        <f t="shared" si="33"/>
        <v>311006</v>
      </c>
      <c r="B189" s="4" t="s">
        <v>1830</v>
      </c>
      <c r="C189" s="42">
        <v>-5.0</v>
      </c>
      <c r="D189" s="42"/>
      <c r="E189" s="42"/>
      <c r="F189" s="42">
        <v>1.0</v>
      </c>
      <c r="G189" s="42"/>
      <c r="H189" s="42">
        <v>1.0</v>
      </c>
      <c r="I189" s="42"/>
      <c r="J189" s="42"/>
      <c r="K189" s="42">
        <v>6.0</v>
      </c>
      <c r="L189" s="42"/>
      <c r="M189" s="8" t="s">
        <v>656</v>
      </c>
      <c r="N189" s="53">
        <v>98.0</v>
      </c>
      <c r="O189" s="8"/>
      <c r="P189" s="54"/>
      <c r="Q189" s="54"/>
      <c r="R189" s="54">
        <v>1999.0</v>
      </c>
      <c r="S189" s="8"/>
      <c r="T189" s="8"/>
      <c r="U189" s="8"/>
      <c r="V189" s="42"/>
      <c r="W189" s="8"/>
      <c r="X189" s="8" t="s">
        <v>859</v>
      </c>
      <c r="Y189" s="8"/>
      <c r="Z189" s="29" t="s">
        <v>860</v>
      </c>
      <c r="AA189" s="11"/>
      <c r="AB189" s="11"/>
      <c r="AC189" s="11"/>
      <c r="AD189" s="14"/>
      <c r="AF189" s="79"/>
      <c r="AG189" s="79"/>
      <c r="AH189" s="49"/>
      <c r="AI189" s="79"/>
    </row>
    <row r="190" ht="14.25" customHeight="1">
      <c r="A190" s="42">
        <f t="shared" si="33"/>
        <v>312006</v>
      </c>
      <c r="B190" s="4" t="s">
        <v>1846</v>
      </c>
      <c r="C190" s="42">
        <v>-5.0</v>
      </c>
      <c r="D190" s="42"/>
      <c r="E190" s="42"/>
      <c r="F190" s="42">
        <v>1.0</v>
      </c>
      <c r="G190" s="42"/>
      <c r="H190" s="42">
        <v>1.0</v>
      </c>
      <c r="I190" s="42"/>
      <c r="J190" s="42"/>
      <c r="K190" s="42">
        <f>K189</f>
        <v>6</v>
      </c>
      <c r="L190" s="42"/>
      <c r="M190" s="8" t="s">
        <v>656</v>
      </c>
      <c r="N190" s="53">
        <f t="shared" ref="N190:N193" si="41">N189-4</f>
        <v>94</v>
      </c>
      <c r="O190" s="8"/>
      <c r="P190" s="54"/>
      <c r="Q190" s="54"/>
      <c r="R190" s="54" t="str">
        <f t="shared" ref="R190:R192" si="42">"1999,1012"</f>
        <v>1999,1012</v>
      </c>
      <c r="S190" s="8"/>
      <c r="T190" s="8"/>
      <c r="U190" s="8"/>
      <c r="V190" s="42"/>
      <c r="W190" s="8"/>
      <c r="X190" s="8" t="s">
        <v>859</v>
      </c>
      <c r="Y190" s="8"/>
      <c r="Z190" s="29" t="s">
        <v>1863</v>
      </c>
      <c r="AA190" s="11"/>
      <c r="AB190" s="11"/>
      <c r="AC190" s="11"/>
      <c r="AD190" s="14"/>
      <c r="AF190" s="79"/>
      <c r="AG190" s="79"/>
      <c r="AH190" s="49"/>
      <c r="AI190" s="79"/>
    </row>
    <row r="191" ht="14.25" customHeight="1">
      <c r="A191" s="42">
        <f t="shared" si="33"/>
        <v>313006</v>
      </c>
      <c r="B191" s="4" t="s">
        <v>1868</v>
      </c>
      <c r="C191" s="42">
        <v>-5.0</v>
      </c>
      <c r="D191" s="42"/>
      <c r="E191" s="42"/>
      <c r="F191" s="42">
        <v>1.0</v>
      </c>
      <c r="G191" s="42"/>
      <c r="H191" s="42">
        <v>1.0</v>
      </c>
      <c r="I191" s="42"/>
      <c r="J191" s="42"/>
      <c r="K191" s="42">
        <f>K189-1</f>
        <v>5</v>
      </c>
      <c r="L191" s="42"/>
      <c r="M191" s="8" t="s">
        <v>656</v>
      </c>
      <c r="N191" s="53">
        <f t="shared" si="41"/>
        <v>90</v>
      </c>
      <c r="O191" s="8"/>
      <c r="P191" s="54"/>
      <c r="Q191" s="54"/>
      <c r="R191" s="54" t="str">
        <f t="shared" si="42"/>
        <v>1999,1012</v>
      </c>
      <c r="S191" s="8"/>
      <c r="T191" s="8"/>
      <c r="U191" s="8"/>
      <c r="V191" s="42"/>
      <c r="W191" s="8"/>
      <c r="X191" s="8" t="s">
        <v>859</v>
      </c>
      <c r="Y191" s="8"/>
      <c r="Z191" s="29" t="s">
        <v>1863</v>
      </c>
      <c r="AA191" s="11"/>
      <c r="AB191" s="11"/>
      <c r="AC191" s="11"/>
      <c r="AD191" s="14"/>
      <c r="AF191" s="79"/>
      <c r="AG191" s="79"/>
      <c r="AH191" s="49"/>
      <c r="AI191" s="79"/>
    </row>
    <row r="192" ht="14.25" customHeight="1">
      <c r="A192" s="42">
        <f t="shared" si="33"/>
        <v>314006</v>
      </c>
      <c r="B192" s="4" t="s">
        <v>1881</v>
      </c>
      <c r="C192" s="42">
        <v>-5.0</v>
      </c>
      <c r="D192" s="42"/>
      <c r="E192" s="42"/>
      <c r="F192" s="42">
        <v>1.0</v>
      </c>
      <c r="G192" s="42"/>
      <c r="H192" s="42">
        <v>1.0</v>
      </c>
      <c r="I192" s="42"/>
      <c r="J192" s="42"/>
      <c r="K192" s="42">
        <f>K191-1</f>
        <v>4</v>
      </c>
      <c r="L192" s="42"/>
      <c r="M192" s="8" t="s">
        <v>656</v>
      </c>
      <c r="N192" s="53">
        <f t="shared" si="41"/>
        <v>86</v>
      </c>
      <c r="O192" s="8"/>
      <c r="P192" s="54"/>
      <c r="Q192" s="54"/>
      <c r="R192" s="54" t="str">
        <f t="shared" si="42"/>
        <v>1999,1012</v>
      </c>
      <c r="S192" s="8"/>
      <c r="T192" s="8"/>
      <c r="U192" s="8"/>
      <c r="V192" s="42"/>
      <c r="W192" s="8"/>
      <c r="X192" s="8" t="s">
        <v>859</v>
      </c>
      <c r="Y192" s="8"/>
      <c r="Z192" s="29" t="s">
        <v>1863</v>
      </c>
      <c r="AA192" s="11"/>
      <c r="AB192" s="11"/>
      <c r="AC192" s="11"/>
      <c r="AD192" s="14"/>
      <c r="AF192" s="79"/>
      <c r="AG192" s="79"/>
      <c r="AH192" s="49"/>
      <c r="AI192" s="79"/>
    </row>
    <row r="193" ht="14.25" customHeight="1">
      <c r="A193" s="42">
        <f t="shared" si="33"/>
        <v>315006</v>
      </c>
      <c r="B193" s="4" t="s">
        <v>1893</v>
      </c>
      <c r="C193" s="42">
        <v>-5.0</v>
      </c>
      <c r="D193" s="42"/>
      <c r="E193" s="42"/>
      <c r="F193" s="42">
        <v>1.0</v>
      </c>
      <c r="G193" s="42"/>
      <c r="H193" s="42">
        <v>1.0</v>
      </c>
      <c r="I193" s="42"/>
      <c r="J193" s="42"/>
      <c r="K193" s="42">
        <f>K192</f>
        <v>4</v>
      </c>
      <c r="L193" s="42"/>
      <c r="M193" s="8" t="s">
        <v>656</v>
      </c>
      <c r="N193" s="53">
        <f t="shared" si="41"/>
        <v>82</v>
      </c>
      <c r="O193" s="8"/>
      <c r="P193" s="54"/>
      <c r="Q193" s="54"/>
      <c r="R193" s="54" t="str">
        <f>"1999,1012,1012,1012"</f>
        <v>1999,1012,1012,1012</v>
      </c>
      <c r="S193" s="8"/>
      <c r="T193" s="8"/>
      <c r="U193" s="8"/>
      <c r="V193" s="42"/>
      <c r="W193" s="8"/>
      <c r="X193" s="8" t="s">
        <v>859</v>
      </c>
      <c r="Y193" s="8"/>
      <c r="Z193" s="29" t="s">
        <v>1903</v>
      </c>
      <c r="AA193" s="11"/>
      <c r="AB193" s="11"/>
      <c r="AC193" s="11"/>
      <c r="AD193" s="14"/>
      <c r="AF193" s="79"/>
      <c r="AG193" s="79"/>
      <c r="AH193" s="49"/>
      <c r="AI193" s="79"/>
    </row>
    <row r="194" ht="15.75" customHeight="1">
      <c r="A194" s="42">
        <f t="shared" si="33"/>
        <v>311007</v>
      </c>
      <c r="B194" s="4" t="s">
        <v>1908</v>
      </c>
      <c r="C194" s="42">
        <v>2.0</v>
      </c>
      <c r="D194" s="42">
        <v>1.0</v>
      </c>
      <c r="E194" s="42"/>
      <c r="F194" s="42">
        <v>1.0</v>
      </c>
      <c r="G194" s="42">
        <v>2.5</v>
      </c>
      <c r="H194" s="42"/>
      <c r="I194" s="42"/>
      <c r="J194" s="42"/>
      <c r="K194" s="42">
        <v>8.0</v>
      </c>
      <c r="L194" s="42"/>
      <c r="M194" s="8" t="s">
        <v>544</v>
      </c>
      <c r="N194" s="53">
        <v>105.0</v>
      </c>
      <c r="O194" s="8"/>
      <c r="P194" s="54"/>
      <c r="Q194" s="54"/>
      <c r="R194" s="54">
        <v>2005.0</v>
      </c>
      <c r="S194" s="8"/>
      <c r="T194" s="8"/>
      <c r="U194" s="8"/>
      <c r="V194" s="42"/>
      <c r="W194" s="60" t="s">
        <v>579</v>
      </c>
      <c r="X194" s="60" t="s">
        <v>580</v>
      </c>
      <c r="Y194" s="8"/>
      <c r="Z194" s="29" t="s">
        <v>862</v>
      </c>
      <c r="AA194" s="11"/>
      <c r="AB194" s="11"/>
      <c r="AC194" s="11"/>
      <c r="AD194" s="14"/>
    </row>
    <row r="195" ht="15.75" customHeight="1">
      <c r="A195" s="42">
        <f t="shared" si="33"/>
        <v>312007</v>
      </c>
      <c r="B195" s="4" t="s">
        <v>1918</v>
      </c>
      <c r="C195" s="42">
        <v>2.0</v>
      </c>
      <c r="D195" s="42">
        <v>1.0</v>
      </c>
      <c r="E195" s="42"/>
      <c r="F195" s="42">
        <v>1.0</v>
      </c>
      <c r="G195" s="42">
        <v>2.5</v>
      </c>
      <c r="H195" s="42"/>
      <c r="I195" s="42"/>
      <c r="J195" s="42"/>
      <c r="K195" s="42">
        <f>K194</f>
        <v>8</v>
      </c>
      <c r="L195" s="42"/>
      <c r="M195" s="8" t="s">
        <v>544</v>
      </c>
      <c r="N195" s="53">
        <f t="shared" ref="N195:N198" si="43">N194-4</f>
        <v>101</v>
      </c>
      <c r="O195" s="8"/>
      <c r="P195" s="54"/>
      <c r="Q195" s="54"/>
      <c r="R195" s="54" t="str">
        <f t="shared" ref="R195:R197" si="44">"2005,2001"</f>
        <v>2005,2001</v>
      </c>
      <c r="S195" s="8"/>
      <c r="T195" s="8"/>
      <c r="U195" s="8"/>
      <c r="V195" s="42"/>
      <c r="W195" s="60" t="s">
        <v>579</v>
      </c>
      <c r="X195" s="60" t="s">
        <v>580</v>
      </c>
      <c r="Y195" s="8"/>
      <c r="Z195" s="29" t="s">
        <v>1932</v>
      </c>
      <c r="AA195" s="11"/>
      <c r="AB195" s="11"/>
      <c r="AC195" s="11"/>
      <c r="AD195" s="14"/>
    </row>
    <row r="196" ht="15.75" customHeight="1">
      <c r="A196" s="42">
        <f t="shared" si="33"/>
        <v>313007</v>
      </c>
      <c r="B196" s="4" t="s">
        <v>1938</v>
      </c>
      <c r="C196" s="42">
        <v>2.0</v>
      </c>
      <c r="D196" s="42">
        <v>1.0</v>
      </c>
      <c r="E196" s="42"/>
      <c r="F196" s="42">
        <v>1.0</v>
      </c>
      <c r="G196" s="42">
        <v>2.5</v>
      </c>
      <c r="H196" s="42"/>
      <c r="I196" s="42"/>
      <c r="J196" s="42"/>
      <c r="K196" s="42">
        <f>K194-1</f>
        <v>7</v>
      </c>
      <c r="L196" s="42"/>
      <c r="M196" s="8" t="s">
        <v>544</v>
      </c>
      <c r="N196" s="53">
        <f t="shared" si="43"/>
        <v>97</v>
      </c>
      <c r="O196" s="8"/>
      <c r="P196" s="54"/>
      <c r="Q196" s="54"/>
      <c r="R196" s="54" t="str">
        <f t="shared" si="44"/>
        <v>2005,2001</v>
      </c>
      <c r="S196" s="8"/>
      <c r="T196" s="8"/>
      <c r="U196" s="8"/>
      <c r="V196" s="42"/>
      <c r="W196" s="60" t="s">
        <v>579</v>
      </c>
      <c r="X196" s="60" t="s">
        <v>580</v>
      </c>
      <c r="Y196" s="8"/>
      <c r="Z196" s="29" t="s">
        <v>1932</v>
      </c>
      <c r="AA196" s="11"/>
      <c r="AB196" s="11"/>
      <c r="AC196" s="11"/>
      <c r="AD196" s="14"/>
    </row>
    <row r="197" ht="15.75" customHeight="1">
      <c r="A197" s="42">
        <f t="shared" si="33"/>
        <v>314007</v>
      </c>
      <c r="B197" s="4" t="s">
        <v>1953</v>
      </c>
      <c r="C197" s="42">
        <v>2.0</v>
      </c>
      <c r="D197" s="42">
        <v>1.0</v>
      </c>
      <c r="E197" s="42"/>
      <c r="F197" s="42">
        <v>1.0</v>
      </c>
      <c r="G197" s="42">
        <v>2.5</v>
      </c>
      <c r="H197" s="42"/>
      <c r="I197" s="42"/>
      <c r="J197" s="42"/>
      <c r="K197" s="42">
        <f>K196-1</f>
        <v>6</v>
      </c>
      <c r="L197" s="42"/>
      <c r="M197" s="8" t="s">
        <v>544</v>
      </c>
      <c r="N197" s="53">
        <f t="shared" si="43"/>
        <v>93</v>
      </c>
      <c r="O197" s="8"/>
      <c r="P197" s="54"/>
      <c r="Q197" s="54"/>
      <c r="R197" s="54" t="str">
        <f t="shared" si="44"/>
        <v>2005,2001</v>
      </c>
      <c r="S197" s="8"/>
      <c r="T197" s="8"/>
      <c r="U197" s="8"/>
      <c r="V197" s="42"/>
      <c r="W197" s="60" t="s">
        <v>579</v>
      </c>
      <c r="X197" s="60" t="s">
        <v>580</v>
      </c>
      <c r="Y197" s="8"/>
      <c r="Z197" s="29" t="s">
        <v>1932</v>
      </c>
      <c r="AA197" s="11"/>
      <c r="AB197" s="11"/>
      <c r="AC197" s="11"/>
      <c r="AD197" s="14"/>
    </row>
    <row r="198" ht="15.75" customHeight="1">
      <c r="A198" s="42">
        <f t="shared" si="33"/>
        <v>315007</v>
      </c>
      <c r="B198" s="4" t="s">
        <v>1970</v>
      </c>
      <c r="C198" s="42">
        <v>3.0</v>
      </c>
      <c r="D198" s="42">
        <v>1.0</v>
      </c>
      <c r="E198" s="42"/>
      <c r="F198" s="42">
        <v>1.0</v>
      </c>
      <c r="G198" s="42">
        <v>2.5</v>
      </c>
      <c r="H198" s="42"/>
      <c r="I198" s="42"/>
      <c r="J198" s="42"/>
      <c r="K198" s="42">
        <f>K197</f>
        <v>6</v>
      </c>
      <c r="L198" s="42"/>
      <c r="M198" s="8" t="s">
        <v>544</v>
      </c>
      <c r="N198" s="53">
        <f t="shared" si="43"/>
        <v>89</v>
      </c>
      <c r="O198" s="8"/>
      <c r="P198" s="54"/>
      <c r="Q198" s="54"/>
      <c r="R198" s="54" t="str">
        <f>"2005,2001,2002,2004"</f>
        <v>2005,2001,2002,2004</v>
      </c>
      <c r="S198" s="8"/>
      <c r="T198" s="8"/>
      <c r="U198" s="8"/>
      <c r="V198" s="42"/>
      <c r="W198" s="60" t="s">
        <v>579</v>
      </c>
      <c r="X198" s="60" t="s">
        <v>580</v>
      </c>
      <c r="Y198" s="8"/>
      <c r="Z198" s="29" t="s">
        <v>1984</v>
      </c>
      <c r="AA198" s="11"/>
      <c r="AB198" s="11"/>
      <c r="AC198" s="11"/>
      <c r="AD198" s="14"/>
    </row>
    <row r="199" ht="15.75" customHeight="1">
      <c r="A199" s="42">
        <f t="shared" si="33"/>
        <v>311008</v>
      </c>
      <c r="B199" s="4" t="s">
        <v>1987</v>
      </c>
      <c r="C199" s="42">
        <v>-5.0</v>
      </c>
      <c r="D199" s="42"/>
      <c r="E199" s="42"/>
      <c r="F199" s="42">
        <v>1.0</v>
      </c>
      <c r="G199" s="64"/>
      <c r="H199" s="64"/>
      <c r="I199" s="42"/>
      <c r="J199" s="42"/>
      <c r="K199" s="42">
        <v>5.0</v>
      </c>
      <c r="L199" s="42"/>
      <c r="M199" s="8"/>
      <c r="N199" s="53">
        <v>90.0</v>
      </c>
      <c r="O199" s="8"/>
      <c r="P199" s="54"/>
      <c r="Q199" s="54"/>
      <c r="R199" s="54" t="str">
        <f>"1003,1003"</f>
        <v>1003,1003</v>
      </c>
      <c r="S199" s="8"/>
      <c r="T199" s="8"/>
      <c r="U199" s="8"/>
      <c r="V199" s="42"/>
      <c r="W199" s="8"/>
      <c r="X199" s="8" t="s">
        <v>647</v>
      </c>
      <c r="Y199" s="8"/>
      <c r="Z199" s="29" t="s">
        <v>436</v>
      </c>
      <c r="AA199" s="11"/>
      <c r="AB199" s="11"/>
      <c r="AC199" s="11"/>
      <c r="AD199" s="14"/>
    </row>
    <row r="200" ht="15.75" customHeight="1">
      <c r="A200" s="42">
        <f t="shared" si="33"/>
        <v>312008</v>
      </c>
      <c r="B200" s="4" t="s">
        <v>1997</v>
      </c>
      <c r="C200" s="42">
        <v>-5.0</v>
      </c>
      <c r="D200" s="42"/>
      <c r="E200" s="42"/>
      <c r="F200" s="42">
        <v>1.0</v>
      </c>
      <c r="G200" s="64"/>
      <c r="H200" s="64">
        <v>1.5</v>
      </c>
      <c r="I200" s="42"/>
      <c r="J200" s="42"/>
      <c r="K200" s="42">
        <f>K199</f>
        <v>5</v>
      </c>
      <c r="L200" s="42"/>
      <c r="M200" s="8" t="s">
        <v>656</v>
      </c>
      <c r="N200" s="53">
        <f t="shared" ref="N200:N203" si="45">N199-4</f>
        <v>86</v>
      </c>
      <c r="O200" s="8"/>
      <c r="P200" s="54"/>
      <c r="Q200" s="54"/>
      <c r="R200" s="54" t="str">
        <f t="shared" ref="R200:R202" si="46">"1003,1003,1999"</f>
        <v>1003,1003,1999</v>
      </c>
      <c r="S200" s="8"/>
      <c r="T200" s="8"/>
      <c r="U200" s="8"/>
      <c r="V200" s="42"/>
      <c r="W200" s="8"/>
      <c r="X200" s="8" t="s">
        <v>647</v>
      </c>
      <c r="Y200" s="8"/>
      <c r="Z200" s="29" t="s">
        <v>2005</v>
      </c>
      <c r="AA200" s="11"/>
      <c r="AB200" s="11"/>
      <c r="AC200" s="11"/>
      <c r="AD200" s="14"/>
    </row>
    <row r="201" ht="15.75" customHeight="1">
      <c r="A201" s="42">
        <f t="shared" si="33"/>
        <v>313008</v>
      </c>
      <c r="B201" s="4" t="s">
        <v>2009</v>
      </c>
      <c r="C201" s="42">
        <v>-5.0</v>
      </c>
      <c r="D201" s="42"/>
      <c r="E201" s="42"/>
      <c r="F201" s="42">
        <v>1.0</v>
      </c>
      <c r="G201" s="64"/>
      <c r="H201" s="64">
        <v>1.5</v>
      </c>
      <c r="I201" s="42"/>
      <c r="J201" s="42"/>
      <c r="K201" s="42">
        <f>K199-1</f>
        <v>4</v>
      </c>
      <c r="L201" s="42"/>
      <c r="M201" s="8" t="s">
        <v>656</v>
      </c>
      <c r="N201" s="53">
        <f t="shared" si="45"/>
        <v>82</v>
      </c>
      <c r="O201" s="8"/>
      <c r="P201" s="54"/>
      <c r="Q201" s="54"/>
      <c r="R201" s="54" t="str">
        <f t="shared" si="46"/>
        <v>1003,1003,1999</v>
      </c>
      <c r="S201" s="8"/>
      <c r="T201" s="8"/>
      <c r="U201" s="8"/>
      <c r="V201" s="42"/>
      <c r="W201" s="8"/>
      <c r="X201" s="8" t="s">
        <v>647</v>
      </c>
      <c r="Y201" s="8"/>
      <c r="Z201" s="29" t="s">
        <v>2005</v>
      </c>
      <c r="AA201" s="11"/>
      <c r="AB201" s="11"/>
      <c r="AC201" s="11"/>
      <c r="AD201" s="14"/>
    </row>
    <row r="202" ht="15.75" customHeight="1">
      <c r="A202" s="42">
        <f t="shared" si="33"/>
        <v>314008</v>
      </c>
      <c r="B202" s="4" t="s">
        <v>2018</v>
      </c>
      <c r="C202" s="42">
        <v>-5.0</v>
      </c>
      <c r="D202" s="42"/>
      <c r="E202" s="42"/>
      <c r="F202" s="42">
        <v>1.0</v>
      </c>
      <c r="G202" s="64"/>
      <c r="H202" s="64">
        <v>1.5</v>
      </c>
      <c r="I202" s="42"/>
      <c r="J202" s="42"/>
      <c r="K202" s="42">
        <f>K201-1</f>
        <v>3</v>
      </c>
      <c r="L202" s="42"/>
      <c r="M202" s="8" t="s">
        <v>656</v>
      </c>
      <c r="N202" s="53">
        <f t="shared" si="45"/>
        <v>78</v>
      </c>
      <c r="O202" s="8"/>
      <c r="P202" s="54"/>
      <c r="Q202" s="54"/>
      <c r="R202" s="54" t="str">
        <f t="shared" si="46"/>
        <v>1003,1003,1999</v>
      </c>
      <c r="S202" s="8"/>
      <c r="T202" s="8"/>
      <c r="U202" s="8"/>
      <c r="V202" s="42"/>
      <c r="W202" s="8"/>
      <c r="X202" s="8" t="s">
        <v>647</v>
      </c>
      <c r="Y202" s="8"/>
      <c r="Z202" s="29" t="s">
        <v>2005</v>
      </c>
      <c r="AA202" s="11"/>
      <c r="AB202" s="11"/>
      <c r="AC202" s="11"/>
      <c r="AD202" s="14"/>
      <c r="AE202" s="79"/>
    </row>
    <row r="203" ht="15.75" customHeight="1">
      <c r="A203" s="42">
        <f t="shared" si="33"/>
        <v>315008</v>
      </c>
      <c r="B203" s="4" t="s">
        <v>2030</v>
      </c>
      <c r="C203" s="42">
        <v>-5.0</v>
      </c>
      <c r="D203" s="42"/>
      <c r="E203" s="42"/>
      <c r="F203" s="42">
        <v>1.0</v>
      </c>
      <c r="G203" s="64"/>
      <c r="H203" s="64">
        <v>1.5</v>
      </c>
      <c r="I203" s="42"/>
      <c r="J203" s="42"/>
      <c r="K203" s="42">
        <f>K202</f>
        <v>3</v>
      </c>
      <c r="L203" s="42"/>
      <c r="M203" s="8" t="s">
        <v>656</v>
      </c>
      <c r="N203" s="53">
        <f t="shared" si="45"/>
        <v>74</v>
      </c>
      <c r="O203" s="8"/>
      <c r="P203" s="54"/>
      <c r="Q203" s="54"/>
      <c r="R203" s="54" t="str">
        <f>"1003,1003,1999,1006,1006"</f>
        <v>1003,1003,1999,1006,1006</v>
      </c>
      <c r="S203" s="8"/>
      <c r="T203" s="8"/>
      <c r="U203" s="8"/>
      <c r="V203" s="42"/>
      <c r="W203" s="8"/>
      <c r="X203" s="8" t="s">
        <v>647</v>
      </c>
      <c r="Y203" s="8"/>
      <c r="Z203" s="29" t="s">
        <v>2041</v>
      </c>
      <c r="AA203" s="11"/>
      <c r="AB203" s="11"/>
      <c r="AC203" s="11"/>
      <c r="AD203" s="14"/>
      <c r="AE203" s="79"/>
    </row>
    <row r="204" ht="15.75" customHeight="1">
      <c r="A204" s="42">
        <f t="shared" si="33"/>
        <v>311009</v>
      </c>
      <c r="B204" s="4" t="s">
        <v>2045</v>
      </c>
      <c r="C204" s="42">
        <v>1.0</v>
      </c>
      <c r="D204" s="42">
        <v>1.0</v>
      </c>
      <c r="E204" s="42"/>
      <c r="F204" s="42">
        <v>3.0</v>
      </c>
      <c r="G204" s="64">
        <v>1.6</v>
      </c>
      <c r="H204" s="64"/>
      <c r="I204" s="42"/>
      <c r="J204" s="42"/>
      <c r="K204" s="42">
        <v>4.0</v>
      </c>
      <c r="L204" s="42"/>
      <c r="M204" s="8" t="s">
        <v>544</v>
      </c>
      <c r="N204" s="53">
        <v>23.0</v>
      </c>
      <c r="O204" s="8"/>
      <c r="P204" s="54">
        <v>1001.0</v>
      </c>
      <c r="Q204" s="54">
        <v>0.4</v>
      </c>
      <c r="R204" s="54"/>
      <c r="S204" s="8"/>
      <c r="T204" s="8"/>
      <c r="U204" s="8"/>
      <c r="V204" s="42"/>
      <c r="W204" s="8"/>
      <c r="X204" s="8" t="s">
        <v>546</v>
      </c>
      <c r="Y204" s="8"/>
      <c r="Z204" s="29" t="s">
        <v>864</v>
      </c>
      <c r="AA204" s="11"/>
      <c r="AB204" s="11"/>
      <c r="AC204" s="11"/>
      <c r="AD204" s="14"/>
      <c r="AE204" s="79"/>
      <c r="AF204" s="79"/>
      <c r="AG204" s="79"/>
      <c r="AH204" s="49"/>
      <c r="AI204" s="79"/>
    </row>
    <row r="205" ht="15.75" customHeight="1">
      <c r="A205" s="42">
        <f t="shared" si="33"/>
        <v>312009</v>
      </c>
      <c r="B205" s="4" t="s">
        <v>2059</v>
      </c>
      <c r="C205" s="42">
        <v>1.0</v>
      </c>
      <c r="D205" s="42">
        <v>1.0</v>
      </c>
      <c r="E205" s="42"/>
      <c r="F205" s="42">
        <v>4.0</v>
      </c>
      <c r="G205" s="64">
        <v>1.6</v>
      </c>
      <c r="H205" s="64"/>
      <c r="I205" s="42"/>
      <c r="J205" s="42"/>
      <c r="K205" s="42">
        <f>K204</f>
        <v>4</v>
      </c>
      <c r="L205" s="42"/>
      <c r="M205" s="8" t="s">
        <v>544</v>
      </c>
      <c r="N205" s="53">
        <f t="shared" ref="N205:N208" si="47">N204-4</f>
        <v>19</v>
      </c>
      <c r="O205" s="8"/>
      <c r="P205" s="54">
        <v>1001.0</v>
      </c>
      <c r="Q205" s="54">
        <v>0.4</v>
      </c>
      <c r="R205" s="54"/>
      <c r="S205" s="8"/>
      <c r="T205" s="8"/>
      <c r="U205" s="8"/>
      <c r="V205" s="42"/>
      <c r="W205" s="8"/>
      <c r="X205" s="8" t="s">
        <v>546</v>
      </c>
      <c r="Y205" s="8"/>
      <c r="Z205" s="29" t="s">
        <v>2067</v>
      </c>
      <c r="AA205" s="11"/>
      <c r="AB205" s="11"/>
      <c r="AC205" s="11"/>
      <c r="AD205" s="14"/>
      <c r="AE205" s="79"/>
      <c r="AF205" s="79"/>
      <c r="AG205" s="79"/>
      <c r="AH205" s="49"/>
      <c r="AI205" s="79"/>
    </row>
    <row r="206" ht="15.75" customHeight="1">
      <c r="A206" s="42">
        <f t="shared" si="33"/>
        <v>313009</v>
      </c>
      <c r="B206" s="4" t="s">
        <v>2070</v>
      </c>
      <c r="C206" s="42">
        <v>1.0</v>
      </c>
      <c r="D206" s="42">
        <v>1.0</v>
      </c>
      <c r="E206" s="42"/>
      <c r="F206" s="42">
        <v>4.0</v>
      </c>
      <c r="G206" s="64">
        <v>1.6</v>
      </c>
      <c r="H206" s="64"/>
      <c r="I206" s="42"/>
      <c r="J206" s="42"/>
      <c r="K206" s="42">
        <f>K204-1</f>
        <v>3</v>
      </c>
      <c r="L206" s="42"/>
      <c r="M206" s="8" t="s">
        <v>544</v>
      </c>
      <c r="N206" s="53">
        <f t="shared" si="47"/>
        <v>15</v>
      </c>
      <c r="O206" s="8"/>
      <c r="P206" s="54">
        <v>1001.0</v>
      </c>
      <c r="Q206" s="54">
        <v>0.4</v>
      </c>
      <c r="R206" s="54"/>
      <c r="S206" s="8"/>
      <c r="T206" s="8"/>
      <c r="U206" s="8"/>
      <c r="V206" s="42"/>
      <c r="W206" s="8"/>
      <c r="X206" s="8" t="s">
        <v>546</v>
      </c>
      <c r="Y206" s="8"/>
      <c r="Z206" s="29" t="s">
        <v>2067</v>
      </c>
      <c r="AA206" s="11"/>
      <c r="AB206" s="11"/>
      <c r="AC206" s="11"/>
      <c r="AD206" s="14"/>
      <c r="AE206" s="79"/>
      <c r="AF206" s="79"/>
      <c r="AG206" s="79"/>
      <c r="AH206" s="49"/>
      <c r="AI206" s="79"/>
    </row>
    <row r="207" ht="15.75" customHeight="1">
      <c r="A207" s="42">
        <f t="shared" si="33"/>
        <v>314009</v>
      </c>
      <c r="B207" s="4" t="s">
        <v>2080</v>
      </c>
      <c r="C207" s="42">
        <v>1.0</v>
      </c>
      <c r="D207" s="42">
        <v>1.0</v>
      </c>
      <c r="E207" s="42"/>
      <c r="F207" s="42">
        <v>4.0</v>
      </c>
      <c r="G207" s="64">
        <v>1.6</v>
      </c>
      <c r="H207" s="64"/>
      <c r="I207" s="42"/>
      <c r="J207" s="42"/>
      <c r="K207" s="42">
        <f>K206-1</f>
        <v>2</v>
      </c>
      <c r="L207" s="42"/>
      <c r="M207" s="8" t="s">
        <v>544</v>
      </c>
      <c r="N207" s="53">
        <f t="shared" si="47"/>
        <v>11</v>
      </c>
      <c r="O207" s="8"/>
      <c r="P207" s="54">
        <v>1001.0</v>
      </c>
      <c r="Q207" s="54">
        <v>0.4</v>
      </c>
      <c r="R207" s="54"/>
      <c r="S207" s="8"/>
      <c r="T207" s="8"/>
      <c r="U207" s="8"/>
      <c r="V207" s="42"/>
      <c r="W207" s="8"/>
      <c r="X207" s="8" t="s">
        <v>546</v>
      </c>
      <c r="Y207" s="8"/>
      <c r="Z207" s="29" t="s">
        <v>2067</v>
      </c>
      <c r="AA207" s="11"/>
      <c r="AB207" s="11"/>
      <c r="AC207" s="11"/>
      <c r="AD207" s="14"/>
      <c r="AE207" s="79"/>
      <c r="AF207" s="79"/>
      <c r="AG207" s="79"/>
      <c r="AH207" s="49"/>
      <c r="AI207" s="79"/>
    </row>
    <row r="208" ht="15.75" customHeight="1">
      <c r="A208" s="42">
        <f t="shared" si="33"/>
        <v>315009</v>
      </c>
      <c r="B208" s="4" t="s">
        <v>2094</v>
      </c>
      <c r="C208" s="42">
        <v>1.0</v>
      </c>
      <c r="D208" s="42">
        <v>1.0</v>
      </c>
      <c r="E208" s="42"/>
      <c r="F208" s="42">
        <v>6.0</v>
      </c>
      <c r="G208" s="64">
        <v>1.6</v>
      </c>
      <c r="H208" s="64"/>
      <c r="I208" s="42"/>
      <c r="J208" s="42"/>
      <c r="K208" s="42">
        <f>K207</f>
        <v>2</v>
      </c>
      <c r="L208" s="42"/>
      <c r="M208" s="8" t="s">
        <v>544</v>
      </c>
      <c r="N208" s="53">
        <f t="shared" si="47"/>
        <v>7</v>
      </c>
      <c r="O208" s="8"/>
      <c r="P208" s="54">
        <v>1001.0</v>
      </c>
      <c r="Q208" s="54">
        <v>0.4</v>
      </c>
      <c r="R208" s="54"/>
      <c r="S208" s="8"/>
      <c r="T208" s="8"/>
      <c r="U208" s="8"/>
      <c r="V208" s="42"/>
      <c r="W208" s="8"/>
      <c r="X208" s="8" t="s">
        <v>546</v>
      </c>
      <c r="Y208" s="8"/>
      <c r="Z208" s="29" t="s">
        <v>2104</v>
      </c>
      <c r="AA208" s="11"/>
      <c r="AB208" s="11"/>
      <c r="AC208" s="11"/>
      <c r="AD208" s="14"/>
      <c r="AE208" s="79"/>
      <c r="AF208" s="79"/>
      <c r="AG208" s="79"/>
      <c r="AH208" s="49"/>
      <c r="AI208" s="79"/>
    </row>
    <row r="209" ht="15.75" customHeight="1">
      <c r="A209" s="42">
        <f t="shared" si="33"/>
        <v>311010</v>
      </c>
      <c r="B209" s="4" t="s">
        <v>2108</v>
      </c>
      <c r="C209" s="42">
        <v>1.0</v>
      </c>
      <c r="D209" s="42">
        <v>1.0</v>
      </c>
      <c r="E209" s="42"/>
      <c r="F209" s="42">
        <v>1.0</v>
      </c>
      <c r="G209" s="64">
        <v>5.0</v>
      </c>
      <c r="H209" s="64"/>
      <c r="I209" s="42"/>
      <c r="J209" s="42"/>
      <c r="K209" s="42">
        <v>5.0</v>
      </c>
      <c r="L209" s="42"/>
      <c r="M209" s="8" t="s">
        <v>544</v>
      </c>
      <c r="N209" s="53">
        <v>100.0</v>
      </c>
      <c r="O209" s="8"/>
      <c r="P209" s="54"/>
      <c r="Q209" s="54"/>
      <c r="R209" s="54">
        <v>5004.0</v>
      </c>
      <c r="S209" s="8">
        <v>0.4</v>
      </c>
      <c r="T209" s="8"/>
      <c r="U209" s="8"/>
      <c r="V209" s="42"/>
      <c r="W209" s="60" t="s">
        <v>579</v>
      </c>
      <c r="X209" s="60" t="s">
        <v>580</v>
      </c>
      <c r="Y209" s="8"/>
      <c r="Z209" s="29" t="s">
        <v>867</v>
      </c>
      <c r="AA209" s="11"/>
      <c r="AB209" s="11"/>
      <c r="AC209" s="11"/>
      <c r="AD209" s="14"/>
      <c r="AE209" s="79"/>
    </row>
    <row r="210" ht="15.75" customHeight="1">
      <c r="A210" s="42">
        <f t="shared" si="33"/>
        <v>312010</v>
      </c>
      <c r="B210" s="4" t="s">
        <v>2117</v>
      </c>
      <c r="C210" s="42">
        <v>1.0</v>
      </c>
      <c r="D210" s="42">
        <v>1.0</v>
      </c>
      <c r="E210" s="42"/>
      <c r="F210" s="42">
        <v>1.0</v>
      </c>
      <c r="G210" s="64">
        <v>5.0</v>
      </c>
      <c r="H210" s="64"/>
      <c r="I210" s="42"/>
      <c r="J210" s="42"/>
      <c r="K210" s="42">
        <f>K209</f>
        <v>5</v>
      </c>
      <c r="L210" s="42"/>
      <c r="M210" s="8" t="s">
        <v>544</v>
      </c>
      <c r="N210" s="53">
        <f t="shared" ref="N210:N213" si="48">N209-4</f>
        <v>96</v>
      </c>
      <c r="O210" s="8"/>
      <c r="P210" s="54"/>
      <c r="Q210" s="54"/>
      <c r="R210" s="54" t="str">
        <f t="shared" ref="R210:R212" si="49">"5002,5004"</f>
        <v>5002,5004</v>
      </c>
      <c r="S210" s="8">
        <v>0.4</v>
      </c>
      <c r="T210" s="8"/>
      <c r="U210" s="8"/>
      <c r="V210" s="42"/>
      <c r="W210" s="60" t="s">
        <v>579</v>
      </c>
      <c r="X210" s="60" t="s">
        <v>580</v>
      </c>
      <c r="Y210" s="8"/>
      <c r="Z210" s="29" t="s">
        <v>2126</v>
      </c>
      <c r="AA210" s="11"/>
      <c r="AB210" s="11"/>
      <c r="AC210" s="11"/>
      <c r="AD210" s="14"/>
      <c r="AE210" s="79"/>
      <c r="AF210" s="79"/>
      <c r="AG210" s="79"/>
      <c r="AH210" s="49"/>
      <c r="AI210" s="79"/>
    </row>
    <row r="211" ht="15.75" customHeight="1">
      <c r="A211" s="42">
        <f t="shared" si="33"/>
        <v>313010</v>
      </c>
      <c r="B211" s="4" t="s">
        <v>2130</v>
      </c>
      <c r="C211" s="42">
        <v>1.0</v>
      </c>
      <c r="D211" s="42">
        <v>1.0</v>
      </c>
      <c r="E211" s="42"/>
      <c r="F211" s="42">
        <v>1.0</v>
      </c>
      <c r="G211" s="64">
        <v>5.0</v>
      </c>
      <c r="H211" s="64"/>
      <c r="I211" s="42"/>
      <c r="J211" s="42"/>
      <c r="K211" s="42">
        <f>K209-1</f>
        <v>4</v>
      </c>
      <c r="L211" s="42"/>
      <c r="M211" s="8" t="s">
        <v>544</v>
      </c>
      <c r="N211" s="53">
        <f t="shared" si="48"/>
        <v>92</v>
      </c>
      <c r="O211" s="8"/>
      <c r="P211" s="54"/>
      <c r="Q211" s="54"/>
      <c r="R211" s="54" t="str">
        <f t="shared" si="49"/>
        <v>5002,5004</v>
      </c>
      <c r="S211" s="8">
        <v>0.4</v>
      </c>
      <c r="T211" s="8"/>
      <c r="U211" s="8"/>
      <c r="V211" s="42"/>
      <c r="W211" s="60" t="s">
        <v>579</v>
      </c>
      <c r="X211" s="60" t="s">
        <v>580</v>
      </c>
      <c r="Y211" s="8"/>
      <c r="Z211" s="29" t="s">
        <v>2126</v>
      </c>
      <c r="AA211" s="11"/>
      <c r="AB211" s="11"/>
      <c r="AC211" s="11"/>
      <c r="AD211" s="14"/>
      <c r="AE211" s="79"/>
      <c r="AF211" s="79"/>
      <c r="AG211" s="79"/>
      <c r="AH211" s="49"/>
      <c r="AI211" s="79"/>
    </row>
    <row r="212" ht="15.75" customHeight="1">
      <c r="A212" s="42">
        <f t="shared" si="33"/>
        <v>314010</v>
      </c>
      <c r="B212" s="4" t="s">
        <v>2142</v>
      </c>
      <c r="C212" s="42">
        <v>1.0</v>
      </c>
      <c r="D212" s="42">
        <v>1.0</v>
      </c>
      <c r="E212" s="42"/>
      <c r="F212" s="42">
        <v>1.0</v>
      </c>
      <c r="G212" s="64">
        <v>5.0</v>
      </c>
      <c r="H212" s="64"/>
      <c r="I212" s="42"/>
      <c r="J212" s="42"/>
      <c r="K212" s="42">
        <f>K211-1</f>
        <v>3</v>
      </c>
      <c r="L212" s="42"/>
      <c r="M212" s="8" t="s">
        <v>544</v>
      </c>
      <c r="N212" s="53">
        <f t="shared" si="48"/>
        <v>88</v>
      </c>
      <c r="O212" s="8"/>
      <c r="P212" s="54"/>
      <c r="Q212" s="54"/>
      <c r="R212" s="54" t="str">
        <f t="shared" si="49"/>
        <v>5002,5004</v>
      </c>
      <c r="S212" s="8">
        <v>0.4</v>
      </c>
      <c r="T212" s="8"/>
      <c r="U212" s="8"/>
      <c r="V212" s="42"/>
      <c r="W212" s="60" t="s">
        <v>579</v>
      </c>
      <c r="X212" s="60" t="s">
        <v>580</v>
      </c>
      <c r="Y212" s="8"/>
      <c r="Z212" s="29" t="s">
        <v>2126</v>
      </c>
      <c r="AA212" s="11"/>
      <c r="AB212" s="11"/>
      <c r="AC212" s="11"/>
      <c r="AD212" s="14"/>
      <c r="AF212" s="79"/>
      <c r="AG212" s="79"/>
      <c r="AH212" s="49"/>
      <c r="AI212" s="79"/>
    </row>
    <row r="213" ht="15.75" customHeight="1">
      <c r="A213" s="42">
        <f t="shared" si="33"/>
        <v>315010</v>
      </c>
      <c r="B213" s="4" t="s">
        <v>2157</v>
      </c>
      <c r="C213" s="42">
        <v>2.0</v>
      </c>
      <c r="D213" s="42">
        <v>1.0</v>
      </c>
      <c r="E213" s="42"/>
      <c r="F213" s="42">
        <v>1.0</v>
      </c>
      <c r="G213" s="64">
        <v>5.0</v>
      </c>
      <c r="H213" s="64"/>
      <c r="I213" s="42"/>
      <c r="J213" s="42"/>
      <c r="K213" s="42">
        <f>K212</f>
        <v>3</v>
      </c>
      <c r="L213" s="42"/>
      <c r="M213" s="8" t="s">
        <v>544</v>
      </c>
      <c r="N213" s="53">
        <f t="shared" si="48"/>
        <v>84</v>
      </c>
      <c r="O213" s="8"/>
      <c r="P213" s="54"/>
      <c r="Q213" s="54"/>
      <c r="R213" s="54" t="str">
        <f>"5002,5004,5001"</f>
        <v>5002,5004,5001</v>
      </c>
      <c r="S213" s="8">
        <v>0.4</v>
      </c>
      <c r="T213" s="8"/>
      <c r="U213" s="8"/>
      <c r="V213" s="42"/>
      <c r="W213" s="60" t="s">
        <v>579</v>
      </c>
      <c r="X213" s="60" t="s">
        <v>580</v>
      </c>
      <c r="Y213" s="8"/>
      <c r="Z213" s="29" t="s">
        <v>2166</v>
      </c>
      <c r="AA213" s="11"/>
      <c r="AB213" s="11"/>
      <c r="AC213" s="11"/>
      <c r="AD213" s="14"/>
      <c r="AF213" s="79"/>
      <c r="AG213" s="79"/>
      <c r="AH213" s="49"/>
      <c r="AI213" s="79"/>
    </row>
    <row r="214" ht="15.75" customHeight="1">
      <c r="A214" s="42">
        <f t="shared" si="33"/>
        <v>311011</v>
      </c>
      <c r="B214" s="4" t="s">
        <v>2174</v>
      </c>
      <c r="C214" s="42">
        <v>1.0</v>
      </c>
      <c r="D214" s="42"/>
      <c r="E214" s="42"/>
      <c r="F214" s="42">
        <v>1.0</v>
      </c>
      <c r="G214" s="64">
        <v>4.8</v>
      </c>
      <c r="H214" s="64"/>
      <c r="I214" s="42"/>
      <c r="J214" s="42"/>
      <c r="K214" s="42">
        <v>6.0</v>
      </c>
      <c r="L214" s="42"/>
      <c r="M214" s="8" t="s">
        <v>544</v>
      </c>
      <c r="N214" s="53">
        <v>44.0</v>
      </c>
      <c r="O214" s="8"/>
      <c r="P214" s="54"/>
      <c r="Q214" s="54"/>
      <c r="R214" s="54">
        <v>5002.0</v>
      </c>
      <c r="S214" s="8">
        <v>0.4</v>
      </c>
      <c r="T214" s="8"/>
      <c r="U214" s="8"/>
      <c r="V214" s="42"/>
      <c r="W214" s="8"/>
      <c r="X214" s="8" t="s">
        <v>696</v>
      </c>
      <c r="Y214" s="8"/>
      <c r="Z214" s="29" t="s">
        <v>869</v>
      </c>
      <c r="AA214" s="11"/>
      <c r="AB214" s="11"/>
      <c r="AC214" s="11"/>
      <c r="AD214" s="14"/>
    </row>
    <row r="215" ht="15.75" customHeight="1">
      <c r="A215" s="42">
        <f t="shared" si="33"/>
        <v>312011</v>
      </c>
      <c r="B215" s="4" t="s">
        <v>2184</v>
      </c>
      <c r="C215" s="42">
        <v>1.0</v>
      </c>
      <c r="D215" s="42"/>
      <c r="E215" s="42"/>
      <c r="F215" s="42">
        <v>1.0</v>
      </c>
      <c r="G215" s="64">
        <v>4.8</v>
      </c>
      <c r="H215" s="64"/>
      <c r="I215" s="42"/>
      <c r="J215" s="42"/>
      <c r="K215" s="42">
        <f>K214</f>
        <v>6</v>
      </c>
      <c r="L215" s="42"/>
      <c r="M215" s="8" t="s">
        <v>544</v>
      </c>
      <c r="N215" s="53">
        <f t="shared" ref="N215:N218" si="50">N214-4</f>
        <v>40</v>
      </c>
      <c r="O215" s="8"/>
      <c r="P215" s="54" t="str">
        <f t="shared" ref="P215:P218" si="51">"3001,3002"</f>
        <v>3001,3002</v>
      </c>
      <c r="Q215" s="54"/>
      <c r="R215" s="54">
        <v>5002.0</v>
      </c>
      <c r="S215" s="8">
        <v>0.4</v>
      </c>
      <c r="T215" s="8"/>
      <c r="U215" s="8"/>
      <c r="V215" s="42"/>
      <c r="W215" s="8"/>
      <c r="X215" s="8" t="s">
        <v>696</v>
      </c>
      <c r="Y215" s="8"/>
      <c r="Z215" s="29" t="s">
        <v>2198</v>
      </c>
      <c r="AA215" s="11"/>
      <c r="AB215" s="11"/>
      <c r="AC215" s="11"/>
      <c r="AD215" s="14"/>
      <c r="AF215" s="79"/>
      <c r="AG215" s="79"/>
      <c r="AH215" s="49"/>
      <c r="AI215" s="79"/>
    </row>
    <row r="216" ht="15.75" customHeight="1">
      <c r="A216" s="42">
        <f t="shared" si="33"/>
        <v>313011</v>
      </c>
      <c r="B216" s="4" t="s">
        <v>2203</v>
      </c>
      <c r="C216" s="42">
        <v>1.0</v>
      </c>
      <c r="D216" s="42"/>
      <c r="E216" s="42"/>
      <c r="F216" s="42">
        <v>1.0</v>
      </c>
      <c r="G216" s="64">
        <v>4.8</v>
      </c>
      <c r="H216" s="64"/>
      <c r="I216" s="42"/>
      <c r="J216" s="42"/>
      <c r="K216" s="42">
        <f>K214-1</f>
        <v>5</v>
      </c>
      <c r="L216" s="42"/>
      <c r="M216" s="8" t="s">
        <v>544</v>
      </c>
      <c r="N216" s="53">
        <f t="shared" si="50"/>
        <v>36</v>
      </c>
      <c r="O216" s="8"/>
      <c r="P216" s="54" t="str">
        <f t="shared" si="51"/>
        <v>3001,3002</v>
      </c>
      <c r="Q216" s="54"/>
      <c r="R216" s="54">
        <v>5002.0</v>
      </c>
      <c r="S216" s="8">
        <v>0.4</v>
      </c>
      <c r="T216" s="8"/>
      <c r="U216" s="8"/>
      <c r="V216" s="42"/>
      <c r="W216" s="8"/>
      <c r="X216" s="8" t="s">
        <v>696</v>
      </c>
      <c r="Y216" s="8"/>
      <c r="Z216" s="29" t="s">
        <v>2198</v>
      </c>
      <c r="AA216" s="11"/>
      <c r="AB216" s="11"/>
      <c r="AC216" s="11"/>
      <c r="AD216" s="14"/>
      <c r="AF216" s="79"/>
      <c r="AG216" s="79"/>
      <c r="AH216" s="49"/>
      <c r="AI216" s="79"/>
    </row>
    <row r="217" ht="15.75" customHeight="1">
      <c r="A217" s="42">
        <f t="shared" si="33"/>
        <v>314011</v>
      </c>
      <c r="B217" s="4" t="s">
        <v>2216</v>
      </c>
      <c r="C217" s="42">
        <v>1.0</v>
      </c>
      <c r="D217" s="42"/>
      <c r="E217" s="42"/>
      <c r="F217" s="42">
        <v>1.0</v>
      </c>
      <c r="G217" s="64">
        <v>4.8</v>
      </c>
      <c r="H217" s="64"/>
      <c r="I217" s="42"/>
      <c r="J217" s="42"/>
      <c r="K217" s="42">
        <f>K216-1</f>
        <v>4</v>
      </c>
      <c r="L217" s="42"/>
      <c r="M217" s="8" t="s">
        <v>544</v>
      </c>
      <c r="N217" s="53">
        <f t="shared" si="50"/>
        <v>32</v>
      </c>
      <c r="O217" s="8"/>
      <c r="P217" s="54" t="str">
        <f t="shared" si="51"/>
        <v>3001,3002</v>
      </c>
      <c r="Q217" s="54"/>
      <c r="R217" s="54">
        <v>5002.0</v>
      </c>
      <c r="S217" s="8">
        <v>0.4</v>
      </c>
      <c r="T217" s="8"/>
      <c r="U217" s="8"/>
      <c r="V217" s="42"/>
      <c r="W217" s="8"/>
      <c r="X217" s="8" t="s">
        <v>696</v>
      </c>
      <c r="Y217" s="8"/>
      <c r="Z217" s="29" t="s">
        <v>2198</v>
      </c>
      <c r="AA217" s="11"/>
      <c r="AB217" s="11"/>
      <c r="AC217" s="11"/>
      <c r="AD217" s="14"/>
      <c r="AF217" s="79"/>
      <c r="AG217" s="79"/>
      <c r="AH217" s="49"/>
      <c r="AI217" s="79"/>
    </row>
    <row r="218" ht="15.75" customHeight="1">
      <c r="A218" s="42">
        <f t="shared" si="33"/>
        <v>315011</v>
      </c>
      <c r="B218" s="4" t="s">
        <v>2226</v>
      </c>
      <c r="C218" s="42">
        <v>1.0</v>
      </c>
      <c r="D218" s="42"/>
      <c r="E218" s="42"/>
      <c r="F218" s="42">
        <v>1.0</v>
      </c>
      <c r="G218" s="64">
        <v>4.8</v>
      </c>
      <c r="H218" s="64"/>
      <c r="I218" s="42"/>
      <c r="J218" s="42"/>
      <c r="K218" s="42">
        <f>K217</f>
        <v>4</v>
      </c>
      <c r="L218" s="42"/>
      <c r="M218" s="8" t="s">
        <v>544</v>
      </c>
      <c r="N218" s="53">
        <f t="shared" si="50"/>
        <v>28</v>
      </c>
      <c r="O218" s="8"/>
      <c r="P218" s="54" t="str">
        <f t="shared" si="51"/>
        <v>3001,3002</v>
      </c>
      <c r="Q218" s="54"/>
      <c r="R218" s="54">
        <v>5002.0</v>
      </c>
      <c r="S218" s="8"/>
      <c r="T218" s="8"/>
      <c r="U218" s="8"/>
      <c r="V218" s="42"/>
      <c r="W218" s="8"/>
      <c r="X218" s="8" t="s">
        <v>696</v>
      </c>
      <c r="Y218" s="8"/>
      <c r="Z218" s="29" t="s">
        <v>2229</v>
      </c>
      <c r="AA218" s="11"/>
      <c r="AB218" s="11"/>
      <c r="AC218" s="11"/>
      <c r="AD218" s="14"/>
      <c r="AE218" s="79"/>
      <c r="AF218" s="79"/>
      <c r="AG218" s="79"/>
      <c r="AH218" s="49"/>
      <c r="AI218" s="79"/>
    </row>
    <row r="219" ht="15.75" customHeight="1">
      <c r="A219" s="42">
        <f t="shared" si="33"/>
        <v>311012</v>
      </c>
      <c r="B219" s="4" t="s">
        <v>2232</v>
      </c>
      <c r="C219" s="42">
        <v>-1.0</v>
      </c>
      <c r="D219" s="42"/>
      <c r="E219" s="42"/>
      <c r="F219" s="42">
        <v>1.0</v>
      </c>
      <c r="G219" s="64"/>
      <c r="H219" s="64">
        <v>4.8</v>
      </c>
      <c r="I219" s="42"/>
      <c r="J219" s="42"/>
      <c r="K219" s="42">
        <v>7.0</v>
      </c>
      <c r="L219" s="42"/>
      <c r="M219" s="8" t="s">
        <v>630</v>
      </c>
      <c r="N219" s="53">
        <v>48.0</v>
      </c>
      <c r="O219" s="8">
        <v>150.0</v>
      </c>
      <c r="P219" s="54"/>
      <c r="Q219" s="54"/>
      <c r="R219" s="54">
        <v>3017.0</v>
      </c>
      <c r="S219" s="8"/>
      <c r="T219" s="8"/>
      <c r="U219" s="8"/>
      <c r="V219" s="42"/>
      <c r="W219" s="8"/>
      <c r="X219" s="8" t="s">
        <v>630</v>
      </c>
      <c r="Y219" s="8"/>
      <c r="Z219" s="29" t="s">
        <v>872</v>
      </c>
      <c r="AA219" s="11"/>
      <c r="AB219" s="11"/>
      <c r="AC219" s="11"/>
      <c r="AD219" s="14"/>
      <c r="AE219" s="79"/>
    </row>
    <row r="220" ht="15.75" customHeight="1">
      <c r="A220" s="42">
        <f t="shared" si="33"/>
        <v>312012</v>
      </c>
      <c r="B220" s="4" t="s">
        <v>2238</v>
      </c>
      <c r="C220" s="42">
        <v>-1.0</v>
      </c>
      <c r="D220" s="42"/>
      <c r="E220" s="42"/>
      <c r="F220" s="42">
        <v>1.0</v>
      </c>
      <c r="G220" s="64"/>
      <c r="H220" s="64">
        <v>4.8</v>
      </c>
      <c r="I220" s="42"/>
      <c r="J220" s="42"/>
      <c r="K220" s="42">
        <f>K219</f>
        <v>7</v>
      </c>
      <c r="L220" s="42"/>
      <c r="M220" s="8" t="s">
        <v>630</v>
      </c>
      <c r="N220" s="53">
        <f t="shared" ref="N220:N223" si="52">N219-4</f>
        <v>44</v>
      </c>
      <c r="O220" s="8">
        <v>150.0</v>
      </c>
      <c r="P220" s="54"/>
      <c r="Q220" s="54"/>
      <c r="R220" s="54">
        <v>3017.0</v>
      </c>
      <c r="S220" s="8"/>
      <c r="T220" s="8"/>
      <c r="U220" s="8"/>
      <c r="V220" s="42"/>
      <c r="W220" s="8"/>
      <c r="X220" s="8" t="s">
        <v>630</v>
      </c>
      <c r="Y220" s="8"/>
      <c r="Z220" s="29" t="s">
        <v>2245</v>
      </c>
      <c r="AA220" s="11"/>
      <c r="AB220" s="11"/>
      <c r="AC220" s="11"/>
      <c r="AD220" s="14"/>
      <c r="AE220" s="79"/>
      <c r="AF220" s="79"/>
      <c r="AG220" s="79"/>
      <c r="AH220" s="49"/>
      <c r="AI220" s="49"/>
    </row>
    <row r="221" ht="15.75" customHeight="1">
      <c r="A221" s="42">
        <f t="shared" si="33"/>
        <v>313012</v>
      </c>
      <c r="B221" s="4" t="s">
        <v>2247</v>
      </c>
      <c r="C221" s="42">
        <v>-1.0</v>
      </c>
      <c r="D221" s="42"/>
      <c r="E221" s="42"/>
      <c r="F221" s="42">
        <v>1.0</v>
      </c>
      <c r="G221" s="64"/>
      <c r="H221" s="64">
        <v>4.8</v>
      </c>
      <c r="I221" s="42"/>
      <c r="J221" s="42"/>
      <c r="K221" s="42">
        <f>K219-1</f>
        <v>6</v>
      </c>
      <c r="L221" s="42"/>
      <c r="M221" s="8" t="s">
        <v>630</v>
      </c>
      <c r="N221" s="53">
        <f t="shared" si="52"/>
        <v>40</v>
      </c>
      <c r="O221" s="8">
        <v>150.0</v>
      </c>
      <c r="P221" s="54"/>
      <c r="Q221" s="54"/>
      <c r="R221" s="54">
        <v>3017.0</v>
      </c>
      <c r="S221" s="8"/>
      <c r="T221" s="8"/>
      <c r="U221" s="8"/>
      <c r="V221" s="42"/>
      <c r="W221" s="8"/>
      <c r="X221" s="8" t="s">
        <v>630</v>
      </c>
      <c r="Y221" s="8"/>
      <c r="Z221" s="29" t="s">
        <v>2245</v>
      </c>
      <c r="AA221" s="11"/>
      <c r="AB221" s="11"/>
      <c r="AC221" s="11"/>
      <c r="AD221" s="14"/>
      <c r="AE221" s="79"/>
      <c r="AF221" s="79"/>
      <c r="AG221" s="79"/>
      <c r="AH221" s="49"/>
      <c r="AI221" s="49"/>
    </row>
    <row r="222" ht="15.75" customHeight="1">
      <c r="A222" s="42">
        <f t="shared" si="33"/>
        <v>314012</v>
      </c>
      <c r="B222" s="4" t="s">
        <v>2262</v>
      </c>
      <c r="C222" s="42">
        <v>-1.0</v>
      </c>
      <c r="D222" s="42"/>
      <c r="E222" s="42"/>
      <c r="F222" s="42">
        <v>1.0</v>
      </c>
      <c r="G222" s="64"/>
      <c r="H222" s="64">
        <v>4.8</v>
      </c>
      <c r="I222" s="42"/>
      <c r="J222" s="42"/>
      <c r="K222" s="42">
        <f>K221-1</f>
        <v>5</v>
      </c>
      <c r="L222" s="42"/>
      <c r="M222" s="8" t="s">
        <v>630</v>
      </c>
      <c r="N222" s="53">
        <f t="shared" si="52"/>
        <v>36</v>
      </c>
      <c r="O222" s="8">
        <v>150.0</v>
      </c>
      <c r="P222" s="54"/>
      <c r="Q222" s="54"/>
      <c r="R222" s="54">
        <v>3017.0</v>
      </c>
      <c r="S222" s="8"/>
      <c r="T222" s="8"/>
      <c r="U222" s="8"/>
      <c r="V222" s="42"/>
      <c r="W222" s="8"/>
      <c r="X222" s="8" t="s">
        <v>630</v>
      </c>
      <c r="Y222" s="8"/>
      <c r="Z222" s="29" t="s">
        <v>2245</v>
      </c>
      <c r="AA222" s="11"/>
      <c r="AB222" s="11"/>
      <c r="AC222" s="11"/>
      <c r="AD222" s="14"/>
      <c r="AE222" s="79"/>
      <c r="AF222" s="79"/>
      <c r="AG222" s="79"/>
      <c r="AH222" s="49"/>
      <c r="AI222" s="49"/>
    </row>
    <row r="223" ht="15.75" customHeight="1">
      <c r="A223" s="42">
        <f t="shared" si="33"/>
        <v>315012</v>
      </c>
      <c r="B223" s="4" t="s">
        <v>2272</v>
      </c>
      <c r="C223" s="42">
        <v>-2.0</v>
      </c>
      <c r="D223" s="42"/>
      <c r="E223" s="42"/>
      <c r="F223" s="42">
        <v>1.0</v>
      </c>
      <c r="G223" s="64"/>
      <c r="H223" s="64">
        <v>4.8</v>
      </c>
      <c r="I223" s="42"/>
      <c r="J223" s="42">
        <v>0.3</v>
      </c>
      <c r="K223" s="42">
        <f>K222</f>
        <v>5</v>
      </c>
      <c r="L223" s="42"/>
      <c r="M223" s="8" t="s">
        <v>630</v>
      </c>
      <c r="N223" s="53">
        <f t="shared" si="52"/>
        <v>32</v>
      </c>
      <c r="O223" s="8">
        <v>150.0</v>
      </c>
      <c r="P223" s="54"/>
      <c r="Q223" s="54"/>
      <c r="R223" s="54">
        <v>3017.0</v>
      </c>
      <c r="S223" s="8"/>
      <c r="T223" s="8"/>
      <c r="U223" s="8"/>
      <c r="V223" s="42"/>
      <c r="W223" s="8"/>
      <c r="X223" s="8" t="s">
        <v>630</v>
      </c>
      <c r="Y223" s="8"/>
      <c r="Z223" s="29" t="s">
        <v>2279</v>
      </c>
      <c r="AA223" s="11"/>
      <c r="AB223" s="11"/>
      <c r="AC223" s="11"/>
      <c r="AD223" s="14"/>
      <c r="AE223" s="79"/>
      <c r="AF223" s="79"/>
      <c r="AG223" s="79"/>
      <c r="AH223" s="49"/>
      <c r="AI223" s="49"/>
    </row>
    <row r="224" ht="15.75" customHeight="1">
      <c r="A224" s="42"/>
      <c r="B224" s="8"/>
      <c r="C224" s="42"/>
      <c r="D224" s="42"/>
      <c r="E224" s="42"/>
      <c r="F224" s="42"/>
      <c r="G224" s="64"/>
      <c r="H224" s="64"/>
      <c r="I224" s="42"/>
      <c r="J224" s="42"/>
      <c r="K224" s="42"/>
      <c r="L224" s="42"/>
      <c r="M224" s="8"/>
      <c r="N224" s="53"/>
      <c r="O224" s="8"/>
      <c r="P224" s="54"/>
      <c r="Q224" s="54"/>
      <c r="R224" s="54"/>
      <c r="S224" s="8"/>
      <c r="T224" s="8"/>
      <c r="U224" s="8"/>
      <c r="V224" s="42"/>
      <c r="W224" s="8"/>
      <c r="X224" s="8"/>
      <c r="Y224" s="8"/>
      <c r="Z224" s="83"/>
      <c r="AA224" s="11"/>
      <c r="AB224" s="11"/>
      <c r="AC224" s="11"/>
      <c r="AD224" s="14"/>
      <c r="AE224" s="79"/>
      <c r="AF224" s="79"/>
      <c r="AG224" s="79"/>
      <c r="AH224" s="49"/>
      <c r="AI224" s="49"/>
    </row>
    <row r="225" ht="15.75" customHeight="1">
      <c r="A225" s="42"/>
      <c r="B225" s="8"/>
      <c r="C225" s="42"/>
      <c r="D225" s="42"/>
      <c r="E225" s="42"/>
      <c r="F225" s="42"/>
      <c r="G225" s="64"/>
      <c r="H225" s="64"/>
      <c r="I225" s="42"/>
      <c r="J225" s="42"/>
      <c r="K225" s="42"/>
      <c r="L225" s="42"/>
      <c r="M225" s="8"/>
      <c r="N225" s="53"/>
      <c r="O225" s="8"/>
      <c r="P225" s="54"/>
      <c r="Q225" s="54"/>
      <c r="R225" s="54"/>
      <c r="S225" s="8"/>
      <c r="T225" s="8"/>
      <c r="U225" s="8"/>
      <c r="V225" s="42"/>
      <c r="W225" s="8"/>
      <c r="X225" s="8"/>
      <c r="Y225" s="8"/>
      <c r="Z225" s="83"/>
      <c r="AA225" s="11"/>
      <c r="AB225" s="11"/>
      <c r="AC225" s="11"/>
      <c r="AD225" s="14"/>
      <c r="AE225" s="79"/>
      <c r="AF225" s="79"/>
      <c r="AG225" s="79"/>
      <c r="AH225" s="49"/>
      <c r="AI225" s="49"/>
    </row>
    <row r="226" ht="15.75" customHeight="1">
      <c r="A226" s="42"/>
      <c r="B226" s="8"/>
      <c r="C226" s="42"/>
      <c r="D226" s="42"/>
      <c r="E226" s="42"/>
      <c r="F226" s="42"/>
      <c r="G226" s="64"/>
      <c r="H226" s="64"/>
      <c r="I226" s="42"/>
      <c r="J226" s="42"/>
      <c r="K226" s="42"/>
      <c r="L226" s="42"/>
      <c r="M226" s="8"/>
      <c r="N226" s="53"/>
      <c r="O226" s="8"/>
      <c r="P226" s="54"/>
      <c r="Q226" s="54"/>
      <c r="R226" s="54"/>
      <c r="S226" s="8"/>
      <c r="T226" s="8"/>
      <c r="U226" s="8"/>
      <c r="V226" s="42"/>
      <c r="W226" s="8"/>
      <c r="X226" s="8"/>
      <c r="Y226" s="8"/>
      <c r="Z226" s="83"/>
      <c r="AA226" s="11"/>
      <c r="AB226" s="11"/>
      <c r="AC226" s="11"/>
      <c r="AD226" s="14"/>
      <c r="AE226" s="79"/>
      <c r="AF226" s="79"/>
      <c r="AG226" s="79"/>
      <c r="AH226" s="49"/>
      <c r="AI226" s="49"/>
    </row>
    <row r="227" ht="15.75" customHeight="1">
      <c r="A227" s="42"/>
      <c r="B227" s="8"/>
      <c r="C227" s="42"/>
      <c r="D227" s="42"/>
      <c r="E227" s="42"/>
      <c r="F227" s="42"/>
      <c r="G227" s="64"/>
      <c r="H227" s="64"/>
      <c r="I227" s="42"/>
      <c r="J227" s="42"/>
      <c r="K227" s="42"/>
      <c r="L227" s="42"/>
      <c r="M227" s="8"/>
      <c r="N227" s="53"/>
      <c r="O227" s="8"/>
      <c r="P227" s="54"/>
      <c r="Q227" s="54"/>
      <c r="R227" s="54"/>
      <c r="S227" s="8"/>
      <c r="T227" s="8"/>
      <c r="U227" s="8"/>
      <c r="V227" s="42"/>
      <c r="W227" s="8"/>
      <c r="X227" s="8"/>
      <c r="Y227" s="8"/>
      <c r="Z227" s="83"/>
      <c r="AA227" s="11"/>
      <c r="AB227" s="11"/>
      <c r="AC227" s="11"/>
      <c r="AD227" s="14"/>
      <c r="AE227" s="79"/>
      <c r="AF227" s="79"/>
      <c r="AG227" s="79"/>
      <c r="AH227" s="49"/>
      <c r="AI227" s="49"/>
    </row>
    <row r="228" ht="15.75" customHeight="1">
      <c r="A228" s="42"/>
      <c r="B228" s="8"/>
      <c r="C228" s="42"/>
      <c r="D228" s="42"/>
      <c r="E228" s="42"/>
      <c r="F228" s="42"/>
      <c r="G228" s="64"/>
      <c r="H228" s="64"/>
      <c r="I228" s="42"/>
      <c r="J228" s="42"/>
      <c r="K228" s="42"/>
      <c r="L228" s="42"/>
      <c r="M228" s="8"/>
      <c r="N228" s="53"/>
      <c r="O228" s="8"/>
      <c r="P228" s="54"/>
      <c r="Q228" s="54"/>
      <c r="R228" s="54"/>
      <c r="S228" s="8"/>
      <c r="T228" s="8"/>
      <c r="U228" s="8"/>
      <c r="V228" s="42"/>
      <c r="W228" s="8"/>
      <c r="X228" s="8"/>
      <c r="Y228" s="8"/>
      <c r="Z228" s="83"/>
      <c r="AA228" s="11"/>
      <c r="AB228" s="11"/>
      <c r="AC228" s="11"/>
      <c r="AD228" s="14"/>
      <c r="AE228" s="79"/>
      <c r="AF228" s="79"/>
      <c r="AG228" s="79"/>
      <c r="AH228" s="49"/>
      <c r="AI228" s="49"/>
    </row>
    <row r="229" ht="14.25" customHeight="1"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N229" s="48"/>
      <c r="P229" s="49"/>
      <c r="Q229" s="49"/>
      <c r="R229" s="49"/>
      <c r="V229" s="47"/>
      <c r="AE229" s="79"/>
    </row>
    <row r="230" ht="14.25" customHeight="1">
      <c r="A230" s="3" t="s">
        <v>484</v>
      </c>
      <c r="B230" s="6" t="s">
        <v>487</v>
      </c>
      <c r="C230" s="50" t="s">
        <v>489</v>
      </c>
      <c r="D230" s="50" t="s">
        <v>490</v>
      </c>
      <c r="E230" s="50" t="s">
        <v>491</v>
      </c>
      <c r="F230" s="50" t="s">
        <v>492</v>
      </c>
      <c r="G230" s="40" t="s">
        <v>496</v>
      </c>
      <c r="H230" s="40" t="s">
        <v>499</v>
      </c>
      <c r="I230" s="40" t="s">
        <v>295</v>
      </c>
      <c r="J230" s="40" t="s">
        <v>503</v>
      </c>
      <c r="K230" s="40" t="s">
        <v>505</v>
      </c>
      <c r="L230" s="40" t="s">
        <v>506</v>
      </c>
      <c r="M230" s="3" t="s">
        <v>507</v>
      </c>
      <c r="N230" s="51" t="s">
        <v>509</v>
      </c>
      <c r="O230" s="3" t="s">
        <v>513</v>
      </c>
      <c r="P230" s="52" t="s">
        <v>514</v>
      </c>
      <c r="Q230" s="52" t="s">
        <v>1010</v>
      </c>
      <c r="R230" s="52" t="s">
        <v>516</v>
      </c>
      <c r="S230" s="52" t="s">
        <v>517</v>
      </c>
      <c r="T230" s="3" t="s">
        <v>518</v>
      </c>
      <c r="U230" s="52" t="s">
        <v>519</v>
      </c>
      <c r="V230" s="42" t="s">
        <v>520</v>
      </c>
      <c r="W230" s="3" t="s">
        <v>522</v>
      </c>
      <c r="X230" s="3" t="s">
        <v>523</v>
      </c>
      <c r="Y230" s="3" t="s">
        <v>525</v>
      </c>
      <c r="Z230" s="10" t="s">
        <v>526</v>
      </c>
      <c r="AA230" s="11"/>
      <c r="AB230" s="11"/>
      <c r="AC230" s="11"/>
      <c r="AD230" s="14"/>
      <c r="AE230" s="79"/>
    </row>
    <row r="231" ht="14.25" customHeight="1">
      <c r="A231" s="42">
        <v>400001.0</v>
      </c>
      <c r="B231" s="4" t="s">
        <v>2320</v>
      </c>
      <c r="C231" s="42">
        <v>2.0</v>
      </c>
      <c r="D231" s="42"/>
      <c r="E231" s="42"/>
      <c r="F231" s="42">
        <v>1.0</v>
      </c>
      <c r="G231" s="8">
        <v>2.0</v>
      </c>
      <c r="H231" s="8"/>
      <c r="I231" s="42"/>
      <c r="J231" s="42"/>
      <c r="K231" s="42"/>
      <c r="L231" s="42"/>
      <c r="M231" s="8" t="s">
        <v>544</v>
      </c>
      <c r="N231" s="53">
        <v>30.0</v>
      </c>
      <c r="O231" s="8"/>
      <c r="P231" s="54"/>
      <c r="Q231" s="54"/>
      <c r="R231" s="54"/>
      <c r="S231" s="8"/>
      <c r="T231" s="8"/>
      <c r="U231" s="8"/>
      <c r="V231" s="8"/>
      <c r="W231" s="8"/>
      <c r="X231" s="8" t="s">
        <v>795</v>
      </c>
      <c r="Y231" s="8"/>
      <c r="Z231" s="29" t="s">
        <v>2327</v>
      </c>
      <c r="AA231" s="11"/>
      <c r="AB231" s="11"/>
      <c r="AC231" s="11"/>
      <c r="AD231" s="14"/>
      <c r="AE231" s="79"/>
    </row>
    <row r="232" ht="14.25" customHeight="1">
      <c r="A232" s="42">
        <v>400002.0</v>
      </c>
      <c r="B232" s="4" t="s">
        <v>2331</v>
      </c>
      <c r="C232" s="42">
        <v>1.0</v>
      </c>
      <c r="D232" s="42"/>
      <c r="E232" s="42"/>
      <c r="F232" s="42">
        <v>1.0</v>
      </c>
      <c r="G232" s="8">
        <v>4.0</v>
      </c>
      <c r="H232" s="8"/>
      <c r="I232" s="42"/>
      <c r="J232" s="42"/>
      <c r="K232" s="42"/>
      <c r="L232" s="42"/>
      <c r="M232" s="8" t="s">
        <v>544</v>
      </c>
      <c r="N232" s="53">
        <v>18.0</v>
      </c>
      <c r="O232" s="8"/>
      <c r="P232" s="54"/>
      <c r="Q232" s="8"/>
      <c r="R232" s="54">
        <v>4003.0</v>
      </c>
      <c r="S232" s="54">
        <v>0.4</v>
      </c>
      <c r="T232" s="8"/>
      <c r="U232" s="8"/>
      <c r="V232" s="8"/>
      <c r="W232" s="8"/>
      <c r="X232" s="8" t="s">
        <v>546</v>
      </c>
      <c r="Y232" s="8"/>
      <c r="Z232" s="29" t="s">
        <v>675</v>
      </c>
      <c r="AA232" s="11"/>
      <c r="AB232" s="11"/>
      <c r="AC232" s="11"/>
      <c r="AD232" s="14"/>
    </row>
    <row r="233" ht="15.75" customHeight="1">
      <c r="A233" s="42">
        <v>400003.0</v>
      </c>
      <c r="B233" s="4" t="s">
        <v>2337</v>
      </c>
      <c r="C233" s="42">
        <v>3.0</v>
      </c>
      <c r="D233" s="42"/>
      <c r="E233" s="42"/>
      <c r="F233" s="42">
        <v>1.0</v>
      </c>
      <c r="G233" s="8">
        <v>1.8</v>
      </c>
      <c r="H233" s="8"/>
      <c r="I233" s="42"/>
      <c r="J233" s="42"/>
      <c r="K233" s="42"/>
      <c r="L233" s="42"/>
      <c r="M233" s="8" t="s">
        <v>544</v>
      </c>
      <c r="N233" s="53">
        <v>40.0</v>
      </c>
      <c r="O233" s="8"/>
      <c r="P233" s="54"/>
      <c r="Q233" s="8"/>
      <c r="R233" s="54">
        <v>5002.0</v>
      </c>
      <c r="S233" s="54">
        <v>0.25</v>
      </c>
      <c r="T233" s="8"/>
      <c r="U233" s="8"/>
      <c r="V233" s="8"/>
      <c r="W233" s="8"/>
      <c r="X233" s="60" t="s">
        <v>580</v>
      </c>
      <c r="Y233" s="8"/>
      <c r="Z233" s="29" t="s">
        <v>2343</v>
      </c>
      <c r="AA233" s="11"/>
      <c r="AB233" s="11"/>
      <c r="AC233" s="11"/>
      <c r="AD233" s="14"/>
    </row>
    <row r="234" ht="14.25" customHeight="1">
      <c r="A234" s="42">
        <v>400004.0</v>
      </c>
      <c r="B234" s="4" t="s">
        <v>2346</v>
      </c>
      <c r="C234" s="42">
        <v>1.0</v>
      </c>
      <c r="D234" s="42"/>
      <c r="E234" s="42"/>
      <c r="F234" s="42">
        <v>1.0</v>
      </c>
      <c r="G234" s="8">
        <v>4.0</v>
      </c>
      <c r="H234" s="8"/>
      <c r="I234" s="42"/>
      <c r="J234" s="42"/>
      <c r="K234" s="42"/>
      <c r="L234" s="42"/>
      <c r="M234" s="8" t="s">
        <v>544</v>
      </c>
      <c r="N234" s="53">
        <v>13.0</v>
      </c>
      <c r="O234" s="8"/>
      <c r="P234" s="54"/>
      <c r="Q234" s="8"/>
      <c r="R234" s="54">
        <v>2002.0</v>
      </c>
      <c r="S234" s="54">
        <v>0.4</v>
      </c>
      <c r="T234" s="8"/>
      <c r="U234" s="8"/>
      <c r="V234" s="8"/>
      <c r="W234" s="8"/>
      <c r="X234" s="8" t="s">
        <v>696</v>
      </c>
      <c r="Y234" s="8"/>
      <c r="Z234" s="29" t="s">
        <v>2353</v>
      </c>
      <c r="AA234" s="11"/>
      <c r="AB234" s="11"/>
      <c r="AC234" s="11"/>
      <c r="AD234" s="14"/>
    </row>
    <row r="235" ht="15.75" customHeight="1">
      <c r="A235" s="42">
        <v>400005.0</v>
      </c>
      <c r="B235" s="4" t="s">
        <v>2358</v>
      </c>
      <c r="C235" s="42">
        <v>3.0</v>
      </c>
      <c r="D235" s="42"/>
      <c r="E235" s="42"/>
      <c r="F235" s="42">
        <v>1.0</v>
      </c>
      <c r="G235" s="8"/>
      <c r="H235" s="8">
        <v>1.9</v>
      </c>
      <c r="I235" s="42"/>
      <c r="J235" s="42"/>
      <c r="K235" s="42"/>
      <c r="L235" s="42"/>
      <c r="M235" s="8" t="s">
        <v>578</v>
      </c>
      <c r="N235" s="53">
        <v>42.0</v>
      </c>
      <c r="O235" s="8"/>
      <c r="P235" s="54"/>
      <c r="Q235" s="8"/>
      <c r="R235" s="54"/>
      <c r="S235" s="54"/>
      <c r="T235" s="8"/>
      <c r="U235" s="8"/>
      <c r="V235" s="8"/>
      <c r="W235" s="60" t="s">
        <v>579</v>
      </c>
      <c r="X235" s="60" t="s">
        <v>580</v>
      </c>
      <c r="Y235" s="8"/>
      <c r="Z235" s="29" t="s">
        <v>2364</v>
      </c>
      <c r="AA235" s="11"/>
      <c r="AB235" s="11"/>
      <c r="AC235" s="11"/>
      <c r="AD235" s="14"/>
    </row>
    <row r="236" ht="15.75" customHeight="1">
      <c r="A236" s="42">
        <v>400006.0</v>
      </c>
      <c r="B236" s="4" t="s">
        <v>2369</v>
      </c>
      <c r="C236" s="42">
        <v>3.0</v>
      </c>
      <c r="D236" s="42"/>
      <c r="E236" s="42"/>
      <c r="F236" s="42">
        <v>1.0</v>
      </c>
      <c r="G236" s="8">
        <v>1.8</v>
      </c>
      <c r="H236" s="8"/>
      <c r="I236" s="42"/>
      <c r="J236" s="42"/>
      <c r="K236" s="42"/>
      <c r="L236" s="42"/>
      <c r="M236" s="8" t="s">
        <v>544</v>
      </c>
      <c r="N236" s="53">
        <v>43.0</v>
      </c>
      <c r="O236" s="8"/>
      <c r="P236" s="54"/>
      <c r="Q236" s="8"/>
      <c r="R236" s="54"/>
      <c r="S236" s="54"/>
      <c r="T236" s="8"/>
      <c r="U236" s="8"/>
      <c r="V236" s="8"/>
      <c r="W236" s="8"/>
      <c r="X236" s="60" t="s">
        <v>580</v>
      </c>
      <c r="Y236" s="8"/>
      <c r="Z236" s="29" t="s">
        <v>2377</v>
      </c>
      <c r="AA236" s="11"/>
      <c r="AB236" s="11"/>
      <c r="AC236" s="11"/>
      <c r="AD236" s="14"/>
    </row>
    <row r="237" ht="15.75" customHeight="1">
      <c r="A237" s="42">
        <v>400007.0</v>
      </c>
      <c r="B237" s="4" t="s">
        <v>2383</v>
      </c>
      <c r="C237" s="42">
        <v>5.0</v>
      </c>
      <c r="D237" s="42"/>
      <c r="E237" s="42"/>
      <c r="F237" s="42">
        <v>1.0</v>
      </c>
      <c r="G237" s="8"/>
      <c r="H237" s="8">
        <v>1.0</v>
      </c>
      <c r="I237" s="42"/>
      <c r="J237" s="42"/>
      <c r="K237" s="42"/>
      <c r="L237" s="42"/>
      <c r="M237" s="8" t="s">
        <v>578</v>
      </c>
      <c r="N237" s="53">
        <v>55.0</v>
      </c>
      <c r="O237" s="8"/>
      <c r="P237" s="54"/>
      <c r="Q237" s="8"/>
      <c r="R237" s="54">
        <v>2004.0</v>
      </c>
      <c r="S237" s="54">
        <v>0.4</v>
      </c>
      <c r="T237" s="8"/>
      <c r="U237" s="8"/>
      <c r="V237" s="8"/>
      <c r="W237" s="60" t="s">
        <v>579</v>
      </c>
      <c r="X237" s="8" t="s">
        <v>658</v>
      </c>
      <c r="Y237" s="8"/>
      <c r="Z237" s="29" t="s">
        <v>2392</v>
      </c>
      <c r="AA237" s="11"/>
      <c r="AB237" s="11"/>
      <c r="AC237" s="11"/>
      <c r="AD237" s="14"/>
    </row>
    <row r="238" ht="14.25" customHeight="1">
      <c r="A238" s="42">
        <v>400008.0</v>
      </c>
      <c r="B238" s="4" t="s">
        <v>2397</v>
      </c>
      <c r="C238" s="42">
        <v>2.0</v>
      </c>
      <c r="D238" s="42"/>
      <c r="E238" s="42"/>
      <c r="F238" s="42">
        <v>1.0</v>
      </c>
      <c r="G238" s="8">
        <v>1.8</v>
      </c>
      <c r="H238" s="8"/>
      <c r="I238" s="42"/>
      <c r="J238" s="42"/>
      <c r="K238" s="42"/>
      <c r="L238" s="42"/>
      <c r="M238" s="8" t="s">
        <v>544</v>
      </c>
      <c r="N238" s="53">
        <v>30.0</v>
      </c>
      <c r="O238" s="8"/>
      <c r="P238" s="54"/>
      <c r="Q238" s="8"/>
      <c r="R238" s="54">
        <v>4004.0</v>
      </c>
      <c r="S238" s="54">
        <v>0.5</v>
      </c>
      <c r="T238" s="8"/>
      <c r="U238" s="8"/>
      <c r="V238" s="8"/>
      <c r="W238" s="8"/>
      <c r="X238" s="8" t="s">
        <v>696</v>
      </c>
      <c r="Y238" s="8"/>
      <c r="Z238" s="29" t="s">
        <v>2404</v>
      </c>
      <c r="AA238" s="11"/>
      <c r="AB238" s="11"/>
      <c r="AC238" s="11"/>
      <c r="AD238" s="14"/>
    </row>
    <row r="239" ht="15.75" customHeight="1">
      <c r="A239" s="42">
        <v>400009.0</v>
      </c>
      <c r="B239" s="4" t="s">
        <v>2409</v>
      </c>
      <c r="C239" s="42">
        <v>1.0</v>
      </c>
      <c r="D239" s="42"/>
      <c r="E239" s="42"/>
      <c r="F239" s="42">
        <v>1.0</v>
      </c>
      <c r="G239" s="8"/>
      <c r="H239" s="8">
        <v>3.5</v>
      </c>
      <c r="I239" s="42"/>
      <c r="J239" s="42"/>
      <c r="K239" s="42"/>
      <c r="L239" s="42"/>
      <c r="M239" s="8" t="s">
        <v>578</v>
      </c>
      <c r="N239" s="53">
        <v>17.0</v>
      </c>
      <c r="O239" s="8"/>
      <c r="P239" s="54"/>
      <c r="Q239" s="8"/>
      <c r="R239" s="54">
        <v>4001.0</v>
      </c>
      <c r="S239" s="54">
        <v>0.6</v>
      </c>
      <c r="T239" s="8"/>
      <c r="U239" s="8"/>
      <c r="V239" s="8"/>
      <c r="W239" s="60" t="s">
        <v>614</v>
      </c>
      <c r="X239" s="8" t="s">
        <v>615</v>
      </c>
      <c r="Y239" s="8"/>
      <c r="Z239" s="29" t="s">
        <v>2413</v>
      </c>
      <c r="AA239" s="11"/>
      <c r="AB239" s="11"/>
      <c r="AC239" s="11"/>
      <c r="AD239" s="14"/>
    </row>
    <row r="240" ht="15.75" customHeight="1">
      <c r="A240" s="42">
        <v>400010.0</v>
      </c>
      <c r="B240" s="4" t="s">
        <v>2417</v>
      </c>
      <c r="C240" s="42">
        <v>2.0</v>
      </c>
      <c r="D240" s="42"/>
      <c r="E240" s="42"/>
      <c r="F240" s="42">
        <v>1.0</v>
      </c>
      <c r="G240" s="8">
        <v>1.2</v>
      </c>
      <c r="H240" s="8"/>
      <c r="I240" s="42"/>
      <c r="J240" s="42"/>
      <c r="K240" s="42"/>
      <c r="L240" s="42"/>
      <c r="M240" s="8" t="s">
        <v>544</v>
      </c>
      <c r="N240" s="53">
        <v>28.0</v>
      </c>
      <c r="O240" s="8"/>
      <c r="P240" s="54"/>
      <c r="Q240" s="8"/>
      <c r="R240" s="54">
        <v>5004.0</v>
      </c>
      <c r="S240" s="54">
        <v>0.3</v>
      </c>
      <c r="T240" s="8"/>
      <c r="U240" s="8"/>
      <c r="V240" s="42"/>
      <c r="W240" s="60" t="s">
        <v>579</v>
      </c>
      <c r="X240" s="60" t="s">
        <v>580</v>
      </c>
      <c r="Y240" s="8"/>
      <c r="Z240" s="29" t="s">
        <v>2424</v>
      </c>
      <c r="AA240" s="11"/>
      <c r="AB240" s="11"/>
      <c r="AC240" s="11"/>
      <c r="AD240" s="14"/>
    </row>
    <row r="241" ht="15.75" customHeight="1">
      <c r="A241" s="42">
        <v>400011.0</v>
      </c>
      <c r="B241" s="4" t="s">
        <v>2430</v>
      </c>
      <c r="C241" s="42">
        <v>2.0</v>
      </c>
      <c r="D241" s="42"/>
      <c r="E241" s="42"/>
      <c r="F241" s="42">
        <v>1.0</v>
      </c>
      <c r="G241" s="8"/>
      <c r="H241" s="8">
        <v>2.0</v>
      </c>
      <c r="I241" s="42"/>
      <c r="J241" s="42"/>
      <c r="K241" s="42"/>
      <c r="L241" s="42"/>
      <c r="M241" s="8" t="s">
        <v>578</v>
      </c>
      <c r="N241" s="53">
        <v>29.0</v>
      </c>
      <c r="O241" s="8"/>
      <c r="P241" s="54"/>
      <c r="Q241" s="8"/>
      <c r="R241" s="54"/>
      <c r="S241" s="54"/>
      <c r="T241" s="8"/>
      <c r="U241" s="8"/>
      <c r="V241" s="42"/>
      <c r="W241" s="60" t="s">
        <v>579</v>
      </c>
      <c r="X241" s="60" t="s">
        <v>580</v>
      </c>
      <c r="Y241" s="8"/>
      <c r="Z241" s="29" t="s">
        <v>2435</v>
      </c>
      <c r="AA241" s="11"/>
      <c r="AB241" s="11"/>
      <c r="AC241" s="11"/>
      <c r="AD241" s="14"/>
    </row>
    <row r="242" ht="15.75" customHeight="1">
      <c r="A242" s="42">
        <v>400012.0</v>
      </c>
      <c r="B242" s="4" t="s">
        <v>2440</v>
      </c>
      <c r="C242" s="42">
        <v>2.0</v>
      </c>
      <c r="D242" s="42"/>
      <c r="E242" s="42"/>
      <c r="F242" s="42">
        <v>1.0</v>
      </c>
      <c r="G242" s="8"/>
      <c r="H242" s="8">
        <v>2.0</v>
      </c>
      <c r="I242" s="42"/>
      <c r="J242" s="42"/>
      <c r="K242" s="42"/>
      <c r="L242" s="42"/>
      <c r="M242" s="8" t="s">
        <v>578</v>
      </c>
      <c r="N242" s="53">
        <v>23.0</v>
      </c>
      <c r="O242" s="8"/>
      <c r="P242" s="54"/>
      <c r="Q242" s="8"/>
      <c r="R242" s="54">
        <v>4001.0</v>
      </c>
      <c r="S242" s="54">
        <v>0.4</v>
      </c>
      <c r="T242" s="8"/>
      <c r="U242" s="8"/>
      <c r="V242" s="42"/>
      <c r="W242" s="60" t="s">
        <v>614</v>
      </c>
      <c r="X242" s="8" t="s">
        <v>615</v>
      </c>
      <c r="Y242" s="8"/>
      <c r="Z242" s="29" t="s">
        <v>2446</v>
      </c>
      <c r="AA242" s="11"/>
      <c r="AB242" s="11"/>
      <c r="AC242" s="11"/>
      <c r="AD242" s="14"/>
    </row>
    <row r="243" ht="15.75" customHeight="1">
      <c r="A243" s="42">
        <v>400013.0</v>
      </c>
      <c r="B243" s="4" t="s">
        <v>2448</v>
      </c>
      <c r="C243" s="42">
        <v>2.0</v>
      </c>
      <c r="D243" s="42"/>
      <c r="E243" s="42"/>
      <c r="F243" s="42">
        <v>1.0</v>
      </c>
      <c r="G243" s="8"/>
      <c r="H243" s="8">
        <v>2.0</v>
      </c>
      <c r="I243" s="42"/>
      <c r="J243" s="42"/>
      <c r="K243" s="42"/>
      <c r="L243" s="42"/>
      <c r="M243" s="8" t="s">
        <v>578</v>
      </c>
      <c r="N243" s="53">
        <v>27.0</v>
      </c>
      <c r="O243" s="8"/>
      <c r="P243" s="54"/>
      <c r="Q243" s="8"/>
      <c r="R243" s="54">
        <v>4002.0</v>
      </c>
      <c r="S243" s="54">
        <v>0.4</v>
      </c>
      <c r="T243" s="8"/>
      <c r="U243" s="8"/>
      <c r="V243" s="42"/>
      <c r="W243" s="60" t="s">
        <v>579</v>
      </c>
      <c r="X243" s="60" t="s">
        <v>580</v>
      </c>
      <c r="Y243" s="8"/>
      <c r="Z243" s="29" t="s">
        <v>2452</v>
      </c>
      <c r="AA243" s="11"/>
      <c r="AB243" s="11"/>
      <c r="AC243" s="11"/>
      <c r="AD243" s="14"/>
    </row>
    <row r="244" ht="14.25" customHeight="1">
      <c r="A244" s="42">
        <v>400014.0</v>
      </c>
      <c r="B244" s="4" t="s">
        <v>2456</v>
      </c>
      <c r="C244" s="42">
        <v>4.0</v>
      </c>
      <c r="D244" s="42"/>
      <c r="E244" s="42"/>
      <c r="F244" s="42">
        <v>1.0</v>
      </c>
      <c r="G244" s="8">
        <v>1.2</v>
      </c>
      <c r="H244" s="8"/>
      <c r="I244" s="42"/>
      <c r="J244" s="42"/>
      <c r="K244" s="42"/>
      <c r="L244" s="42"/>
      <c r="M244" s="8" t="s">
        <v>544</v>
      </c>
      <c r="N244" s="53">
        <v>51.0</v>
      </c>
      <c r="O244" s="8"/>
      <c r="P244" s="54"/>
      <c r="Q244" s="8"/>
      <c r="R244" s="54">
        <v>4004.0</v>
      </c>
      <c r="S244" s="54">
        <v>0.5</v>
      </c>
      <c r="T244" s="8"/>
      <c r="U244" s="8"/>
      <c r="V244" s="42"/>
      <c r="W244" s="8"/>
      <c r="X244" s="8" t="s">
        <v>546</v>
      </c>
      <c r="Y244" s="8"/>
      <c r="Z244" s="29" t="s">
        <v>2461</v>
      </c>
      <c r="AA244" s="11"/>
      <c r="AB244" s="11"/>
      <c r="AC244" s="11"/>
      <c r="AD244" s="14"/>
    </row>
    <row r="245" ht="14.25" customHeight="1">
      <c r="A245" s="42">
        <v>400015.0</v>
      </c>
      <c r="B245" s="4" t="s">
        <v>2466</v>
      </c>
      <c r="C245" s="42">
        <v>2.0</v>
      </c>
      <c r="D245" s="42"/>
      <c r="E245" s="42"/>
      <c r="F245" s="42">
        <v>1.0</v>
      </c>
      <c r="G245" s="8"/>
      <c r="H245" s="8">
        <v>2.0</v>
      </c>
      <c r="I245" s="42"/>
      <c r="J245" s="42"/>
      <c r="K245" s="42"/>
      <c r="L245" s="42"/>
      <c r="M245" s="8" t="s">
        <v>578</v>
      </c>
      <c r="N245" s="53">
        <v>28.0</v>
      </c>
      <c r="O245" s="8"/>
      <c r="P245" s="54"/>
      <c r="Q245" s="8"/>
      <c r="R245" s="54">
        <v>2001.0</v>
      </c>
      <c r="S245" s="54">
        <v>0.6</v>
      </c>
      <c r="T245" s="8"/>
      <c r="U245" s="8"/>
      <c r="V245" s="42"/>
      <c r="W245" s="8"/>
      <c r="X245" s="8" t="s">
        <v>795</v>
      </c>
      <c r="Y245" s="8"/>
      <c r="Z245" s="29" t="s">
        <v>2471</v>
      </c>
      <c r="AA245" s="11"/>
      <c r="AB245" s="11"/>
      <c r="AC245" s="11"/>
      <c r="AD245" s="14"/>
    </row>
    <row r="246" ht="14.25" customHeight="1">
      <c r="A246" s="42">
        <v>400016.0</v>
      </c>
      <c r="B246" s="4" t="s">
        <v>2476</v>
      </c>
      <c r="C246" s="42">
        <v>3.0</v>
      </c>
      <c r="D246" s="42"/>
      <c r="E246" s="42"/>
      <c r="F246" s="42">
        <v>1.0</v>
      </c>
      <c r="G246" s="42">
        <v>3.0</v>
      </c>
      <c r="H246" s="42"/>
      <c r="I246" s="42"/>
      <c r="J246" s="42"/>
      <c r="K246" s="42"/>
      <c r="L246" s="42"/>
      <c r="M246" s="8" t="s">
        <v>544</v>
      </c>
      <c r="N246" s="53">
        <v>25.0</v>
      </c>
      <c r="O246" s="8"/>
      <c r="P246" s="54"/>
      <c r="Q246" s="54"/>
      <c r="R246" s="54"/>
      <c r="S246" s="8"/>
      <c r="T246" s="8"/>
      <c r="U246" s="8"/>
      <c r="V246" s="42"/>
      <c r="W246" s="8"/>
      <c r="X246" s="8" t="s">
        <v>546</v>
      </c>
      <c r="Y246" s="8"/>
      <c r="Z246" s="29" t="s">
        <v>2482</v>
      </c>
      <c r="AA246" s="11"/>
      <c r="AB246" s="11"/>
      <c r="AC246" s="11"/>
      <c r="AD246" s="14"/>
    </row>
    <row r="247" ht="14.25" customHeight="1">
      <c r="A247" s="42">
        <v>400017.0</v>
      </c>
      <c r="B247" s="4" t="s">
        <v>2485</v>
      </c>
      <c r="C247" s="42">
        <v>-4.0</v>
      </c>
      <c r="D247" s="42"/>
      <c r="E247" s="42"/>
      <c r="F247" s="42">
        <v>1.0</v>
      </c>
      <c r="G247" s="42"/>
      <c r="H247" s="42">
        <v>2.5</v>
      </c>
      <c r="I247" s="42"/>
      <c r="J247" s="42"/>
      <c r="K247" s="42"/>
      <c r="L247" s="42"/>
      <c r="M247" s="141" t="s">
        <v>656</v>
      </c>
      <c r="N247" s="53">
        <v>80.0</v>
      </c>
      <c r="O247" s="8"/>
      <c r="P247" s="54"/>
      <c r="Q247" s="54"/>
      <c r="R247" s="54"/>
      <c r="S247" s="8"/>
      <c r="T247" s="8"/>
      <c r="U247" s="8"/>
      <c r="V247" s="42"/>
      <c r="W247" s="8"/>
      <c r="X247" s="8" t="s">
        <v>647</v>
      </c>
      <c r="Y247" s="8"/>
      <c r="Z247" s="29" t="s">
        <v>2494</v>
      </c>
      <c r="AA247" s="11"/>
      <c r="AB247" s="11"/>
      <c r="AC247" s="11"/>
      <c r="AD247" s="14"/>
    </row>
    <row r="248" ht="15.75" customHeight="1">
      <c r="A248" s="42">
        <v>400018.0</v>
      </c>
      <c r="B248" s="4" t="s">
        <v>2499</v>
      </c>
      <c r="C248" s="42">
        <v>3.0</v>
      </c>
      <c r="D248" s="42"/>
      <c r="E248" s="42"/>
      <c r="F248" s="42">
        <v>1.0</v>
      </c>
      <c r="G248" s="42"/>
      <c r="H248" s="42">
        <v>2.0</v>
      </c>
      <c r="I248" s="42"/>
      <c r="J248" s="42"/>
      <c r="K248" s="42"/>
      <c r="L248" s="42"/>
      <c r="M248" s="8" t="s">
        <v>578</v>
      </c>
      <c r="N248" s="53">
        <v>45.0</v>
      </c>
      <c r="O248" s="8"/>
      <c r="P248" s="54"/>
      <c r="Q248" s="54"/>
      <c r="R248" s="54" t="str">
        <f>"4001.4002"</f>
        <v>4001.4002</v>
      </c>
      <c r="S248" s="8"/>
      <c r="T248" s="8"/>
      <c r="U248" s="8"/>
      <c r="V248" s="42"/>
      <c r="W248" s="60" t="s">
        <v>614</v>
      </c>
      <c r="X248" s="8" t="s">
        <v>615</v>
      </c>
      <c r="Y248" s="8"/>
      <c r="Z248" s="29" t="s">
        <v>2507</v>
      </c>
      <c r="AA248" s="11"/>
      <c r="AB248" s="11"/>
      <c r="AC248" s="11"/>
      <c r="AD248" s="14"/>
    </row>
    <row r="249" ht="15.75" customHeight="1">
      <c r="A249" s="42">
        <v>400019.0</v>
      </c>
      <c r="B249" s="2" t="s">
        <v>2510</v>
      </c>
      <c r="C249" s="42">
        <v>2.0</v>
      </c>
      <c r="D249" s="42"/>
      <c r="E249" s="42"/>
      <c r="F249" s="42">
        <v>1.0</v>
      </c>
      <c r="G249" s="42"/>
      <c r="H249" s="42">
        <v>2.8</v>
      </c>
      <c r="I249" s="42"/>
      <c r="J249" s="42"/>
      <c r="K249" s="42"/>
      <c r="L249" s="42"/>
      <c r="M249" s="8" t="s">
        <v>578</v>
      </c>
      <c r="N249" s="53">
        <v>45.0</v>
      </c>
      <c r="O249" s="8"/>
      <c r="P249" s="54"/>
      <c r="Q249" s="54"/>
      <c r="R249" s="54"/>
      <c r="S249" s="8"/>
      <c r="T249" s="8"/>
      <c r="U249" s="8"/>
      <c r="V249" s="42"/>
      <c r="W249" s="60" t="s">
        <v>579</v>
      </c>
      <c r="X249" s="60" t="s">
        <v>580</v>
      </c>
      <c r="Y249" s="8"/>
      <c r="Z249" s="29" t="s">
        <v>2364</v>
      </c>
      <c r="AA249" s="11"/>
      <c r="AB249" s="11"/>
      <c r="AC249" s="11"/>
      <c r="AD249" s="14"/>
    </row>
    <row r="250" ht="15.75" customHeight="1">
      <c r="A250" s="42">
        <v>400020.0</v>
      </c>
      <c r="B250" s="4" t="s">
        <v>2518</v>
      </c>
      <c r="C250" s="42">
        <v>5.0</v>
      </c>
      <c r="D250" s="42"/>
      <c r="E250" s="42"/>
      <c r="F250" s="42">
        <v>2.0</v>
      </c>
      <c r="G250" s="42"/>
      <c r="H250" s="42">
        <v>0.5</v>
      </c>
      <c r="I250" s="42"/>
      <c r="J250" s="42"/>
      <c r="K250" s="42"/>
      <c r="L250" s="42"/>
      <c r="M250" s="8" t="s">
        <v>578</v>
      </c>
      <c r="N250" s="53">
        <v>45.0</v>
      </c>
      <c r="O250" s="8"/>
      <c r="P250" s="54"/>
      <c r="Q250" s="54"/>
      <c r="R250" s="54"/>
      <c r="S250" s="8"/>
      <c r="T250" s="8"/>
      <c r="U250" s="8"/>
      <c r="V250" s="42"/>
      <c r="W250" s="60" t="s">
        <v>614</v>
      </c>
      <c r="X250" s="8" t="s">
        <v>546</v>
      </c>
      <c r="Y250" s="8"/>
      <c r="Z250" s="29" t="s">
        <v>2364</v>
      </c>
      <c r="AA250" s="11"/>
      <c r="AB250" s="11"/>
      <c r="AC250" s="11"/>
      <c r="AD250" s="14"/>
    </row>
    <row r="251" ht="15.75" customHeight="1">
      <c r="A251" s="42">
        <v>400021.0</v>
      </c>
      <c r="B251" s="4" t="s">
        <v>2529</v>
      </c>
      <c r="C251" s="42">
        <v>1.0</v>
      </c>
      <c r="D251" s="42"/>
      <c r="E251" s="42"/>
      <c r="F251" s="42">
        <v>1.0</v>
      </c>
      <c r="G251" s="42"/>
      <c r="H251" s="42">
        <v>3.2</v>
      </c>
      <c r="I251" s="42"/>
      <c r="J251" s="42"/>
      <c r="K251" s="42"/>
      <c r="L251" s="42"/>
      <c r="M251" s="8" t="s">
        <v>578</v>
      </c>
      <c r="N251" s="53">
        <v>35.0</v>
      </c>
      <c r="O251" s="8"/>
      <c r="P251" s="54"/>
      <c r="Q251" s="54"/>
      <c r="R251" s="54"/>
      <c r="S251" s="8"/>
      <c r="T251" s="8"/>
      <c r="U251" s="8"/>
      <c r="V251" s="42"/>
      <c r="W251" s="60"/>
      <c r="X251" s="8" t="s">
        <v>580</v>
      </c>
      <c r="Y251" s="8"/>
      <c r="Z251" s="29" t="s">
        <v>2535</v>
      </c>
      <c r="AA251" s="11"/>
      <c r="AB251" s="11"/>
      <c r="AC251" s="11"/>
      <c r="AD251" s="14"/>
    </row>
    <row r="252" ht="15.75" customHeight="1">
      <c r="A252" s="42">
        <v>400022.0</v>
      </c>
      <c r="B252" s="4" t="s">
        <v>2540</v>
      </c>
      <c r="C252" s="42">
        <v>1.0</v>
      </c>
      <c r="D252" s="42"/>
      <c r="E252" s="42"/>
      <c r="F252" s="42">
        <v>1.0</v>
      </c>
      <c r="G252" s="42">
        <v>3.5</v>
      </c>
      <c r="H252" s="42"/>
      <c r="I252" s="42"/>
      <c r="J252" s="42"/>
      <c r="K252" s="42"/>
      <c r="L252" s="42"/>
      <c r="M252" s="8" t="s">
        <v>544</v>
      </c>
      <c r="N252" s="53">
        <v>30.0</v>
      </c>
      <c r="O252" s="8"/>
      <c r="P252" s="54"/>
      <c r="Q252" s="54"/>
      <c r="R252" s="54">
        <v>5002.0</v>
      </c>
      <c r="S252" s="8"/>
      <c r="T252" s="8"/>
      <c r="U252" s="8"/>
      <c r="V252" s="42"/>
      <c r="W252" s="60"/>
      <c r="X252" s="8" t="s">
        <v>795</v>
      </c>
      <c r="Y252" s="8"/>
      <c r="Z252" s="29" t="s">
        <v>2550</v>
      </c>
      <c r="AA252" s="11"/>
      <c r="AB252" s="11"/>
      <c r="AC252" s="11"/>
      <c r="AD252" s="14"/>
    </row>
    <row r="253" ht="15.75" customHeight="1">
      <c r="A253" s="42">
        <v>400023.0</v>
      </c>
      <c r="B253" s="4" t="s">
        <v>2556</v>
      </c>
      <c r="C253" s="42">
        <v>3.0</v>
      </c>
      <c r="D253" s="42"/>
      <c r="E253" s="42"/>
      <c r="F253" s="42">
        <v>1.0</v>
      </c>
      <c r="G253" s="42">
        <v>2.0</v>
      </c>
      <c r="H253" s="42"/>
      <c r="I253" s="42"/>
      <c r="J253" s="42"/>
      <c r="K253" s="42"/>
      <c r="L253" s="42"/>
      <c r="M253" s="8" t="s">
        <v>544</v>
      </c>
      <c r="N253" s="53">
        <v>40.0</v>
      </c>
      <c r="O253" s="8"/>
      <c r="P253" s="54"/>
      <c r="Q253" s="54"/>
      <c r="R253" s="54"/>
      <c r="S253" s="8"/>
      <c r="T253" s="8"/>
      <c r="U253" s="8"/>
      <c r="V253" s="42"/>
      <c r="W253" s="60"/>
      <c r="X253" s="8" t="s">
        <v>580</v>
      </c>
      <c r="Y253" s="8"/>
      <c r="Z253" s="29" t="s">
        <v>2566</v>
      </c>
      <c r="AA253" s="11"/>
      <c r="AB253" s="11"/>
      <c r="AC253" s="11"/>
      <c r="AD253" s="14"/>
    </row>
    <row r="254" ht="15.75" customHeight="1">
      <c r="A254" s="42">
        <v>400024.0</v>
      </c>
      <c r="B254" s="4" t="s">
        <v>2572</v>
      </c>
      <c r="C254" s="42">
        <v>3.0</v>
      </c>
      <c r="D254" s="42"/>
      <c r="E254" s="42"/>
      <c r="F254" s="42">
        <v>1.0</v>
      </c>
      <c r="G254" s="42"/>
      <c r="H254" s="42">
        <v>2.2</v>
      </c>
      <c r="I254" s="42"/>
      <c r="J254" s="42"/>
      <c r="K254" s="42"/>
      <c r="L254" s="42"/>
      <c r="M254" s="8" t="s">
        <v>578</v>
      </c>
      <c r="N254" s="53">
        <v>45.0</v>
      </c>
      <c r="O254" s="8"/>
      <c r="P254" s="54"/>
      <c r="Q254" s="54"/>
      <c r="R254" s="54">
        <v>4002.0</v>
      </c>
      <c r="S254" s="8"/>
      <c r="T254" s="8"/>
      <c r="U254" s="8"/>
      <c r="V254" s="42"/>
      <c r="W254" s="60"/>
      <c r="X254" s="8" t="s">
        <v>580</v>
      </c>
      <c r="Y254" s="8"/>
      <c r="Z254" s="29" t="s">
        <v>2581</v>
      </c>
      <c r="AA254" s="11"/>
      <c r="AB254" s="11"/>
      <c r="AC254" s="11"/>
      <c r="AD254" s="14"/>
    </row>
    <row r="255" ht="15.75" customHeight="1">
      <c r="A255" s="42">
        <v>400025.0</v>
      </c>
      <c r="B255" s="4" t="s">
        <v>2589</v>
      </c>
      <c r="C255" s="42">
        <v>4.0</v>
      </c>
      <c r="D255" s="42"/>
      <c r="E255" s="42"/>
      <c r="F255" s="42">
        <v>1.0</v>
      </c>
      <c r="G255" s="42"/>
      <c r="H255" s="42">
        <v>2.0</v>
      </c>
      <c r="I255" s="42"/>
      <c r="J255" s="42"/>
      <c r="K255" s="42"/>
      <c r="L255" s="42"/>
      <c r="M255" s="8" t="s">
        <v>578</v>
      </c>
      <c r="N255" s="53">
        <v>50.0</v>
      </c>
      <c r="O255" s="8"/>
      <c r="P255" s="54"/>
      <c r="Q255" s="54"/>
      <c r="R255" s="54">
        <v>4001.0</v>
      </c>
      <c r="S255" s="8"/>
      <c r="T255" s="8"/>
      <c r="U255" s="8"/>
      <c r="V255" s="42"/>
      <c r="W255" s="60"/>
      <c r="X255" s="8" t="s">
        <v>615</v>
      </c>
      <c r="Y255" s="8"/>
      <c r="Z255" s="29" t="s">
        <v>2598</v>
      </c>
      <c r="AA255" s="11"/>
      <c r="AB255" s="11"/>
      <c r="AC255" s="11"/>
      <c r="AD255" s="14"/>
    </row>
    <row r="256" ht="15.75" customHeight="1">
      <c r="A256" s="42">
        <v>400026.0</v>
      </c>
      <c r="B256" s="4" t="s">
        <v>2605</v>
      </c>
      <c r="C256" s="42">
        <v>1.0</v>
      </c>
      <c r="D256" s="42"/>
      <c r="E256" s="42"/>
      <c r="F256" s="42">
        <v>3.0</v>
      </c>
      <c r="G256" s="42">
        <v>1.5</v>
      </c>
      <c r="H256" s="42"/>
      <c r="I256" s="42"/>
      <c r="J256" s="42"/>
      <c r="K256" s="42"/>
      <c r="L256" s="42"/>
      <c r="M256" s="8" t="s">
        <v>544</v>
      </c>
      <c r="N256" s="53">
        <v>38.0</v>
      </c>
      <c r="O256" s="8"/>
      <c r="P256" s="54"/>
      <c r="Q256" s="54"/>
      <c r="R256" s="54"/>
      <c r="S256" s="8"/>
      <c r="T256" s="8"/>
      <c r="U256" s="8"/>
      <c r="V256" s="42"/>
      <c r="W256" s="60"/>
      <c r="X256" s="8" t="s">
        <v>580</v>
      </c>
      <c r="Y256" s="8"/>
      <c r="Z256" s="29" t="s">
        <v>2614</v>
      </c>
      <c r="AA256" s="11"/>
      <c r="AB256" s="11"/>
      <c r="AC256" s="11"/>
      <c r="AD256" s="14"/>
    </row>
    <row r="257" ht="15.75" customHeight="1">
      <c r="A257" s="42">
        <v>400027.0</v>
      </c>
      <c r="B257" s="4" t="s">
        <v>2622</v>
      </c>
      <c r="C257" s="42">
        <v>2.0</v>
      </c>
      <c r="D257" s="42"/>
      <c r="E257" s="42"/>
      <c r="F257" s="42">
        <v>1.0</v>
      </c>
      <c r="G257" s="42">
        <v>2.5</v>
      </c>
      <c r="H257" s="42"/>
      <c r="I257" s="42"/>
      <c r="J257" s="42"/>
      <c r="K257" s="42"/>
      <c r="L257" s="42"/>
      <c r="M257" s="8" t="s">
        <v>544</v>
      </c>
      <c r="N257" s="53">
        <v>32.0</v>
      </c>
      <c r="O257" s="8"/>
      <c r="P257" s="54"/>
      <c r="Q257" s="54"/>
      <c r="R257" s="54">
        <v>4004.0</v>
      </c>
      <c r="S257" s="8"/>
      <c r="T257" s="8"/>
      <c r="U257" s="8"/>
      <c r="V257" s="42"/>
      <c r="W257" s="60"/>
      <c r="X257" s="8" t="s">
        <v>580</v>
      </c>
      <c r="Y257" s="8"/>
      <c r="Z257" s="29" t="s">
        <v>2635</v>
      </c>
      <c r="AA257" s="11"/>
      <c r="AB257" s="11"/>
      <c r="AC257" s="11"/>
      <c r="AD257" s="14"/>
    </row>
    <row r="258" ht="15.75" customHeight="1">
      <c r="A258" s="42">
        <v>400028.0</v>
      </c>
      <c r="B258" s="4" t="s">
        <v>2641</v>
      </c>
      <c r="C258" s="42">
        <v>1.0</v>
      </c>
      <c r="D258" s="42"/>
      <c r="E258" s="42"/>
      <c r="F258" s="42">
        <v>1.0</v>
      </c>
      <c r="G258" s="42"/>
      <c r="H258" s="42">
        <v>3.8</v>
      </c>
      <c r="I258" s="42"/>
      <c r="J258" s="42"/>
      <c r="K258" s="42"/>
      <c r="L258" s="42"/>
      <c r="M258" s="8" t="s">
        <v>578</v>
      </c>
      <c r="N258" s="53">
        <v>40.0</v>
      </c>
      <c r="O258" s="8"/>
      <c r="P258" s="54"/>
      <c r="Q258" s="54"/>
      <c r="R258" s="54"/>
      <c r="S258" s="8"/>
      <c r="T258" s="8"/>
      <c r="U258" s="8"/>
      <c r="V258" s="42"/>
      <c r="W258" s="60"/>
      <c r="X258" s="8" t="s">
        <v>580</v>
      </c>
      <c r="Y258" s="8"/>
      <c r="Z258" s="29" t="s">
        <v>2652</v>
      </c>
      <c r="AA258" s="11"/>
      <c r="AB258" s="11"/>
      <c r="AC258" s="11"/>
      <c r="AD258" s="14"/>
    </row>
    <row r="259" ht="15.75" customHeight="1">
      <c r="A259" s="42">
        <v>400029.0</v>
      </c>
      <c r="B259" s="4" t="s">
        <v>2657</v>
      </c>
      <c r="C259" s="42">
        <v>2.0</v>
      </c>
      <c r="D259" s="42"/>
      <c r="E259" s="42"/>
      <c r="F259" s="42">
        <v>1.0</v>
      </c>
      <c r="G259" s="42">
        <v>2.8</v>
      </c>
      <c r="H259" s="42"/>
      <c r="I259" s="42"/>
      <c r="J259" s="42"/>
      <c r="K259" s="42"/>
      <c r="L259" s="42"/>
      <c r="M259" s="8" t="s">
        <v>544</v>
      </c>
      <c r="N259" s="53">
        <v>35.0</v>
      </c>
      <c r="O259" s="8"/>
      <c r="P259" s="54"/>
      <c r="Q259" s="54"/>
      <c r="R259" s="54">
        <v>4003.0</v>
      </c>
      <c r="S259" s="8"/>
      <c r="T259" s="8"/>
      <c r="U259" s="8"/>
      <c r="V259" s="42"/>
      <c r="W259" s="60"/>
      <c r="X259" s="8" t="s">
        <v>580</v>
      </c>
      <c r="Y259" s="8"/>
      <c r="Z259" s="29" t="s">
        <v>2667</v>
      </c>
      <c r="AA259" s="11"/>
      <c r="AB259" s="11"/>
      <c r="AC259" s="11"/>
      <c r="AD259" s="14"/>
    </row>
    <row r="260" ht="15.75" customHeight="1">
      <c r="A260" s="42">
        <v>400030.0</v>
      </c>
      <c r="B260" s="4" t="s">
        <v>2671</v>
      </c>
      <c r="C260" s="42">
        <v>5.0</v>
      </c>
      <c r="D260" s="42"/>
      <c r="E260" s="42"/>
      <c r="F260" s="42">
        <v>1.0</v>
      </c>
      <c r="G260" s="42"/>
      <c r="H260" s="42">
        <v>1.8</v>
      </c>
      <c r="I260" s="42"/>
      <c r="J260" s="42"/>
      <c r="K260" s="42"/>
      <c r="L260" s="42"/>
      <c r="M260" s="8" t="s">
        <v>578</v>
      </c>
      <c r="N260" s="53">
        <v>60.0</v>
      </c>
      <c r="O260" s="8"/>
      <c r="P260" s="54"/>
      <c r="Q260" s="54"/>
      <c r="R260" s="54"/>
      <c r="S260" s="8"/>
      <c r="T260" s="8"/>
      <c r="U260" s="8"/>
      <c r="V260" s="42"/>
      <c r="W260" s="60"/>
      <c r="X260" s="8" t="s">
        <v>580</v>
      </c>
      <c r="Y260" s="8"/>
      <c r="Z260" s="29" t="s">
        <v>2674</v>
      </c>
      <c r="AA260" s="11"/>
      <c r="AB260" s="11"/>
      <c r="AC260" s="11"/>
      <c r="AD260" s="14"/>
    </row>
    <row r="261" ht="15.75" customHeight="1">
      <c r="A261" s="42">
        <v>400031.0</v>
      </c>
      <c r="B261" s="4" t="s">
        <v>2677</v>
      </c>
      <c r="C261" s="42">
        <v>3.0</v>
      </c>
      <c r="D261" s="42"/>
      <c r="E261" s="42"/>
      <c r="F261" s="42">
        <v>1.0</v>
      </c>
      <c r="G261" s="42">
        <v>2.2</v>
      </c>
      <c r="H261" s="42"/>
      <c r="I261" s="42"/>
      <c r="J261" s="42"/>
      <c r="K261" s="42"/>
      <c r="L261" s="42"/>
      <c r="M261" s="8" t="s">
        <v>544</v>
      </c>
      <c r="N261" s="53">
        <v>42.0</v>
      </c>
      <c r="O261" s="8"/>
      <c r="P261" s="54"/>
      <c r="Q261" s="54"/>
      <c r="R261" s="54"/>
      <c r="S261" s="8"/>
      <c r="T261" s="8"/>
      <c r="U261" s="8"/>
      <c r="V261" s="42"/>
      <c r="W261" s="60"/>
      <c r="X261" s="8" t="s">
        <v>615</v>
      </c>
      <c r="Y261" s="8"/>
      <c r="Z261" s="29" t="s">
        <v>2680</v>
      </c>
      <c r="AA261" s="11"/>
      <c r="AB261" s="11"/>
      <c r="AC261" s="11"/>
      <c r="AD261" s="14"/>
    </row>
    <row r="262" ht="15.75" customHeight="1">
      <c r="A262" s="42">
        <v>400032.0</v>
      </c>
      <c r="B262" s="4" t="s">
        <v>2683</v>
      </c>
      <c r="C262" s="42">
        <v>2.0</v>
      </c>
      <c r="D262" s="42"/>
      <c r="E262" s="42"/>
      <c r="F262" s="42">
        <v>2.0</v>
      </c>
      <c r="G262" s="42"/>
      <c r="H262" s="42">
        <v>1.8</v>
      </c>
      <c r="I262" s="42"/>
      <c r="J262" s="42"/>
      <c r="K262" s="42"/>
      <c r="L262" s="42"/>
      <c r="M262" s="8" t="s">
        <v>578</v>
      </c>
      <c r="N262" s="53">
        <v>48.0</v>
      </c>
      <c r="O262" s="8"/>
      <c r="P262" s="54"/>
      <c r="Q262" s="54"/>
      <c r="R262" s="54">
        <v>4003.0</v>
      </c>
      <c r="S262" s="8"/>
      <c r="T262" s="8"/>
      <c r="U262" s="8"/>
      <c r="V262" s="42"/>
      <c r="W262" s="60"/>
      <c r="X262" s="8" t="s">
        <v>580</v>
      </c>
      <c r="Y262" s="8"/>
      <c r="Z262" s="29" t="s">
        <v>2687</v>
      </c>
      <c r="AA262" s="11"/>
      <c r="AB262" s="11"/>
      <c r="AC262" s="11"/>
      <c r="AD262" s="14"/>
    </row>
    <row r="263" ht="15.75" customHeight="1">
      <c r="A263" s="42">
        <v>400033.0</v>
      </c>
      <c r="B263" s="4" t="s">
        <v>2690</v>
      </c>
      <c r="C263" s="42">
        <v>1.0</v>
      </c>
      <c r="D263" s="42"/>
      <c r="E263" s="42"/>
      <c r="F263" s="42">
        <v>2.0</v>
      </c>
      <c r="G263" s="42">
        <v>2.0</v>
      </c>
      <c r="H263" s="42"/>
      <c r="I263" s="42"/>
      <c r="J263" s="42"/>
      <c r="K263" s="42"/>
      <c r="L263" s="42"/>
      <c r="M263" s="8" t="s">
        <v>544</v>
      </c>
      <c r="N263" s="53">
        <v>30.0</v>
      </c>
      <c r="O263" s="8"/>
      <c r="P263" s="54"/>
      <c r="Q263" s="54"/>
      <c r="R263" s="54">
        <v>4002.0</v>
      </c>
      <c r="S263" s="8"/>
      <c r="T263" s="8"/>
      <c r="U263" s="8"/>
      <c r="V263" s="42"/>
      <c r="W263" s="60"/>
      <c r="X263" s="8" t="s">
        <v>580</v>
      </c>
      <c r="Y263" s="8"/>
      <c r="Z263" s="29" t="s">
        <v>2693</v>
      </c>
      <c r="AA263" s="11"/>
      <c r="AB263" s="11"/>
      <c r="AC263" s="11"/>
      <c r="AD263" s="14"/>
    </row>
    <row r="264" ht="15.75" customHeight="1">
      <c r="A264" s="42">
        <v>400034.0</v>
      </c>
      <c r="B264" s="4" t="s">
        <v>2694</v>
      </c>
      <c r="C264" s="42">
        <v>1.0</v>
      </c>
      <c r="D264" s="42"/>
      <c r="E264" s="42"/>
      <c r="F264" s="42">
        <v>1.0</v>
      </c>
      <c r="G264" s="42">
        <v>4.2</v>
      </c>
      <c r="H264" s="42"/>
      <c r="I264" s="42"/>
      <c r="J264" s="42"/>
      <c r="K264" s="42"/>
      <c r="L264" s="42"/>
      <c r="M264" s="8" t="s">
        <v>544</v>
      </c>
      <c r="N264" s="53">
        <v>35.0</v>
      </c>
      <c r="O264" s="8"/>
      <c r="P264" s="54"/>
      <c r="Q264" s="54"/>
      <c r="R264" s="54"/>
      <c r="S264" s="8"/>
      <c r="T264" s="8"/>
      <c r="U264" s="8"/>
      <c r="V264" s="42"/>
      <c r="W264" s="60"/>
      <c r="X264" s="8" t="s">
        <v>580</v>
      </c>
      <c r="Y264" s="8"/>
      <c r="Z264" s="29" t="s">
        <v>2699</v>
      </c>
      <c r="AA264" s="11"/>
      <c r="AB264" s="11"/>
      <c r="AC264" s="11"/>
      <c r="AD264" s="14"/>
    </row>
    <row r="265" ht="15.75" customHeight="1">
      <c r="A265" s="42">
        <v>400035.0</v>
      </c>
      <c r="B265" s="4" t="s">
        <v>2702</v>
      </c>
      <c r="C265" s="42">
        <v>4.0</v>
      </c>
      <c r="D265" s="42"/>
      <c r="E265" s="42"/>
      <c r="F265" s="42">
        <v>1.0</v>
      </c>
      <c r="G265" s="42"/>
      <c r="H265" s="42">
        <v>1.6</v>
      </c>
      <c r="I265" s="42"/>
      <c r="J265" s="42"/>
      <c r="K265" s="42"/>
      <c r="L265" s="42"/>
      <c r="M265" s="8" t="s">
        <v>578</v>
      </c>
      <c r="N265" s="53">
        <v>45.0</v>
      </c>
      <c r="O265" s="8"/>
      <c r="P265" s="54"/>
      <c r="Q265" s="54"/>
      <c r="R265" s="54">
        <v>4004.0</v>
      </c>
      <c r="S265" s="8"/>
      <c r="T265" s="8"/>
      <c r="U265" s="8"/>
      <c r="V265" s="42"/>
      <c r="W265" s="60"/>
      <c r="X265" s="8" t="s">
        <v>580</v>
      </c>
      <c r="Y265" s="8"/>
      <c r="Z265" s="29" t="s">
        <v>2705</v>
      </c>
      <c r="AA265" s="11"/>
      <c r="AB265" s="11"/>
      <c r="AC265" s="11"/>
      <c r="AD265" s="14"/>
    </row>
    <row r="266" ht="15.75" customHeight="1">
      <c r="A266" s="42">
        <v>400036.0</v>
      </c>
      <c r="B266" s="4" t="s">
        <v>2708</v>
      </c>
      <c r="C266" s="42">
        <v>1.0</v>
      </c>
      <c r="D266" s="42"/>
      <c r="E266" s="42"/>
      <c r="F266" s="42">
        <v>1.0</v>
      </c>
      <c r="G266" s="42">
        <v>4.5</v>
      </c>
      <c r="H266" s="42"/>
      <c r="I266" s="42"/>
      <c r="J266" s="42"/>
      <c r="K266" s="42"/>
      <c r="L266" s="42"/>
      <c r="M266" s="8" t="s">
        <v>544</v>
      </c>
      <c r="N266" s="53">
        <v>40.0</v>
      </c>
      <c r="O266" s="8"/>
      <c r="P266" s="54"/>
      <c r="Q266" s="54"/>
      <c r="R266" s="54"/>
      <c r="S266" s="8"/>
      <c r="T266" s="8"/>
      <c r="U266" s="8"/>
      <c r="V266" s="42"/>
      <c r="W266" s="60"/>
      <c r="X266" s="8" t="s">
        <v>580</v>
      </c>
      <c r="Y266" s="8"/>
      <c r="Z266" s="29" t="s">
        <v>2712</v>
      </c>
      <c r="AA266" s="11"/>
      <c r="AB266" s="11"/>
      <c r="AC266" s="11"/>
      <c r="AD266" s="14"/>
    </row>
    <row r="267" ht="15.75" customHeight="1">
      <c r="A267" s="42">
        <v>400037.0</v>
      </c>
      <c r="B267" s="4" t="s">
        <v>2716</v>
      </c>
      <c r="C267" s="42">
        <v>3.0</v>
      </c>
      <c r="D267" s="42"/>
      <c r="E267" s="42"/>
      <c r="F267" s="42">
        <v>1.0</v>
      </c>
      <c r="G267" s="42"/>
      <c r="H267" s="42">
        <v>2.5</v>
      </c>
      <c r="I267" s="42"/>
      <c r="J267" s="42"/>
      <c r="K267" s="42"/>
      <c r="L267" s="42"/>
      <c r="M267" s="8" t="s">
        <v>578</v>
      </c>
      <c r="N267" s="53">
        <v>50.0</v>
      </c>
      <c r="O267" s="8"/>
      <c r="P267" s="54"/>
      <c r="Q267" s="54"/>
      <c r="R267" s="54">
        <v>4001.0</v>
      </c>
      <c r="S267" s="8"/>
      <c r="T267" s="8"/>
      <c r="U267" s="8"/>
      <c r="V267" s="42"/>
      <c r="W267" s="60"/>
      <c r="X267" s="8" t="s">
        <v>580</v>
      </c>
      <c r="Y267" s="8"/>
      <c r="Z267" s="29" t="s">
        <v>2718</v>
      </c>
      <c r="AA267" s="11"/>
      <c r="AB267" s="11"/>
      <c r="AC267" s="11"/>
      <c r="AD267" s="14"/>
    </row>
    <row r="268" ht="15.75" customHeight="1">
      <c r="A268" s="42">
        <v>400038.0</v>
      </c>
      <c r="B268" s="4" t="s">
        <v>2720</v>
      </c>
      <c r="C268" s="42">
        <v>2.0</v>
      </c>
      <c r="D268" s="42"/>
      <c r="E268" s="42"/>
      <c r="F268" s="42">
        <v>1.0</v>
      </c>
      <c r="G268" s="42"/>
      <c r="H268" s="42">
        <v>2.4</v>
      </c>
      <c r="I268" s="42"/>
      <c r="J268" s="42"/>
      <c r="K268" s="42"/>
      <c r="L268" s="42"/>
      <c r="M268" s="8" t="s">
        <v>578</v>
      </c>
      <c r="N268" s="53">
        <v>36.0</v>
      </c>
      <c r="O268" s="8"/>
      <c r="P268" s="54"/>
      <c r="Q268" s="54"/>
      <c r="R268" s="54">
        <v>5001.0</v>
      </c>
      <c r="S268" s="8"/>
      <c r="T268" s="8"/>
      <c r="U268" s="8"/>
      <c r="V268" s="42"/>
      <c r="W268" s="60"/>
      <c r="X268" s="8" t="s">
        <v>580</v>
      </c>
      <c r="Y268" s="8"/>
      <c r="Z268" s="29" t="s">
        <v>2723</v>
      </c>
      <c r="AA268" s="11"/>
      <c r="AB268" s="11"/>
      <c r="AC268" s="11"/>
      <c r="AD268" s="14"/>
    </row>
    <row r="269" ht="15.75" customHeight="1">
      <c r="A269" s="42">
        <v>400040.0</v>
      </c>
      <c r="B269" s="4" t="s">
        <v>2726</v>
      </c>
      <c r="C269" s="42">
        <v>2.0</v>
      </c>
      <c r="D269" s="42"/>
      <c r="E269" s="42"/>
      <c r="F269" s="42">
        <v>1.0</v>
      </c>
      <c r="G269" s="42"/>
      <c r="H269" s="42">
        <v>2.6</v>
      </c>
      <c r="I269" s="42"/>
      <c r="J269" s="42"/>
      <c r="K269" s="42"/>
      <c r="L269" s="42"/>
      <c r="M269" s="8" t="s">
        <v>578</v>
      </c>
      <c r="N269" s="53">
        <v>38.0</v>
      </c>
      <c r="O269" s="8"/>
      <c r="P269" s="54"/>
      <c r="Q269" s="54"/>
      <c r="R269" s="54"/>
      <c r="S269" s="8"/>
      <c r="T269" s="8"/>
      <c r="U269" s="8"/>
      <c r="V269" s="42"/>
      <c r="W269" s="60"/>
      <c r="X269" s="8" t="s">
        <v>580</v>
      </c>
      <c r="Y269" s="8"/>
      <c r="Z269" s="29" t="s">
        <v>2730</v>
      </c>
      <c r="AA269" s="11"/>
      <c r="AB269" s="11"/>
      <c r="AC269" s="11"/>
      <c r="AD269" s="14"/>
    </row>
    <row r="270" ht="14.25" customHeight="1"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N270" s="48"/>
      <c r="P270" s="49"/>
      <c r="Q270" s="49"/>
      <c r="R270" s="49"/>
      <c r="V270" s="47"/>
    </row>
    <row r="271" ht="14.25" customHeight="1">
      <c r="A271" s="3" t="s">
        <v>484</v>
      </c>
      <c r="B271" s="144" t="s">
        <v>487</v>
      </c>
      <c r="C271" s="50" t="s">
        <v>489</v>
      </c>
      <c r="D271" s="50" t="s">
        <v>490</v>
      </c>
      <c r="E271" s="50" t="s">
        <v>491</v>
      </c>
      <c r="F271" s="50" t="s">
        <v>492</v>
      </c>
      <c r="G271" s="40" t="s">
        <v>496</v>
      </c>
      <c r="H271" s="40" t="s">
        <v>499</v>
      </c>
      <c r="I271" s="40" t="s">
        <v>295</v>
      </c>
      <c r="J271" s="40" t="s">
        <v>503</v>
      </c>
      <c r="K271" s="40" t="s">
        <v>505</v>
      </c>
      <c r="L271" s="40" t="s">
        <v>506</v>
      </c>
      <c r="M271" s="3" t="s">
        <v>507</v>
      </c>
      <c r="N271" s="51" t="s">
        <v>509</v>
      </c>
      <c r="O271" s="3" t="s">
        <v>513</v>
      </c>
      <c r="P271" s="52" t="s">
        <v>514</v>
      </c>
      <c r="Q271" s="52" t="s">
        <v>1010</v>
      </c>
      <c r="R271" s="52" t="s">
        <v>516</v>
      </c>
      <c r="S271" s="52" t="s">
        <v>517</v>
      </c>
      <c r="T271" s="3" t="s">
        <v>518</v>
      </c>
      <c r="U271" s="52" t="s">
        <v>519</v>
      </c>
      <c r="V271" s="42" t="s">
        <v>520</v>
      </c>
      <c r="W271" s="3" t="s">
        <v>522</v>
      </c>
      <c r="X271" s="3" t="s">
        <v>523</v>
      </c>
      <c r="Y271" s="3" t="s">
        <v>525</v>
      </c>
      <c r="Z271" s="10" t="s">
        <v>526</v>
      </c>
      <c r="AA271" s="11"/>
      <c r="AB271" s="11"/>
      <c r="AC271" s="11"/>
      <c r="AD271" s="14"/>
    </row>
    <row r="272" ht="14.25" customHeight="1">
      <c r="A272" s="42">
        <v>410001.0</v>
      </c>
      <c r="B272" s="82" t="s">
        <v>2743</v>
      </c>
      <c r="C272" s="42">
        <v>-2.0</v>
      </c>
      <c r="D272" s="42"/>
      <c r="E272" s="42"/>
      <c r="F272" s="42">
        <v>1.0</v>
      </c>
      <c r="G272" s="8"/>
      <c r="H272" s="8"/>
      <c r="I272" s="42"/>
      <c r="J272" s="42"/>
      <c r="K272" s="42">
        <v>3.0</v>
      </c>
      <c r="L272" s="42"/>
      <c r="M272" s="8"/>
      <c r="N272" s="53">
        <v>22.0</v>
      </c>
      <c r="O272" s="8"/>
      <c r="P272" s="54"/>
      <c r="Q272" s="54"/>
      <c r="R272" s="54" t="str">
        <f>"1002,1004"</f>
        <v>1002,1004</v>
      </c>
      <c r="S272" s="8"/>
      <c r="T272" s="8"/>
      <c r="U272" s="8"/>
      <c r="V272" s="42"/>
      <c r="W272" s="8"/>
      <c r="X272" s="8" t="s">
        <v>647</v>
      </c>
      <c r="Y272" s="8"/>
      <c r="Z272" s="29" t="s">
        <v>2755</v>
      </c>
      <c r="AA272" s="11"/>
      <c r="AB272" s="11"/>
      <c r="AC272" s="11"/>
      <c r="AD272" s="14"/>
    </row>
    <row r="273" ht="14.25" customHeight="1">
      <c r="A273" s="42">
        <v>410002.0</v>
      </c>
      <c r="B273" s="82" t="s">
        <v>2756</v>
      </c>
      <c r="C273" s="42">
        <v>1.0</v>
      </c>
      <c r="D273" s="42"/>
      <c r="E273" s="42"/>
      <c r="F273" s="42">
        <v>1.0</v>
      </c>
      <c r="G273" s="8">
        <v>3.8</v>
      </c>
      <c r="H273" s="8"/>
      <c r="I273" s="42"/>
      <c r="J273" s="42"/>
      <c r="K273" s="42">
        <v>5.0</v>
      </c>
      <c r="L273" s="42"/>
      <c r="M273" s="8" t="s">
        <v>544</v>
      </c>
      <c r="N273" s="53">
        <v>18.0</v>
      </c>
      <c r="O273" s="8"/>
      <c r="P273" s="54">
        <v>3003.0</v>
      </c>
      <c r="Q273" s="54"/>
      <c r="R273" s="54"/>
      <c r="S273" s="8"/>
      <c r="T273" s="8"/>
      <c r="U273" s="8"/>
      <c r="V273" s="42"/>
      <c r="W273" s="8"/>
      <c r="X273" s="8" t="s">
        <v>546</v>
      </c>
      <c r="Y273" s="8"/>
      <c r="Z273" s="29" t="s">
        <v>2762</v>
      </c>
      <c r="AA273" s="11"/>
      <c r="AB273" s="11"/>
      <c r="AC273" s="11"/>
      <c r="AD273" s="14"/>
    </row>
    <row r="274" ht="14.25" customHeight="1">
      <c r="A274" s="42">
        <v>410003.0</v>
      </c>
      <c r="B274" s="82" t="s">
        <v>2766</v>
      </c>
      <c r="C274" s="42">
        <v>-2.0</v>
      </c>
      <c r="D274" s="42"/>
      <c r="E274" s="42"/>
      <c r="F274" s="42">
        <v>1.0</v>
      </c>
      <c r="G274" s="8"/>
      <c r="H274" s="8"/>
      <c r="I274" s="42"/>
      <c r="J274" s="42"/>
      <c r="K274" s="42">
        <v>3.0</v>
      </c>
      <c r="L274" s="42"/>
      <c r="M274" s="8"/>
      <c r="N274" s="53">
        <v>18.0</v>
      </c>
      <c r="O274" s="8"/>
      <c r="P274" s="8"/>
      <c r="Q274" s="54"/>
      <c r="R274" s="54">
        <v>1996.0</v>
      </c>
      <c r="S274" s="8"/>
      <c r="T274" s="8"/>
      <c r="U274" s="8"/>
      <c r="V274" s="42"/>
      <c r="W274" s="8"/>
      <c r="X274" s="8" t="s">
        <v>647</v>
      </c>
      <c r="Y274" s="8"/>
      <c r="Z274" s="29" t="s">
        <v>2778</v>
      </c>
      <c r="AA274" s="11"/>
      <c r="AB274" s="11"/>
      <c r="AC274" s="11"/>
      <c r="AD274" s="14"/>
    </row>
    <row r="275" ht="14.25" customHeight="1">
      <c r="A275" s="42">
        <v>410004.0</v>
      </c>
      <c r="B275" s="82" t="s">
        <v>2782</v>
      </c>
      <c r="C275" s="42">
        <v>2.0</v>
      </c>
      <c r="E275" s="42"/>
      <c r="F275" s="42">
        <v>1.0</v>
      </c>
      <c r="G275" s="8">
        <v>2.1</v>
      </c>
      <c r="H275" s="8"/>
      <c r="I275" s="42"/>
      <c r="J275" s="42"/>
      <c r="K275" s="42">
        <v>3.0</v>
      </c>
      <c r="L275" s="42"/>
      <c r="M275" s="8" t="s">
        <v>544</v>
      </c>
      <c r="N275" s="145">
        <v>22.0</v>
      </c>
      <c r="O275" s="8"/>
      <c r="P275" s="54">
        <v>3003.0</v>
      </c>
      <c r="Q275" s="54"/>
      <c r="R275" s="54"/>
      <c r="S275" s="8"/>
      <c r="T275" s="8"/>
      <c r="U275" s="8"/>
      <c r="V275" s="42"/>
      <c r="W275" s="8"/>
      <c r="X275" s="8" t="s">
        <v>546</v>
      </c>
      <c r="Y275" s="8"/>
      <c r="Z275" s="29" t="s">
        <v>2789</v>
      </c>
      <c r="AA275" s="11"/>
      <c r="AB275" s="11"/>
      <c r="AC275" s="11"/>
      <c r="AD275" s="14"/>
    </row>
    <row r="276" ht="14.25" customHeight="1">
      <c r="A276" s="42">
        <v>410005.0</v>
      </c>
      <c r="B276" s="82" t="s">
        <v>2794</v>
      </c>
      <c r="C276" s="42">
        <v>-2.0</v>
      </c>
      <c r="D276" s="42"/>
      <c r="E276" s="42"/>
      <c r="F276" s="42">
        <v>1.0</v>
      </c>
      <c r="G276" s="8"/>
      <c r="H276" s="8">
        <v>2.0</v>
      </c>
      <c r="I276" s="42"/>
      <c r="J276" s="42"/>
      <c r="K276" s="42">
        <v>4.0</v>
      </c>
      <c r="L276" s="42"/>
      <c r="M276" s="8" t="s">
        <v>630</v>
      </c>
      <c r="N276" s="145">
        <v>33.0</v>
      </c>
      <c r="O276" s="8"/>
      <c r="P276" s="54"/>
      <c r="Q276" s="54"/>
      <c r="R276" s="54"/>
      <c r="S276" s="8"/>
      <c r="T276" s="8"/>
      <c r="U276" s="8"/>
      <c r="V276" s="42"/>
      <c r="W276" s="8"/>
      <c r="X276" s="8" t="s">
        <v>630</v>
      </c>
      <c r="Y276" s="8"/>
      <c r="Z276" s="29" t="s">
        <v>2801</v>
      </c>
      <c r="AA276" s="11"/>
      <c r="AB276" s="11"/>
      <c r="AC276" s="11"/>
      <c r="AD276" s="14"/>
    </row>
    <row r="277" ht="14.25" customHeight="1">
      <c r="A277" s="42">
        <v>410006.0</v>
      </c>
      <c r="B277" s="82" t="s">
        <v>2805</v>
      </c>
      <c r="C277" s="42">
        <v>1.0</v>
      </c>
      <c r="D277" s="42"/>
      <c r="E277" s="42"/>
      <c r="F277" s="42">
        <v>1.0</v>
      </c>
      <c r="G277" s="8">
        <v>3.5</v>
      </c>
      <c r="H277" s="8"/>
      <c r="I277" s="42"/>
      <c r="J277" s="42"/>
      <c r="K277" s="42">
        <v>2.0</v>
      </c>
      <c r="L277" s="42"/>
      <c r="M277" s="8" t="s">
        <v>544</v>
      </c>
      <c r="N277" s="145">
        <v>25.0</v>
      </c>
      <c r="O277" s="8"/>
      <c r="P277" s="54"/>
      <c r="Q277" s="54"/>
      <c r="R277" s="54">
        <v>5001.0</v>
      </c>
      <c r="S277" s="8"/>
      <c r="T277" s="8"/>
      <c r="U277" s="8"/>
      <c r="V277" s="42"/>
      <c r="W277" s="8"/>
      <c r="X277" s="8" t="s">
        <v>696</v>
      </c>
      <c r="Y277" s="8"/>
      <c r="Z277" s="29" t="s">
        <v>2809</v>
      </c>
      <c r="AA277" s="11"/>
      <c r="AB277" s="11"/>
      <c r="AC277" s="11"/>
      <c r="AD277" s="14"/>
    </row>
    <row r="278" ht="14.25" customHeight="1">
      <c r="A278" s="42">
        <v>410007.0</v>
      </c>
      <c r="B278" s="82" t="s">
        <v>2812</v>
      </c>
      <c r="C278" s="42">
        <v>-2.0</v>
      </c>
      <c r="D278" s="42"/>
      <c r="E278" s="42"/>
      <c r="F278" s="42">
        <v>1.0</v>
      </c>
      <c r="G278" s="8"/>
      <c r="H278" s="8"/>
      <c r="I278" s="42"/>
      <c r="J278" s="42"/>
      <c r="K278" s="42">
        <v>6.0</v>
      </c>
      <c r="L278" s="42"/>
      <c r="M278" s="8"/>
      <c r="N278" s="145">
        <v>20.0</v>
      </c>
      <c r="O278" s="8"/>
      <c r="P278" s="54"/>
      <c r="Q278" s="54"/>
      <c r="R278" s="54">
        <v>1998.0</v>
      </c>
      <c r="S278" s="8"/>
      <c r="T278" s="8"/>
      <c r="U278" s="8"/>
      <c r="V278" s="42"/>
      <c r="W278" s="8"/>
      <c r="X278" s="8" t="s">
        <v>835</v>
      </c>
      <c r="Y278" s="8"/>
      <c r="Z278" s="29" t="s">
        <v>2815</v>
      </c>
      <c r="AA278" s="11"/>
      <c r="AB278" s="11"/>
      <c r="AC278" s="11"/>
      <c r="AD278" s="14"/>
    </row>
    <row r="279" ht="14.25" customHeight="1">
      <c r="A279" s="42">
        <v>410008.0</v>
      </c>
      <c r="B279" s="82" t="s">
        <v>2818</v>
      </c>
      <c r="C279" s="42">
        <v>-1.0</v>
      </c>
      <c r="D279" s="42"/>
      <c r="E279" s="42">
        <v>1.0</v>
      </c>
      <c r="F279" s="42">
        <v>1.0</v>
      </c>
      <c r="G279" s="8"/>
      <c r="H279" s="8"/>
      <c r="I279" s="42"/>
      <c r="J279" s="42"/>
      <c r="K279" s="42">
        <v>2.0</v>
      </c>
      <c r="L279" s="42"/>
      <c r="M279" s="8" t="s">
        <v>544</v>
      </c>
      <c r="N279" s="145">
        <v>18.0</v>
      </c>
      <c r="O279" s="8"/>
      <c r="P279" s="54" t="str">
        <f>"1005,1006"</f>
        <v>1005,1006</v>
      </c>
      <c r="Q279" s="54"/>
      <c r="R279" s="54"/>
      <c r="S279" s="8"/>
      <c r="T279" s="8"/>
      <c r="U279" s="8"/>
      <c r="V279" s="42"/>
      <c r="W279" s="8"/>
      <c r="X279" s="8" t="s">
        <v>647</v>
      </c>
      <c r="Y279" s="8"/>
      <c r="Z279" s="29" t="s">
        <v>2822</v>
      </c>
      <c r="AA279" s="11"/>
      <c r="AB279" s="11"/>
      <c r="AC279" s="11"/>
      <c r="AD279" s="14"/>
    </row>
    <row r="280" ht="15.75" customHeight="1">
      <c r="A280" s="42">
        <v>410009.0</v>
      </c>
      <c r="B280" s="82" t="s">
        <v>2824</v>
      </c>
      <c r="C280" s="42">
        <v>3.0</v>
      </c>
      <c r="D280" s="42"/>
      <c r="E280" s="42"/>
      <c r="F280" s="42">
        <v>1.0</v>
      </c>
      <c r="G280" s="8">
        <v>1.1</v>
      </c>
      <c r="H280" s="8"/>
      <c r="I280" s="42"/>
      <c r="J280" s="42"/>
      <c r="K280" s="42">
        <v>3.0</v>
      </c>
      <c r="L280" s="42"/>
      <c r="M280" s="8" t="s">
        <v>578</v>
      </c>
      <c r="N280" s="145">
        <v>40.0</v>
      </c>
      <c r="O280" s="8"/>
      <c r="P280" s="54"/>
      <c r="Q280" s="8"/>
      <c r="R280" s="54">
        <v>4001.0</v>
      </c>
      <c r="S280" s="54">
        <v>0.5</v>
      </c>
      <c r="T280" s="8"/>
      <c r="U280" s="8"/>
      <c r="V280" s="42"/>
      <c r="W280" s="60" t="s">
        <v>614</v>
      </c>
      <c r="X280" s="8" t="s">
        <v>615</v>
      </c>
      <c r="Y280" s="8"/>
      <c r="Z280" s="29" t="s">
        <v>2828</v>
      </c>
      <c r="AA280" s="11"/>
      <c r="AB280" s="11"/>
      <c r="AC280" s="11"/>
      <c r="AD280" s="14"/>
    </row>
    <row r="281" ht="14.25" customHeight="1">
      <c r="A281" s="42">
        <v>410010.0</v>
      </c>
      <c r="B281" s="82" t="s">
        <v>2831</v>
      </c>
      <c r="C281" s="42">
        <v>-3.0</v>
      </c>
      <c r="D281" s="42"/>
      <c r="E281" s="42"/>
      <c r="F281" s="42">
        <v>1.0</v>
      </c>
      <c r="G281" s="8"/>
      <c r="H281" s="8">
        <v>1.5</v>
      </c>
      <c r="I281" s="42"/>
      <c r="J281" s="42"/>
      <c r="K281" s="42">
        <v>3.0</v>
      </c>
      <c r="L281" s="42"/>
      <c r="M281" s="8" t="s">
        <v>630</v>
      </c>
      <c r="N281" s="145">
        <v>53.0</v>
      </c>
      <c r="O281" s="8"/>
      <c r="P281" s="54"/>
      <c r="Q281" s="54"/>
      <c r="R281" s="54"/>
      <c r="S281" s="8"/>
      <c r="T281" s="8"/>
      <c r="U281" s="8"/>
      <c r="V281" s="42"/>
      <c r="W281" s="8"/>
      <c r="X281" s="8" t="s">
        <v>630</v>
      </c>
      <c r="Y281" s="8"/>
      <c r="Z281" s="29" t="s">
        <v>2835</v>
      </c>
      <c r="AA281" s="11"/>
      <c r="AB281" s="11"/>
      <c r="AC281" s="11"/>
      <c r="AD281" s="14"/>
    </row>
    <row r="282" ht="14.25" customHeight="1">
      <c r="A282" s="42">
        <v>410011.0</v>
      </c>
      <c r="B282" s="82" t="s">
        <v>2837</v>
      </c>
      <c r="C282" s="42">
        <v>-2.0</v>
      </c>
      <c r="D282" s="42"/>
      <c r="E282" s="42"/>
      <c r="F282" s="42">
        <v>1.0</v>
      </c>
      <c r="G282" s="8">
        <v>2.2</v>
      </c>
      <c r="H282" s="8"/>
      <c r="I282" s="42"/>
      <c r="J282" s="42"/>
      <c r="K282" s="42">
        <v>3.0</v>
      </c>
      <c r="L282" s="42"/>
      <c r="M282" s="8" t="s">
        <v>630</v>
      </c>
      <c r="N282" s="145">
        <v>55.0</v>
      </c>
      <c r="O282" s="8"/>
      <c r="P282" s="54"/>
      <c r="Q282" s="54"/>
      <c r="R282" s="54"/>
      <c r="S282" s="8"/>
      <c r="T282" s="8"/>
      <c r="U282" s="8"/>
      <c r="V282" s="42"/>
      <c r="W282" s="8"/>
      <c r="X282" s="8" t="s">
        <v>630</v>
      </c>
      <c r="Y282" s="8"/>
      <c r="Z282" s="29" t="s">
        <v>2801</v>
      </c>
      <c r="AA282" s="11"/>
      <c r="AB282" s="11"/>
      <c r="AC282" s="11"/>
      <c r="AD282" s="14"/>
    </row>
    <row r="283" ht="14.25" customHeight="1">
      <c r="A283" s="42">
        <v>410012.0</v>
      </c>
      <c r="B283" s="82" t="s">
        <v>2843</v>
      </c>
      <c r="C283" s="42">
        <v>-5.0</v>
      </c>
      <c r="D283" s="42"/>
      <c r="E283" s="42"/>
      <c r="F283" s="42">
        <v>1.0</v>
      </c>
      <c r="G283" s="8">
        <v>0.9</v>
      </c>
      <c r="H283" s="8"/>
      <c r="I283" s="42"/>
      <c r="J283" s="42"/>
      <c r="K283" s="42">
        <v>4.0</v>
      </c>
      <c r="L283" s="42"/>
      <c r="M283" s="8" t="s">
        <v>656</v>
      </c>
      <c r="N283" s="145">
        <v>42.0</v>
      </c>
      <c r="O283" s="8"/>
      <c r="P283" s="54"/>
      <c r="Q283" s="54"/>
      <c r="R283" s="54" t="str">
        <f>"1999,1997"</f>
        <v>1999,1997</v>
      </c>
      <c r="S283" s="8"/>
      <c r="T283" s="8"/>
      <c r="U283" s="8"/>
      <c r="V283" s="42"/>
      <c r="W283" s="8"/>
      <c r="X283" s="8" t="s">
        <v>859</v>
      </c>
      <c r="Y283" s="8"/>
      <c r="Z283" s="29" t="s">
        <v>2848</v>
      </c>
      <c r="AA283" s="11"/>
      <c r="AB283" s="11"/>
      <c r="AC283" s="11"/>
      <c r="AD283" s="14"/>
    </row>
    <row r="284" ht="14.25" customHeight="1">
      <c r="A284" s="42">
        <v>410013.0</v>
      </c>
      <c r="B284" s="82" t="s">
        <v>2851</v>
      </c>
      <c r="C284" s="42">
        <v>1.0</v>
      </c>
      <c r="D284" s="42">
        <v>1.0</v>
      </c>
      <c r="E284" s="42"/>
      <c r="F284" s="42">
        <v>3.0</v>
      </c>
      <c r="G284" s="42">
        <v>2.5</v>
      </c>
      <c r="H284" s="42"/>
      <c r="I284" s="42"/>
      <c r="J284" s="42"/>
      <c r="K284" s="42">
        <v>3.0</v>
      </c>
      <c r="L284" s="42"/>
      <c r="M284" s="8" t="s">
        <v>544</v>
      </c>
      <c r="N284" s="145">
        <v>35.0</v>
      </c>
      <c r="O284" s="8"/>
      <c r="P284" s="54"/>
      <c r="Q284" s="54"/>
      <c r="R284" s="54"/>
      <c r="S284" s="8"/>
      <c r="T284" s="8"/>
      <c r="U284" s="8"/>
      <c r="V284" s="42"/>
      <c r="W284" s="8"/>
      <c r="X284" s="8" t="s">
        <v>546</v>
      </c>
      <c r="Y284" s="8"/>
      <c r="Z284" s="29" t="s">
        <v>2854</v>
      </c>
      <c r="AA284" s="11"/>
      <c r="AB284" s="11"/>
      <c r="AC284" s="11"/>
      <c r="AD284" s="14"/>
    </row>
    <row r="285" ht="15.75" customHeight="1">
      <c r="A285" s="42">
        <v>410014.0</v>
      </c>
      <c r="B285" s="82" t="s">
        <v>2857</v>
      </c>
      <c r="C285" s="42">
        <v>5.0</v>
      </c>
      <c r="D285" s="54"/>
      <c r="E285" s="54"/>
      <c r="F285" s="54">
        <v>1.0</v>
      </c>
      <c r="G285" s="54"/>
      <c r="H285" s="54">
        <v>2.0</v>
      </c>
      <c r="I285" s="54"/>
      <c r="J285" s="54"/>
      <c r="K285" s="42">
        <v>4.0</v>
      </c>
      <c r="L285" s="54"/>
      <c r="M285" s="54" t="s">
        <v>578</v>
      </c>
      <c r="N285" s="145">
        <v>55.0</v>
      </c>
      <c r="O285" s="54"/>
      <c r="P285" s="54"/>
      <c r="Q285" s="54"/>
      <c r="R285" s="54" t="str">
        <f>"2002,2004"</f>
        <v>2002,2004</v>
      </c>
      <c r="S285" s="54"/>
      <c r="T285" s="54"/>
      <c r="U285" s="54"/>
      <c r="V285" s="54"/>
      <c r="W285" s="54"/>
      <c r="X285" s="60" t="s">
        <v>580</v>
      </c>
      <c r="Y285" s="54"/>
      <c r="Z285" s="146" t="s">
        <v>2860</v>
      </c>
      <c r="AA285" s="11"/>
      <c r="AB285" s="11"/>
      <c r="AC285" s="11"/>
      <c r="AD285" s="14"/>
    </row>
    <row r="286" ht="15.75" customHeight="1">
      <c r="A286" s="42">
        <v>410015.0</v>
      </c>
      <c r="B286" s="82" t="s">
        <v>2863</v>
      </c>
      <c r="C286" s="42">
        <v>1.0</v>
      </c>
      <c r="D286" s="54">
        <v>1.0</v>
      </c>
      <c r="E286" s="54"/>
      <c r="F286" s="54">
        <v>5.0</v>
      </c>
      <c r="G286" s="54"/>
      <c r="H286" s="54">
        <v>1.8</v>
      </c>
      <c r="I286" s="54"/>
      <c r="J286" s="54"/>
      <c r="K286" s="42">
        <v>5.0</v>
      </c>
      <c r="L286" s="54"/>
      <c r="M286" s="54" t="s">
        <v>578</v>
      </c>
      <c r="N286" s="145">
        <v>60.0</v>
      </c>
      <c r="O286" s="54"/>
      <c r="P286" s="54"/>
      <c r="Q286" s="54"/>
      <c r="R286" s="54">
        <v>4001.0</v>
      </c>
      <c r="S286" s="54"/>
      <c r="T286" s="54"/>
      <c r="U286" s="54"/>
      <c r="V286" s="54"/>
      <c r="W286" s="65" t="s">
        <v>614</v>
      </c>
      <c r="X286" s="54" t="s">
        <v>615</v>
      </c>
      <c r="Y286" s="54"/>
      <c r="Z286" s="29" t="s">
        <v>2866</v>
      </c>
      <c r="AA286" s="11"/>
      <c r="AB286" s="11"/>
      <c r="AC286" s="11"/>
      <c r="AD286" s="14"/>
    </row>
    <row r="287" ht="15.75" customHeight="1">
      <c r="A287" s="42">
        <f t="shared" ref="A287:A302" si="53">A286+1</f>
        <v>410016</v>
      </c>
      <c r="B287" s="82" t="s">
        <v>2871</v>
      </c>
      <c r="C287" s="42">
        <v>-1.0</v>
      </c>
      <c r="D287" s="54"/>
      <c r="E287" s="54"/>
      <c r="F287" s="54">
        <v>1.0</v>
      </c>
      <c r="G287" s="54"/>
      <c r="H287" s="54">
        <v>1.5</v>
      </c>
      <c r="I287" s="54"/>
      <c r="J287" s="54"/>
      <c r="K287" s="42">
        <v>3.0</v>
      </c>
      <c r="L287" s="54"/>
      <c r="M287" s="54" t="s">
        <v>630</v>
      </c>
      <c r="N287" s="145">
        <v>25.0</v>
      </c>
      <c r="O287" s="54"/>
      <c r="P287" s="54"/>
      <c r="Q287" s="54"/>
      <c r="R287" s="54"/>
      <c r="S287" s="54"/>
      <c r="T287" s="54"/>
      <c r="U287" s="54"/>
      <c r="V287" s="54"/>
      <c r="W287" s="65"/>
      <c r="X287" s="54" t="s">
        <v>630</v>
      </c>
      <c r="Y287" s="54"/>
      <c r="Z287" s="29" t="s">
        <v>2874</v>
      </c>
      <c r="AA287" s="11"/>
      <c r="AB287" s="11"/>
      <c r="AC287" s="11"/>
      <c r="AD287" s="14"/>
    </row>
    <row r="288" ht="15.75" customHeight="1">
      <c r="A288" s="42">
        <f t="shared" si="53"/>
        <v>410017</v>
      </c>
      <c r="B288" s="82" t="s">
        <v>2877</v>
      </c>
      <c r="C288" s="42">
        <v>-1.0</v>
      </c>
      <c r="D288" s="54"/>
      <c r="E288" s="54"/>
      <c r="F288" s="54">
        <v>1.0</v>
      </c>
      <c r="G288" s="54"/>
      <c r="H288" s="54"/>
      <c r="I288" s="54"/>
      <c r="J288" s="54"/>
      <c r="K288" s="42">
        <v>4.0</v>
      </c>
      <c r="L288" s="54"/>
      <c r="M288" s="54" t="s">
        <v>544</v>
      </c>
      <c r="N288" s="145">
        <v>20.0</v>
      </c>
      <c r="O288" s="54"/>
      <c r="P288" s="54">
        <v>3001.0</v>
      </c>
      <c r="Q288" s="54"/>
      <c r="R288" s="54"/>
      <c r="S288" s="54"/>
      <c r="T288" s="54"/>
      <c r="U288" s="54"/>
      <c r="V288" s="54"/>
      <c r="W288" s="65"/>
      <c r="X288" s="54" t="s">
        <v>647</v>
      </c>
      <c r="Y288" s="54"/>
      <c r="Z288" s="29" t="s">
        <v>2880</v>
      </c>
      <c r="AA288" s="11"/>
      <c r="AB288" s="11"/>
      <c r="AC288" s="11"/>
      <c r="AD288" s="14"/>
    </row>
    <row r="289" ht="15.75" customHeight="1">
      <c r="A289" s="42">
        <f t="shared" si="53"/>
        <v>410018</v>
      </c>
      <c r="B289" s="82" t="s">
        <v>2886</v>
      </c>
      <c r="C289" s="42">
        <v>-2.0</v>
      </c>
      <c r="D289" s="54"/>
      <c r="E289" s="54"/>
      <c r="F289" s="54">
        <v>1.0</v>
      </c>
      <c r="G289" s="54"/>
      <c r="H289" s="54">
        <v>2.0</v>
      </c>
      <c r="I289" s="54"/>
      <c r="J289" s="54"/>
      <c r="K289" s="42">
        <v>4.0</v>
      </c>
      <c r="L289" s="54"/>
      <c r="M289" s="54" t="s">
        <v>630</v>
      </c>
      <c r="N289" s="145">
        <v>35.0</v>
      </c>
      <c r="O289" s="54"/>
      <c r="P289" s="54"/>
      <c r="Q289" s="54"/>
      <c r="R289" s="54"/>
      <c r="S289" s="54"/>
      <c r="T289" s="54"/>
      <c r="U289" s="54"/>
      <c r="V289" s="54"/>
      <c r="W289" s="65"/>
      <c r="X289" s="54" t="s">
        <v>630</v>
      </c>
      <c r="Y289" s="54"/>
      <c r="Z289" s="29" t="s">
        <v>2889</v>
      </c>
      <c r="AA289" s="11"/>
      <c r="AB289" s="11"/>
      <c r="AC289" s="11"/>
      <c r="AD289" s="14"/>
    </row>
    <row r="290" ht="15.75" customHeight="1">
      <c r="A290" s="42">
        <f t="shared" si="53"/>
        <v>410019</v>
      </c>
      <c r="B290" s="82" t="s">
        <v>2892</v>
      </c>
      <c r="C290" s="42">
        <v>3.0</v>
      </c>
      <c r="D290" s="54"/>
      <c r="E290" s="54"/>
      <c r="F290" s="54">
        <v>1.0</v>
      </c>
      <c r="G290" s="54"/>
      <c r="H290" s="54">
        <v>1.2</v>
      </c>
      <c r="I290" s="54"/>
      <c r="J290" s="54"/>
      <c r="K290" s="42">
        <v>3.0</v>
      </c>
      <c r="L290" s="54"/>
      <c r="M290" s="54" t="s">
        <v>578</v>
      </c>
      <c r="N290" s="145">
        <v>30.0</v>
      </c>
      <c r="O290" s="54"/>
      <c r="P290" s="54"/>
      <c r="Q290" s="54"/>
      <c r="R290" s="54"/>
      <c r="S290" s="54"/>
      <c r="T290" s="54"/>
      <c r="U290" s="54"/>
      <c r="V290" s="54"/>
      <c r="W290" s="65"/>
      <c r="X290" s="60" t="s">
        <v>580</v>
      </c>
      <c r="Y290" s="54"/>
      <c r="Z290" s="29" t="s">
        <v>2896</v>
      </c>
      <c r="AA290" s="11"/>
      <c r="AB290" s="11"/>
      <c r="AC290" s="11"/>
      <c r="AD290" s="14"/>
    </row>
    <row r="291" ht="15.75" customHeight="1">
      <c r="A291" s="42">
        <f t="shared" si="53"/>
        <v>410020</v>
      </c>
      <c r="B291" s="82" t="s">
        <v>2899</v>
      </c>
      <c r="C291" s="42">
        <v>-1.0</v>
      </c>
      <c r="D291" s="54"/>
      <c r="E291" s="54"/>
      <c r="F291" s="54">
        <v>1.0</v>
      </c>
      <c r="G291" s="54"/>
      <c r="H291" s="54"/>
      <c r="I291" s="54"/>
      <c r="J291" s="54"/>
      <c r="K291" s="42">
        <v>3.0</v>
      </c>
      <c r="L291" s="54"/>
      <c r="M291" s="54" t="s">
        <v>544</v>
      </c>
      <c r="N291" s="145">
        <v>18.0</v>
      </c>
      <c r="O291" s="54"/>
      <c r="P291" s="54">
        <v>3002.0</v>
      </c>
      <c r="Q291" s="54"/>
      <c r="R291" s="54"/>
      <c r="S291" s="54"/>
      <c r="T291" s="54"/>
      <c r="U291" s="54"/>
      <c r="V291" s="54"/>
      <c r="W291" s="65"/>
      <c r="X291" s="60" t="s">
        <v>580</v>
      </c>
      <c r="Y291" s="54"/>
      <c r="Z291" s="29" t="s">
        <v>2902</v>
      </c>
      <c r="AA291" s="11"/>
      <c r="AB291" s="11"/>
      <c r="AC291" s="11"/>
      <c r="AD291" s="14"/>
    </row>
    <row r="292" ht="15.75" customHeight="1">
      <c r="A292" s="42">
        <f t="shared" si="53"/>
        <v>410021</v>
      </c>
      <c r="B292" s="82" t="s">
        <v>2905</v>
      </c>
      <c r="C292" s="42">
        <v>3.0</v>
      </c>
      <c r="D292" s="54"/>
      <c r="E292" s="54"/>
      <c r="F292" s="54">
        <v>1.0</v>
      </c>
      <c r="G292" s="54"/>
      <c r="H292" s="54">
        <v>2.2</v>
      </c>
      <c r="I292" s="54"/>
      <c r="J292" s="54"/>
      <c r="K292" s="42">
        <v>4.0</v>
      </c>
      <c r="L292" s="54"/>
      <c r="M292" s="54" t="s">
        <v>578</v>
      </c>
      <c r="N292" s="145">
        <v>40.0</v>
      </c>
      <c r="O292" s="54"/>
      <c r="P292" s="54"/>
      <c r="Q292" s="54"/>
      <c r="R292" s="54"/>
      <c r="S292" s="54"/>
      <c r="T292" s="54"/>
      <c r="U292" s="54"/>
      <c r="V292" s="54"/>
      <c r="W292" s="65"/>
      <c r="X292" s="60" t="s">
        <v>580</v>
      </c>
      <c r="Y292" s="54"/>
      <c r="Z292" s="29" t="s">
        <v>2909</v>
      </c>
      <c r="AA292" s="11"/>
      <c r="AB292" s="11"/>
      <c r="AC292" s="11"/>
      <c r="AD292" s="14"/>
    </row>
    <row r="293" ht="15.75" customHeight="1">
      <c r="A293" s="42">
        <f t="shared" si="53"/>
        <v>410022</v>
      </c>
      <c r="B293" s="82" t="s">
        <v>2912</v>
      </c>
      <c r="C293" s="42">
        <v>1.0</v>
      </c>
      <c r="D293" s="54"/>
      <c r="E293" s="54"/>
      <c r="F293" s="54">
        <v>1.0</v>
      </c>
      <c r="G293" s="54"/>
      <c r="H293" s="54">
        <v>2.8</v>
      </c>
      <c r="I293" s="54"/>
      <c r="J293" s="54"/>
      <c r="K293" s="42">
        <v>4.0</v>
      </c>
      <c r="L293" s="54"/>
      <c r="M293" s="54" t="s">
        <v>578</v>
      </c>
      <c r="N293" s="145">
        <v>35.0</v>
      </c>
      <c r="O293" s="54"/>
      <c r="P293" s="54"/>
      <c r="Q293" s="54"/>
      <c r="R293" s="54"/>
      <c r="S293" s="54"/>
      <c r="T293" s="54"/>
      <c r="U293" s="54"/>
      <c r="V293" s="54"/>
      <c r="W293" s="65"/>
      <c r="X293" s="60" t="s">
        <v>580</v>
      </c>
      <c r="Y293" s="54"/>
      <c r="Z293" s="29" t="s">
        <v>2916</v>
      </c>
      <c r="AA293" s="11"/>
      <c r="AB293" s="11"/>
      <c r="AC293" s="11"/>
      <c r="AD293" s="14"/>
    </row>
    <row r="294" ht="15.75" customHeight="1">
      <c r="A294" s="42">
        <f t="shared" si="53"/>
        <v>410023</v>
      </c>
      <c r="B294" s="82" t="s">
        <v>2920</v>
      </c>
      <c r="C294" s="42">
        <v>2.0</v>
      </c>
      <c r="D294" s="54"/>
      <c r="E294" s="54"/>
      <c r="F294" s="54">
        <v>1.0</v>
      </c>
      <c r="G294" s="54">
        <v>2.3</v>
      </c>
      <c r="H294" s="54"/>
      <c r="I294" s="54"/>
      <c r="J294" s="54"/>
      <c r="K294" s="42">
        <v>3.0</v>
      </c>
      <c r="L294" s="54"/>
      <c r="M294" s="54" t="s">
        <v>544</v>
      </c>
      <c r="N294" s="145">
        <v>32.0</v>
      </c>
      <c r="O294" s="54"/>
      <c r="P294" s="54"/>
      <c r="Q294" s="54"/>
      <c r="R294" s="54">
        <v>5003.0</v>
      </c>
      <c r="S294" s="54"/>
      <c r="T294" s="54"/>
      <c r="U294" s="54"/>
      <c r="V294" s="54"/>
      <c r="W294" s="65"/>
      <c r="X294" s="60" t="s">
        <v>580</v>
      </c>
      <c r="Y294" s="54"/>
      <c r="Z294" s="29" t="s">
        <v>2923</v>
      </c>
      <c r="AA294" s="11"/>
      <c r="AB294" s="11"/>
      <c r="AC294" s="11"/>
      <c r="AD294" s="14"/>
    </row>
    <row r="295" ht="15.75" customHeight="1">
      <c r="A295" s="42">
        <f t="shared" si="53"/>
        <v>410024</v>
      </c>
      <c r="B295" s="82" t="s">
        <v>2926</v>
      </c>
      <c r="C295" s="42">
        <v>3.0</v>
      </c>
      <c r="D295" s="54"/>
      <c r="E295" s="54"/>
      <c r="F295" s="54">
        <v>1.0</v>
      </c>
      <c r="G295" s="54"/>
      <c r="H295" s="54">
        <v>2.0</v>
      </c>
      <c r="I295" s="54"/>
      <c r="J295" s="54"/>
      <c r="K295" s="42">
        <v>5.0</v>
      </c>
      <c r="L295" s="54"/>
      <c r="M295" s="54" t="s">
        <v>578</v>
      </c>
      <c r="N295" s="145">
        <v>50.0</v>
      </c>
      <c r="O295" s="54"/>
      <c r="P295" s="54"/>
      <c r="Q295" s="54"/>
      <c r="R295" s="54"/>
      <c r="S295" s="54"/>
      <c r="T295" s="54"/>
      <c r="U295" s="54"/>
      <c r="V295" s="54"/>
      <c r="W295" s="65"/>
      <c r="X295" s="60" t="s">
        <v>580</v>
      </c>
      <c r="Y295" s="54"/>
      <c r="Z295" s="29" t="s">
        <v>2929</v>
      </c>
      <c r="AA295" s="11"/>
      <c r="AB295" s="11"/>
      <c r="AC295" s="11"/>
      <c r="AD295" s="14"/>
    </row>
    <row r="296" ht="15.75" customHeight="1">
      <c r="A296" s="42">
        <f t="shared" si="53"/>
        <v>410025</v>
      </c>
      <c r="B296" s="82" t="s">
        <v>2931</v>
      </c>
      <c r="C296" s="42">
        <v>4.0</v>
      </c>
      <c r="D296" s="54"/>
      <c r="E296" s="54"/>
      <c r="F296" s="54">
        <v>1.0</v>
      </c>
      <c r="G296" s="54">
        <v>1.8</v>
      </c>
      <c r="H296" s="54"/>
      <c r="I296" s="54"/>
      <c r="J296" s="54"/>
      <c r="K296" s="42">
        <v>4.0</v>
      </c>
      <c r="L296" s="54"/>
      <c r="M296" s="54" t="s">
        <v>544</v>
      </c>
      <c r="N296" s="145">
        <v>45.0</v>
      </c>
      <c r="O296" s="54"/>
      <c r="P296" s="54"/>
      <c r="Q296" s="54"/>
      <c r="R296" s="54"/>
      <c r="S296" s="54"/>
      <c r="T296" s="54"/>
      <c r="U296" s="54"/>
      <c r="V296" s="54"/>
      <c r="W296" s="65"/>
      <c r="X296" s="54" t="s">
        <v>615</v>
      </c>
      <c r="Y296" s="54"/>
      <c r="Z296" s="29" t="s">
        <v>2934</v>
      </c>
      <c r="AA296" s="11"/>
      <c r="AB296" s="11"/>
      <c r="AC296" s="11"/>
      <c r="AD296" s="14"/>
    </row>
    <row r="297" ht="15.75" customHeight="1">
      <c r="A297" s="42">
        <f t="shared" si="53"/>
        <v>410026</v>
      </c>
      <c r="B297" s="82" t="s">
        <v>2937</v>
      </c>
      <c r="C297" s="42">
        <v>-1.0</v>
      </c>
      <c r="D297" s="54"/>
      <c r="E297" s="54"/>
      <c r="F297" s="54">
        <v>1.0</v>
      </c>
      <c r="G297" s="54"/>
      <c r="H297" s="54"/>
      <c r="I297" s="54"/>
      <c r="J297" s="54"/>
      <c r="K297" s="42">
        <v>3.0</v>
      </c>
      <c r="L297" s="54"/>
      <c r="M297" s="54" t="s">
        <v>544</v>
      </c>
      <c r="N297" s="145">
        <v>25.0</v>
      </c>
      <c r="O297" s="54"/>
      <c r="P297" s="54"/>
      <c r="Q297" s="54"/>
      <c r="R297" s="54" t="str">
        <f>"1997,3004"</f>
        <v>1997,3004</v>
      </c>
      <c r="S297" s="54"/>
      <c r="T297" s="54"/>
      <c r="U297" s="54"/>
      <c r="V297" s="54"/>
      <c r="W297" s="65"/>
      <c r="X297" s="54" t="s">
        <v>835</v>
      </c>
      <c r="Y297" s="54"/>
      <c r="Z297" s="29" t="s">
        <v>2940</v>
      </c>
      <c r="AA297" s="11"/>
      <c r="AB297" s="11"/>
      <c r="AC297" s="11"/>
      <c r="AD297" s="14"/>
    </row>
    <row r="298" ht="15.75" customHeight="1">
      <c r="A298" s="42">
        <f t="shared" si="53"/>
        <v>410027</v>
      </c>
      <c r="B298" s="82" t="s">
        <v>2943</v>
      </c>
      <c r="C298" s="42">
        <v>2.0</v>
      </c>
      <c r="D298" s="54"/>
      <c r="E298" s="54"/>
      <c r="F298" s="54">
        <v>1.0</v>
      </c>
      <c r="G298" s="54"/>
      <c r="H298" s="54">
        <v>2.1</v>
      </c>
      <c r="I298" s="54"/>
      <c r="J298" s="54"/>
      <c r="K298" s="42">
        <v>3.0</v>
      </c>
      <c r="L298" s="54"/>
      <c r="M298" s="54" t="s">
        <v>578</v>
      </c>
      <c r="N298" s="145">
        <v>28.0</v>
      </c>
      <c r="O298" s="54"/>
      <c r="P298" s="54"/>
      <c r="Q298" s="54"/>
      <c r="R298" s="54">
        <v>4001.0</v>
      </c>
      <c r="S298" s="54"/>
      <c r="T298" s="54"/>
      <c r="U298" s="54"/>
      <c r="V298" s="54"/>
      <c r="W298" s="65"/>
      <c r="X298" s="54" t="s">
        <v>615</v>
      </c>
      <c r="Y298" s="54"/>
      <c r="Z298" s="29" t="s">
        <v>2946</v>
      </c>
      <c r="AA298" s="11"/>
      <c r="AB298" s="11"/>
      <c r="AC298" s="11"/>
      <c r="AD298" s="14"/>
    </row>
    <row r="299" ht="15.75" customHeight="1">
      <c r="A299" s="42">
        <f t="shared" si="53"/>
        <v>410028</v>
      </c>
      <c r="B299" s="82" t="s">
        <v>2947</v>
      </c>
      <c r="C299" s="42">
        <v>-1.0</v>
      </c>
      <c r="D299" s="54"/>
      <c r="E299" s="54"/>
      <c r="F299" s="54">
        <v>1.0</v>
      </c>
      <c r="G299" s="54">
        <v>3.0</v>
      </c>
      <c r="H299" s="54"/>
      <c r="I299" s="54"/>
      <c r="J299" s="54"/>
      <c r="K299" s="42">
        <v>4.0</v>
      </c>
      <c r="L299" s="54"/>
      <c r="M299" s="54" t="s">
        <v>656</v>
      </c>
      <c r="N299" s="145">
        <v>30.0</v>
      </c>
      <c r="O299" s="54"/>
      <c r="P299" s="54"/>
      <c r="Q299" s="54"/>
      <c r="R299" s="54">
        <v>3002.0</v>
      </c>
      <c r="S299" s="54"/>
      <c r="T299" s="54"/>
      <c r="U299" s="54"/>
      <c r="V299" s="54"/>
      <c r="W299" s="65"/>
      <c r="X299" s="54" t="s">
        <v>859</v>
      </c>
      <c r="Y299" s="54"/>
      <c r="Z299" s="29" t="s">
        <v>2951</v>
      </c>
      <c r="AA299" s="11"/>
      <c r="AB299" s="11"/>
      <c r="AC299" s="11"/>
      <c r="AD299" s="14"/>
    </row>
    <row r="300" ht="15.75" customHeight="1">
      <c r="A300" s="42">
        <f t="shared" si="53"/>
        <v>410029</v>
      </c>
      <c r="B300" s="82" t="s">
        <v>2954</v>
      </c>
      <c r="C300" s="42">
        <v>1.0</v>
      </c>
      <c r="D300" s="54"/>
      <c r="E300" s="54"/>
      <c r="F300" s="54">
        <v>1.0</v>
      </c>
      <c r="G300" s="54"/>
      <c r="H300" s="54">
        <v>3.0</v>
      </c>
      <c r="I300" s="54"/>
      <c r="J300" s="54"/>
      <c r="K300" s="42">
        <v>4.0</v>
      </c>
      <c r="L300" s="54"/>
      <c r="M300" s="54" t="s">
        <v>630</v>
      </c>
      <c r="N300" s="145">
        <v>35.0</v>
      </c>
      <c r="O300" s="54"/>
      <c r="P300" s="54"/>
      <c r="Q300" s="54"/>
      <c r="R300" s="54">
        <v>5004.0</v>
      </c>
      <c r="S300" s="54"/>
      <c r="T300" s="54"/>
      <c r="U300" s="54"/>
      <c r="V300" s="54"/>
      <c r="W300" s="65"/>
      <c r="X300" s="60" t="s">
        <v>580</v>
      </c>
      <c r="Y300" s="54"/>
      <c r="Z300" s="29" t="s">
        <v>2958</v>
      </c>
      <c r="AA300" s="11"/>
      <c r="AB300" s="11"/>
      <c r="AC300" s="11"/>
      <c r="AD300" s="14"/>
    </row>
    <row r="301" ht="15.75" customHeight="1">
      <c r="A301" s="42">
        <f t="shared" si="53"/>
        <v>410030</v>
      </c>
      <c r="B301" s="82" t="s">
        <v>2961</v>
      </c>
      <c r="C301" s="42">
        <v>5.0</v>
      </c>
      <c r="D301" s="54"/>
      <c r="E301" s="54"/>
      <c r="F301" s="54">
        <v>1.0</v>
      </c>
      <c r="G301" s="54"/>
      <c r="H301" s="54">
        <v>2.5</v>
      </c>
      <c r="I301" s="54"/>
      <c r="J301" s="54"/>
      <c r="K301" s="42">
        <v>5.0</v>
      </c>
      <c r="L301" s="54"/>
      <c r="M301" s="54" t="s">
        <v>578</v>
      </c>
      <c r="N301" s="145">
        <v>70.0</v>
      </c>
      <c r="O301" s="54"/>
      <c r="P301" s="54"/>
      <c r="Q301" s="54"/>
      <c r="R301" s="54"/>
      <c r="S301" s="54"/>
      <c r="T301" s="54"/>
      <c r="U301" s="54"/>
      <c r="V301" s="54"/>
      <c r="W301" s="65"/>
      <c r="X301" s="60" t="s">
        <v>580</v>
      </c>
      <c r="Y301" s="54"/>
      <c r="Z301" s="29" t="s">
        <v>2964</v>
      </c>
      <c r="AA301" s="11"/>
      <c r="AB301" s="11"/>
      <c r="AC301" s="11"/>
      <c r="AD301" s="14"/>
    </row>
    <row r="302" ht="15.75" customHeight="1">
      <c r="A302" s="42">
        <f t="shared" si="53"/>
        <v>410031</v>
      </c>
      <c r="B302" s="82" t="s">
        <v>2967</v>
      </c>
      <c r="C302" s="42">
        <v>1.0</v>
      </c>
      <c r="D302" s="54"/>
      <c r="E302" s="54"/>
      <c r="F302" s="54">
        <v>1.0</v>
      </c>
      <c r="G302" s="54">
        <v>4.8</v>
      </c>
      <c r="H302" s="54"/>
      <c r="I302" s="54"/>
      <c r="J302" s="54"/>
      <c r="K302" s="42">
        <v>5.0</v>
      </c>
      <c r="L302" s="54"/>
      <c r="M302" s="54" t="s">
        <v>544</v>
      </c>
      <c r="N302" s="145">
        <v>55.0</v>
      </c>
      <c r="O302" s="54"/>
      <c r="P302" s="54"/>
      <c r="Q302" s="54"/>
      <c r="R302" s="54"/>
      <c r="S302" s="54"/>
      <c r="T302" s="54"/>
      <c r="U302" s="54"/>
      <c r="V302" s="54"/>
      <c r="W302" s="65"/>
      <c r="X302" s="60" t="s">
        <v>580</v>
      </c>
      <c r="Y302" s="54"/>
      <c r="Z302" s="29" t="s">
        <v>2970</v>
      </c>
      <c r="AA302" s="11"/>
      <c r="AB302" s="11"/>
      <c r="AC302" s="11"/>
      <c r="AD302" s="14"/>
    </row>
    <row r="303" ht="14.25" customHeight="1"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N303" s="48"/>
      <c r="P303" s="49"/>
      <c r="Q303" s="49"/>
      <c r="R303" s="49"/>
      <c r="V303" s="47"/>
    </row>
    <row r="304" ht="14.25" customHeight="1"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N304" s="48"/>
      <c r="P304" s="49"/>
      <c r="Q304" s="49"/>
      <c r="R304" s="49"/>
      <c r="V304" s="47"/>
    </row>
    <row r="305" ht="14.25" customHeight="1"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N305" s="48"/>
      <c r="P305" s="49"/>
      <c r="Q305" s="49"/>
      <c r="R305" s="49"/>
      <c r="V305" s="47"/>
    </row>
    <row r="306" ht="14.25" customHeight="1"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N306" s="48"/>
      <c r="P306" s="49"/>
      <c r="Q306" s="49"/>
      <c r="R306" s="49"/>
      <c r="V306" s="47"/>
    </row>
    <row r="307" ht="14.25" customHeight="1"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N307" s="48"/>
      <c r="P307" s="49"/>
      <c r="Q307" s="49"/>
      <c r="R307" s="49"/>
      <c r="V307" s="47"/>
    </row>
    <row r="308" ht="14.25" customHeight="1"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N308" s="48"/>
      <c r="P308" s="49"/>
      <c r="Q308" s="49"/>
      <c r="R308" s="49"/>
      <c r="V308" s="47"/>
    </row>
    <row r="309" ht="14.25" customHeight="1"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N309" s="48"/>
      <c r="P309" s="49"/>
      <c r="Q309" s="49"/>
      <c r="R309" s="49"/>
      <c r="V309" s="47"/>
    </row>
    <row r="310" ht="14.25" customHeight="1"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N310" s="48"/>
      <c r="P310" s="49"/>
      <c r="Q310" s="49"/>
      <c r="R310" s="49"/>
      <c r="V310" s="47"/>
    </row>
    <row r="311" ht="14.25" customHeight="1"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N311" s="48"/>
      <c r="P311" s="49"/>
      <c r="Q311" s="49"/>
      <c r="R311" s="49"/>
      <c r="V311" s="47"/>
    </row>
    <row r="312" ht="14.25" customHeight="1"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N312" s="48"/>
      <c r="P312" s="49"/>
      <c r="Q312" s="49"/>
      <c r="R312" s="49"/>
      <c r="V312" s="47"/>
    </row>
    <row r="313" ht="14.25" customHeight="1"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N313" s="48"/>
      <c r="P313" s="49"/>
      <c r="Q313" s="49"/>
      <c r="R313" s="49"/>
      <c r="V313" s="47"/>
    </row>
    <row r="314" ht="14.25" customHeight="1"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N314" s="48"/>
      <c r="P314" s="49"/>
      <c r="Q314" s="49"/>
      <c r="R314" s="49"/>
      <c r="V314" s="47"/>
    </row>
    <row r="315" ht="14.25" customHeight="1"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N315" s="48"/>
      <c r="P315" s="49"/>
      <c r="Q315" s="49"/>
      <c r="R315" s="49"/>
      <c r="V315" s="47"/>
    </row>
    <row r="316" ht="14.25" customHeight="1"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N316" s="48"/>
      <c r="P316" s="49"/>
      <c r="Q316" s="49"/>
      <c r="R316" s="49"/>
      <c r="V316" s="47"/>
    </row>
    <row r="317" ht="14.25" customHeight="1"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N317" s="48"/>
      <c r="P317" s="49"/>
      <c r="Q317" s="49"/>
      <c r="R317" s="49"/>
      <c r="V317" s="47"/>
    </row>
    <row r="318" ht="14.25" customHeight="1"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N318" s="48"/>
      <c r="P318" s="49"/>
      <c r="Q318" s="49"/>
      <c r="R318" s="49"/>
      <c r="V318" s="47"/>
    </row>
    <row r="319" ht="14.25" customHeight="1"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N319" s="48"/>
      <c r="P319" s="49"/>
      <c r="Q319" s="49"/>
      <c r="R319" s="49"/>
      <c r="V319" s="47"/>
    </row>
    <row r="320" ht="14.25" customHeight="1"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N320" s="48"/>
      <c r="P320" s="49"/>
      <c r="Q320" s="49"/>
      <c r="R320" s="49"/>
      <c r="V320" s="47"/>
    </row>
    <row r="321" ht="14.25" customHeight="1"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N321" s="48"/>
      <c r="P321" s="49"/>
      <c r="Q321" s="49"/>
      <c r="R321" s="49"/>
      <c r="V321" s="47"/>
    </row>
    <row r="322" ht="14.25" customHeight="1"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N322" s="48"/>
      <c r="P322" s="49"/>
      <c r="Q322" s="49"/>
      <c r="R322" s="49"/>
      <c r="V322" s="47"/>
    </row>
    <row r="323" ht="14.25" customHeight="1"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N323" s="48"/>
      <c r="P323" s="49"/>
      <c r="Q323" s="49"/>
      <c r="R323" s="49"/>
      <c r="V323" s="47"/>
    </row>
    <row r="324" ht="14.25" customHeight="1"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N324" s="48"/>
      <c r="P324" s="49"/>
      <c r="Q324" s="49"/>
      <c r="R324" s="49"/>
      <c r="V324" s="47"/>
    </row>
    <row r="325" ht="14.25" customHeight="1"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N325" s="48"/>
      <c r="P325" s="49"/>
      <c r="Q325" s="49"/>
      <c r="R325" s="49"/>
      <c r="V325" s="47"/>
    </row>
    <row r="326" ht="14.25" customHeight="1"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N326" s="48"/>
      <c r="P326" s="49"/>
      <c r="Q326" s="49"/>
      <c r="R326" s="49"/>
      <c r="V326" s="47"/>
    </row>
    <row r="327" ht="14.25" customHeight="1"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N327" s="48"/>
      <c r="P327" s="49"/>
      <c r="Q327" s="49"/>
      <c r="R327" s="49"/>
      <c r="V327" s="47"/>
    </row>
    <row r="328" ht="14.25" customHeight="1"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N328" s="48"/>
      <c r="P328" s="49"/>
      <c r="Q328" s="49"/>
      <c r="R328" s="49"/>
      <c r="V328" s="47"/>
    </row>
    <row r="329" ht="14.25" customHeight="1"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N329" s="48"/>
      <c r="P329" s="49"/>
      <c r="Q329" s="49"/>
      <c r="R329" s="49"/>
      <c r="V329" s="47"/>
    </row>
    <row r="330" ht="14.25" customHeight="1"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N330" s="48"/>
      <c r="P330" s="49"/>
      <c r="Q330" s="49"/>
      <c r="R330" s="49"/>
      <c r="V330" s="47"/>
    </row>
    <row r="331" ht="14.25" customHeight="1"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N331" s="48"/>
      <c r="P331" s="49"/>
      <c r="Q331" s="49"/>
      <c r="R331" s="49"/>
      <c r="V331" s="47"/>
    </row>
    <row r="332" ht="14.25" customHeight="1"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N332" s="48"/>
      <c r="P332" s="49"/>
      <c r="Q332" s="49"/>
      <c r="R332" s="49"/>
      <c r="V332" s="47"/>
    </row>
    <row r="333" ht="14.25" customHeight="1"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N333" s="48"/>
      <c r="P333" s="49"/>
      <c r="Q333" s="49"/>
      <c r="R333" s="49"/>
      <c r="V333" s="47"/>
    </row>
    <row r="334" ht="14.25" customHeight="1"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N334" s="48"/>
      <c r="P334" s="49"/>
      <c r="Q334" s="49"/>
      <c r="R334" s="49"/>
      <c r="V334" s="47"/>
    </row>
    <row r="335" ht="14.25" customHeight="1"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N335" s="48"/>
      <c r="P335" s="49"/>
      <c r="Q335" s="49"/>
      <c r="R335" s="49"/>
      <c r="V335" s="47"/>
    </row>
    <row r="336" ht="14.25" customHeight="1"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N336" s="48"/>
      <c r="P336" s="49"/>
      <c r="Q336" s="49"/>
      <c r="R336" s="49"/>
      <c r="V336" s="47"/>
    </row>
    <row r="337" ht="14.25" customHeight="1"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N337" s="48"/>
      <c r="P337" s="49"/>
      <c r="Q337" s="49"/>
      <c r="R337" s="49"/>
      <c r="V337" s="47"/>
    </row>
    <row r="338" ht="14.25" customHeight="1"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N338" s="48"/>
      <c r="P338" s="49"/>
      <c r="Q338" s="49"/>
      <c r="R338" s="49"/>
      <c r="V338" s="47"/>
    </row>
    <row r="339" ht="14.25" customHeight="1"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N339" s="48"/>
      <c r="P339" s="49"/>
      <c r="Q339" s="49"/>
      <c r="R339" s="49"/>
      <c r="V339" s="47"/>
    </row>
    <row r="340" ht="14.25" customHeight="1"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N340" s="48"/>
      <c r="P340" s="49"/>
      <c r="Q340" s="49"/>
      <c r="R340" s="49"/>
      <c r="V340" s="47"/>
    </row>
    <row r="341" ht="14.25" customHeight="1"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N341" s="48"/>
      <c r="P341" s="49"/>
      <c r="Q341" s="49"/>
      <c r="R341" s="49"/>
      <c r="V341" s="47"/>
    </row>
    <row r="342" ht="14.25" customHeight="1"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N342" s="48"/>
      <c r="P342" s="49"/>
      <c r="Q342" s="49"/>
      <c r="R342" s="49"/>
      <c r="V342" s="47"/>
    </row>
    <row r="343" ht="14.25" customHeight="1"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N343" s="48"/>
      <c r="P343" s="49"/>
      <c r="Q343" s="49"/>
      <c r="R343" s="49"/>
      <c r="V343" s="47"/>
    </row>
    <row r="344" ht="14.25" customHeight="1"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N344" s="48"/>
      <c r="P344" s="49"/>
      <c r="Q344" s="49"/>
      <c r="R344" s="49"/>
      <c r="V344" s="47"/>
    </row>
    <row r="345" ht="14.25" customHeight="1"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N345" s="48"/>
      <c r="P345" s="49"/>
      <c r="Q345" s="49"/>
      <c r="R345" s="49"/>
      <c r="V345" s="47"/>
    </row>
    <row r="346" ht="14.25" customHeight="1"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N346" s="48"/>
      <c r="P346" s="49"/>
      <c r="Q346" s="49"/>
      <c r="R346" s="49"/>
      <c r="V346" s="47"/>
    </row>
    <row r="347" ht="14.25" customHeight="1"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N347" s="48"/>
      <c r="P347" s="49"/>
      <c r="Q347" s="49"/>
      <c r="R347" s="49"/>
      <c r="V347" s="47"/>
    </row>
    <row r="348" ht="14.25" customHeight="1"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N348" s="48"/>
      <c r="P348" s="49"/>
      <c r="Q348" s="49"/>
      <c r="R348" s="49"/>
      <c r="V348" s="47"/>
    </row>
    <row r="349" ht="14.25" customHeight="1"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N349" s="48"/>
      <c r="P349" s="49"/>
      <c r="Q349" s="49"/>
      <c r="R349" s="49"/>
      <c r="V349" s="47"/>
    </row>
    <row r="350" ht="14.25" customHeight="1"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N350" s="48"/>
      <c r="P350" s="49"/>
      <c r="Q350" s="49"/>
      <c r="R350" s="49"/>
      <c r="V350" s="47"/>
    </row>
    <row r="351" ht="14.25" customHeight="1"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N351" s="48"/>
      <c r="P351" s="49"/>
      <c r="Q351" s="49"/>
      <c r="R351" s="49"/>
      <c r="V351" s="47"/>
    </row>
    <row r="352" ht="14.25" customHeight="1"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N352" s="48"/>
      <c r="P352" s="49"/>
      <c r="Q352" s="49"/>
      <c r="R352" s="49"/>
      <c r="V352" s="47"/>
    </row>
    <row r="353" ht="14.25" customHeight="1"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N353" s="48"/>
      <c r="P353" s="49"/>
      <c r="Q353" s="49"/>
      <c r="R353" s="49"/>
      <c r="V353" s="47"/>
    </row>
    <row r="354" ht="14.25" customHeight="1"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N354" s="48"/>
      <c r="P354" s="49"/>
      <c r="Q354" s="49"/>
      <c r="R354" s="49"/>
      <c r="V354" s="47"/>
    </row>
    <row r="355" ht="14.25" customHeight="1"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N355" s="48"/>
      <c r="P355" s="49"/>
      <c r="Q355" s="49"/>
      <c r="R355" s="49"/>
      <c r="V355" s="47"/>
    </row>
    <row r="356" ht="14.25" customHeight="1"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N356" s="48"/>
      <c r="P356" s="49"/>
      <c r="Q356" s="49"/>
      <c r="R356" s="49"/>
      <c r="V356" s="47"/>
    </row>
    <row r="357" ht="14.25" customHeight="1"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N357" s="48"/>
      <c r="P357" s="49"/>
      <c r="Q357" s="49"/>
      <c r="R357" s="49"/>
      <c r="V357" s="47"/>
    </row>
    <row r="358" ht="14.25" customHeight="1"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N358" s="48"/>
      <c r="P358" s="49"/>
      <c r="Q358" s="49"/>
      <c r="R358" s="49"/>
      <c r="V358" s="47"/>
    </row>
    <row r="359" ht="14.25" customHeight="1"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N359" s="48"/>
      <c r="P359" s="49"/>
      <c r="Q359" s="49"/>
      <c r="R359" s="49"/>
      <c r="V359" s="47"/>
    </row>
    <row r="360" ht="14.25" customHeight="1"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N360" s="48"/>
      <c r="P360" s="49"/>
      <c r="Q360" s="49"/>
      <c r="R360" s="49"/>
      <c r="V360" s="47"/>
    </row>
    <row r="361" ht="14.25" customHeight="1"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N361" s="48"/>
      <c r="P361" s="49"/>
      <c r="Q361" s="49"/>
      <c r="R361" s="49"/>
      <c r="V361" s="47"/>
    </row>
    <row r="362" ht="14.25" customHeight="1"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N362" s="48"/>
      <c r="P362" s="49"/>
      <c r="Q362" s="49"/>
      <c r="R362" s="49"/>
      <c r="V362" s="47"/>
    </row>
    <row r="363" ht="14.25" customHeight="1"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N363" s="48"/>
      <c r="P363" s="49"/>
      <c r="Q363" s="49"/>
      <c r="R363" s="49"/>
      <c r="V363" s="47"/>
    </row>
    <row r="364" ht="14.25" customHeight="1"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N364" s="48"/>
      <c r="P364" s="49"/>
      <c r="Q364" s="49"/>
      <c r="R364" s="49"/>
      <c r="V364" s="47"/>
    </row>
    <row r="365" ht="14.25" customHeight="1"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N365" s="48"/>
      <c r="P365" s="49"/>
      <c r="Q365" s="49"/>
      <c r="R365" s="49"/>
      <c r="V365" s="47"/>
    </row>
    <row r="366" ht="14.25" customHeight="1"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N366" s="48"/>
      <c r="P366" s="49"/>
      <c r="Q366" s="49"/>
      <c r="R366" s="49"/>
      <c r="V366" s="47"/>
    </row>
    <row r="367" ht="14.25" customHeight="1"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N367" s="48"/>
      <c r="P367" s="49"/>
      <c r="Q367" s="49"/>
      <c r="R367" s="49"/>
      <c r="V367" s="47"/>
    </row>
    <row r="368" ht="14.25" customHeight="1"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N368" s="48"/>
      <c r="P368" s="49"/>
      <c r="Q368" s="49"/>
      <c r="R368" s="49"/>
      <c r="V368" s="47"/>
    </row>
    <row r="369" ht="14.25" customHeight="1"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N369" s="48"/>
      <c r="P369" s="49"/>
      <c r="Q369" s="49"/>
      <c r="R369" s="49"/>
      <c r="V369" s="47"/>
    </row>
    <row r="370" ht="14.25" customHeight="1"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N370" s="48"/>
      <c r="P370" s="49"/>
      <c r="Q370" s="49"/>
      <c r="R370" s="49"/>
      <c r="V370" s="47"/>
    </row>
    <row r="371" ht="14.25" customHeight="1"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N371" s="48"/>
      <c r="P371" s="49"/>
      <c r="Q371" s="49"/>
      <c r="R371" s="49"/>
      <c r="V371" s="47"/>
    </row>
    <row r="372" ht="14.25" customHeight="1"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N372" s="48"/>
      <c r="P372" s="49"/>
      <c r="Q372" s="49"/>
      <c r="R372" s="49"/>
      <c r="V372" s="47"/>
    </row>
    <row r="373" ht="14.25" customHeight="1"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N373" s="48"/>
      <c r="P373" s="49"/>
      <c r="Q373" s="49"/>
      <c r="R373" s="49"/>
      <c r="V373" s="47"/>
    </row>
    <row r="374" ht="14.25" customHeight="1"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N374" s="48"/>
      <c r="P374" s="49"/>
      <c r="Q374" s="49"/>
      <c r="R374" s="49"/>
      <c r="V374" s="47"/>
    </row>
    <row r="375" ht="14.25" customHeight="1"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N375" s="48"/>
      <c r="P375" s="49"/>
      <c r="Q375" s="49"/>
      <c r="R375" s="49"/>
      <c r="V375" s="47"/>
    </row>
    <row r="376" ht="14.25" customHeight="1"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N376" s="48"/>
      <c r="P376" s="49"/>
      <c r="Q376" s="49"/>
      <c r="R376" s="49"/>
      <c r="V376" s="47"/>
    </row>
    <row r="377" ht="14.25" customHeight="1"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N377" s="48"/>
      <c r="P377" s="49"/>
      <c r="Q377" s="49"/>
      <c r="R377" s="49"/>
      <c r="V377" s="47"/>
    </row>
    <row r="378" ht="14.25" customHeight="1"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N378" s="48"/>
      <c r="P378" s="49"/>
      <c r="Q378" s="49"/>
      <c r="R378" s="49"/>
      <c r="V378" s="47"/>
    </row>
    <row r="379" ht="14.25" customHeight="1"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N379" s="48"/>
      <c r="P379" s="49"/>
      <c r="Q379" s="49"/>
      <c r="R379" s="49"/>
      <c r="V379" s="47"/>
    </row>
    <row r="380" ht="14.25" customHeight="1"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N380" s="48"/>
      <c r="P380" s="49"/>
      <c r="Q380" s="49"/>
      <c r="R380" s="49"/>
      <c r="V380" s="47"/>
    </row>
    <row r="381" ht="14.25" customHeight="1"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N381" s="48"/>
      <c r="P381" s="49"/>
      <c r="Q381" s="49"/>
      <c r="R381" s="49"/>
      <c r="V381" s="47"/>
    </row>
    <row r="382" ht="14.25" customHeight="1"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N382" s="48"/>
      <c r="P382" s="49"/>
      <c r="Q382" s="49"/>
      <c r="R382" s="49"/>
      <c r="V382" s="47"/>
    </row>
    <row r="383" ht="14.25" customHeight="1"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N383" s="48"/>
      <c r="P383" s="49"/>
      <c r="Q383" s="49"/>
      <c r="R383" s="49"/>
      <c r="V383" s="47"/>
    </row>
    <row r="384" ht="14.25" customHeight="1"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N384" s="48"/>
      <c r="P384" s="49"/>
      <c r="Q384" s="49"/>
      <c r="R384" s="49"/>
      <c r="V384" s="47"/>
    </row>
    <row r="385" ht="14.25" customHeight="1"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N385" s="48"/>
      <c r="P385" s="49"/>
      <c r="Q385" s="49"/>
      <c r="R385" s="49"/>
      <c r="V385" s="47"/>
    </row>
    <row r="386" ht="14.25" customHeight="1"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N386" s="48"/>
      <c r="P386" s="49"/>
      <c r="Q386" s="49"/>
      <c r="R386" s="49"/>
      <c r="V386" s="47"/>
    </row>
    <row r="387" ht="14.25" customHeight="1"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N387" s="48"/>
      <c r="P387" s="49"/>
      <c r="Q387" s="49"/>
      <c r="R387" s="49"/>
      <c r="V387" s="47"/>
    </row>
    <row r="388" ht="14.25" customHeight="1"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N388" s="48"/>
      <c r="P388" s="49"/>
      <c r="Q388" s="49"/>
      <c r="R388" s="49"/>
      <c r="V388" s="47"/>
    </row>
    <row r="389" ht="14.25" customHeight="1"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N389" s="48"/>
      <c r="P389" s="49"/>
      <c r="Q389" s="49"/>
      <c r="R389" s="49"/>
      <c r="V389" s="47"/>
    </row>
    <row r="390" ht="14.25" customHeight="1"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N390" s="48"/>
      <c r="P390" s="49"/>
      <c r="Q390" s="49"/>
      <c r="R390" s="49"/>
      <c r="V390" s="47"/>
    </row>
    <row r="391" ht="14.25" customHeight="1"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N391" s="48"/>
      <c r="P391" s="49"/>
      <c r="Q391" s="49"/>
      <c r="R391" s="49"/>
      <c r="V391" s="47"/>
    </row>
    <row r="392" ht="14.25" customHeight="1"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N392" s="48"/>
      <c r="P392" s="49"/>
      <c r="Q392" s="49"/>
      <c r="R392" s="49"/>
      <c r="V392" s="47"/>
    </row>
    <row r="393" ht="14.25" customHeight="1"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N393" s="48"/>
      <c r="P393" s="49"/>
      <c r="Q393" s="49"/>
      <c r="R393" s="49"/>
      <c r="V393" s="47"/>
    </row>
    <row r="394" ht="14.25" customHeight="1"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N394" s="48"/>
      <c r="P394" s="49"/>
      <c r="Q394" s="49"/>
      <c r="R394" s="49"/>
      <c r="V394" s="47"/>
    </row>
    <row r="395" ht="14.25" customHeight="1"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N395" s="48"/>
      <c r="P395" s="49"/>
      <c r="Q395" s="49"/>
      <c r="R395" s="49"/>
      <c r="V395" s="47"/>
    </row>
    <row r="396" ht="14.25" customHeight="1"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N396" s="48"/>
      <c r="P396" s="49"/>
      <c r="Q396" s="49"/>
      <c r="R396" s="49"/>
      <c r="V396" s="47"/>
    </row>
    <row r="397" ht="14.25" customHeight="1"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N397" s="48"/>
      <c r="P397" s="49"/>
      <c r="Q397" s="49"/>
      <c r="R397" s="49"/>
      <c r="V397" s="47"/>
    </row>
    <row r="398" ht="14.25" customHeight="1"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N398" s="48"/>
      <c r="P398" s="49"/>
      <c r="Q398" s="49"/>
      <c r="R398" s="49"/>
      <c r="V398" s="47"/>
    </row>
    <row r="399" ht="14.25" customHeight="1"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N399" s="48"/>
      <c r="P399" s="49"/>
      <c r="Q399" s="49"/>
      <c r="R399" s="49"/>
      <c r="V399" s="47"/>
    </row>
    <row r="400" ht="14.25" customHeight="1"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N400" s="48"/>
      <c r="P400" s="49"/>
      <c r="Q400" s="49"/>
      <c r="R400" s="49"/>
      <c r="V400" s="47"/>
    </row>
    <row r="401" ht="14.25" customHeight="1"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N401" s="48"/>
      <c r="P401" s="49"/>
      <c r="Q401" s="49"/>
      <c r="R401" s="49"/>
      <c r="V401" s="47"/>
    </row>
    <row r="402" ht="14.25" customHeight="1"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N402" s="48"/>
      <c r="P402" s="49"/>
      <c r="Q402" s="49"/>
      <c r="R402" s="49"/>
      <c r="V402" s="47"/>
    </row>
    <row r="403" ht="14.25" customHeight="1"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N403" s="48"/>
      <c r="P403" s="49"/>
      <c r="Q403" s="49"/>
      <c r="R403" s="49"/>
      <c r="V403" s="47"/>
    </row>
    <row r="404" ht="14.25" customHeight="1"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N404" s="48"/>
      <c r="P404" s="49"/>
      <c r="Q404" s="49"/>
      <c r="R404" s="49"/>
      <c r="V404" s="47"/>
    </row>
    <row r="405" ht="14.25" customHeight="1"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N405" s="48"/>
      <c r="P405" s="49"/>
      <c r="Q405" s="49"/>
      <c r="R405" s="49"/>
      <c r="V405" s="47"/>
    </row>
    <row r="406" ht="14.25" customHeight="1"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N406" s="48"/>
      <c r="P406" s="49"/>
      <c r="Q406" s="49"/>
      <c r="R406" s="49"/>
      <c r="V406" s="47"/>
    </row>
    <row r="407" ht="14.25" customHeight="1"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N407" s="48"/>
      <c r="P407" s="49"/>
      <c r="Q407" s="49"/>
      <c r="R407" s="49"/>
      <c r="V407" s="47"/>
    </row>
    <row r="408" ht="14.25" customHeight="1"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N408" s="48"/>
      <c r="P408" s="49"/>
      <c r="Q408" s="49"/>
      <c r="R408" s="49"/>
      <c r="V408" s="47"/>
    </row>
    <row r="409" ht="14.25" customHeight="1"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N409" s="48"/>
      <c r="P409" s="49"/>
      <c r="Q409" s="49"/>
      <c r="R409" s="49"/>
      <c r="V409" s="47"/>
    </row>
    <row r="410" ht="14.25" customHeight="1"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N410" s="48"/>
      <c r="P410" s="49"/>
      <c r="Q410" s="49"/>
      <c r="R410" s="49"/>
      <c r="V410" s="47"/>
    </row>
    <row r="411" ht="14.25" customHeight="1"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N411" s="48"/>
      <c r="P411" s="49"/>
      <c r="Q411" s="49"/>
      <c r="R411" s="49"/>
      <c r="V411" s="47"/>
    </row>
    <row r="412" ht="14.25" customHeight="1"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N412" s="48"/>
      <c r="P412" s="49"/>
      <c r="Q412" s="49"/>
      <c r="R412" s="49"/>
      <c r="V412" s="47"/>
    </row>
    <row r="413" ht="14.25" customHeight="1"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N413" s="48"/>
      <c r="P413" s="49"/>
      <c r="Q413" s="49"/>
      <c r="R413" s="49"/>
      <c r="V413" s="47"/>
    </row>
    <row r="414" ht="14.25" customHeight="1"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N414" s="48"/>
      <c r="P414" s="49"/>
      <c r="Q414" s="49"/>
      <c r="R414" s="49"/>
      <c r="V414" s="47"/>
    </row>
    <row r="415" ht="14.25" customHeight="1"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N415" s="48"/>
      <c r="P415" s="49"/>
      <c r="Q415" s="49"/>
      <c r="R415" s="49"/>
      <c r="V415" s="47"/>
    </row>
    <row r="416" ht="14.25" customHeight="1"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N416" s="48"/>
      <c r="P416" s="49"/>
      <c r="Q416" s="49"/>
      <c r="R416" s="49"/>
      <c r="V416" s="47"/>
    </row>
    <row r="417" ht="14.25" customHeight="1"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N417" s="48"/>
      <c r="P417" s="49"/>
      <c r="Q417" s="49"/>
      <c r="R417" s="49"/>
      <c r="V417" s="47"/>
    </row>
    <row r="418" ht="14.25" customHeight="1"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N418" s="48"/>
      <c r="P418" s="49"/>
      <c r="Q418" s="49"/>
      <c r="R418" s="49"/>
      <c r="V418" s="47"/>
    </row>
    <row r="419" ht="14.25" customHeight="1"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N419" s="48"/>
      <c r="P419" s="49"/>
      <c r="Q419" s="49"/>
      <c r="R419" s="49"/>
      <c r="V419" s="47"/>
    </row>
    <row r="420" ht="14.25" customHeight="1"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N420" s="48"/>
      <c r="P420" s="49"/>
      <c r="Q420" s="49"/>
      <c r="R420" s="49"/>
      <c r="V420" s="47"/>
    </row>
    <row r="421" ht="14.25" customHeight="1"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N421" s="48"/>
      <c r="P421" s="49"/>
      <c r="Q421" s="49"/>
      <c r="R421" s="49"/>
      <c r="V421" s="47"/>
    </row>
    <row r="422" ht="14.25" customHeight="1"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N422" s="48"/>
      <c r="P422" s="49"/>
      <c r="Q422" s="49"/>
      <c r="R422" s="49"/>
      <c r="V422" s="47"/>
    </row>
    <row r="423" ht="14.25" customHeight="1"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N423" s="48"/>
      <c r="P423" s="49"/>
      <c r="Q423" s="49"/>
      <c r="R423" s="49"/>
      <c r="V423" s="47"/>
    </row>
    <row r="424" ht="14.25" customHeight="1"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N424" s="48"/>
      <c r="P424" s="49"/>
      <c r="Q424" s="49"/>
      <c r="R424" s="49"/>
      <c r="V424" s="47"/>
    </row>
    <row r="425" ht="14.25" customHeight="1"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N425" s="48"/>
      <c r="P425" s="49"/>
      <c r="Q425" s="49"/>
      <c r="R425" s="49"/>
      <c r="V425" s="47"/>
    </row>
    <row r="426" ht="14.25" customHeight="1"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N426" s="48"/>
      <c r="P426" s="49"/>
      <c r="Q426" s="49"/>
      <c r="R426" s="49"/>
      <c r="V426" s="47"/>
    </row>
    <row r="427" ht="14.25" customHeight="1"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N427" s="48"/>
      <c r="P427" s="49"/>
      <c r="Q427" s="49"/>
      <c r="R427" s="49"/>
      <c r="V427" s="47"/>
    </row>
    <row r="428" ht="14.25" customHeight="1"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N428" s="48"/>
      <c r="P428" s="49"/>
      <c r="Q428" s="49"/>
      <c r="R428" s="49"/>
      <c r="V428" s="47"/>
    </row>
    <row r="429" ht="14.25" customHeight="1"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N429" s="48"/>
      <c r="P429" s="49"/>
      <c r="Q429" s="49"/>
      <c r="R429" s="49"/>
      <c r="V429" s="47"/>
    </row>
    <row r="430" ht="14.25" customHeight="1"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N430" s="48"/>
      <c r="P430" s="49"/>
      <c r="Q430" s="49"/>
      <c r="R430" s="49"/>
      <c r="V430" s="47"/>
    </row>
    <row r="431" ht="14.25" customHeight="1"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N431" s="48"/>
      <c r="P431" s="49"/>
      <c r="Q431" s="49"/>
      <c r="R431" s="49"/>
      <c r="V431" s="47"/>
    </row>
    <row r="432" ht="14.25" customHeight="1"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N432" s="48"/>
      <c r="P432" s="49"/>
      <c r="Q432" s="49"/>
      <c r="R432" s="49"/>
      <c r="V432" s="47"/>
    </row>
    <row r="433" ht="14.25" customHeight="1"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N433" s="48"/>
      <c r="P433" s="49"/>
      <c r="Q433" s="49"/>
      <c r="R433" s="49"/>
      <c r="V433" s="47"/>
    </row>
    <row r="434" ht="14.25" customHeight="1"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N434" s="48"/>
      <c r="P434" s="49"/>
      <c r="Q434" s="49"/>
      <c r="R434" s="49"/>
      <c r="V434" s="47"/>
    </row>
    <row r="435" ht="14.25" customHeight="1"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N435" s="48"/>
      <c r="P435" s="49"/>
      <c r="Q435" s="49"/>
      <c r="R435" s="49"/>
      <c r="V435" s="47"/>
    </row>
    <row r="436" ht="14.25" customHeight="1"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N436" s="48"/>
      <c r="P436" s="49"/>
      <c r="Q436" s="49"/>
      <c r="R436" s="49"/>
      <c r="V436" s="47"/>
    </row>
    <row r="437" ht="14.25" customHeight="1"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N437" s="48"/>
      <c r="P437" s="49"/>
      <c r="Q437" s="49"/>
      <c r="R437" s="49"/>
      <c r="V437" s="47"/>
    </row>
    <row r="438" ht="14.25" customHeight="1"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N438" s="48"/>
      <c r="P438" s="49"/>
      <c r="Q438" s="49"/>
      <c r="R438" s="49"/>
      <c r="V438" s="47"/>
    </row>
    <row r="439" ht="14.25" customHeight="1"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N439" s="48"/>
      <c r="P439" s="49"/>
      <c r="Q439" s="49"/>
      <c r="R439" s="49"/>
      <c r="V439" s="47"/>
    </row>
    <row r="440" ht="14.25" customHeight="1"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N440" s="48"/>
      <c r="P440" s="49"/>
      <c r="Q440" s="49"/>
      <c r="R440" s="49"/>
      <c r="V440" s="47"/>
    </row>
    <row r="441" ht="14.25" customHeight="1"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N441" s="48"/>
      <c r="P441" s="49"/>
      <c r="Q441" s="49"/>
      <c r="R441" s="49"/>
      <c r="V441" s="47"/>
    </row>
    <row r="442" ht="14.25" customHeight="1"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N442" s="48"/>
      <c r="P442" s="49"/>
      <c r="Q442" s="49"/>
      <c r="R442" s="49"/>
      <c r="V442" s="47"/>
    </row>
    <row r="443" ht="14.25" customHeight="1"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N443" s="48"/>
      <c r="P443" s="49"/>
      <c r="Q443" s="49"/>
      <c r="R443" s="49"/>
      <c r="V443" s="47"/>
    </row>
    <row r="444" ht="14.25" customHeight="1"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N444" s="48"/>
      <c r="P444" s="49"/>
      <c r="Q444" s="49"/>
      <c r="R444" s="49"/>
      <c r="V444" s="47"/>
    </row>
    <row r="445" ht="14.25" customHeight="1"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N445" s="48"/>
      <c r="P445" s="49"/>
      <c r="Q445" s="49"/>
      <c r="R445" s="49"/>
      <c r="V445" s="47"/>
    </row>
    <row r="446" ht="14.25" customHeight="1"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N446" s="48"/>
      <c r="P446" s="49"/>
      <c r="Q446" s="49"/>
      <c r="R446" s="49"/>
      <c r="V446" s="47"/>
    </row>
    <row r="447" ht="14.25" customHeight="1"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N447" s="48"/>
      <c r="P447" s="49"/>
      <c r="Q447" s="49"/>
      <c r="R447" s="49"/>
      <c r="V447" s="47"/>
    </row>
    <row r="448" ht="14.25" customHeight="1"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N448" s="48"/>
      <c r="P448" s="49"/>
      <c r="Q448" s="49"/>
      <c r="R448" s="49"/>
      <c r="V448" s="47"/>
    </row>
    <row r="449" ht="14.25" customHeight="1"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N449" s="48"/>
      <c r="P449" s="49"/>
      <c r="Q449" s="49"/>
      <c r="R449" s="49"/>
      <c r="V449" s="47"/>
    </row>
    <row r="450" ht="14.25" customHeight="1"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N450" s="48"/>
      <c r="P450" s="49"/>
      <c r="Q450" s="49"/>
      <c r="R450" s="49"/>
      <c r="V450" s="47"/>
    </row>
    <row r="451" ht="14.25" customHeight="1"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N451" s="48"/>
      <c r="P451" s="49"/>
      <c r="Q451" s="49"/>
      <c r="R451" s="49"/>
      <c r="V451" s="47"/>
    </row>
    <row r="452" ht="14.25" customHeight="1"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N452" s="48"/>
      <c r="P452" s="49"/>
      <c r="Q452" s="49"/>
      <c r="R452" s="49"/>
      <c r="V452" s="47"/>
    </row>
    <row r="453" ht="14.25" customHeight="1"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N453" s="48"/>
      <c r="P453" s="49"/>
      <c r="Q453" s="49"/>
      <c r="R453" s="49"/>
      <c r="V453" s="47"/>
    </row>
    <row r="454" ht="14.25" customHeight="1"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N454" s="48"/>
      <c r="P454" s="49"/>
      <c r="Q454" s="49"/>
      <c r="R454" s="49"/>
      <c r="V454" s="47"/>
    </row>
    <row r="455" ht="14.25" customHeight="1"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N455" s="48"/>
      <c r="P455" s="49"/>
      <c r="Q455" s="49"/>
      <c r="R455" s="49"/>
      <c r="V455" s="47"/>
    </row>
    <row r="456" ht="14.25" customHeight="1"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N456" s="48"/>
      <c r="P456" s="49"/>
      <c r="Q456" s="49"/>
      <c r="R456" s="49"/>
      <c r="V456" s="47"/>
    </row>
    <row r="457" ht="14.25" customHeight="1"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N457" s="48"/>
      <c r="P457" s="49"/>
      <c r="Q457" s="49"/>
      <c r="R457" s="49"/>
      <c r="V457" s="47"/>
    </row>
    <row r="458" ht="14.25" customHeight="1"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N458" s="48"/>
      <c r="P458" s="49"/>
      <c r="Q458" s="49"/>
      <c r="R458" s="49"/>
      <c r="V458" s="47"/>
    </row>
    <row r="459" ht="14.25" customHeight="1"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N459" s="48"/>
      <c r="P459" s="49"/>
      <c r="Q459" s="49"/>
      <c r="R459" s="49"/>
      <c r="V459" s="47"/>
    </row>
    <row r="460" ht="14.25" customHeight="1"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N460" s="48"/>
      <c r="P460" s="49"/>
      <c r="Q460" s="49"/>
      <c r="R460" s="49"/>
      <c r="V460" s="47"/>
    </row>
    <row r="461" ht="14.25" customHeight="1"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N461" s="48"/>
      <c r="P461" s="49"/>
      <c r="Q461" s="49"/>
      <c r="R461" s="49"/>
      <c r="V461" s="47"/>
    </row>
    <row r="462" ht="14.25" customHeight="1"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N462" s="48"/>
      <c r="P462" s="49"/>
      <c r="Q462" s="49"/>
      <c r="R462" s="49"/>
      <c r="V462" s="47"/>
    </row>
    <row r="463" ht="14.25" customHeight="1"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N463" s="48"/>
      <c r="P463" s="49"/>
      <c r="Q463" s="49"/>
      <c r="R463" s="49"/>
      <c r="V463" s="47"/>
    </row>
    <row r="464" ht="14.25" customHeight="1"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N464" s="48"/>
      <c r="P464" s="49"/>
      <c r="Q464" s="49"/>
      <c r="R464" s="49"/>
      <c r="V464" s="47"/>
    </row>
    <row r="465" ht="14.25" customHeight="1"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N465" s="48"/>
      <c r="P465" s="49"/>
      <c r="Q465" s="49"/>
      <c r="R465" s="49"/>
      <c r="V465" s="47"/>
    </row>
    <row r="466" ht="14.25" customHeight="1"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N466" s="48"/>
      <c r="P466" s="49"/>
      <c r="Q466" s="49"/>
      <c r="R466" s="49"/>
      <c r="V466" s="47"/>
    </row>
    <row r="467" ht="14.25" customHeight="1"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N467" s="48"/>
      <c r="P467" s="49"/>
      <c r="Q467" s="49"/>
      <c r="R467" s="49"/>
      <c r="V467" s="47"/>
    </row>
    <row r="468" ht="14.25" customHeight="1"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N468" s="48"/>
      <c r="P468" s="49"/>
      <c r="Q468" s="49"/>
      <c r="R468" s="49"/>
      <c r="V468" s="47"/>
    </row>
    <row r="469" ht="14.25" customHeight="1"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N469" s="48"/>
      <c r="P469" s="49"/>
      <c r="Q469" s="49"/>
      <c r="R469" s="49"/>
      <c r="V469" s="47"/>
    </row>
    <row r="470" ht="14.25" customHeight="1"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N470" s="48"/>
      <c r="P470" s="49"/>
      <c r="Q470" s="49"/>
      <c r="R470" s="49"/>
      <c r="V470" s="47"/>
    </row>
    <row r="471" ht="14.25" customHeight="1"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N471" s="48"/>
      <c r="P471" s="49"/>
      <c r="Q471" s="49"/>
      <c r="R471" s="49"/>
      <c r="V471" s="47"/>
    </row>
    <row r="472" ht="14.25" customHeight="1"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N472" s="48"/>
      <c r="P472" s="49"/>
      <c r="Q472" s="49"/>
      <c r="R472" s="49"/>
      <c r="V472" s="47"/>
    </row>
    <row r="473" ht="14.25" customHeight="1"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N473" s="48"/>
      <c r="P473" s="49"/>
      <c r="Q473" s="49"/>
      <c r="R473" s="49"/>
      <c r="V473" s="47"/>
    </row>
    <row r="474" ht="14.25" customHeight="1"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N474" s="48"/>
      <c r="P474" s="49"/>
      <c r="Q474" s="49"/>
      <c r="R474" s="49"/>
      <c r="V474" s="47"/>
    </row>
    <row r="475" ht="14.25" customHeight="1"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N475" s="48"/>
      <c r="P475" s="49"/>
      <c r="Q475" s="49"/>
      <c r="R475" s="49"/>
      <c r="V475" s="47"/>
    </row>
    <row r="476" ht="14.25" customHeight="1"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N476" s="48"/>
      <c r="P476" s="49"/>
      <c r="Q476" s="49"/>
      <c r="R476" s="49"/>
      <c r="V476" s="47"/>
    </row>
    <row r="477" ht="14.25" customHeight="1"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N477" s="48"/>
      <c r="P477" s="49"/>
      <c r="Q477" s="49"/>
      <c r="R477" s="49"/>
      <c r="V477" s="47"/>
    </row>
    <row r="478" ht="14.25" customHeight="1"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N478" s="48"/>
      <c r="P478" s="49"/>
      <c r="Q478" s="49"/>
      <c r="R478" s="49"/>
      <c r="V478" s="47"/>
    </row>
    <row r="479" ht="14.25" customHeight="1"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N479" s="48"/>
      <c r="P479" s="49"/>
      <c r="Q479" s="49"/>
      <c r="R479" s="49"/>
      <c r="V479" s="47"/>
    </row>
    <row r="480" ht="14.25" customHeight="1"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N480" s="48"/>
      <c r="P480" s="49"/>
      <c r="Q480" s="49"/>
      <c r="R480" s="49"/>
      <c r="V480" s="47"/>
    </row>
    <row r="481" ht="14.25" customHeight="1"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N481" s="48"/>
      <c r="P481" s="49"/>
      <c r="Q481" s="49"/>
      <c r="R481" s="49"/>
      <c r="V481" s="47"/>
    </row>
    <row r="482" ht="14.25" customHeight="1"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N482" s="48"/>
      <c r="P482" s="49"/>
      <c r="Q482" s="49"/>
      <c r="R482" s="49"/>
      <c r="V482" s="47"/>
    </row>
    <row r="483" ht="14.25" customHeight="1"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N483" s="48"/>
      <c r="P483" s="49"/>
      <c r="Q483" s="49"/>
      <c r="R483" s="49"/>
      <c r="V483" s="47"/>
    </row>
    <row r="484" ht="14.25" customHeight="1"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N484" s="48"/>
      <c r="P484" s="49"/>
      <c r="Q484" s="49"/>
      <c r="R484" s="49"/>
      <c r="V484" s="47"/>
    </row>
    <row r="485" ht="14.25" customHeight="1"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N485" s="48"/>
      <c r="P485" s="49"/>
      <c r="Q485" s="49"/>
      <c r="R485" s="49"/>
      <c r="V485" s="47"/>
    </row>
    <row r="486" ht="14.25" customHeight="1"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N486" s="48"/>
      <c r="P486" s="49"/>
      <c r="Q486" s="49"/>
      <c r="R486" s="49"/>
      <c r="V486" s="47"/>
    </row>
    <row r="487" ht="14.25" customHeight="1"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N487" s="48"/>
      <c r="P487" s="49"/>
      <c r="Q487" s="49"/>
      <c r="R487" s="49"/>
      <c r="V487" s="47"/>
    </row>
    <row r="488" ht="14.25" customHeight="1"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N488" s="48"/>
      <c r="P488" s="49"/>
      <c r="Q488" s="49"/>
      <c r="R488" s="49"/>
      <c r="V488" s="47"/>
    </row>
    <row r="489" ht="14.25" customHeight="1"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N489" s="48"/>
      <c r="P489" s="49"/>
      <c r="Q489" s="49"/>
      <c r="R489" s="49"/>
      <c r="V489" s="47"/>
    </row>
    <row r="490" ht="14.25" customHeight="1"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N490" s="48"/>
      <c r="P490" s="49"/>
      <c r="Q490" s="49"/>
      <c r="R490" s="49"/>
      <c r="V490" s="47"/>
    </row>
    <row r="491" ht="14.25" customHeight="1"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N491" s="48"/>
      <c r="P491" s="49"/>
      <c r="Q491" s="49"/>
      <c r="R491" s="49"/>
      <c r="V491" s="47"/>
    </row>
    <row r="492" ht="14.25" customHeight="1"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N492" s="48"/>
      <c r="P492" s="49"/>
      <c r="Q492" s="49"/>
      <c r="R492" s="49"/>
      <c r="V492" s="47"/>
    </row>
    <row r="493" ht="14.25" customHeight="1"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N493" s="48"/>
      <c r="P493" s="49"/>
      <c r="Q493" s="49"/>
      <c r="R493" s="49"/>
      <c r="V493" s="47"/>
    </row>
    <row r="494" ht="14.25" customHeight="1"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N494" s="48"/>
      <c r="P494" s="49"/>
      <c r="Q494" s="49"/>
      <c r="R494" s="49"/>
      <c r="V494" s="47"/>
    </row>
    <row r="495" ht="14.25" customHeight="1"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N495" s="48"/>
      <c r="P495" s="49"/>
      <c r="Q495" s="49"/>
      <c r="R495" s="49"/>
      <c r="V495" s="47"/>
    </row>
    <row r="496" ht="14.25" customHeight="1"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N496" s="48"/>
      <c r="P496" s="49"/>
      <c r="Q496" s="49"/>
      <c r="R496" s="49"/>
      <c r="V496" s="47"/>
    </row>
    <row r="497" ht="14.25" customHeight="1"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N497" s="48"/>
      <c r="P497" s="49"/>
      <c r="Q497" s="49"/>
      <c r="R497" s="49"/>
      <c r="V497" s="47"/>
    </row>
    <row r="498" ht="14.25" customHeight="1"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N498" s="48"/>
      <c r="P498" s="49"/>
      <c r="Q498" s="49"/>
      <c r="R498" s="49"/>
      <c r="V498" s="47"/>
    </row>
    <row r="499" ht="14.25" customHeight="1"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N499" s="48"/>
      <c r="P499" s="49"/>
      <c r="Q499" s="49"/>
      <c r="R499" s="49"/>
      <c r="V499" s="47"/>
    </row>
    <row r="500" ht="14.25" customHeight="1"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N500" s="48"/>
      <c r="P500" s="49"/>
      <c r="Q500" s="49"/>
      <c r="R500" s="49"/>
      <c r="V500" s="47"/>
    </row>
    <row r="501" ht="14.25" customHeight="1"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N501" s="48"/>
      <c r="P501" s="49"/>
      <c r="Q501" s="49"/>
      <c r="R501" s="49"/>
      <c r="V501" s="47"/>
    </row>
    <row r="502" ht="14.25" customHeight="1"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N502" s="48"/>
      <c r="P502" s="49"/>
      <c r="Q502" s="49"/>
      <c r="R502" s="49"/>
      <c r="V502" s="47"/>
    </row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94">
    <mergeCell ref="Z2:AD2"/>
    <mergeCell ref="Z3:AD3"/>
    <mergeCell ref="Z4:AD4"/>
    <mergeCell ref="Z5:AD5"/>
    <mergeCell ref="Z6:AD6"/>
    <mergeCell ref="Z7:AD7"/>
    <mergeCell ref="Z8:AD8"/>
    <mergeCell ref="Z9:AD9"/>
    <mergeCell ref="Z10:AD10"/>
    <mergeCell ref="Z12:AD12"/>
    <mergeCell ref="Z13:AD13"/>
    <mergeCell ref="Z14:AD14"/>
    <mergeCell ref="Z15:AD15"/>
    <mergeCell ref="Z16:AD16"/>
    <mergeCell ref="Z17:AD17"/>
    <mergeCell ref="Z18:AD18"/>
    <mergeCell ref="Z19:AD19"/>
    <mergeCell ref="Z20:AD20"/>
    <mergeCell ref="Z21:AD21"/>
    <mergeCell ref="Z22:AD22"/>
    <mergeCell ref="Z23:AD23"/>
    <mergeCell ref="Z24:AD24"/>
    <mergeCell ref="Z25:AD25"/>
    <mergeCell ref="Z26:AD26"/>
    <mergeCell ref="Z27:AD27"/>
    <mergeCell ref="Z28:AD28"/>
    <mergeCell ref="Z29:AD29"/>
    <mergeCell ref="Z30:AD30"/>
    <mergeCell ref="Z31:AD31"/>
    <mergeCell ref="Z32:AD32"/>
    <mergeCell ref="Z33:AD33"/>
    <mergeCell ref="Z34:AD34"/>
    <mergeCell ref="Z35:AD35"/>
    <mergeCell ref="Z36:AD36"/>
    <mergeCell ref="Z37:AD37"/>
    <mergeCell ref="Z38:AD38"/>
    <mergeCell ref="Z39:AD39"/>
    <mergeCell ref="Z40:AD40"/>
    <mergeCell ref="Z41:AD41"/>
    <mergeCell ref="Z42:AD42"/>
    <mergeCell ref="Z43:AD43"/>
    <mergeCell ref="Z45:AD45"/>
    <mergeCell ref="Z46:AD46"/>
    <mergeCell ref="Z47:AD47"/>
    <mergeCell ref="Z48:AD48"/>
    <mergeCell ref="Z49:AD49"/>
    <mergeCell ref="Z50:AD50"/>
    <mergeCell ref="Z51:AD51"/>
    <mergeCell ref="Z52:AD52"/>
    <mergeCell ref="Z53:AD53"/>
    <mergeCell ref="Z54:AD54"/>
    <mergeCell ref="Z55:AD55"/>
    <mergeCell ref="Z56:AD56"/>
    <mergeCell ref="Z57:AD57"/>
    <mergeCell ref="Z58:AD58"/>
    <mergeCell ref="Z59:AD59"/>
    <mergeCell ref="Z60:AD60"/>
    <mergeCell ref="Z61:AD61"/>
    <mergeCell ref="Z62:AD62"/>
    <mergeCell ref="Z63:AD63"/>
    <mergeCell ref="Z64:AD64"/>
    <mergeCell ref="Z65:AD65"/>
    <mergeCell ref="Z66:AD66"/>
    <mergeCell ref="Z67:AD67"/>
    <mergeCell ref="Z68:AD68"/>
    <mergeCell ref="Z69:AD69"/>
    <mergeCell ref="Z70:AD70"/>
    <mergeCell ref="Z71:AD71"/>
    <mergeCell ref="Z72:AD72"/>
    <mergeCell ref="Z73:AD73"/>
    <mergeCell ref="Z74:AD74"/>
    <mergeCell ref="Z75:AD75"/>
    <mergeCell ref="Z76:AD76"/>
    <mergeCell ref="Z78:AD78"/>
    <mergeCell ref="Z79:AD79"/>
    <mergeCell ref="Z80:AD80"/>
    <mergeCell ref="Z81:AD81"/>
    <mergeCell ref="Z82:AD82"/>
    <mergeCell ref="Z83:AD83"/>
    <mergeCell ref="Z84:AD84"/>
    <mergeCell ref="Z85:AD85"/>
    <mergeCell ref="Z86:AD86"/>
    <mergeCell ref="Z87:AD87"/>
    <mergeCell ref="Z88:AD88"/>
    <mergeCell ref="Z89:AD89"/>
    <mergeCell ref="Z90:AD90"/>
    <mergeCell ref="Z91:AD91"/>
    <mergeCell ref="Z92:AD92"/>
    <mergeCell ref="Z93:AD93"/>
    <mergeCell ref="Z94:AD94"/>
    <mergeCell ref="Z96:AD96"/>
    <mergeCell ref="Z97:AD97"/>
    <mergeCell ref="Z98:AD98"/>
    <mergeCell ref="Z99:AD99"/>
    <mergeCell ref="Z100:AD100"/>
    <mergeCell ref="Z101:AD101"/>
    <mergeCell ref="Z102:AD102"/>
    <mergeCell ref="Z103:AD103"/>
    <mergeCell ref="Z104:AD104"/>
    <mergeCell ref="Z105:AD105"/>
    <mergeCell ref="Z106:AD106"/>
    <mergeCell ref="Z107:AD107"/>
    <mergeCell ref="Z108:AD108"/>
    <mergeCell ref="Z109:AD109"/>
    <mergeCell ref="Z110:AD110"/>
    <mergeCell ref="Z111:AD111"/>
    <mergeCell ref="Z112:AD112"/>
    <mergeCell ref="Z113:AD113"/>
    <mergeCell ref="Z114:AD114"/>
    <mergeCell ref="Z115:AD115"/>
    <mergeCell ref="Z116:AD116"/>
    <mergeCell ref="Z117:AD117"/>
    <mergeCell ref="Z118:AD118"/>
    <mergeCell ref="Z119:AD119"/>
    <mergeCell ref="Z120:AD120"/>
    <mergeCell ref="Z121:AD121"/>
    <mergeCell ref="Z122:AD122"/>
    <mergeCell ref="Z123:AD123"/>
    <mergeCell ref="Z124:AD124"/>
    <mergeCell ref="Z125:AD125"/>
    <mergeCell ref="Z126:AD126"/>
    <mergeCell ref="Z127:AD127"/>
    <mergeCell ref="Z128:AD128"/>
    <mergeCell ref="Z129:AD129"/>
    <mergeCell ref="Z130:AD130"/>
    <mergeCell ref="Z131:AD131"/>
    <mergeCell ref="Z132:AD132"/>
    <mergeCell ref="Z133:AD133"/>
    <mergeCell ref="Z134:AD134"/>
    <mergeCell ref="Z135:AD135"/>
    <mergeCell ref="Z136:AD136"/>
    <mergeCell ref="Z137:AD137"/>
    <mergeCell ref="Z138:AD138"/>
    <mergeCell ref="Z139:AD139"/>
    <mergeCell ref="Z140:AD140"/>
    <mergeCell ref="Z141:AD141"/>
    <mergeCell ref="Z142:AD142"/>
    <mergeCell ref="Z143:AD143"/>
    <mergeCell ref="Z144:AD144"/>
    <mergeCell ref="Z145:AD145"/>
    <mergeCell ref="Z146:AD146"/>
    <mergeCell ref="Z147:AD147"/>
    <mergeCell ref="Z148:AD148"/>
    <mergeCell ref="Z149:AD149"/>
    <mergeCell ref="Z150:AD150"/>
    <mergeCell ref="Z151:AD151"/>
    <mergeCell ref="Z152:AD152"/>
    <mergeCell ref="Z153:AD153"/>
    <mergeCell ref="Z154:AD154"/>
    <mergeCell ref="Z155:AD155"/>
    <mergeCell ref="Z156:AD156"/>
    <mergeCell ref="Z157:AD157"/>
    <mergeCell ref="Z158:AD158"/>
    <mergeCell ref="Z159:AD159"/>
    <mergeCell ref="Z160:AD160"/>
    <mergeCell ref="Z161:AD161"/>
    <mergeCell ref="Z163:AD163"/>
    <mergeCell ref="Z164:AD164"/>
    <mergeCell ref="Z165:AD165"/>
    <mergeCell ref="Z166:AD166"/>
    <mergeCell ref="Z167:AD167"/>
    <mergeCell ref="Z168:AD168"/>
    <mergeCell ref="Z169:AD169"/>
    <mergeCell ref="Z170:AD170"/>
    <mergeCell ref="Z171:AD171"/>
    <mergeCell ref="Z172:AD172"/>
    <mergeCell ref="Z173:AD173"/>
    <mergeCell ref="Z174:AD174"/>
    <mergeCell ref="Z175:AD175"/>
    <mergeCell ref="Z176:AD176"/>
    <mergeCell ref="Z177:AD177"/>
    <mergeCell ref="Z178:AD178"/>
    <mergeCell ref="Z179:AD179"/>
    <mergeCell ref="Z180:AD180"/>
    <mergeCell ref="Z181:AD181"/>
    <mergeCell ref="Z182:AD182"/>
    <mergeCell ref="Z183:AD183"/>
    <mergeCell ref="Z184:AD184"/>
    <mergeCell ref="Z185:AD185"/>
    <mergeCell ref="Z186:AD186"/>
    <mergeCell ref="Z187:AD187"/>
    <mergeCell ref="Z188:AD188"/>
    <mergeCell ref="Z189:AD189"/>
    <mergeCell ref="Z190:AD190"/>
    <mergeCell ref="Z191:AD191"/>
    <mergeCell ref="Z192:AD192"/>
    <mergeCell ref="Z193:AD193"/>
    <mergeCell ref="Z194:AD194"/>
    <mergeCell ref="Z195:AD195"/>
    <mergeCell ref="Z196:AD196"/>
    <mergeCell ref="Z197:AD197"/>
    <mergeCell ref="Z198:AD198"/>
    <mergeCell ref="Z199:AD199"/>
    <mergeCell ref="Z200:AD200"/>
    <mergeCell ref="Z201:AD201"/>
    <mergeCell ref="Z202:AD202"/>
    <mergeCell ref="Z253:AD253"/>
    <mergeCell ref="Z254:AD254"/>
    <mergeCell ref="Z255:AD255"/>
    <mergeCell ref="Z256:AD256"/>
    <mergeCell ref="Z257:AD257"/>
    <mergeCell ref="Z258:AD258"/>
    <mergeCell ref="Z259:AD259"/>
    <mergeCell ref="Z260:AD260"/>
    <mergeCell ref="Z261:AD261"/>
    <mergeCell ref="Z262:AD262"/>
    <mergeCell ref="Z263:AD263"/>
    <mergeCell ref="Z264:AD264"/>
    <mergeCell ref="Z265:AD265"/>
    <mergeCell ref="Z266:AD266"/>
    <mergeCell ref="Z267:AD267"/>
    <mergeCell ref="Z268:AD268"/>
    <mergeCell ref="Z269:AD269"/>
    <mergeCell ref="Z271:AD271"/>
    <mergeCell ref="Z272:AD272"/>
    <mergeCell ref="Z273:AD273"/>
    <mergeCell ref="Z274:AD274"/>
    <mergeCell ref="Z275:AD275"/>
    <mergeCell ref="Z276:AD276"/>
    <mergeCell ref="Z277:AD277"/>
    <mergeCell ref="Z278:AD278"/>
    <mergeCell ref="Z279:AD279"/>
    <mergeCell ref="Z280:AD280"/>
    <mergeCell ref="Z281:AD281"/>
    <mergeCell ref="Z282:AD282"/>
    <mergeCell ref="Z283:AD283"/>
    <mergeCell ref="Z284:AD284"/>
    <mergeCell ref="Z285:AD285"/>
    <mergeCell ref="Z286:AD286"/>
    <mergeCell ref="Z287:AD287"/>
    <mergeCell ref="Z288:AD288"/>
    <mergeCell ref="Z296:AD296"/>
    <mergeCell ref="Z297:AD297"/>
    <mergeCell ref="Z298:AD298"/>
    <mergeCell ref="Z299:AD299"/>
    <mergeCell ref="Z300:AD300"/>
    <mergeCell ref="Z301:AD301"/>
    <mergeCell ref="Z302:AD302"/>
    <mergeCell ref="Z289:AD289"/>
    <mergeCell ref="Z290:AD290"/>
    <mergeCell ref="Z291:AD291"/>
    <mergeCell ref="Z292:AD292"/>
    <mergeCell ref="Z293:AD293"/>
    <mergeCell ref="Z294:AD294"/>
    <mergeCell ref="Z295:AD295"/>
    <mergeCell ref="Z203:AD203"/>
    <mergeCell ref="Z204:AD204"/>
    <mergeCell ref="Z205:AD205"/>
    <mergeCell ref="Z206:AD206"/>
    <mergeCell ref="Z207:AD207"/>
    <mergeCell ref="Z208:AD208"/>
    <mergeCell ref="Z209:AD209"/>
    <mergeCell ref="Z210:AD210"/>
    <mergeCell ref="Z211:AD211"/>
    <mergeCell ref="Z212:AD212"/>
    <mergeCell ref="Z213:AD213"/>
    <mergeCell ref="Z214:AD214"/>
    <mergeCell ref="Z215:AD215"/>
    <mergeCell ref="Z216:AD216"/>
    <mergeCell ref="Z217:AD217"/>
    <mergeCell ref="Z218:AD218"/>
    <mergeCell ref="Z219:AD219"/>
    <mergeCell ref="Z220:AD220"/>
    <mergeCell ref="Z221:AD221"/>
    <mergeCell ref="Z222:AD222"/>
    <mergeCell ref="Z223:AD223"/>
    <mergeCell ref="Z224:AD224"/>
    <mergeCell ref="Z225:AD225"/>
    <mergeCell ref="Z226:AD226"/>
    <mergeCell ref="Z227:AD227"/>
    <mergeCell ref="Z228:AD228"/>
    <mergeCell ref="Z230:AD230"/>
    <mergeCell ref="Z231:AD231"/>
    <mergeCell ref="Z232:AD232"/>
    <mergeCell ref="Z233:AD233"/>
    <mergeCell ref="Z234:AD234"/>
    <mergeCell ref="Z235:AD235"/>
    <mergeCell ref="Z236:AD236"/>
    <mergeCell ref="Z237:AD237"/>
    <mergeCell ref="Z238:AD238"/>
    <mergeCell ref="Z239:AD239"/>
    <mergeCell ref="Z240:AD240"/>
    <mergeCell ref="Z241:AD241"/>
    <mergeCell ref="Z242:AD242"/>
    <mergeCell ref="Z243:AD243"/>
    <mergeCell ref="Z244:AD244"/>
    <mergeCell ref="Z245:AD245"/>
    <mergeCell ref="Z246:AD246"/>
    <mergeCell ref="Z247:AD247"/>
    <mergeCell ref="Z248:AD248"/>
    <mergeCell ref="Z249:AD249"/>
    <mergeCell ref="Z250:AD250"/>
    <mergeCell ref="Z251:AD251"/>
    <mergeCell ref="Z252:AD252"/>
  </mergeCells>
  <dataValidations>
    <dataValidation type="list" allowBlank="1" showErrorMessage="1" sqref="M46:M76 M79:M85 M88:M94 M164:M228">
      <formula1>"magic,phycial,shield,heal,mp"</formula1>
    </dataValidation>
    <dataValidation type="list" allowBlank="1" showErrorMessage="1" sqref="M3:M10 M13:M43 M97:M162 M231:M269 M272:M302">
      <formula1>"magic,phycial,shield,heal"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0"/>
    <col customWidth="1" min="2" max="2" width="19.38"/>
    <col customWidth="1" min="3" max="3" width="45.75"/>
    <col customWidth="1" min="4" max="17" width="11.0"/>
    <col customWidth="1" min="18" max="18" width="12.75"/>
    <col customWidth="1" min="19" max="20" width="11.0"/>
    <col customWidth="1" min="21" max="21" width="12.5"/>
    <col customWidth="1" min="22" max="26" width="11.0"/>
    <col customWidth="1" min="27" max="27" width="18.13"/>
    <col customWidth="1" min="28" max="28" width="17.5"/>
    <col customWidth="1" min="29" max="30" width="11.0"/>
    <col customWidth="1" min="31" max="31" width="13.5"/>
  </cols>
  <sheetData>
    <row r="1" ht="14.25" customHeight="1">
      <c r="A1" s="40" t="s">
        <v>381</v>
      </c>
      <c r="B1" s="40" t="s">
        <v>632</v>
      </c>
      <c r="C1" s="40" t="s">
        <v>633</v>
      </c>
      <c r="D1" s="40" t="s">
        <v>634</v>
      </c>
      <c r="E1" s="40" t="s">
        <v>636</v>
      </c>
      <c r="F1" s="40" t="s">
        <v>637</v>
      </c>
      <c r="G1" s="40" t="s">
        <v>638</v>
      </c>
      <c r="H1" s="40" t="s">
        <v>289</v>
      </c>
      <c r="I1" s="40" t="s">
        <v>290</v>
      </c>
      <c r="J1" s="40" t="s">
        <v>291</v>
      </c>
      <c r="K1" s="40" t="s">
        <v>292</v>
      </c>
      <c r="L1" s="40" t="s">
        <v>293</v>
      </c>
      <c r="M1" s="40" t="s">
        <v>134</v>
      </c>
      <c r="N1" s="40" t="s">
        <v>294</v>
      </c>
      <c r="O1" s="40" t="s">
        <v>295</v>
      </c>
      <c r="P1" s="40" t="s">
        <v>296</v>
      </c>
      <c r="Q1" s="40" t="s">
        <v>297</v>
      </c>
      <c r="R1" s="40" t="s">
        <v>298</v>
      </c>
      <c r="S1" s="40" t="s">
        <v>299</v>
      </c>
      <c r="T1" s="40" t="s">
        <v>300</v>
      </c>
      <c r="U1" s="40" t="s">
        <v>301</v>
      </c>
      <c r="V1" s="40" t="s">
        <v>302</v>
      </c>
      <c r="W1" s="40" t="s">
        <v>645</v>
      </c>
      <c r="X1" s="40" t="s">
        <v>646</v>
      </c>
      <c r="Y1" s="50" t="s">
        <v>648</v>
      </c>
      <c r="Z1" s="40" t="s">
        <v>650</v>
      </c>
      <c r="AA1" s="40" t="s">
        <v>651</v>
      </c>
      <c r="AB1" s="40" t="s">
        <v>652</v>
      </c>
      <c r="AC1" s="40" t="s">
        <v>653</v>
      </c>
      <c r="AD1" s="40" t="s">
        <v>654</v>
      </c>
      <c r="AE1" s="8" t="s">
        <v>657</v>
      </c>
    </row>
    <row r="2" ht="14.25" customHeight="1">
      <c r="A2" s="42">
        <v>1001.0</v>
      </c>
      <c r="B2" s="17" t="s">
        <v>659</v>
      </c>
      <c r="C2" s="54" t="str">
        <f>"每層提升5%攻擊，可堆疊，最多"&amp;X2&amp;"層，持續"&amp;Y2&amp;"回合"</f>
        <v>每層提升5%攻擊，可堆疊，最多5層，持續3回合</v>
      </c>
      <c r="D2" s="42" t="s">
        <v>647</v>
      </c>
      <c r="E2" s="66"/>
      <c r="F2" s="66"/>
      <c r="G2" s="66"/>
      <c r="H2" s="66">
        <v>0.05</v>
      </c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 t="b">
        <f t="shared" ref="W2:W13" si="1">TRUE()</f>
        <v>1</v>
      </c>
      <c r="X2" s="42">
        <v>5.0</v>
      </c>
      <c r="Y2" s="42">
        <v>3.0</v>
      </c>
      <c r="Z2" s="8"/>
      <c r="AA2" s="8"/>
      <c r="AB2" s="8"/>
      <c r="AC2" s="8"/>
      <c r="AD2" s="42"/>
      <c r="AE2" s="8"/>
    </row>
    <row r="3" ht="14.25" customHeight="1">
      <c r="A3" s="42">
        <v>1002.0</v>
      </c>
      <c r="B3" s="17" t="s">
        <v>667</v>
      </c>
      <c r="C3" s="54" t="str">
        <f>"每層提升5%防禦，可堆疊，最多"&amp;X3&amp;"層，持續"&amp;Y3&amp;"回合"</f>
        <v>每層提升5%防禦，可堆疊，最多5層，持續3回合</v>
      </c>
      <c r="D3" s="42" t="s">
        <v>647</v>
      </c>
      <c r="E3" s="42"/>
      <c r="F3" s="42"/>
      <c r="G3" s="42"/>
      <c r="H3" s="42"/>
      <c r="I3" s="42"/>
      <c r="J3" s="66">
        <v>0.05</v>
      </c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 t="b">
        <f t="shared" si="1"/>
        <v>1</v>
      </c>
      <c r="X3" s="42">
        <v>5.0</v>
      </c>
      <c r="Y3" s="42">
        <v>3.0</v>
      </c>
      <c r="Z3" s="8"/>
      <c r="AA3" s="8"/>
      <c r="AB3" s="8"/>
      <c r="AC3" s="8"/>
      <c r="AD3" s="42"/>
      <c r="AE3" s="8"/>
    </row>
    <row r="4" ht="14.25" customHeight="1">
      <c r="A4" s="42">
        <v>1003.0</v>
      </c>
      <c r="B4" s="17" t="s">
        <v>677</v>
      </c>
      <c r="C4" s="54" t="str">
        <f>"每層提升5%魔攻，可堆疊，最多"&amp;X4&amp;"層，持續"&amp;Y4&amp;"回合"</f>
        <v>每層提升5%魔攻，可堆疊，最多5層，持續3回合</v>
      </c>
      <c r="D4" s="42" t="s">
        <v>647</v>
      </c>
      <c r="E4" s="42"/>
      <c r="F4" s="42"/>
      <c r="G4" s="42"/>
      <c r="H4" s="42"/>
      <c r="I4" s="66">
        <v>0.05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 t="b">
        <f t="shared" si="1"/>
        <v>1</v>
      </c>
      <c r="X4" s="42">
        <v>5.0</v>
      </c>
      <c r="Y4" s="42">
        <v>3.0</v>
      </c>
      <c r="Z4" s="8"/>
      <c r="AA4" s="8"/>
      <c r="AB4" s="8"/>
      <c r="AC4" s="8"/>
      <c r="AD4" s="42"/>
      <c r="AE4" s="8"/>
    </row>
    <row r="5" ht="14.25" customHeight="1">
      <c r="A5" s="42">
        <v>1004.0</v>
      </c>
      <c r="B5" s="17" t="s">
        <v>685</v>
      </c>
      <c r="C5" s="54" t="str">
        <f>"每層提升5%魔防，可堆疊，最多"&amp;X5&amp;"層，持續"&amp;Y5&amp;"回合"</f>
        <v>每層提升5%魔防，可堆疊，最多5層，持續3回合</v>
      </c>
      <c r="D5" s="42" t="s">
        <v>647</v>
      </c>
      <c r="E5" s="42"/>
      <c r="F5" s="42"/>
      <c r="G5" s="42"/>
      <c r="H5" s="42"/>
      <c r="I5" s="42"/>
      <c r="J5" s="42"/>
      <c r="K5" s="66">
        <v>0.05</v>
      </c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 t="b">
        <f t="shared" si="1"/>
        <v>1</v>
      </c>
      <c r="X5" s="42">
        <v>5.0</v>
      </c>
      <c r="Y5" s="42">
        <v>3.0</v>
      </c>
      <c r="Z5" s="8"/>
      <c r="AA5" s="8"/>
      <c r="AB5" s="8"/>
      <c r="AC5" s="8"/>
      <c r="AD5" s="42"/>
      <c r="AE5" s="8"/>
    </row>
    <row r="6" ht="14.25" customHeight="1">
      <c r="A6" s="42">
        <v>1005.0</v>
      </c>
      <c r="B6" s="17" t="s">
        <v>697</v>
      </c>
      <c r="C6" s="54" t="str">
        <f>"每層提升5%爆擊率，可堆疊，最多"&amp;X6&amp;"層，持續"&amp;Y6&amp;"回合"</f>
        <v>每層提升5%爆擊率，可堆疊，最多5層，持續3回合</v>
      </c>
      <c r="D6" s="42" t="s">
        <v>647</v>
      </c>
      <c r="E6" s="42"/>
      <c r="F6" s="42"/>
      <c r="G6" s="42"/>
      <c r="H6" s="42"/>
      <c r="I6" s="42"/>
      <c r="J6" s="42"/>
      <c r="K6" s="42"/>
      <c r="L6" s="66">
        <v>0.05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 t="b">
        <f t="shared" si="1"/>
        <v>1</v>
      </c>
      <c r="X6" s="42">
        <v>5.0</v>
      </c>
      <c r="Y6" s="42">
        <v>3.0</v>
      </c>
      <c r="Z6" s="8"/>
      <c r="AA6" s="8"/>
      <c r="AB6" s="8"/>
      <c r="AC6" s="8"/>
      <c r="AD6" s="42"/>
      <c r="AE6" s="8"/>
    </row>
    <row r="7" ht="14.25" customHeight="1">
      <c r="A7" s="42">
        <v>1006.0</v>
      </c>
      <c r="B7" s="17" t="s">
        <v>703</v>
      </c>
      <c r="C7" s="54" t="str">
        <f>"每層提升5%爆擊傷害，可堆疊，最多"&amp;X7&amp;"層，持續"&amp;Y7&amp;"回合"</f>
        <v>每層提升5%爆擊傷害，可堆疊，最多5層，持續3回合</v>
      </c>
      <c r="D7" s="42" t="s">
        <v>647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66">
        <v>0.05</v>
      </c>
      <c r="R7" s="8"/>
      <c r="S7" s="8"/>
      <c r="T7" s="8"/>
      <c r="U7" s="8"/>
      <c r="V7" s="42"/>
      <c r="W7" s="42" t="b">
        <f t="shared" si="1"/>
        <v>1</v>
      </c>
      <c r="X7" s="42">
        <v>5.0</v>
      </c>
      <c r="Y7" s="42">
        <v>3.0</v>
      </c>
      <c r="Z7" s="8"/>
      <c r="AA7" s="8"/>
      <c r="AB7" s="8"/>
      <c r="AC7" s="8"/>
      <c r="AD7" s="42"/>
      <c r="AE7" s="8"/>
    </row>
    <row r="8" ht="14.25" customHeight="1">
      <c r="A8" s="42">
        <v>1007.0</v>
      </c>
      <c r="B8" s="17" t="s">
        <v>719</v>
      </c>
      <c r="C8" s="54" t="str">
        <f>"每層提升5%技能傷害，可堆疊，最多"&amp;X8&amp;"層，持續"&amp;Y8&amp;"回合"</f>
        <v>每層提升5%技能傷害，可堆疊，最多5層，持續3回合</v>
      </c>
      <c r="D8" s="42" t="s">
        <v>647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66">
        <v>0.05</v>
      </c>
      <c r="T8" s="8"/>
      <c r="U8" s="8"/>
      <c r="V8" s="42"/>
      <c r="W8" s="42" t="b">
        <f t="shared" si="1"/>
        <v>1</v>
      </c>
      <c r="X8" s="42">
        <v>5.0</v>
      </c>
      <c r="Y8" s="42">
        <v>3.0</v>
      </c>
      <c r="Z8" s="8"/>
      <c r="AA8" s="8"/>
      <c r="AB8" s="8"/>
      <c r="AC8" s="8"/>
      <c r="AD8" s="42"/>
      <c r="AE8" s="8"/>
    </row>
    <row r="9" ht="14.25" customHeight="1">
      <c r="A9" s="42">
        <v>1008.0</v>
      </c>
      <c r="B9" s="17" t="s">
        <v>736</v>
      </c>
      <c r="C9" s="54" t="str">
        <f>"每層提升5%爆擊抗性，可堆疊，最多"&amp;X9&amp;"層，持續"&amp;Y9&amp;"回合"</f>
        <v>每層提升5%爆擊抗性，可堆疊，最多5層，持續3回合</v>
      </c>
      <c r="D9" s="42" t="s">
        <v>647</v>
      </c>
      <c r="E9" s="8"/>
      <c r="F9" s="8"/>
      <c r="G9" s="8"/>
      <c r="H9" s="8"/>
      <c r="I9" s="8"/>
      <c r="J9" s="8"/>
      <c r="K9" s="8"/>
      <c r="L9" s="8"/>
      <c r="M9" s="8"/>
      <c r="N9" s="66">
        <v>0.05</v>
      </c>
      <c r="O9" s="8"/>
      <c r="P9" s="8"/>
      <c r="Q9" s="8"/>
      <c r="R9" s="8"/>
      <c r="S9" s="8"/>
      <c r="T9" s="8"/>
      <c r="U9" s="8"/>
      <c r="V9" s="42"/>
      <c r="W9" s="42" t="b">
        <f t="shared" si="1"/>
        <v>1</v>
      </c>
      <c r="X9" s="42">
        <v>5.0</v>
      </c>
      <c r="Y9" s="42">
        <v>3.0</v>
      </c>
      <c r="Z9" s="8"/>
      <c r="AA9" s="8"/>
      <c r="AB9" s="8"/>
      <c r="AC9" s="8"/>
      <c r="AD9" s="42"/>
      <c r="AE9" s="8"/>
    </row>
    <row r="10" ht="14.25" customHeight="1">
      <c r="A10" s="42">
        <v>1009.0</v>
      </c>
      <c r="B10" s="17" t="s">
        <v>757</v>
      </c>
      <c r="C10" s="54" t="str">
        <f>"每層提升5%爆傷抗性，可堆疊，最多"&amp;X10&amp;"層，持續"&amp;Y10&amp;"回合"</f>
        <v>每層提升5%爆傷抗性，可堆疊，最多5層，持續3回合</v>
      </c>
      <c r="D10" s="42" t="s">
        <v>647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66">
        <v>0.05</v>
      </c>
      <c r="S10" s="8"/>
      <c r="T10" s="8"/>
      <c r="U10" s="8"/>
      <c r="V10" s="42"/>
      <c r="W10" s="42" t="b">
        <f t="shared" si="1"/>
        <v>1</v>
      </c>
      <c r="X10" s="42">
        <v>5.0</v>
      </c>
      <c r="Y10" s="42">
        <v>3.0</v>
      </c>
      <c r="Z10" s="8"/>
      <c r="AA10" s="8"/>
      <c r="AB10" s="8"/>
      <c r="AC10" s="8"/>
      <c r="AD10" s="42"/>
      <c r="AE10" s="8"/>
    </row>
    <row r="11" ht="14.25" customHeight="1">
      <c r="A11" s="42">
        <v>1010.0</v>
      </c>
      <c r="B11" s="17" t="s">
        <v>769</v>
      </c>
      <c r="C11" s="54" t="str">
        <f>"每層提升5%技能倍率抗性，可堆疊，最多"&amp;X11&amp;"層，持續"&amp;Y11&amp;"回合"</f>
        <v>每層提升5%技能倍率抗性，可堆疊，最多5層，持續3回合</v>
      </c>
      <c r="D11" s="42" t="s">
        <v>647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66">
        <v>0.05</v>
      </c>
      <c r="U11" s="8"/>
      <c r="V11" s="42"/>
      <c r="W11" s="42" t="b">
        <f t="shared" si="1"/>
        <v>1</v>
      </c>
      <c r="X11" s="42">
        <v>5.0</v>
      </c>
      <c r="Y11" s="42">
        <v>3.0</v>
      </c>
      <c r="Z11" s="8"/>
      <c r="AA11" s="8"/>
      <c r="AB11" s="8"/>
      <c r="AC11" s="8"/>
      <c r="AD11" s="42"/>
      <c r="AE11" s="8"/>
    </row>
    <row r="12" ht="14.25" customHeight="1">
      <c r="A12" s="42">
        <v>1011.0</v>
      </c>
      <c r="B12" s="17" t="s">
        <v>775</v>
      </c>
      <c r="C12" s="54" t="str">
        <f>"每層提升3%造成傷害，可堆疊，最多"&amp;X12&amp;"層，持續"&amp;Y12&amp;"回合"</f>
        <v>每層提升3%造成傷害，可堆疊，最多5層，持續3回合</v>
      </c>
      <c r="D12" s="42" t="s">
        <v>647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66">
        <v>0.03</v>
      </c>
      <c r="V12" s="42"/>
      <c r="W12" s="42" t="b">
        <f t="shared" si="1"/>
        <v>1</v>
      </c>
      <c r="X12" s="42">
        <v>5.0</v>
      </c>
      <c r="Y12" s="42">
        <v>3.0</v>
      </c>
      <c r="Z12" s="8"/>
      <c r="AA12" s="8"/>
      <c r="AB12" s="8"/>
      <c r="AC12" s="8"/>
      <c r="AD12" s="42"/>
      <c r="AE12" s="8"/>
    </row>
    <row r="13" ht="14.25" customHeight="1">
      <c r="A13" s="42">
        <v>1012.0</v>
      </c>
      <c r="B13" s="17" t="s">
        <v>776</v>
      </c>
      <c r="C13" s="54" t="str">
        <f>"每層提升3%減少受到傷害，可堆疊，最多"&amp;X13&amp;"層，持續"&amp;Y13&amp;"回合"</f>
        <v>每層提升3%減少受到傷害，可堆疊，最多5層，持續3回合</v>
      </c>
      <c r="D13" s="42" t="s">
        <v>647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66">
        <v>0.03</v>
      </c>
      <c r="W13" s="42" t="b">
        <f t="shared" si="1"/>
        <v>1</v>
      </c>
      <c r="X13" s="42">
        <v>5.0</v>
      </c>
      <c r="Y13" s="42">
        <v>3.0</v>
      </c>
      <c r="Z13" s="8"/>
      <c r="AA13" s="8"/>
      <c r="AB13" s="8"/>
      <c r="AC13" s="8"/>
      <c r="AD13" s="42"/>
      <c r="AE13" s="8"/>
    </row>
    <row r="14" ht="14.25" customHeight="1">
      <c r="A14" s="47"/>
      <c r="B14" s="47"/>
      <c r="V14" s="47"/>
      <c r="Y14" s="47"/>
    </row>
    <row r="15" ht="14.25" customHeight="1">
      <c r="A15" s="47"/>
      <c r="B15" s="47"/>
      <c r="V15" s="47"/>
      <c r="Y15" s="47"/>
    </row>
    <row r="16" ht="14.25" customHeight="1">
      <c r="A16" s="40" t="s">
        <v>381</v>
      </c>
      <c r="B16" s="40" t="s">
        <v>632</v>
      </c>
      <c r="C16" s="40" t="s">
        <v>633</v>
      </c>
      <c r="D16" s="40" t="s">
        <v>634</v>
      </c>
      <c r="E16" s="40" t="s">
        <v>636</v>
      </c>
      <c r="F16" s="40" t="s">
        <v>637</v>
      </c>
      <c r="G16" s="40" t="s">
        <v>638</v>
      </c>
      <c r="H16" s="40" t="s">
        <v>289</v>
      </c>
      <c r="I16" s="40" t="s">
        <v>290</v>
      </c>
      <c r="J16" s="40" t="s">
        <v>291</v>
      </c>
      <c r="K16" s="40" t="s">
        <v>292</v>
      </c>
      <c r="L16" s="40" t="s">
        <v>293</v>
      </c>
      <c r="M16" s="40" t="s">
        <v>134</v>
      </c>
      <c r="N16" s="40" t="s">
        <v>294</v>
      </c>
      <c r="O16" s="40" t="s">
        <v>295</v>
      </c>
      <c r="P16" s="40" t="s">
        <v>296</v>
      </c>
      <c r="Q16" s="40" t="s">
        <v>297</v>
      </c>
      <c r="R16" s="40" t="s">
        <v>298</v>
      </c>
      <c r="S16" s="40" t="s">
        <v>299</v>
      </c>
      <c r="T16" s="40" t="s">
        <v>300</v>
      </c>
      <c r="U16" s="40" t="s">
        <v>301</v>
      </c>
      <c r="V16" s="40" t="s">
        <v>302</v>
      </c>
      <c r="W16" s="40" t="s">
        <v>645</v>
      </c>
      <c r="X16" s="40" t="s">
        <v>646</v>
      </c>
      <c r="Y16" s="50" t="s">
        <v>648</v>
      </c>
      <c r="Z16" s="40" t="s">
        <v>650</v>
      </c>
      <c r="AA16" s="40" t="s">
        <v>651</v>
      </c>
      <c r="AB16" s="40" t="s">
        <v>652</v>
      </c>
      <c r="AC16" s="40" t="s">
        <v>653</v>
      </c>
      <c r="AD16" s="40" t="s">
        <v>654</v>
      </c>
      <c r="AE16" s="8" t="s">
        <v>657</v>
      </c>
    </row>
    <row r="17" ht="14.25" customHeight="1">
      <c r="A17" s="42">
        <v>2001.0</v>
      </c>
      <c r="B17" s="17" t="s">
        <v>790</v>
      </c>
      <c r="C17" s="54" t="str">
        <f>"每層降低5%攻擊，可堆疊，最多"&amp;X17&amp;"層，持續"&amp;Y17&amp;"回合"</f>
        <v>每層降低5%攻擊，可堆疊，最多5層，持續3回合</v>
      </c>
      <c r="D17" s="42" t="s">
        <v>658</v>
      </c>
      <c r="E17" s="66"/>
      <c r="F17" s="66"/>
      <c r="G17" s="66"/>
      <c r="H17" s="66">
        <v>-0.05</v>
      </c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 t="b">
        <f t="shared" ref="W17:W28" si="2">TRUE()</f>
        <v>1</v>
      </c>
      <c r="X17" s="42">
        <v>5.0</v>
      </c>
      <c r="Y17" s="42">
        <v>3.0</v>
      </c>
      <c r="Z17" s="8"/>
      <c r="AA17" s="8"/>
      <c r="AB17" s="8"/>
      <c r="AC17" s="8"/>
      <c r="AD17" s="42"/>
      <c r="AE17" s="8"/>
    </row>
    <row r="18" ht="14.25" customHeight="1">
      <c r="A18" s="42">
        <v>2002.0</v>
      </c>
      <c r="B18" s="17" t="s">
        <v>801</v>
      </c>
      <c r="C18" s="54" t="str">
        <f>"每層降低5%防禦，可堆疊，最多"&amp;X18&amp;"層，持續"&amp;Y18&amp;"回合"</f>
        <v>每層降低5%防禦，可堆疊，最多5層，持續3回合</v>
      </c>
      <c r="D18" s="42" t="s">
        <v>658</v>
      </c>
      <c r="E18" s="42"/>
      <c r="F18" s="42"/>
      <c r="G18" s="42"/>
      <c r="H18" s="42"/>
      <c r="I18" s="42"/>
      <c r="J18" s="66">
        <v>-0.05</v>
      </c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 t="b">
        <f t="shared" si="2"/>
        <v>1</v>
      </c>
      <c r="X18" s="42">
        <v>5.0</v>
      </c>
      <c r="Y18" s="42">
        <v>3.0</v>
      </c>
      <c r="Z18" s="8"/>
      <c r="AA18" s="8"/>
      <c r="AB18" s="8"/>
      <c r="AC18" s="8"/>
      <c r="AD18" s="42"/>
      <c r="AE18" s="8"/>
    </row>
    <row r="19" ht="14.25" customHeight="1">
      <c r="A19" s="42">
        <v>2003.0</v>
      </c>
      <c r="B19" s="17" t="s">
        <v>827</v>
      </c>
      <c r="C19" s="54" t="str">
        <f>"每層降低5%魔攻，可堆疊，最多"&amp;X19&amp;"層，持續"&amp;Y19&amp;"回合"</f>
        <v>每層降低5%魔攻，可堆疊，最多5層，持續3回合</v>
      </c>
      <c r="D19" s="42" t="s">
        <v>658</v>
      </c>
      <c r="E19" s="42"/>
      <c r="F19" s="42"/>
      <c r="G19" s="42"/>
      <c r="H19" s="42"/>
      <c r="I19" s="66">
        <v>-0.05</v>
      </c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 t="b">
        <f t="shared" si="2"/>
        <v>1</v>
      </c>
      <c r="X19" s="42">
        <v>5.0</v>
      </c>
      <c r="Y19" s="42">
        <v>3.0</v>
      </c>
      <c r="Z19" s="8"/>
      <c r="AA19" s="8"/>
      <c r="AB19" s="8"/>
      <c r="AC19" s="8"/>
      <c r="AD19" s="42"/>
      <c r="AE19" s="8"/>
    </row>
    <row r="20" ht="14.25" customHeight="1">
      <c r="A20" s="42">
        <v>2004.0</v>
      </c>
      <c r="B20" s="17" t="s">
        <v>834</v>
      </c>
      <c r="C20" s="54" t="str">
        <f>"每層降低5%魔防，可堆疊，最多"&amp;X20&amp;"層，持續"&amp;Y20&amp;"回合"</f>
        <v>每層降低5%魔防，可堆疊，最多5層，持續3回合</v>
      </c>
      <c r="D20" s="42" t="s">
        <v>658</v>
      </c>
      <c r="E20" s="42"/>
      <c r="F20" s="42"/>
      <c r="G20" s="42"/>
      <c r="H20" s="42"/>
      <c r="I20" s="42"/>
      <c r="J20" s="42"/>
      <c r="K20" s="66">
        <v>-0.05</v>
      </c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 t="b">
        <f t="shared" si="2"/>
        <v>1</v>
      </c>
      <c r="X20" s="42">
        <v>5.0</v>
      </c>
      <c r="Y20" s="42">
        <v>3.0</v>
      </c>
      <c r="Z20" s="8"/>
      <c r="AA20" s="8"/>
      <c r="AB20" s="8"/>
      <c r="AC20" s="8"/>
      <c r="AD20" s="42"/>
      <c r="AE20" s="8"/>
    </row>
    <row r="21" ht="14.25" customHeight="1">
      <c r="A21" s="42">
        <v>2005.0</v>
      </c>
      <c r="B21" s="17" t="s">
        <v>836</v>
      </c>
      <c r="C21" s="54" t="str">
        <f>"每層降低5%爆擊率，可堆疊，最多"&amp;X21&amp;"層，持續"&amp;Y21&amp;"回合"</f>
        <v>每層降低5%爆擊率，可堆疊，最多5層，持續3回合</v>
      </c>
      <c r="D21" s="42" t="s">
        <v>658</v>
      </c>
      <c r="E21" s="42"/>
      <c r="F21" s="42"/>
      <c r="G21" s="42"/>
      <c r="H21" s="42"/>
      <c r="I21" s="42"/>
      <c r="J21" s="42"/>
      <c r="K21" s="42"/>
      <c r="L21" s="66">
        <v>-0.05</v>
      </c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 t="b">
        <f t="shared" si="2"/>
        <v>1</v>
      </c>
      <c r="X21" s="42">
        <v>5.0</v>
      </c>
      <c r="Y21" s="42">
        <v>3.0</v>
      </c>
      <c r="Z21" s="8"/>
      <c r="AA21" s="8"/>
      <c r="AB21" s="8"/>
      <c r="AC21" s="8"/>
      <c r="AD21" s="42"/>
      <c r="AE21" s="8"/>
    </row>
    <row r="22" ht="14.25" customHeight="1">
      <c r="A22" s="42">
        <v>2006.0</v>
      </c>
      <c r="B22" s="17" t="s">
        <v>838</v>
      </c>
      <c r="C22" s="54" t="str">
        <f>"每層降低5%爆擊傷害，可堆疊，最多"&amp;X22&amp;"層，持續"&amp;Y22&amp;"回合"</f>
        <v>每層降低5%爆擊傷害，可堆疊，最多5層，持續3回合</v>
      </c>
      <c r="D22" s="42" t="s">
        <v>658</v>
      </c>
      <c r="E22" s="42"/>
      <c r="F22" s="42"/>
      <c r="G22" s="42"/>
      <c r="H22" s="42"/>
      <c r="I22" s="42"/>
      <c r="J22" s="42"/>
      <c r="K22" s="42"/>
      <c r="L22" s="42"/>
      <c r="M22" s="8"/>
      <c r="N22" s="8"/>
      <c r="O22" s="8"/>
      <c r="P22" s="8"/>
      <c r="Q22" s="66">
        <v>-0.05</v>
      </c>
      <c r="R22" s="8"/>
      <c r="S22" s="8"/>
      <c r="T22" s="8"/>
      <c r="U22" s="8"/>
      <c r="V22" s="42"/>
      <c r="W22" s="42" t="b">
        <f t="shared" si="2"/>
        <v>1</v>
      </c>
      <c r="X22" s="42">
        <v>5.0</v>
      </c>
      <c r="Y22" s="42">
        <v>3.0</v>
      </c>
      <c r="Z22" s="8"/>
      <c r="AA22" s="8"/>
      <c r="AB22" s="8"/>
      <c r="AC22" s="8"/>
      <c r="AD22" s="42"/>
      <c r="AE22" s="8"/>
    </row>
    <row r="23" ht="14.25" customHeight="1">
      <c r="A23" s="42">
        <v>2007.0</v>
      </c>
      <c r="B23" s="17" t="s">
        <v>840</v>
      </c>
      <c r="C23" s="54" t="str">
        <f>"每層降低5%技能傷害，可堆疊，最多"&amp;X23&amp;"層，持續"&amp;Y23&amp;"回合"</f>
        <v>每層降低5%技能傷害，可堆疊，最多5層，持續3回合</v>
      </c>
      <c r="D23" s="42" t="s">
        <v>658</v>
      </c>
      <c r="E23" s="42"/>
      <c r="F23" s="42"/>
      <c r="G23" s="42"/>
      <c r="H23" s="42"/>
      <c r="I23" s="42"/>
      <c r="J23" s="42"/>
      <c r="K23" s="42"/>
      <c r="L23" s="42"/>
      <c r="M23" s="8"/>
      <c r="N23" s="8"/>
      <c r="O23" s="8"/>
      <c r="P23" s="8"/>
      <c r="Q23" s="8"/>
      <c r="R23" s="8"/>
      <c r="S23" s="66">
        <v>-0.05</v>
      </c>
      <c r="T23" s="8"/>
      <c r="U23" s="8"/>
      <c r="V23" s="42"/>
      <c r="W23" s="42" t="b">
        <f t="shared" si="2"/>
        <v>1</v>
      </c>
      <c r="X23" s="42">
        <v>5.0</v>
      </c>
      <c r="Y23" s="42">
        <v>3.0</v>
      </c>
      <c r="Z23" s="8"/>
      <c r="AA23" s="8"/>
      <c r="AB23" s="8"/>
      <c r="AC23" s="8"/>
      <c r="AD23" s="42"/>
      <c r="AE23" s="8"/>
    </row>
    <row r="24" ht="14.25" customHeight="1">
      <c r="A24" s="42">
        <v>2008.0</v>
      </c>
      <c r="B24" s="17" t="s">
        <v>841</v>
      </c>
      <c r="C24" s="54" t="str">
        <f>"每層降低5%爆擊抗性，可堆疊，最多"&amp;X24&amp;"層，持續"&amp;Y24&amp;"回合"</f>
        <v>每層降低5%爆擊抗性，可堆疊，最多5層，持續3回合</v>
      </c>
      <c r="D24" s="42" t="s">
        <v>658</v>
      </c>
      <c r="E24" s="42"/>
      <c r="F24" s="42"/>
      <c r="G24" s="42"/>
      <c r="H24" s="42"/>
      <c r="I24" s="42"/>
      <c r="J24" s="42"/>
      <c r="K24" s="42"/>
      <c r="L24" s="42"/>
      <c r="M24" s="8"/>
      <c r="N24" s="66">
        <v>-0.05</v>
      </c>
      <c r="O24" s="8"/>
      <c r="P24" s="8"/>
      <c r="Q24" s="8"/>
      <c r="R24" s="8"/>
      <c r="S24" s="8"/>
      <c r="T24" s="8"/>
      <c r="U24" s="8"/>
      <c r="V24" s="42"/>
      <c r="W24" s="42" t="b">
        <f t="shared" si="2"/>
        <v>1</v>
      </c>
      <c r="X24" s="42">
        <v>5.0</v>
      </c>
      <c r="Y24" s="42">
        <v>3.0</v>
      </c>
      <c r="Z24" s="8"/>
      <c r="AA24" s="8"/>
      <c r="AB24" s="8"/>
      <c r="AC24" s="8"/>
      <c r="AD24" s="42"/>
      <c r="AE24" s="8"/>
    </row>
    <row r="25" ht="14.25" customHeight="1">
      <c r="A25" s="42">
        <v>2009.0</v>
      </c>
      <c r="B25" s="17" t="s">
        <v>842</v>
      </c>
      <c r="C25" s="54" t="str">
        <f>"每層降低5%爆傷抗性，可堆疊，最多"&amp;X25&amp;"層，持續"&amp;Y25&amp;"回合"</f>
        <v>每層降低5%爆傷抗性，可堆疊，最多5層，持續3回合</v>
      </c>
      <c r="D25" s="42" t="s">
        <v>658</v>
      </c>
      <c r="E25" s="42"/>
      <c r="F25" s="42"/>
      <c r="G25" s="42"/>
      <c r="H25" s="42"/>
      <c r="I25" s="42"/>
      <c r="J25" s="42"/>
      <c r="K25" s="42"/>
      <c r="L25" s="42"/>
      <c r="M25" s="8"/>
      <c r="N25" s="8"/>
      <c r="O25" s="8"/>
      <c r="P25" s="8"/>
      <c r="Q25" s="8"/>
      <c r="R25" s="66">
        <v>-0.05</v>
      </c>
      <c r="S25" s="8"/>
      <c r="T25" s="8"/>
      <c r="U25" s="8"/>
      <c r="V25" s="42"/>
      <c r="W25" s="42" t="b">
        <f t="shared" si="2"/>
        <v>1</v>
      </c>
      <c r="X25" s="42">
        <v>5.0</v>
      </c>
      <c r="Y25" s="42">
        <v>3.0</v>
      </c>
      <c r="Z25" s="8"/>
      <c r="AA25" s="8"/>
      <c r="AB25" s="8"/>
      <c r="AC25" s="8"/>
      <c r="AD25" s="42"/>
      <c r="AE25" s="8"/>
    </row>
    <row r="26" ht="14.25" customHeight="1">
      <c r="A26" s="42">
        <v>2010.0</v>
      </c>
      <c r="B26" s="17" t="s">
        <v>843</v>
      </c>
      <c r="C26" s="54" t="str">
        <f>"每層降低5%技能傷害，可堆疊，最多"&amp;X26&amp;"層，持續"&amp;Y26&amp;"回合"</f>
        <v>每層降低5%技能傷害，可堆疊，最多5層，持續3回合</v>
      </c>
      <c r="D26" s="42" t="s">
        <v>658</v>
      </c>
      <c r="E26" s="42"/>
      <c r="F26" s="42"/>
      <c r="G26" s="42"/>
      <c r="H26" s="42"/>
      <c r="I26" s="42"/>
      <c r="J26" s="42"/>
      <c r="K26" s="42"/>
      <c r="L26" s="42"/>
      <c r="M26" s="8"/>
      <c r="N26" s="8"/>
      <c r="O26" s="8"/>
      <c r="P26" s="8"/>
      <c r="Q26" s="8"/>
      <c r="R26" s="8"/>
      <c r="S26" s="8"/>
      <c r="T26" s="66">
        <v>-0.05</v>
      </c>
      <c r="U26" s="8"/>
      <c r="V26" s="42"/>
      <c r="W26" s="42" t="b">
        <f t="shared" si="2"/>
        <v>1</v>
      </c>
      <c r="X26" s="42">
        <v>5.0</v>
      </c>
      <c r="Y26" s="42">
        <v>3.0</v>
      </c>
      <c r="Z26" s="8"/>
      <c r="AA26" s="8"/>
      <c r="AB26" s="8"/>
      <c r="AC26" s="8"/>
      <c r="AD26" s="42"/>
      <c r="AE26" s="8"/>
    </row>
    <row r="27" ht="14.25" customHeight="1">
      <c r="A27" s="42">
        <v>2011.0</v>
      </c>
      <c r="B27" s="17" t="s">
        <v>844</v>
      </c>
      <c r="C27" s="54" t="str">
        <f>"每層降低3%造成傷害，可堆疊，最多"&amp;X27&amp;"層，持續"&amp;Y27&amp;"回合"</f>
        <v>每層降低3%造成傷害，可堆疊，最多5層，持續3回合</v>
      </c>
      <c r="D27" s="42" t="s">
        <v>658</v>
      </c>
      <c r="E27" s="42"/>
      <c r="F27" s="42"/>
      <c r="G27" s="42"/>
      <c r="H27" s="42"/>
      <c r="I27" s="42"/>
      <c r="J27" s="42"/>
      <c r="K27" s="42"/>
      <c r="L27" s="42"/>
      <c r="M27" s="8"/>
      <c r="N27" s="8"/>
      <c r="O27" s="8"/>
      <c r="P27" s="8"/>
      <c r="Q27" s="8"/>
      <c r="R27" s="8"/>
      <c r="S27" s="8"/>
      <c r="T27" s="8"/>
      <c r="U27" s="66">
        <v>-0.03</v>
      </c>
      <c r="V27" s="42"/>
      <c r="W27" s="42" t="b">
        <f t="shared" si="2"/>
        <v>1</v>
      </c>
      <c r="X27" s="42">
        <v>5.0</v>
      </c>
      <c r="Y27" s="42">
        <v>3.0</v>
      </c>
      <c r="Z27" s="8"/>
      <c r="AA27" s="8"/>
      <c r="AB27" s="8"/>
      <c r="AC27" s="8"/>
      <c r="AD27" s="42"/>
      <c r="AE27" s="8"/>
    </row>
    <row r="28" ht="14.25" customHeight="1">
      <c r="A28" s="42">
        <v>2012.0</v>
      </c>
      <c r="B28" s="17" t="s">
        <v>848</v>
      </c>
      <c r="C28" s="54" t="str">
        <f>"每層增加3%受到傷害，可堆疊，最多"&amp;X28&amp;"層，持續"&amp;Y28&amp;"回合"</f>
        <v>每層增加3%受到傷害，可堆疊，最多5層，持續3回合</v>
      </c>
      <c r="D28" s="42" t="s">
        <v>658</v>
      </c>
      <c r="E28" s="42"/>
      <c r="F28" s="42"/>
      <c r="G28" s="42"/>
      <c r="H28" s="42"/>
      <c r="I28" s="42"/>
      <c r="J28" s="42"/>
      <c r="K28" s="42"/>
      <c r="L28" s="42"/>
      <c r="M28" s="8"/>
      <c r="N28" s="8"/>
      <c r="O28" s="8"/>
      <c r="P28" s="8"/>
      <c r="Q28" s="8"/>
      <c r="R28" s="8"/>
      <c r="S28" s="8"/>
      <c r="T28" s="8"/>
      <c r="U28" s="8"/>
      <c r="V28" s="66">
        <v>-0.03</v>
      </c>
      <c r="W28" s="42" t="b">
        <f t="shared" si="2"/>
        <v>1</v>
      </c>
      <c r="X28" s="42">
        <v>5.0</v>
      </c>
      <c r="Y28" s="42">
        <v>3.0</v>
      </c>
      <c r="Z28" s="8"/>
      <c r="AA28" s="8"/>
      <c r="AB28" s="8"/>
      <c r="AC28" s="8"/>
      <c r="AD28" s="42"/>
      <c r="AE28" s="8"/>
    </row>
    <row r="29" ht="14.25" customHeight="1">
      <c r="A29" s="47"/>
      <c r="B29" s="47"/>
      <c r="C29" s="49"/>
      <c r="D29" s="47"/>
      <c r="E29" s="47"/>
      <c r="F29" s="47"/>
      <c r="G29" s="47"/>
      <c r="H29" s="47"/>
      <c r="I29" s="47"/>
      <c r="J29" s="47"/>
      <c r="K29" s="47"/>
      <c r="L29" s="80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AD29" s="47"/>
    </row>
    <row r="30" ht="14.25" customHeight="1">
      <c r="A30" s="40" t="s">
        <v>381</v>
      </c>
      <c r="B30" s="40" t="s">
        <v>632</v>
      </c>
      <c r="C30" s="40" t="s">
        <v>633</v>
      </c>
      <c r="D30" s="40" t="s">
        <v>634</v>
      </c>
      <c r="E30" s="40" t="s">
        <v>636</v>
      </c>
      <c r="F30" s="40" t="s">
        <v>637</v>
      </c>
      <c r="G30" s="40" t="s">
        <v>638</v>
      </c>
      <c r="H30" s="40" t="s">
        <v>289</v>
      </c>
      <c r="I30" s="40" t="s">
        <v>290</v>
      </c>
      <c r="J30" s="40" t="s">
        <v>291</v>
      </c>
      <c r="K30" s="40" t="s">
        <v>292</v>
      </c>
      <c r="L30" s="40" t="s">
        <v>293</v>
      </c>
      <c r="M30" s="40" t="s">
        <v>134</v>
      </c>
      <c r="N30" s="40" t="s">
        <v>294</v>
      </c>
      <c r="O30" s="40" t="s">
        <v>295</v>
      </c>
      <c r="P30" s="40" t="s">
        <v>296</v>
      </c>
      <c r="Q30" s="40" t="s">
        <v>297</v>
      </c>
      <c r="R30" s="40" t="s">
        <v>298</v>
      </c>
      <c r="S30" s="40" t="s">
        <v>299</v>
      </c>
      <c r="T30" s="40" t="s">
        <v>300</v>
      </c>
      <c r="U30" s="40" t="s">
        <v>301</v>
      </c>
      <c r="V30" s="40" t="s">
        <v>302</v>
      </c>
      <c r="W30" s="40" t="s">
        <v>645</v>
      </c>
      <c r="X30" s="40" t="s">
        <v>646</v>
      </c>
      <c r="Y30" s="50" t="s">
        <v>648</v>
      </c>
      <c r="Z30" s="40" t="s">
        <v>650</v>
      </c>
      <c r="AA30" s="40" t="s">
        <v>651</v>
      </c>
      <c r="AB30" s="40" t="s">
        <v>652</v>
      </c>
      <c r="AC30" s="40" t="s">
        <v>653</v>
      </c>
      <c r="AD30" s="40" t="s">
        <v>654</v>
      </c>
      <c r="AE30" s="8" t="s">
        <v>657</v>
      </c>
    </row>
    <row r="31" ht="14.25" customHeight="1">
      <c r="A31" s="42">
        <v>1996.0</v>
      </c>
      <c r="B31" s="17" t="s">
        <v>851</v>
      </c>
      <c r="C31" s="54" t="str">
        <f>"將所有受到的傷害50%改由發起護衛者承擔"&amp;"持續"&amp;Y31&amp;"回合"</f>
        <v>將所有受到的傷害50%改由發起護衛者承擔持續2回合</v>
      </c>
      <c r="D31" s="42" t="s">
        <v>647</v>
      </c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 t="b">
        <f t="shared" ref="W31:W34" si="3">FALSE()</f>
        <v>0</v>
      </c>
      <c r="X31" s="42">
        <v>1.0</v>
      </c>
      <c r="Y31" s="42">
        <v>2.0</v>
      </c>
      <c r="Z31" s="8"/>
      <c r="AA31" s="8"/>
      <c r="AB31" s="8"/>
      <c r="AC31" s="8"/>
      <c r="AD31" s="42"/>
      <c r="AE31" s="8"/>
    </row>
    <row r="32" ht="14.25" customHeight="1">
      <c r="A32" s="42">
        <v>1997.0</v>
      </c>
      <c r="B32" s="17" t="s">
        <v>854</v>
      </c>
      <c r="C32" s="54" t="str">
        <f>"減少15%受到的傷害，並將受到傷害反射至攻擊者，"&amp;"持續"&amp;Y32&amp;"回合"</f>
        <v>減少15%受到的傷害，並將受到傷害反射至攻擊者，持續2回合</v>
      </c>
      <c r="D32" s="42" t="s">
        <v>647</v>
      </c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>
        <v>0.15</v>
      </c>
      <c r="Q32" s="42"/>
      <c r="R32" s="42"/>
      <c r="S32" s="42"/>
      <c r="T32" s="42"/>
      <c r="U32" s="42"/>
      <c r="V32" s="42"/>
      <c r="W32" s="42" t="b">
        <f t="shared" si="3"/>
        <v>0</v>
      </c>
      <c r="X32" s="42">
        <v>1.0</v>
      </c>
      <c r="Y32" s="42">
        <v>2.0</v>
      </c>
      <c r="Z32" s="8"/>
      <c r="AA32" s="8"/>
      <c r="AB32" s="8"/>
      <c r="AC32" s="8"/>
      <c r="AD32" s="42"/>
      <c r="AE32" s="8"/>
    </row>
    <row r="33" ht="14.25" customHeight="1">
      <c r="A33" s="42">
        <v>1998.0</v>
      </c>
      <c r="B33" s="17" t="s">
        <v>858</v>
      </c>
      <c r="C33" s="54" t="str">
        <f>"將所有受到的傷害改由發起護衛者承擔，"&amp;"持續"&amp;Y33&amp;"回合"</f>
        <v>將所有受到的傷害改由發起護衛者承擔，持續1回合</v>
      </c>
      <c r="D33" s="42" t="s">
        <v>647</v>
      </c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 t="b">
        <f t="shared" si="3"/>
        <v>0</v>
      </c>
      <c r="X33" s="42">
        <v>1.0</v>
      </c>
      <c r="Y33" s="42">
        <v>1.0</v>
      </c>
      <c r="Z33" s="8"/>
      <c r="AA33" s="8"/>
      <c r="AB33" s="8"/>
      <c r="AC33" s="8"/>
      <c r="AD33" s="42"/>
      <c r="AE33" s="8"/>
    </row>
    <row r="34" ht="14.25" customHeight="1">
      <c r="A34" s="42">
        <v>1999.0</v>
      </c>
      <c r="B34" s="17" t="s">
        <v>861</v>
      </c>
      <c r="C34" s="54" t="str">
        <f>"優先抵擋傷害的護盾HP，"&amp;"持續"&amp;Y34&amp;"回合"</f>
        <v>優先抵擋傷害的護盾HP，持續3回合</v>
      </c>
      <c r="D34" s="42" t="s">
        <v>647</v>
      </c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 t="b">
        <f t="shared" si="3"/>
        <v>0</v>
      </c>
      <c r="X34" s="42">
        <v>1.0</v>
      </c>
      <c r="Y34" s="42">
        <v>3.0</v>
      </c>
      <c r="Z34" s="8"/>
      <c r="AA34" s="8"/>
      <c r="AB34" s="8"/>
      <c r="AC34" s="8"/>
      <c r="AD34" s="42"/>
      <c r="AE34" s="8"/>
    </row>
    <row r="35" ht="14.25" customHeight="1">
      <c r="A35" s="47"/>
      <c r="B35" s="47"/>
      <c r="V35" s="47"/>
      <c r="Y35" s="47"/>
    </row>
    <row r="36" ht="14.25" customHeight="1">
      <c r="A36" s="40" t="s">
        <v>381</v>
      </c>
      <c r="B36" s="40" t="s">
        <v>632</v>
      </c>
      <c r="C36" s="40" t="s">
        <v>633</v>
      </c>
      <c r="D36" s="40" t="s">
        <v>634</v>
      </c>
      <c r="E36" s="40" t="s">
        <v>636</v>
      </c>
      <c r="F36" s="40" t="s">
        <v>637</v>
      </c>
      <c r="G36" s="40" t="s">
        <v>638</v>
      </c>
      <c r="H36" s="40" t="s">
        <v>289</v>
      </c>
      <c r="I36" s="40" t="s">
        <v>290</v>
      </c>
      <c r="J36" s="40" t="s">
        <v>291</v>
      </c>
      <c r="K36" s="40" t="s">
        <v>292</v>
      </c>
      <c r="L36" s="40" t="s">
        <v>293</v>
      </c>
      <c r="M36" s="40" t="s">
        <v>134</v>
      </c>
      <c r="N36" s="40" t="s">
        <v>294</v>
      </c>
      <c r="O36" s="40" t="s">
        <v>295</v>
      </c>
      <c r="P36" s="40" t="s">
        <v>296</v>
      </c>
      <c r="Q36" s="40" t="s">
        <v>297</v>
      </c>
      <c r="R36" s="40" t="s">
        <v>298</v>
      </c>
      <c r="S36" s="40" t="s">
        <v>299</v>
      </c>
      <c r="T36" s="40" t="s">
        <v>300</v>
      </c>
      <c r="U36" s="40" t="s">
        <v>301</v>
      </c>
      <c r="V36" s="40" t="s">
        <v>302</v>
      </c>
      <c r="W36" s="40" t="s">
        <v>645</v>
      </c>
      <c r="X36" s="40" t="s">
        <v>646</v>
      </c>
      <c r="Y36" s="50" t="s">
        <v>648</v>
      </c>
      <c r="Z36" s="40" t="s">
        <v>650</v>
      </c>
      <c r="AA36" s="40" t="s">
        <v>651</v>
      </c>
      <c r="AB36" s="40" t="s">
        <v>652</v>
      </c>
      <c r="AC36" s="40" t="s">
        <v>653</v>
      </c>
      <c r="AD36" s="40" t="s">
        <v>654</v>
      </c>
      <c r="AE36" s="8" t="s">
        <v>657</v>
      </c>
    </row>
    <row r="37" ht="14.25" customHeight="1">
      <c r="A37" s="42">
        <v>3001.0</v>
      </c>
      <c r="B37" s="17" t="s">
        <v>863</v>
      </c>
      <c r="C37" s="54" t="str">
        <f>"每回合恢復40%施術者魔法攻擊的HP恢復，"&amp;"持續"&amp;Y37&amp;"回合"</f>
        <v>每回合恢復40%施術者魔法攻擊的HP恢復，持續3回合</v>
      </c>
      <c r="D37" s="42" t="s">
        <v>647</v>
      </c>
      <c r="E37" s="42"/>
      <c r="F37" s="42"/>
      <c r="G37" s="42"/>
      <c r="H37" s="42"/>
      <c r="I37" s="42">
        <v>0.4</v>
      </c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 t="b">
        <f t="shared" ref="W37:W56" si="4">FALSE()</f>
        <v>0</v>
      </c>
      <c r="X37" s="42">
        <v>1.0</v>
      </c>
      <c r="Y37" s="42">
        <v>3.0</v>
      </c>
      <c r="Z37" s="8"/>
      <c r="AA37" s="8"/>
      <c r="AB37" s="8"/>
      <c r="AC37" s="8"/>
      <c r="AD37" s="42"/>
      <c r="AE37" s="8"/>
    </row>
    <row r="38" ht="14.25" customHeight="1">
      <c r="A38" s="42">
        <v>3002.0</v>
      </c>
      <c r="B38" s="17" t="s">
        <v>865</v>
      </c>
      <c r="C38" s="54" t="str">
        <f>"每回合恢復2%施術者魔法攻擊力的MP恢復，"&amp;"持續"&amp;Y38&amp;"回合"</f>
        <v>每回合恢復2%施術者魔法攻擊力的MP恢復，持續2回合</v>
      </c>
      <c r="D38" s="42" t="s">
        <v>647</v>
      </c>
      <c r="E38" s="42"/>
      <c r="F38" s="42"/>
      <c r="G38" s="42"/>
      <c r="H38" s="42"/>
      <c r="I38" s="42">
        <v>0.02</v>
      </c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 t="b">
        <f t="shared" si="4"/>
        <v>0</v>
      </c>
      <c r="X38" s="42">
        <v>1.0</v>
      </c>
      <c r="Y38" s="42">
        <v>2.0</v>
      </c>
      <c r="Z38" s="8"/>
      <c r="AA38" s="8"/>
      <c r="AB38" s="8"/>
      <c r="AC38" s="8"/>
      <c r="AD38" s="42"/>
      <c r="AE38" s="8"/>
    </row>
    <row r="39" ht="14.25" customHeight="1">
      <c r="A39" s="42">
        <v>3003.0</v>
      </c>
      <c r="B39" s="17" t="s">
        <v>868</v>
      </c>
      <c r="C39" s="54" t="str">
        <f>"回合結束時立即增加10%行動值，"&amp;"持續"&amp;Y39&amp;"回合"</f>
        <v>回合結束時立即增加10%行動值，持續2回合</v>
      </c>
      <c r="D39" s="42" t="s">
        <v>647</v>
      </c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>
        <v>0.1</v>
      </c>
      <c r="P39" s="42"/>
      <c r="Q39" s="42"/>
      <c r="R39" s="42"/>
      <c r="S39" s="42"/>
      <c r="T39" s="42"/>
      <c r="U39" s="42"/>
      <c r="V39" s="42"/>
      <c r="W39" s="42" t="b">
        <f t="shared" si="4"/>
        <v>0</v>
      </c>
      <c r="X39" s="42">
        <v>1.0</v>
      </c>
      <c r="Y39" s="42">
        <v>2.0</v>
      </c>
      <c r="Z39" s="8"/>
      <c r="AA39" s="8"/>
      <c r="AB39" s="8"/>
      <c r="AC39" s="8"/>
      <c r="AD39" s="42"/>
      <c r="AE39" s="8"/>
    </row>
    <row r="40" ht="14.25" customHeight="1">
      <c r="A40" s="42">
        <v>3004.0</v>
      </c>
      <c r="B40" s="17" t="s">
        <v>870</v>
      </c>
      <c r="C40" s="4" t="s">
        <v>871</v>
      </c>
      <c r="D40" s="42" t="s">
        <v>647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42">
        <v>0.2</v>
      </c>
      <c r="W40" s="42" t="b">
        <f t="shared" si="4"/>
        <v>0</v>
      </c>
      <c r="X40" s="42">
        <v>1.0</v>
      </c>
      <c r="Y40" s="42">
        <v>2.0</v>
      </c>
      <c r="Z40" s="8"/>
      <c r="AA40" s="8"/>
      <c r="AB40" s="8"/>
      <c r="AC40" s="8"/>
      <c r="AD40" s="42"/>
      <c r="AE40" s="8"/>
    </row>
    <row r="41" ht="14.25" customHeight="1">
      <c r="A41" s="42">
        <v>3005.0</v>
      </c>
      <c r="B41" s="17" t="s">
        <v>873</v>
      </c>
      <c r="C41" s="4" t="s">
        <v>874</v>
      </c>
      <c r="D41" s="42" t="s">
        <v>647</v>
      </c>
      <c r="E41" s="8"/>
      <c r="F41" s="8"/>
      <c r="G41" s="8"/>
      <c r="H41" s="8"/>
      <c r="I41" s="8"/>
      <c r="J41" s="8">
        <v>-0.3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42"/>
      <c r="W41" s="42" t="b">
        <f t="shared" si="4"/>
        <v>0</v>
      </c>
      <c r="X41" s="42">
        <v>1.0</v>
      </c>
      <c r="Y41" s="42">
        <v>2.0</v>
      </c>
      <c r="Z41" s="8"/>
      <c r="AA41" s="8"/>
      <c r="AB41" s="8"/>
      <c r="AC41" s="8"/>
      <c r="AD41" s="42"/>
      <c r="AE41" s="8"/>
    </row>
    <row r="42" ht="14.25" customHeight="1">
      <c r="A42" s="42">
        <v>3006.0</v>
      </c>
      <c r="B42" s="17" t="s">
        <v>875</v>
      </c>
      <c r="C42" s="4" t="s">
        <v>876</v>
      </c>
      <c r="D42" s="42" t="s">
        <v>647</v>
      </c>
      <c r="E42" s="8"/>
      <c r="F42" s="8"/>
      <c r="G42" s="8"/>
      <c r="H42" s="8"/>
      <c r="I42" s="8"/>
      <c r="J42" s="8"/>
      <c r="K42" s="8">
        <v>-0.3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42"/>
      <c r="W42" s="42" t="b">
        <f t="shared" si="4"/>
        <v>0</v>
      </c>
      <c r="X42" s="42">
        <v>1.0</v>
      </c>
      <c r="Y42" s="42">
        <v>2.0</v>
      </c>
      <c r="Z42" s="8"/>
      <c r="AA42" s="8"/>
      <c r="AB42" s="8"/>
      <c r="AC42" s="8"/>
      <c r="AD42" s="42"/>
      <c r="AE42" s="8"/>
    </row>
    <row r="43" ht="14.25" customHeight="1">
      <c r="A43" s="42">
        <v>3007.0</v>
      </c>
      <c r="B43" s="17" t="s">
        <v>878</v>
      </c>
      <c r="C43" s="4" t="s">
        <v>879</v>
      </c>
      <c r="D43" s="42" t="s">
        <v>647</v>
      </c>
      <c r="E43" s="8"/>
      <c r="F43" s="8"/>
      <c r="G43" s="8"/>
      <c r="H43" s="8"/>
      <c r="I43" s="8"/>
      <c r="J43" s="8"/>
      <c r="K43" s="8"/>
      <c r="L43" s="8">
        <v>0.3</v>
      </c>
      <c r="M43" s="8"/>
      <c r="N43" s="8"/>
      <c r="O43" s="8"/>
      <c r="P43" s="8"/>
      <c r="Q43" s="8"/>
      <c r="R43" s="8"/>
      <c r="S43" s="8"/>
      <c r="T43" s="8"/>
      <c r="U43" s="8"/>
      <c r="V43" s="42"/>
      <c r="W43" s="42" t="b">
        <f t="shared" si="4"/>
        <v>0</v>
      </c>
      <c r="X43" s="42">
        <v>1.0</v>
      </c>
      <c r="Y43" s="42">
        <v>2.0</v>
      </c>
      <c r="Z43" s="8"/>
      <c r="AA43" s="8"/>
      <c r="AB43" s="8"/>
      <c r="AC43" s="8"/>
      <c r="AD43" s="42"/>
      <c r="AE43" s="8"/>
    </row>
    <row r="44" ht="14.25" customHeight="1">
      <c r="A44" s="42">
        <v>3008.0</v>
      </c>
      <c r="B44" s="17" t="s">
        <v>881</v>
      </c>
      <c r="C44" s="4" t="s">
        <v>882</v>
      </c>
      <c r="D44" s="42" t="s">
        <v>647</v>
      </c>
      <c r="E44" s="8"/>
      <c r="F44" s="8"/>
      <c r="G44" s="8"/>
      <c r="H44" s="8"/>
      <c r="I44" s="8">
        <v>0.3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42"/>
      <c r="W44" s="42" t="b">
        <f t="shared" si="4"/>
        <v>0</v>
      </c>
      <c r="X44" s="42">
        <v>1.0</v>
      </c>
      <c r="Y44" s="42">
        <v>2.0</v>
      </c>
      <c r="Z44" s="8"/>
      <c r="AA44" s="8"/>
      <c r="AB44" s="8"/>
      <c r="AC44" s="8"/>
      <c r="AD44" s="42"/>
      <c r="AE44" s="8"/>
    </row>
    <row r="45" ht="14.25" customHeight="1">
      <c r="A45" s="42">
        <v>3009.0</v>
      </c>
      <c r="B45" s="17" t="s">
        <v>884</v>
      </c>
      <c r="C45" s="4" t="s">
        <v>885</v>
      </c>
      <c r="D45" s="42" t="s">
        <v>647</v>
      </c>
      <c r="E45" s="8"/>
      <c r="F45" s="8"/>
      <c r="G45" s="8"/>
      <c r="H45" s="8"/>
      <c r="I45" s="8">
        <v>0.5</v>
      </c>
      <c r="J45" s="8"/>
      <c r="K45" s="8"/>
      <c r="L45" s="8"/>
      <c r="M45" s="8"/>
      <c r="N45" s="8"/>
      <c r="O45" s="8"/>
      <c r="P45" s="8"/>
      <c r="Q45" s="8"/>
      <c r="R45" s="8"/>
      <c r="S45" s="8">
        <v>0.1</v>
      </c>
      <c r="T45" s="8"/>
      <c r="U45" s="8"/>
      <c r="V45" s="42"/>
      <c r="W45" s="42" t="b">
        <f t="shared" si="4"/>
        <v>0</v>
      </c>
      <c r="X45" s="42">
        <v>1.0</v>
      </c>
      <c r="Y45" s="42">
        <v>2.0</v>
      </c>
      <c r="Z45" s="8"/>
      <c r="AA45" s="8"/>
      <c r="AB45" s="8"/>
      <c r="AC45" s="8"/>
      <c r="AD45" s="42"/>
      <c r="AE45" s="8"/>
    </row>
    <row r="46" ht="14.25" customHeight="1">
      <c r="A46" s="42">
        <v>3010.0</v>
      </c>
      <c r="B46" s="17" t="s">
        <v>887</v>
      </c>
      <c r="C46" s="4" t="s">
        <v>888</v>
      </c>
      <c r="D46" s="42" t="s">
        <v>647</v>
      </c>
      <c r="E46" s="8"/>
      <c r="F46" s="8"/>
      <c r="G46" s="8"/>
      <c r="H46" s="8"/>
      <c r="I46" s="8"/>
      <c r="J46" s="8"/>
      <c r="K46" s="8"/>
      <c r="L46" s="8">
        <v>0.5</v>
      </c>
      <c r="M46" s="8"/>
      <c r="N46" s="8"/>
      <c r="O46" s="8"/>
      <c r="P46" s="8"/>
      <c r="Q46" s="8"/>
      <c r="R46" s="8"/>
      <c r="S46" s="8"/>
      <c r="T46" s="8"/>
      <c r="U46" s="8"/>
      <c r="V46" s="42"/>
      <c r="W46" s="42" t="b">
        <f t="shared" si="4"/>
        <v>0</v>
      </c>
      <c r="X46" s="42">
        <v>1.0</v>
      </c>
      <c r="Y46" s="42">
        <v>2.0</v>
      </c>
      <c r="Z46" s="8"/>
      <c r="AA46" s="8"/>
      <c r="AB46" s="8"/>
      <c r="AC46" s="8"/>
      <c r="AD46" s="42"/>
      <c r="AE46" s="8"/>
    </row>
    <row r="47" ht="14.25" customHeight="1">
      <c r="A47" s="42">
        <v>3011.0</v>
      </c>
      <c r="B47" s="17" t="s">
        <v>889</v>
      </c>
      <c r="C47" s="4" t="s">
        <v>890</v>
      </c>
      <c r="D47" s="42" t="s">
        <v>647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>
        <v>0.5</v>
      </c>
      <c r="R47" s="8"/>
      <c r="S47" s="8"/>
      <c r="T47" s="8"/>
      <c r="U47" s="8"/>
      <c r="V47" s="42"/>
      <c r="W47" s="42" t="b">
        <f t="shared" si="4"/>
        <v>0</v>
      </c>
      <c r="X47" s="42">
        <v>1.0</v>
      </c>
      <c r="Y47" s="42">
        <v>2.0</v>
      </c>
      <c r="Z47" s="8"/>
      <c r="AA47" s="8"/>
      <c r="AB47" s="8"/>
      <c r="AC47" s="8"/>
      <c r="AD47" s="42"/>
      <c r="AE47" s="8"/>
    </row>
    <row r="48" ht="14.25" customHeight="1">
      <c r="A48" s="42">
        <v>3012.0</v>
      </c>
      <c r="B48" s="17" t="s">
        <v>892</v>
      </c>
      <c r="C48" s="4" t="s">
        <v>893</v>
      </c>
      <c r="D48" s="42" t="s">
        <v>647</v>
      </c>
      <c r="E48" s="8"/>
      <c r="F48" s="8"/>
      <c r="G48" s="8"/>
      <c r="H48" s="8"/>
      <c r="I48" s="8"/>
      <c r="J48" s="8"/>
      <c r="K48" s="8"/>
      <c r="L48" s="8">
        <v>0.3</v>
      </c>
      <c r="M48" s="8"/>
      <c r="N48" s="8"/>
      <c r="O48" s="8"/>
      <c r="P48" s="8"/>
      <c r="Q48" s="8">
        <v>0.4</v>
      </c>
      <c r="R48" s="8"/>
      <c r="S48" s="8"/>
      <c r="T48" s="8"/>
      <c r="U48" s="8"/>
      <c r="V48" s="42"/>
      <c r="W48" s="42" t="b">
        <f t="shared" si="4"/>
        <v>0</v>
      </c>
      <c r="X48" s="42">
        <v>1.0</v>
      </c>
      <c r="Y48" s="42">
        <v>2.0</v>
      </c>
      <c r="Z48" s="8"/>
      <c r="AA48" s="8"/>
      <c r="AB48" s="8"/>
      <c r="AC48" s="8"/>
      <c r="AD48" s="42"/>
      <c r="AE48" s="8"/>
    </row>
    <row r="49" ht="14.25" customHeight="1">
      <c r="A49" s="42">
        <v>3013.0</v>
      </c>
      <c r="B49" s="17" t="s">
        <v>896</v>
      </c>
      <c r="C49" s="4" t="s">
        <v>897</v>
      </c>
      <c r="D49" s="42" t="s">
        <v>647</v>
      </c>
      <c r="E49" s="8"/>
      <c r="F49" s="8"/>
      <c r="G49" s="8"/>
      <c r="H49" s="8">
        <v>0.5</v>
      </c>
      <c r="I49" s="8">
        <v>0.5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42"/>
      <c r="W49" s="42" t="b">
        <f t="shared" si="4"/>
        <v>0</v>
      </c>
      <c r="X49" s="42">
        <v>1.0</v>
      </c>
      <c r="Y49" s="42">
        <v>1.0</v>
      </c>
      <c r="Z49" s="8"/>
      <c r="AA49" s="8"/>
      <c r="AB49" s="8"/>
      <c r="AC49" s="8"/>
      <c r="AD49" s="42"/>
      <c r="AE49" s="8"/>
    </row>
    <row r="50" ht="14.25" customHeight="1">
      <c r="A50" s="42">
        <v>3014.0</v>
      </c>
      <c r="B50" s="17" t="s">
        <v>898</v>
      </c>
      <c r="C50" s="4" t="s">
        <v>899</v>
      </c>
      <c r="D50" s="42" t="s">
        <v>647</v>
      </c>
      <c r="E50" s="8"/>
      <c r="F50" s="8"/>
      <c r="G50" s="8"/>
      <c r="H50" s="8"/>
      <c r="I50" s="8"/>
      <c r="J50" s="8"/>
      <c r="K50" s="8"/>
      <c r="L50" s="8">
        <v>0.1</v>
      </c>
      <c r="M50" s="8"/>
      <c r="N50" s="8"/>
      <c r="O50" s="8"/>
      <c r="P50" s="8"/>
      <c r="Q50" s="8"/>
      <c r="R50" s="8"/>
      <c r="S50" s="8"/>
      <c r="T50" s="8"/>
      <c r="U50" s="8"/>
      <c r="V50" s="42"/>
      <c r="W50" s="42" t="b">
        <f t="shared" si="4"/>
        <v>0</v>
      </c>
      <c r="X50" s="42">
        <v>1.0</v>
      </c>
      <c r="Y50" s="42">
        <v>2.0</v>
      </c>
      <c r="Z50" s="8"/>
      <c r="AA50" s="8"/>
      <c r="AB50" s="8"/>
      <c r="AC50" s="8"/>
      <c r="AD50" s="42"/>
      <c r="AE50" s="8"/>
    </row>
    <row r="51" ht="14.25" customHeight="1">
      <c r="A51" s="42">
        <v>3015.0</v>
      </c>
      <c r="B51" s="17" t="s">
        <v>901</v>
      </c>
      <c r="C51" s="4" t="s">
        <v>902</v>
      </c>
      <c r="D51" s="42" t="s">
        <v>647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>
        <v>-0.5</v>
      </c>
      <c r="U51" s="8"/>
      <c r="V51" s="42"/>
      <c r="W51" s="42" t="b">
        <f t="shared" si="4"/>
        <v>0</v>
      </c>
      <c r="X51" s="42">
        <v>1.0</v>
      </c>
      <c r="Y51" s="42">
        <v>1.0</v>
      </c>
      <c r="Z51" s="8"/>
      <c r="AA51" s="8"/>
      <c r="AB51" s="8"/>
      <c r="AC51" s="8"/>
      <c r="AD51" s="42"/>
      <c r="AE51" s="8"/>
    </row>
    <row r="52" ht="14.25" customHeight="1">
      <c r="A52" s="42">
        <v>3016.0</v>
      </c>
      <c r="B52" s="17" t="s">
        <v>905</v>
      </c>
      <c r="C52" s="4" t="s">
        <v>906</v>
      </c>
      <c r="D52" s="42" t="s">
        <v>647</v>
      </c>
      <c r="E52" s="8"/>
      <c r="F52" s="8"/>
      <c r="G52" s="8"/>
      <c r="H52" s="8"/>
      <c r="I52" s="8"/>
      <c r="J52" s="8"/>
      <c r="K52" s="8"/>
      <c r="L52" s="8">
        <v>1.0</v>
      </c>
      <c r="M52" s="8"/>
      <c r="N52" s="8"/>
      <c r="O52" s="8"/>
      <c r="P52" s="8"/>
      <c r="Q52" s="8"/>
      <c r="R52" s="8"/>
      <c r="S52" s="8"/>
      <c r="T52" s="8"/>
      <c r="U52" s="8"/>
      <c r="V52" s="42"/>
      <c r="W52" s="42" t="b">
        <f t="shared" si="4"/>
        <v>0</v>
      </c>
      <c r="X52" s="42">
        <v>1.0</v>
      </c>
      <c r="Y52" s="42">
        <v>1.0</v>
      </c>
      <c r="Z52" s="8"/>
      <c r="AA52" s="8"/>
      <c r="AB52" s="8"/>
      <c r="AC52" s="8"/>
      <c r="AD52" s="42"/>
      <c r="AE52" s="8"/>
    </row>
    <row r="53" ht="14.25" customHeight="1">
      <c r="A53" s="42">
        <v>3017.0</v>
      </c>
      <c r="B53" s="17" t="s">
        <v>907</v>
      </c>
      <c r="C53" s="4" t="s">
        <v>908</v>
      </c>
      <c r="D53" s="42" t="s">
        <v>647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>
        <v>0.5</v>
      </c>
      <c r="S53" s="8"/>
      <c r="T53" s="8"/>
      <c r="U53" s="8"/>
      <c r="V53" s="42">
        <v>0.1</v>
      </c>
      <c r="W53" s="42" t="b">
        <f t="shared" si="4"/>
        <v>0</v>
      </c>
      <c r="X53" s="42">
        <v>1.0</v>
      </c>
      <c r="Y53" s="42">
        <v>2.0</v>
      </c>
      <c r="Z53" s="8"/>
      <c r="AA53" s="8"/>
      <c r="AB53" s="8"/>
      <c r="AC53" s="8"/>
      <c r="AD53" s="42"/>
      <c r="AE53" s="8"/>
    </row>
    <row r="54" ht="14.25" customHeight="1">
      <c r="A54" s="42">
        <v>3018.0</v>
      </c>
      <c r="B54" s="17" t="s">
        <v>911</v>
      </c>
      <c r="C54" s="4" t="s">
        <v>912</v>
      </c>
      <c r="D54" s="42" t="s">
        <v>647</v>
      </c>
      <c r="E54" s="8"/>
      <c r="F54" s="8"/>
      <c r="G54" s="8"/>
      <c r="H54" s="8">
        <v>0.8</v>
      </c>
      <c r="I54" s="8">
        <v>0.8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42"/>
      <c r="W54" s="42" t="b">
        <f t="shared" si="4"/>
        <v>0</v>
      </c>
      <c r="X54" s="42">
        <v>1.0</v>
      </c>
      <c r="Y54" s="42">
        <v>5.0</v>
      </c>
      <c r="Z54" s="8"/>
      <c r="AA54" s="8"/>
      <c r="AB54" s="8"/>
      <c r="AC54" s="8"/>
      <c r="AD54" s="42"/>
      <c r="AE54" s="8"/>
    </row>
    <row r="55" ht="16.5" customHeight="1">
      <c r="A55" s="42">
        <v>3019.0</v>
      </c>
      <c r="B55" s="17" t="s">
        <v>915</v>
      </c>
      <c r="C55" s="4" t="s">
        <v>917</v>
      </c>
      <c r="D55" s="42" t="s">
        <v>647</v>
      </c>
      <c r="E55" s="8"/>
      <c r="F55" s="8"/>
      <c r="G55" s="8"/>
      <c r="H55" s="8"/>
      <c r="I55" s="8"/>
      <c r="J55" s="8"/>
      <c r="K55" s="8"/>
      <c r="L55" s="8">
        <v>1.0</v>
      </c>
      <c r="M55" s="8"/>
      <c r="N55" s="8"/>
      <c r="O55" s="8"/>
      <c r="P55" s="8"/>
      <c r="Q55" s="8"/>
      <c r="R55" s="8"/>
      <c r="S55" s="8"/>
      <c r="T55" s="8"/>
      <c r="U55" s="8"/>
      <c r="V55" s="42"/>
      <c r="W55" s="42" t="b">
        <f t="shared" si="4"/>
        <v>0</v>
      </c>
      <c r="X55" s="42">
        <v>1.0</v>
      </c>
      <c r="Y55" s="42">
        <v>3.0</v>
      </c>
      <c r="Z55" s="42"/>
      <c r="AA55" s="42"/>
      <c r="AB55" s="42"/>
      <c r="AC55" s="42"/>
      <c r="AD55" s="42"/>
      <c r="AE55" s="42"/>
    </row>
    <row r="56" ht="14.25" customHeight="1">
      <c r="A56" s="42">
        <v>3020.0</v>
      </c>
      <c r="B56" s="17" t="s">
        <v>195</v>
      </c>
      <c r="C56" s="8" t="s">
        <v>920</v>
      </c>
      <c r="D56" s="42" t="s">
        <v>647</v>
      </c>
      <c r="E56" s="8"/>
      <c r="F56" s="8">
        <v>56.0</v>
      </c>
      <c r="G56" s="8"/>
      <c r="H56" s="8">
        <v>0.3</v>
      </c>
      <c r="I56" s="8"/>
      <c r="J56" s="8"/>
      <c r="K56" s="8"/>
      <c r="L56" s="8">
        <v>0.2</v>
      </c>
      <c r="M56" s="8"/>
      <c r="N56" s="8"/>
      <c r="O56" s="8"/>
      <c r="P56" s="8"/>
      <c r="Q56" s="8">
        <v>0.5</v>
      </c>
      <c r="R56" s="8"/>
      <c r="S56" s="8"/>
      <c r="T56" s="8"/>
      <c r="U56" s="8"/>
      <c r="V56" s="42"/>
      <c r="W56" s="42" t="b">
        <f t="shared" si="4"/>
        <v>0</v>
      </c>
      <c r="X56" s="42">
        <v>1.0</v>
      </c>
      <c r="Y56" s="42">
        <v>3.0</v>
      </c>
      <c r="Z56" s="42"/>
      <c r="AA56" s="42"/>
      <c r="AB56" s="42"/>
      <c r="AC56" s="42"/>
      <c r="AD56" s="42"/>
      <c r="AE56" s="42"/>
    </row>
    <row r="57" ht="14.25" customHeight="1">
      <c r="A57" s="47"/>
      <c r="B57" s="47"/>
      <c r="V57" s="47"/>
    </row>
    <row r="58" ht="14.25" customHeight="1">
      <c r="A58" s="40" t="s">
        <v>381</v>
      </c>
      <c r="B58" s="40" t="s">
        <v>632</v>
      </c>
      <c r="C58" s="40" t="s">
        <v>633</v>
      </c>
      <c r="D58" s="40" t="s">
        <v>634</v>
      </c>
      <c r="E58" s="40" t="s">
        <v>636</v>
      </c>
      <c r="F58" s="40" t="s">
        <v>637</v>
      </c>
      <c r="G58" s="40" t="s">
        <v>638</v>
      </c>
      <c r="H58" s="40" t="s">
        <v>289</v>
      </c>
      <c r="I58" s="40" t="s">
        <v>290</v>
      </c>
      <c r="J58" s="40" t="s">
        <v>291</v>
      </c>
      <c r="K58" s="40" t="s">
        <v>292</v>
      </c>
      <c r="L58" s="40" t="s">
        <v>293</v>
      </c>
      <c r="M58" s="40" t="s">
        <v>134</v>
      </c>
      <c r="N58" s="40" t="s">
        <v>294</v>
      </c>
      <c r="O58" s="40" t="s">
        <v>295</v>
      </c>
      <c r="P58" s="40" t="s">
        <v>296</v>
      </c>
      <c r="Q58" s="40" t="s">
        <v>297</v>
      </c>
      <c r="R58" s="40" t="s">
        <v>298</v>
      </c>
      <c r="S58" s="40" t="s">
        <v>299</v>
      </c>
      <c r="T58" s="40" t="s">
        <v>300</v>
      </c>
      <c r="U58" s="40" t="s">
        <v>301</v>
      </c>
      <c r="V58" s="40" t="s">
        <v>302</v>
      </c>
      <c r="W58" s="40" t="s">
        <v>645</v>
      </c>
      <c r="X58" s="40" t="s">
        <v>646</v>
      </c>
      <c r="Y58" s="50" t="s">
        <v>648</v>
      </c>
      <c r="Z58" s="40" t="s">
        <v>650</v>
      </c>
      <c r="AA58" s="40" t="s">
        <v>651</v>
      </c>
      <c r="AB58" s="40" t="s">
        <v>652</v>
      </c>
      <c r="AC58" s="40" t="s">
        <v>653</v>
      </c>
      <c r="AD58" s="40" t="s">
        <v>654</v>
      </c>
      <c r="AE58" s="8" t="s">
        <v>657</v>
      </c>
    </row>
    <row r="59" ht="14.25" customHeight="1">
      <c r="A59" s="42">
        <v>4001.0</v>
      </c>
      <c r="B59" s="17" t="s">
        <v>923</v>
      </c>
      <c r="C59" s="54" t="str">
        <f t="shared" ref="C59:C62" si="5">"每層於每回合給予施術者5%魔法攻擊的傷害，"&amp;"最多"&amp;X59&amp;"層，"&amp;"持續"&amp;Y59&amp;"回合"</f>
        <v>每層於每回合給予施術者5%魔法攻擊的傷害，最多20層，持續3回合</v>
      </c>
      <c r="D59" s="42" t="s">
        <v>658</v>
      </c>
      <c r="E59" s="42"/>
      <c r="F59" s="42"/>
      <c r="G59" s="42"/>
      <c r="H59" s="42"/>
      <c r="I59" s="42">
        <v>-0.05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 t="b">
        <f t="shared" ref="W59:W63" si="6">TRUE()</f>
        <v>1</v>
      </c>
      <c r="X59" s="42">
        <v>20.0</v>
      </c>
      <c r="Y59" s="42">
        <v>3.0</v>
      </c>
      <c r="Z59" s="8"/>
      <c r="AA59" s="8"/>
      <c r="AB59" s="8"/>
      <c r="AC59" s="8"/>
      <c r="AD59" s="42"/>
      <c r="AE59" s="8"/>
    </row>
    <row r="60" ht="14.25" customHeight="1">
      <c r="A60" s="42">
        <v>4002.0</v>
      </c>
      <c r="B60" s="17" t="s">
        <v>926</v>
      </c>
      <c r="C60" s="54" t="str">
        <f t="shared" si="5"/>
        <v>每層於每回合給予施術者5%魔法攻擊的傷害，最多10層，持續2回合</v>
      </c>
      <c r="D60" s="42" t="s">
        <v>658</v>
      </c>
      <c r="E60" s="42"/>
      <c r="F60" s="42"/>
      <c r="G60" s="42"/>
      <c r="H60" s="42"/>
      <c r="I60" s="42">
        <v>-0.1</v>
      </c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 t="b">
        <f t="shared" si="6"/>
        <v>1</v>
      </c>
      <c r="X60" s="42">
        <v>10.0</v>
      </c>
      <c r="Y60" s="42">
        <v>2.0</v>
      </c>
      <c r="Z60" s="8"/>
      <c r="AA60" s="8"/>
      <c r="AB60" s="8"/>
      <c r="AC60" s="8"/>
      <c r="AD60" s="42"/>
      <c r="AE60" s="8"/>
    </row>
    <row r="61" ht="14.25" customHeight="1">
      <c r="A61" s="42">
        <v>4003.0</v>
      </c>
      <c r="B61" s="17" t="s">
        <v>928</v>
      </c>
      <c r="C61" s="54" t="str">
        <f t="shared" si="5"/>
        <v>每層於每回合給予施術者5%魔法攻擊的傷害，最多10層，持續2回合</v>
      </c>
      <c r="D61" s="42" t="s">
        <v>658</v>
      </c>
      <c r="E61" s="42"/>
      <c r="F61" s="42"/>
      <c r="G61" s="42"/>
      <c r="H61" s="42">
        <v>-0.1</v>
      </c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 t="b">
        <f t="shared" si="6"/>
        <v>1</v>
      </c>
      <c r="X61" s="42">
        <v>10.0</v>
      </c>
      <c r="Y61" s="42">
        <v>2.0</v>
      </c>
      <c r="Z61" s="8"/>
      <c r="AA61" s="8"/>
      <c r="AB61" s="8"/>
      <c r="AC61" s="8"/>
      <c r="AD61" s="42"/>
      <c r="AE61" s="8"/>
    </row>
    <row r="62" ht="14.25" customHeight="1">
      <c r="A62" s="42">
        <v>4004.0</v>
      </c>
      <c r="B62" s="17" t="s">
        <v>930</v>
      </c>
      <c r="C62" s="54" t="str">
        <f t="shared" si="5"/>
        <v>每層於每回合給予施術者5%魔法攻擊的傷害，最多20層，持續3回合</v>
      </c>
      <c r="D62" s="42" t="s">
        <v>658</v>
      </c>
      <c r="E62" s="42"/>
      <c r="F62" s="42"/>
      <c r="G62" s="42"/>
      <c r="H62" s="42">
        <v>-0.05</v>
      </c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 t="b">
        <f t="shared" si="6"/>
        <v>1</v>
      </c>
      <c r="X62" s="42">
        <v>20.0</v>
      </c>
      <c r="Y62" s="42">
        <v>3.0</v>
      </c>
      <c r="Z62" s="8"/>
      <c r="AA62" s="8"/>
      <c r="AB62" s="8"/>
      <c r="AC62" s="8"/>
      <c r="AD62" s="42"/>
      <c r="AE62" s="8"/>
    </row>
    <row r="63" ht="14.25" customHeight="1">
      <c r="A63" s="42">
        <v>4005.0</v>
      </c>
      <c r="B63" s="17" t="s">
        <v>932</v>
      </c>
      <c r="C63" s="82" t="s">
        <v>933</v>
      </c>
      <c r="D63" s="42" t="s">
        <v>658</v>
      </c>
      <c r="E63" s="42"/>
      <c r="F63" s="42"/>
      <c r="G63" s="42"/>
      <c r="H63" s="42">
        <v>-0.05</v>
      </c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 t="b">
        <f t="shared" si="6"/>
        <v>1</v>
      </c>
      <c r="X63" s="42">
        <v>20.0</v>
      </c>
      <c r="Y63" s="42">
        <v>3.0</v>
      </c>
      <c r="Z63" s="8"/>
      <c r="AA63" s="8"/>
      <c r="AB63" s="8"/>
      <c r="AC63" s="8"/>
      <c r="AD63" s="42"/>
      <c r="AE63" s="8"/>
    </row>
    <row r="64" ht="14.25" customHeight="1">
      <c r="A64" s="47"/>
      <c r="B64" s="47"/>
      <c r="V64" s="47"/>
    </row>
    <row r="65" ht="14.25" customHeight="1">
      <c r="A65" s="40" t="s">
        <v>381</v>
      </c>
      <c r="B65" s="40" t="s">
        <v>632</v>
      </c>
      <c r="C65" s="40" t="s">
        <v>633</v>
      </c>
      <c r="D65" s="40" t="s">
        <v>634</v>
      </c>
      <c r="E65" s="40" t="s">
        <v>636</v>
      </c>
      <c r="F65" s="40" t="s">
        <v>637</v>
      </c>
      <c r="G65" s="40" t="s">
        <v>638</v>
      </c>
      <c r="H65" s="40" t="s">
        <v>289</v>
      </c>
      <c r="I65" s="40" t="s">
        <v>290</v>
      </c>
      <c r="J65" s="40" t="s">
        <v>291</v>
      </c>
      <c r="K65" s="40" t="s">
        <v>292</v>
      </c>
      <c r="L65" s="40" t="s">
        <v>293</v>
      </c>
      <c r="M65" s="40" t="s">
        <v>134</v>
      </c>
      <c r="N65" s="40" t="s">
        <v>294</v>
      </c>
      <c r="O65" s="40" t="s">
        <v>295</v>
      </c>
      <c r="P65" s="40" t="s">
        <v>296</v>
      </c>
      <c r="Q65" s="40" t="s">
        <v>297</v>
      </c>
      <c r="R65" s="40" t="s">
        <v>298</v>
      </c>
      <c r="S65" s="40" t="s">
        <v>299</v>
      </c>
      <c r="T65" s="40" t="s">
        <v>300</v>
      </c>
      <c r="U65" s="40" t="s">
        <v>301</v>
      </c>
      <c r="V65" s="40" t="s">
        <v>302</v>
      </c>
      <c r="W65" s="40" t="s">
        <v>645</v>
      </c>
      <c r="X65" s="40" t="s">
        <v>646</v>
      </c>
      <c r="Y65" s="50" t="s">
        <v>648</v>
      </c>
      <c r="Z65" s="40" t="s">
        <v>650</v>
      </c>
      <c r="AA65" s="40" t="s">
        <v>651</v>
      </c>
      <c r="AB65" s="40" t="s">
        <v>652</v>
      </c>
      <c r="AC65" s="40" t="s">
        <v>653</v>
      </c>
      <c r="AD65" s="40" t="s">
        <v>654</v>
      </c>
      <c r="AE65" s="8" t="s">
        <v>657</v>
      </c>
    </row>
    <row r="66" ht="14.25" customHeight="1">
      <c r="A66" s="42">
        <v>5001.0</v>
      </c>
      <c r="B66" s="17" t="s">
        <v>938</v>
      </c>
      <c r="C66" s="54" t="s">
        <v>939</v>
      </c>
      <c r="D66" s="42" t="s">
        <v>658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42"/>
      <c r="R66" s="42"/>
      <c r="S66" s="42"/>
      <c r="T66" s="42"/>
      <c r="U66" s="42"/>
      <c r="V66" s="42"/>
      <c r="W66" s="42" t="b">
        <f t="shared" ref="W66:W71" si="7">FALSE()</f>
        <v>0</v>
      </c>
      <c r="X66" s="42">
        <v>1.0</v>
      </c>
      <c r="Y66" s="42">
        <v>1.0</v>
      </c>
      <c r="Z66" s="8"/>
      <c r="AA66" s="8"/>
      <c r="AB66" s="8"/>
      <c r="AC66" s="8"/>
      <c r="AD66" s="42"/>
      <c r="AE66" s="8"/>
    </row>
    <row r="67" ht="14.25" customHeight="1">
      <c r="A67" s="42">
        <v>5002.0</v>
      </c>
      <c r="B67" s="17" t="s">
        <v>940</v>
      </c>
      <c r="C67" s="54" t="s">
        <v>939</v>
      </c>
      <c r="D67" s="42" t="s">
        <v>658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42"/>
      <c r="R67" s="42"/>
      <c r="S67" s="42"/>
      <c r="T67" s="42"/>
      <c r="U67" s="42"/>
      <c r="V67" s="42"/>
      <c r="W67" s="42" t="b">
        <f t="shared" si="7"/>
        <v>0</v>
      </c>
      <c r="X67" s="42">
        <v>1.0</v>
      </c>
      <c r="Y67" s="42">
        <v>1.0</v>
      </c>
      <c r="Z67" s="8"/>
      <c r="AA67" s="8"/>
      <c r="AB67" s="8"/>
      <c r="AC67" s="8"/>
      <c r="AD67" s="42"/>
      <c r="AE67" s="8"/>
    </row>
    <row r="68" ht="14.25" customHeight="1">
      <c r="A68" s="42">
        <v>5003.0</v>
      </c>
      <c r="B68" s="17" t="s">
        <v>942</v>
      </c>
      <c r="C68" s="54" t="s">
        <v>939</v>
      </c>
      <c r="D68" s="42" t="s">
        <v>658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42"/>
      <c r="R68" s="42"/>
      <c r="S68" s="42"/>
      <c r="T68" s="42"/>
      <c r="U68" s="42"/>
      <c r="V68" s="42"/>
      <c r="W68" s="42" t="b">
        <f t="shared" si="7"/>
        <v>0</v>
      </c>
      <c r="X68" s="42">
        <v>1.0</v>
      </c>
      <c r="Y68" s="42">
        <v>1.0</v>
      </c>
      <c r="Z68" s="8"/>
      <c r="AA68" s="8"/>
      <c r="AB68" s="8"/>
      <c r="AC68" s="8"/>
      <c r="AD68" s="42"/>
      <c r="AE68" s="8"/>
    </row>
    <row r="69" ht="14.25" customHeight="1">
      <c r="A69" s="42">
        <v>5004.0</v>
      </c>
      <c r="B69" s="17" t="s">
        <v>947</v>
      </c>
      <c r="C69" s="54" t="s">
        <v>939</v>
      </c>
      <c r="D69" s="42" t="s">
        <v>658</v>
      </c>
      <c r="E69" s="8"/>
      <c r="F69" s="8"/>
      <c r="G69" s="8"/>
      <c r="H69" s="8"/>
      <c r="I69" s="8"/>
      <c r="J69" s="8"/>
      <c r="K69" s="8"/>
      <c r="L69" s="8"/>
      <c r="M69" s="42"/>
      <c r="N69" s="8"/>
      <c r="O69" s="8"/>
      <c r="P69" s="8"/>
      <c r="Q69" s="42"/>
      <c r="R69" s="42"/>
      <c r="S69" s="42"/>
      <c r="T69" s="42"/>
      <c r="U69" s="42"/>
      <c r="V69" s="42"/>
      <c r="W69" s="42" t="b">
        <f t="shared" si="7"/>
        <v>0</v>
      </c>
      <c r="X69" s="42">
        <v>1.0</v>
      </c>
      <c r="Y69" s="42">
        <v>1.0</v>
      </c>
      <c r="Z69" s="8"/>
      <c r="AA69" s="8"/>
      <c r="AB69" s="8"/>
      <c r="AC69" s="8"/>
      <c r="AD69" s="42"/>
      <c r="AE69" s="8"/>
    </row>
    <row r="70" ht="14.25" customHeight="1">
      <c r="A70" s="42">
        <v>5005.0</v>
      </c>
      <c r="B70" s="17" t="s">
        <v>952</v>
      </c>
      <c r="C70" s="54" t="s">
        <v>953</v>
      </c>
      <c r="D70" s="42" t="s">
        <v>647</v>
      </c>
      <c r="E70" s="8">
        <v>5006.0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42"/>
      <c r="R70" s="42"/>
      <c r="S70" s="42"/>
      <c r="T70" s="42"/>
      <c r="U70" s="42"/>
      <c r="V70" s="42"/>
      <c r="W70" s="42" t="b">
        <f t="shared" si="7"/>
        <v>0</v>
      </c>
      <c r="X70" s="42">
        <v>1.0</v>
      </c>
      <c r="Y70" s="42">
        <v>1.0</v>
      </c>
      <c r="Z70" s="8"/>
      <c r="AA70" s="8"/>
      <c r="AB70" s="8"/>
      <c r="AC70" s="8"/>
      <c r="AD70" s="42"/>
      <c r="AE70" s="8"/>
    </row>
    <row r="71" ht="14.25" customHeight="1">
      <c r="A71" s="42">
        <v>5006.0</v>
      </c>
      <c r="B71" s="17" t="s">
        <v>956</v>
      </c>
      <c r="C71" s="4" t="s">
        <v>957</v>
      </c>
      <c r="D71" s="42" t="s">
        <v>647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42"/>
      <c r="W71" s="42" t="b">
        <f t="shared" si="7"/>
        <v>0</v>
      </c>
      <c r="X71" s="42">
        <v>1.0</v>
      </c>
      <c r="Y71" s="42">
        <v>1.0</v>
      </c>
      <c r="Z71" s="8"/>
      <c r="AA71" s="8"/>
      <c r="AB71" s="8"/>
      <c r="AC71" s="8"/>
      <c r="AD71" s="42"/>
      <c r="AE71" s="8"/>
    </row>
    <row r="72" ht="14.25" customHeight="1">
      <c r="A72" s="47"/>
      <c r="B72" s="47"/>
      <c r="V72" s="47"/>
    </row>
    <row r="73" ht="14.25" customHeight="1">
      <c r="A73" s="40" t="s">
        <v>381</v>
      </c>
      <c r="B73" s="40" t="s">
        <v>632</v>
      </c>
      <c r="C73" s="40" t="s">
        <v>633</v>
      </c>
      <c r="D73" s="40" t="s">
        <v>634</v>
      </c>
      <c r="E73" s="40" t="s">
        <v>636</v>
      </c>
      <c r="F73" s="40" t="s">
        <v>637</v>
      </c>
      <c r="G73" s="40" t="s">
        <v>638</v>
      </c>
      <c r="H73" s="40" t="s">
        <v>289</v>
      </c>
      <c r="I73" s="40" t="s">
        <v>290</v>
      </c>
      <c r="J73" s="40" t="s">
        <v>291</v>
      </c>
      <c r="K73" s="40" t="s">
        <v>292</v>
      </c>
      <c r="L73" s="40" t="s">
        <v>293</v>
      </c>
      <c r="M73" s="40" t="s">
        <v>134</v>
      </c>
      <c r="N73" s="40" t="s">
        <v>294</v>
      </c>
      <c r="O73" s="40" t="s">
        <v>295</v>
      </c>
      <c r="P73" s="40" t="s">
        <v>296</v>
      </c>
      <c r="Q73" s="40" t="s">
        <v>297</v>
      </c>
      <c r="R73" s="40" t="s">
        <v>298</v>
      </c>
      <c r="S73" s="40" t="s">
        <v>299</v>
      </c>
      <c r="T73" s="40" t="s">
        <v>300</v>
      </c>
      <c r="U73" s="40" t="s">
        <v>301</v>
      </c>
      <c r="V73" s="40" t="s">
        <v>302</v>
      </c>
      <c r="W73" s="40" t="s">
        <v>645</v>
      </c>
      <c r="X73" s="40" t="s">
        <v>646</v>
      </c>
      <c r="Y73" s="50" t="s">
        <v>648</v>
      </c>
      <c r="Z73" s="40" t="s">
        <v>650</v>
      </c>
      <c r="AA73" s="40" t="s">
        <v>651</v>
      </c>
      <c r="AB73" s="40" t="s">
        <v>652</v>
      </c>
      <c r="AC73" s="40" t="s">
        <v>653</v>
      </c>
      <c r="AD73" s="40" t="s">
        <v>654</v>
      </c>
      <c r="AE73" s="8" t="s">
        <v>657</v>
      </c>
    </row>
    <row r="74" ht="14.25" customHeight="1">
      <c r="A74" s="42">
        <v>6001.0</v>
      </c>
      <c r="B74" s="17" t="s">
        <v>960</v>
      </c>
      <c r="C74" s="4" t="s">
        <v>961</v>
      </c>
      <c r="D74" s="8"/>
      <c r="E74" s="8"/>
      <c r="F74" s="8"/>
      <c r="G74" s="8"/>
      <c r="H74" s="8">
        <v>0.1</v>
      </c>
      <c r="I74" s="8">
        <v>0.1</v>
      </c>
      <c r="J74" s="8"/>
      <c r="K74" s="8"/>
      <c r="L74" s="8">
        <v>0.15</v>
      </c>
      <c r="M74" s="42"/>
      <c r="N74" s="8"/>
      <c r="O74" s="8"/>
      <c r="P74" s="8"/>
      <c r="Q74" s="8"/>
      <c r="R74" s="8"/>
      <c r="S74" s="8"/>
      <c r="T74" s="8"/>
      <c r="U74" s="8"/>
      <c r="V74" s="42"/>
      <c r="W74" s="42" t="b">
        <f t="shared" ref="W74:W99" si="8">FALSE()</f>
        <v>0</v>
      </c>
      <c r="X74" s="42">
        <v>1.0</v>
      </c>
      <c r="Y74" s="42">
        <v>9999.0</v>
      </c>
      <c r="Z74" s="42"/>
      <c r="AA74" s="42"/>
      <c r="AB74" s="42"/>
      <c r="AC74" s="42">
        <v>1.0</v>
      </c>
      <c r="AD74" s="17" t="s">
        <v>964</v>
      </c>
      <c r="AE74" s="8">
        <v>2.0</v>
      </c>
    </row>
    <row r="75" ht="14.25" customHeight="1">
      <c r="A75" s="42">
        <v>6001.0</v>
      </c>
      <c r="B75" s="17" t="s">
        <v>965</v>
      </c>
      <c r="C75" s="4" t="s">
        <v>961</v>
      </c>
      <c r="D75" s="8"/>
      <c r="E75" s="8"/>
      <c r="F75" s="8"/>
      <c r="G75" s="8"/>
      <c r="H75" s="8">
        <v>0.1</v>
      </c>
      <c r="I75" s="8">
        <v>0.1</v>
      </c>
      <c r="J75" s="8"/>
      <c r="K75" s="8"/>
      <c r="L75" s="8">
        <v>0.15</v>
      </c>
      <c r="M75" s="8"/>
      <c r="N75" s="8"/>
      <c r="O75" s="8"/>
      <c r="P75" s="8"/>
      <c r="Q75" s="8"/>
      <c r="R75" s="8"/>
      <c r="S75" s="8"/>
      <c r="T75" s="8"/>
      <c r="U75" s="8"/>
      <c r="V75" s="42"/>
      <c r="W75" s="42" t="b">
        <f t="shared" si="8"/>
        <v>0</v>
      </c>
      <c r="X75" s="42">
        <v>1.0</v>
      </c>
      <c r="Y75" s="42">
        <v>9999.0</v>
      </c>
      <c r="Z75" s="42"/>
      <c r="AA75" s="42"/>
      <c r="AB75" s="42"/>
      <c r="AC75" s="42">
        <v>1.0</v>
      </c>
      <c r="AD75" s="17" t="s">
        <v>964</v>
      </c>
      <c r="AE75" s="8">
        <v>3.0</v>
      </c>
    </row>
    <row r="76" ht="14.25" customHeight="1">
      <c r="A76" s="42">
        <v>6001.0</v>
      </c>
      <c r="B76" s="17" t="s">
        <v>967</v>
      </c>
      <c r="C76" s="4" t="s">
        <v>961</v>
      </c>
      <c r="D76" s="8"/>
      <c r="E76" s="8"/>
      <c r="F76" s="8"/>
      <c r="G76" s="8"/>
      <c r="H76" s="8">
        <v>0.1</v>
      </c>
      <c r="I76" s="8">
        <v>0.1</v>
      </c>
      <c r="J76" s="8"/>
      <c r="K76" s="8"/>
      <c r="L76" s="8"/>
      <c r="M76" s="8"/>
      <c r="N76" s="8"/>
      <c r="O76" s="8">
        <v>0.05</v>
      </c>
      <c r="P76" s="8"/>
      <c r="Q76" s="8"/>
      <c r="R76" s="8"/>
      <c r="S76" s="8"/>
      <c r="T76" s="8"/>
      <c r="U76" s="8"/>
      <c r="V76" s="42"/>
      <c r="W76" s="42" t="b">
        <f t="shared" si="8"/>
        <v>0</v>
      </c>
      <c r="X76" s="42">
        <v>1.0</v>
      </c>
      <c r="Y76" s="42">
        <v>9999.0</v>
      </c>
      <c r="Z76" s="42"/>
      <c r="AA76" s="42"/>
      <c r="AB76" s="42"/>
      <c r="AC76" s="42">
        <v>1.0</v>
      </c>
      <c r="AD76" s="17" t="s">
        <v>964</v>
      </c>
      <c r="AE76" s="8">
        <v>6.0</v>
      </c>
    </row>
    <row r="77" ht="14.25" customHeight="1">
      <c r="A77" s="42">
        <v>6002.0</v>
      </c>
      <c r="B77" s="17" t="s">
        <v>969</v>
      </c>
      <c r="C77" s="4" t="s">
        <v>970</v>
      </c>
      <c r="D77" s="54"/>
      <c r="E77" s="54"/>
      <c r="F77" s="54"/>
      <c r="G77" s="8"/>
      <c r="H77" s="8"/>
      <c r="I77" s="8"/>
      <c r="J77" s="8">
        <v>0.15</v>
      </c>
      <c r="K77" s="8"/>
      <c r="L77" s="8"/>
      <c r="M77" s="42"/>
      <c r="N77" s="8"/>
      <c r="O77" s="8"/>
      <c r="P77" s="8"/>
      <c r="Q77" s="8"/>
      <c r="R77" s="8"/>
      <c r="S77" s="8"/>
      <c r="T77" s="8"/>
      <c r="U77" s="8"/>
      <c r="V77" s="42"/>
      <c r="W77" s="42" t="b">
        <f t="shared" si="8"/>
        <v>0</v>
      </c>
      <c r="X77" s="42">
        <v>1.0</v>
      </c>
      <c r="Y77" s="42">
        <v>9999.0</v>
      </c>
      <c r="Z77" s="42"/>
      <c r="AA77" s="42"/>
      <c r="AB77" s="42"/>
      <c r="AC77" s="42">
        <v>1.0</v>
      </c>
      <c r="AD77" s="17" t="s">
        <v>971</v>
      </c>
      <c r="AE77" s="8">
        <v>2.0</v>
      </c>
    </row>
    <row r="78" ht="14.25" customHeight="1">
      <c r="A78" s="42">
        <v>6002.0</v>
      </c>
      <c r="B78" s="17" t="s">
        <v>973</v>
      </c>
      <c r="C78" s="4" t="s">
        <v>970</v>
      </c>
      <c r="D78" s="54"/>
      <c r="E78" s="54"/>
      <c r="F78" s="54"/>
      <c r="G78" s="8"/>
      <c r="H78" s="8">
        <v>0.2</v>
      </c>
      <c r="I78" s="8"/>
      <c r="J78" s="8">
        <v>0.15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42"/>
      <c r="W78" s="42" t="b">
        <f t="shared" si="8"/>
        <v>0</v>
      </c>
      <c r="X78" s="42">
        <v>1.0</v>
      </c>
      <c r="Y78" s="42">
        <v>9999.0</v>
      </c>
      <c r="Z78" s="42"/>
      <c r="AA78" s="42"/>
      <c r="AB78" s="42"/>
      <c r="AC78" s="42">
        <v>1.0</v>
      </c>
      <c r="AD78" s="17" t="s">
        <v>971</v>
      </c>
      <c r="AE78" s="8">
        <v>3.0</v>
      </c>
    </row>
    <row r="79" ht="14.25" customHeight="1">
      <c r="A79" s="42">
        <v>6002.0</v>
      </c>
      <c r="B79" s="17" t="s">
        <v>974</v>
      </c>
      <c r="C79" s="4" t="s">
        <v>970</v>
      </c>
      <c r="D79" s="54"/>
      <c r="E79" s="54"/>
      <c r="F79" s="54"/>
      <c r="G79" s="8"/>
      <c r="H79" s="8">
        <v>0.2</v>
      </c>
      <c r="I79" s="8"/>
      <c r="J79" s="8">
        <v>0.15</v>
      </c>
      <c r="K79" s="8"/>
      <c r="L79" s="8"/>
      <c r="M79" s="8"/>
      <c r="N79" s="8"/>
      <c r="O79" s="8"/>
      <c r="P79" s="8"/>
      <c r="Q79" s="8"/>
      <c r="R79" s="8"/>
      <c r="S79" s="8">
        <v>0.1</v>
      </c>
      <c r="T79" s="8"/>
      <c r="U79" s="8"/>
      <c r="V79" s="42"/>
      <c r="W79" s="42" t="b">
        <f t="shared" si="8"/>
        <v>0</v>
      </c>
      <c r="X79" s="42">
        <v>1.0</v>
      </c>
      <c r="Y79" s="42">
        <v>9999.0</v>
      </c>
      <c r="Z79" s="42"/>
      <c r="AA79" s="42"/>
      <c r="AB79" s="42"/>
      <c r="AC79" s="42">
        <v>1.0</v>
      </c>
      <c r="AD79" s="17" t="s">
        <v>971</v>
      </c>
      <c r="AE79" s="8">
        <v>6.0</v>
      </c>
    </row>
    <row r="80" ht="14.25" customHeight="1">
      <c r="A80" s="42">
        <v>6003.0</v>
      </c>
      <c r="B80" s="17" t="s">
        <v>975</v>
      </c>
      <c r="C80" s="4" t="s">
        <v>976</v>
      </c>
      <c r="D80" s="54"/>
      <c r="E80" s="54"/>
      <c r="F80" s="54"/>
      <c r="G80" s="8"/>
      <c r="H80" s="8"/>
      <c r="I80" s="8"/>
      <c r="J80" s="8">
        <v>0.2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42"/>
      <c r="W80" s="42" t="b">
        <f t="shared" si="8"/>
        <v>0</v>
      </c>
      <c r="X80" s="42">
        <v>1.0</v>
      </c>
      <c r="Y80" s="42">
        <v>9999.0</v>
      </c>
      <c r="Z80" s="42"/>
      <c r="AA80" s="42"/>
      <c r="AB80" s="42"/>
      <c r="AC80" s="42">
        <v>1.0</v>
      </c>
      <c r="AD80" s="17" t="s">
        <v>979</v>
      </c>
      <c r="AE80" s="8">
        <v>2.0</v>
      </c>
    </row>
    <row r="81" ht="14.25" customHeight="1">
      <c r="A81" s="42">
        <v>6003.0</v>
      </c>
      <c r="B81" s="17" t="s">
        <v>980</v>
      </c>
      <c r="C81" s="4" t="s">
        <v>976</v>
      </c>
      <c r="D81" s="54"/>
      <c r="E81" s="54"/>
      <c r="F81" s="54"/>
      <c r="G81" s="8"/>
      <c r="H81" s="8"/>
      <c r="I81" s="8"/>
      <c r="J81" s="8">
        <v>0.2</v>
      </c>
      <c r="K81" s="8">
        <v>0.2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42"/>
      <c r="W81" s="42" t="b">
        <f t="shared" si="8"/>
        <v>0</v>
      </c>
      <c r="X81" s="42">
        <v>1.0</v>
      </c>
      <c r="Y81" s="42">
        <v>9999.0</v>
      </c>
      <c r="Z81" s="42"/>
      <c r="AA81" s="42"/>
      <c r="AB81" s="42"/>
      <c r="AC81" s="42">
        <v>1.0</v>
      </c>
      <c r="AD81" s="17" t="s">
        <v>979</v>
      </c>
      <c r="AE81" s="8">
        <v>3.0</v>
      </c>
    </row>
    <row r="82" ht="14.25" customHeight="1">
      <c r="A82" s="42">
        <v>6003.0</v>
      </c>
      <c r="B82" s="17" t="s">
        <v>982</v>
      </c>
      <c r="C82" s="4" t="s">
        <v>976</v>
      </c>
      <c r="D82" s="54"/>
      <c r="E82" s="54"/>
      <c r="F82" s="54"/>
      <c r="G82" s="8"/>
      <c r="H82" s="8"/>
      <c r="I82" s="8"/>
      <c r="J82" s="8">
        <v>0.2</v>
      </c>
      <c r="K82" s="8">
        <v>0.2</v>
      </c>
      <c r="L82" s="8"/>
      <c r="M82" s="8"/>
      <c r="N82" s="8"/>
      <c r="O82" s="8"/>
      <c r="P82" s="8">
        <v>0.15</v>
      </c>
      <c r="Q82" s="8"/>
      <c r="R82" s="8"/>
      <c r="S82" s="8"/>
      <c r="T82" s="8"/>
      <c r="U82" s="8"/>
      <c r="V82" s="42"/>
      <c r="W82" s="42" t="b">
        <f t="shared" si="8"/>
        <v>0</v>
      </c>
      <c r="X82" s="42">
        <v>1.0</v>
      </c>
      <c r="Y82" s="42">
        <v>9999.0</v>
      </c>
      <c r="Z82" s="42"/>
      <c r="AA82" s="42"/>
      <c r="AB82" s="42"/>
      <c r="AC82" s="42">
        <v>1.0</v>
      </c>
      <c r="AD82" s="17" t="s">
        <v>979</v>
      </c>
      <c r="AE82" s="8">
        <v>6.0</v>
      </c>
    </row>
    <row r="83" ht="14.25" customHeight="1">
      <c r="A83" s="42">
        <v>6004.0</v>
      </c>
      <c r="B83" s="17" t="s">
        <v>985</v>
      </c>
      <c r="C83" s="4" t="s">
        <v>986</v>
      </c>
      <c r="D83" s="54"/>
      <c r="E83" s="54"/>
      <c r="F83" s="54"/>
      <c r="G83" s="8"/>
      <c r="H83" s="8"/>
      <c r="I83" s="8"/>
      <c r="J83" s="8"/>
      <c r="K83" s="8">
        <v>0.15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42"/>
      <c r="W83" s="42" t="b">
        <f t="shared" si="8"/>
        <v>0</v>
      </c>
      <c r="X83" s="42">
        <v>1.0</v>
      </c>
      <c r="Y83" s="42">
        <v>9999.0</v>
      </c>
      <c r="Z83" s="42"/>
      <c r="AA83" s="42"/>
      <c r="AB83" s="42"/>
      <c r="AC83" s="42">
        <v>1.0</v>
      </c>
      <c r="AD83" s="17" t="s">
        <v>989</v>
      </c>
      <c r="AE83" s="8">
        <v>2.0</v>
      </c>
    </row>
    <row r="84" ht="14.25" customHeight="1">
      <c r="A84" s="42">
        <v>6004.0</v>
      </c>
      <c r="B84" s="17" t="s">
        <v>990</v>
      </c>
      <c r="C84" s="4" t="s">
        <v>986</v>
      </c>
      <c r="D84" s="54"/>
      <c r="E84" s="54"/>
      <c r="F84" s="54"/>
      <c r="G84" s="8"/>
      <c r="H84" s="8"/>
      <c r="I84" s="8">
        <v>0.2</v>
      </c>
      <c r="J84" s="8"/>
      <c r="K84" s="8">
        <v>0.15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42"/>
      <c r="W84" s="42" t="b">
        <f t="shared" si="8"/>
        <v>0</v>
      </c>
      <c r="X84" s="42">
        <v>1.0</v>
      </c>
      <c r="Y84" s="42">
        <v>9999.0</v>
      </c>
      <c r="Z84" s="42"/>
      <c r="AA84" s="42"/>
      <c r="AB84" s="42"/>
      <c r="AC84" s="42">
        <v>1.0</v>
      </c>
      <c r="AD84" s="17" t="s">
        <v>989</v>
      </c>
      <c r="AE84" s="8">
        <v>3.0</v>
      </c>
    </row>
    <row r="85" ht="14.25" customHeight="1">
      <c r="A85" s="42">
        <v>6004.0</v>
      </c>
      <c r="B85" s="17" t="s">
        <v>993</v>
      </c>
      <c r="C85" s="4" t="s">
        <v>986</v>
      </c>
      <c r="D85" s="54"/>
      <c r="E85" s="54"/>
      <c r="F85" s="54"/>
      <c r="G85" s="8"/>
      <c r="H85" s="8"/>
      <c r="I85" s="8">
        <v>0.2</v>
      </c>
      <c r="J85" s="8"/>
      <c r="K85" s="8">
        <v>0.15</v>
      </c>
      <c r="L85" s="8"/>
      <c r="M85" s="8"/>
      <c r="N85" s="8"/>
      <c r="O85" s="8"/>
      <c r="P85" s="8"/>
      <c r="Q85" s="8"/>
      <c r="R85" s="8"/>
      <c r="S85" s="8">
        <v>0.1</v>
      </c>
      <c r="T85" s="8"/>
      <c r="U85" s="8"/>
      <c r="V85" s="42"/>
      <c r="W85" s="42" t="b">
        <f t="shared" si="8"/>
        <v>0</v>
      </c>
      <c r="X85" s="42">
        <v>1.0</v>
      </c>
      <c r="Y85" s="42">
        <v>9999.0</v>
      </c>
      <c r="Z85" s="42"/>
      <c r="AA85" s="42"/>
      <c r="AB85" s="42"/>
      <c r="AC85" s="42">
        <v>1.0</v>
      </c>
      <c r="AD85" s="17" t="s">
        <v>989</v>
      </c>
      <c r="AE85" s="8">
        <v>6.0</v>
      </c>
    </row>
    <row r="86" ht="14.25" customHeight="1">
      <c r="A86" s="42">
        <v>6005.0</v>
      </c>
      <c r="B86" s="17" t="s">
        <v>996</v>
      </c>
      <c r="C86" s="82" t="s">
        <v>997</v>
      </c>
      <c r="D86" s="54"/>
      <c r="E86" s="54"/>
      <c r="F86" s="54"/>
      <c r="G86" s="8"/>
      <c r="H86" s="8"/>
      <c r="I86" s="8"/>
      <c r="J86" s="8"/>
      <c r="K86" s="8"/>
      <c r="L86" s="8">
        <v>0.1</v>
      </c>
      <c r="M86" s="8"/>
      <c r="N86" s="8"/>
      <c r="O86" s="8"/>
      <c r="P86" s="8"/>
      <c r="Q86" s="8"/>
      <c r="R86" s="8"/>
      <c r="S86" s="8"/>
      <c r="T86" s="8"/>
      <c r="U86" s="8"/>
      <c r="V86" s="42"/>
      <c r="W86" s="42" t="b">
        <f t="shared" si="8"/>
        <v>0</v>
      </c>
      <c r="X86" s="42">
        <v>1.0</v>
      </c>
      <c r="Y86" s="42">
        <v>9999.0</v>
      </c>
      <c r="Z86" s="42"/>
      <c r="AA86" s="42"/>
      <c r="AB86" s="42"/>
      <c r="AC86" s="42">
        <v>1.0</v>
      </c>
      <c r="AD86" s="17" t="s">
        <v>999</v>
      </c>
      <c r="AE86" s="8">
        <v>2.0</v>
      </c>
    </row>
    <row r="87" ht="14.25" customHeight="1">
      <c r="A87" s="42">
        <v>6005.0</v>
      </c>
      <c r="B87" s="17" t="s">
        <v>1000</v>
      </c>
      <c r="C87" s="82" t="s">
        <v>997</v>
      </c>
      <c r="D87" s="54"/>
      <c r="E87" s="54"/>
      <c r="F87" s="54"/>
      <c r="G87" s="8"/>
      <c r="H87" s="8"/>
      <c r="I87" s="8"/>
      <c r="J87" s="8"/>
      <c r="K87" s="8"/>
      <c r="L87" s="8">
        <v>0.1</v>
      </c>
      <c r="M87" s="8"/>
      <c r="N87" s="8"/>
      <c r="O87" s="8"/>
      <c r="P87" s="8"/>
      <c r="Q87" s="8"/>
      <c r="R87" s="8"/>
      <c r="S87" s="8">
        <v>0.08</v>
      </c>
      <c r="T87" s="8"/>
      <c r="U87" s="8"/>
      <c r="V87" s="42"/>
      <c r="W87" s="42" t="b">
        <f t="shared" si="8"/>
        <v>0</v>
      </c>
      <c r="X87" s="42">
        <v>1.0</v>
      </c>
      <c r="Y87" s="42">
        <v>9999.0</v>
      </c>
      <c r="Z87" s="42"/>
      <c r="AA87" s="42"/>
      <c r="AB87" s="42"/>
      <c r="AC87" s="42">
        <v>1.0</v>
      </c>
      <c r="AD87" s="17" t="s">
        <v>999</v>
      </c>
      <c r="AE87" s="8">
        <v>3.0</v>
      </c>
    </row>
    <row r="88" ht="14.25" customHeight="1">
      <c r="A88" s="42">
        <v>6005.0</v>
      </c>
      <c r="B88" s="17" t="s">
        <v>1004</v>
      </c>
      <c r="C88" s="82" t="s">
        <v>997</v>
      </c>
      <c r="D88" s="54"/>
      <c r="E88" s="54"/>
      <c r="F88" s="54"/>
      <c r="G88" s="8"/>
      <c r="H88" s="8"/>
      <c r="I88" s="8"/>
      <c r="J88" s="8"/>
      <c r="K88" s="8"/>
      <c r="L88" s="8">
        <v>0.1</v>
      </c>
      <c r="M88" s="8"/>
      <c r="N88" s="8"/>
      <c r="O88" s="8"/>
      <c r="P88" s="8"/>
      <c r="Q88" s="8">
        <v>0.3</v>
      </c>
      <c r="R88" s="8"/>
      <c r="S88" s="8">
        <v>0.08</v>
      </c>
      <c r="T88" s="8"/>
      <c r="U88" s="8"/>
      <c r="V88" s="42"/>
      <c r="W88" s="42" t="b">
        <f t="shared" si="8"/>
        <v>0</v>
      </c>
      <c r="X88" s="42">
        <v>1.0</v>
      </c>
      <c r="Y88" s="42">
        <v>9999.0</v>
      </c>
      <c r="Z88" s="42"/>
      <c r="AA88" s="42"/>
      <c r="AB88" s="42"/>
      <c r="AC88" s="42">
        <v>1.0</v>
      </c>
      <c r="AD88" s="17" t="s">
        <v>999</v>
      </c>
      <c r="AE88" s="8">
        <v>6.0</v>
      </c>
    </row>
    <row r="89" ht="14.25" customHeight="1">
      <c r="A89" s="42">
        <v>6006.0</v>
      </c>
      <c r="B89" s="17" t="s">
        <v>1005</v>
      </c>
      <c r="C89" s="82" t="s">
        <v>1006</v>
      </c>
      <c r="D89" s="54"/>
      <c r="E89" s="54"/>
      <c r="F89" s="54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42">
        <v>0.1</v>
      </c>
      <c r="W89" s="42" t="b">
        <f t="shared" si="8"/>
        <v>0</v>
      </c>
      <c r="X89" s="42">
        <v>1.0</v>
      </c>
      <c r="Y89" s="42">
        <v>9999.0</v>
      </c>
      <c r="Z89" s="42"/>
      <c r="AA89" s="42"/>
      <c r="AB89" s="42"/>
      <c r="AC89" s="42">
        <v>1.0</v>
      </c>
      <c r="AD89" s="17" t="s">
        <v>1008</v>
      </c>
      <c r="AE89" s="8">
        <v>2.0</v>
      </c>
    </row>
    <row r="90" ht="14.25" customHeight="1">
      <c r="A90" s="42">
        <v>6006.0</v>
      </c>
      <c r="B90" s="17" t="s">
        <v>1009</v>
      </c>
      <c r="C90" s="82" t="s">
        <v>1006</v>
      </c>
      <c r="D90" s="54"/>
      <c r="E90" s="54"/>
      <c r="F90" s="54"/>
      <c r="G90" s="8"/>
      <c r="H90" s="8"/>
      <c r="I90" s="8"/>
      <c r="J90" s="8"/>
      <c r="K90" s="8"/>
      <c r="L90" s="8"/>
      <c r="M90" s="8"/>
      <c r="N90" s="8">
        <v>0.2</v>
      </c>
      <c r="O90" s="8"/>
      <c r="P90" s="8"/>
      <c r="Q90" s="8"/>
      <c r="R90" s="8"/>
      <c r="S90" s="8"/>
      <c r="T90" s="8"/>
      <c r="U90" s="8"/>
      <c r="V90" s="42">
        <v>0.1</v>
      </c>
      <c r="W90" s="42" t="b">
        <f t="shared" si="8"/>
        <v>0</v>
      </c>
      <c r="X90" s="42">
        <v>1.0</v>
      </c>
      <c r="Y90" s="42">
        <v>9999.0</v>
      </c>
      <c r="Z90" s="42"/>
      <c r="AA90" s="42"/>
      <c r="AB90" s="42"/>
      <c r="AC90" s="42">
        <v>1.0</v>
      </c>
      <c r="AD90" s="17" t="s">
        <v>1008</v>
      </c>
      <c r="AE90" s="8">
        <v>3.0</v>
      </c>
    </row>
    <row r="91" ht="14.25" customHeight="1">
      <c r="A91" s="42">
        <v>6006.0</v>
      </c>
      <c r="B91" s="17" t="s">
        <v>1011</v>
      </c>
      <c r="C91" s="82" t="s">
        <v>1006</v>
      </c>
      <c r="D91" s="54"/>
      <c r="E91" s="54"/>
      <c r="F91" s="54"/>
      <c r="G91" s="8"/>
      <c r="H91" s="8"/>
      <c r="I91" s="8"/>
      <c r="J91" s="8"/>
      <c r="K91" s="8"/>
      <c r="L91" s="8"/>
      <c r="M91" s="8"/>
      <c r="N91" s="8">
        <v>0.2</v>
      </c>
      <c r="O91" s="8"/>
      <c r="P91" s="8"/>
      <c r="Q91" s="8"/>
      <c r="R91" s="8">
        <v>0.45</v>
      </c>
      <c r="S91" s="8"/>
      <c r="T91" s="8"/>
      <c r="U91" s="8"/>
      <c r="V91" s="42">
        <v>0.1</v>
      </c>
      <c r="W91" s="42" t="b">
        <f t="shared" si="8"/>
        <v>0</v>
      </c>
      <c r="X91" s="42">
        <v>1.0</v>
      </c>
      <c r="Y91" s="42">
        <v>9999.0</v>
      </c>
      <c r="Z91" s="42"/>
      <c r="AA91" s="42"/>
      <c r="AB91" s="42"/>
      <c r="AC91" s="42">
        <v>1.0</v>
      </c>
      <c r="AD91" s="17" t="s">
        <v>1008</v>
      </c>
      <c r="AE91" s="8">
        <v>6.0</v>
      </c>
    </row>
    <row r="92" ht="14.25" customHeight="1">
      <c r="A92" s="42">
        <v>6007.0</v>
      </c>
      <c r="B92" s="17" t="s">
        <v>1014</v>
      </c>
      <c r="C92" s="4" t="s">
        <v>1015</v>
      </c>
      <c r="D92" s="42">
        <v>3018.0</v>
      </c>
      <c r="E92" s="54"/>
      <c r="F92" s="54"/>
      <c r="G92" s="8"/>
      <c r="H92" s="8">
        <v>0.8</v>
      </c>
      <c r="I92" s="8">
        <v>0.8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42"/>
      <c r="W92" s="42" t="b">
        <f t="shared" si="8"/>
        <v>0</v>
      </c>
      <c r="X92" s="42">
        <v>1.0</v>
      </c>
      <c r="Y92" s="42">
        <v>5.0</v>
      </c>
      <c r="Z92" s="42"/>
      <c r="AA92" s="42"/>
      <c r="AB92" s="42"/>
      <c r="AC92" s="42"/>
      <c r="AD92" s="17" t="s">
        <v>1020</v>
      </c>
      <c r="AE92" s="8">
        <v>6.0</v>
      </c>
    </row>
    <row r="93" ht="14.25" customHeight="1">
      <c r="A93" s="42">
        <v>6008.0</v>
      </c>
      <c r="B93" s="17" t="s">
        <v>1023</v>
      </c>
      <c r="C93" s="4" t="s">
        <v>1024</v>
      </c>
      <c r="D93" s="42">
        <v>3019.0</v>
      </c>
      <c r="E93" s="54"/>
      <c r="F93" s="54"/>
      <c r="G93" s="8"/>
      <c r="H93" s="8"/>
      <c r="I93" s="8"/>
      <c r="J93" s="8"/>
      <c r="K93" s="8"/>
      <c r="L93" s="8">
        <v>1.0</v>
      </c>
      <c r="M93" s="8"/>
      <c r="N93" s="8"/>
      <c r="O93" s="8"/>
      <c r="P93" s="8"/>
      <c r="Q93" s="8"/>
      <c r="R93" s="8"/>
      <c r="S93" s="8"/>
      <c r="T93" s="8"/>
      <c r="U93" s="8"/>
      <c r="V93" s="42"/>
      <c r="W93" s="42" t="b">
        <f t="shared" si="8"/>
        <v>0</v>
      </c>
      <c r="X93" s="42">
        <v>1.0</v>
      </c>
      <c r="Y93" s="42">
        <v>3.0</v>
      </c>
      <c r="Z93" s="42"/>
      <c r="AA93" s="42"/>
      <c r="AB93" s="42"/>
      <c r="AC93" s="42"/>
      <c r="AD93" s="17" t="s">
        <v>1036</v>
      </c>
      <c r="AE93" s="8">
        <v>6.0</v>
      </c>
    </row>
    <row r="94" ht="14.25" customHeight="1">
      <c r="A94" s="42">
        <v>6009.0</v>
      </c>
      <c r="B94" s="17" t="s">
        <v>1039</v>
      </c>
      <c r="C94" s="82" t="s">
        <v>1040</v>
      </c>
      <c r="D94" s="54"/>
      <c r="E94" s="54"/>
      <c r="F94" s="54"/>
      <c r="G94" s="8">
        <v>2.0</v>
      </c>
      <c r="H94" s="8">
        <v>0.2</v>
      </c>
      <c r="I94" s="8">
        <v>0.2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42"/>
      <c r="W94" s="42" t="b">
        <f t="shared" si="8"/>
        <v>0</v>
      </c>
      <c r="X94" s="42">
        <v>1.0</v>
      </c>
      <c r="Y94" s="42">
        <v>9999.0</v>
      </c>
      <c r="Z94" s="42"/>
      <c r="AA94" s="42"/>
      <c r="AB94" s="42"/>
      <c r="AC94" s="42">
        <v>1.0</v>
      </c>
      <c r="AD94" s="17" t="s">
        <v>1050</v>
      </c>
      <c r="AE94" s="8">
        <v>3.0</v>
      </c>
    </row>
    <row r="95" ht="14.25" customHeight="1">
      <c r="A95" s="42">
        <v>6009.0</v>
      </c>
      <c r="B95" s="17" t="s">
        <v>1052</v>
      </c>
      <c r="C95" s="82" t="s">
        <v>1040</v>
      </c>
      <c r="D95" s="54"/>
      <c r="E95" s="54"/>
      <c r="F95" s="54"/>
      <c r="G95" s="8">
        <v>2.0</v>
      </c>
      <c r="H95" s="8">
        <v>0.2</v>
      </c>
      <c r="I95" s="8">
        <v>0.2</v>
      </c>
      <c r="J95" s="8"/>
      <c r="K95" s="8"/>
      <c r="L95" s="8">
        <v>0.05</v>
      </c>
      <c r="M95" s="8"/>
      <c r="N95" s="8"/>
      <c r="O95" s="8">
        <v>0.1</v>
      </c>
      <c r="P95" s="8"/>
      <c r="Q95" s="8"/>
      <c r="R95" s="8"/>
      <c r="S95" s="8"/>
      <c r="T95" s="8"/>
      <c r="U95" s="8"/>
      <c r="V95" s="42"/>
      <c r="W95" s="42" t="b">
        <f t="shared" si="8"/>
        <v>0</v>
      </c>
      <c r="X95" s="42">
        <v>1.0</v>
      </c>
      <c r="Y95" s="42">
        <v>9999.0</v>
      </c>
      <c r="Z95" s="42"/>
      <c r="AA95" s="42"/>
      <c r="AB95" s="42"/>
      <c r="AC95" s="42">
        <v>1.0</v>
      </c>
      <c r="AD95" s="17" t="s">
        <v>1050</v>
      </c>
      <c r="AE95" s="8">
        <v>6.0</v>
      </c>
    </row>
    <row r="96" ht="14.25" customHeight="1">
      <c r="A96" s="42">
        <v>6010.0</v>
      </c>
      <c r="B96" s="17" t="s">
        <v>1061</v>
      </c>
      <c r="C96" s="82" t="s">
        <v>1062</v>
      </c>
      <c r="D96" s="54"/>
      <c r="E96" s="54"/>
      <c r="F96" s="54"/>
      <c r="G96" s="8">
        <v>1.0</v>
      </c>
      <c r="H96" s="8">
        <v>0.2</v>
      </c>
      <c r="I96" s="8">
        <v>0.2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42"/>
      <c r="W96" s="42" t="b">
        <f t="shared" si="8"/>
        <v>0</v>
      </c>
      <c r="X96" s="42">
        <v>1.0</v>
      </c>
      <c r="Y96" s="42">
        <v>9999.0</v>
      </c>
      <c r="Z96" s="42"/>
      <c r="AA96" s="42"/>
      <c r="AB96" s="42"/>
      <c r="AC96" s="42">
        <v>1.0</v>
      </c>
      <c r="AD96" s="17" t="s">
        <v>1070</v>
      </c>
      <c r="AE96" s="8">
        <v>3.0</v>
      </c>
    </row>
    <row r="97" ht="14.25" customHeight="1">
      <c r="A97" s="42">
        <v>6010.0</v>
      </c>
      <c r="B97" s="17" t="s">
        <v>1072</v>
      </c>
      <c r="C97" s="82" t="s">
        <v>1062</v>
      </c>
      <c r="D97" s="54"/>
      <c r="E97" s="54"/>
      <c r="F97" s="54"/>
      <c r="G97" s="8">
        <v>1.0</v>
      </c>
      <c r="H97" s="8">
        <v>0.2</v>
      </c>
      <c r="I97" s="8">
        <v>0.2</v>
      </c>
      <c r="J97" s="8"/>
      <c r="K97" s="8"/>
      <c r="L97" s="8">
        <v>0.05</v>
      </c>
      <c r="M97" s="8"/>
      <c r="N97" s="8"/>
      <c r="O97" s="8">
        <v>0.1</v>
      </c>
      <c r="P97" s="8"/>
      <c r="Q97" s="8"/>
      <c r="R97" s="8"/>
      <c r="S97" s="8"/>
      <c r="T97" s="8"/>
      <c r="U97" s="8"/>
      <c r="V97" s="42"/>
      <c r="W97" s="42" t="b">
        <f t="shared" si="8"/>
        <v>0</v>
      </c>
      <c r="X97" s="42">
        <v>1.0</v>
      </c>
      <c r="Y97" s="42">
        <v>9999.0</v>
      </c>
      <c r="Z97" s="42"/>
      <c r="AA97" s="42"/>
      <c r="AB97" s="42"/>
      <c r="AC97" s="42">
        <v>1.0</v>
      </c>
      <c r="AD97" s="17" t="s">
        <v>1070</v>
      </c>
      <c r="AE97" s="8">
        <v>6.0</v>
      </c>
    </row>
    <row r="98" ht="14.25" customHeight="1">
      <c r="A98" s="42">
        <v>6011.0</v>
      </c>
      <c r="B98" s="17" t="s">
        <v>1075</v>
      </c>
      <c r="C98" s="82" t="s">
        <v>1077</v>
      </c>
      <c r="D98" s="54"/>
      <c r="E98" s="54"/>
      <c r="F98" s="54"/>
      <c r="G98" s="8">
        <v>3.0</v>
      </c>
      <c r="H98" s="8">
        <v>0.2</v>
      </c>
      <c r="I98" s="8">
        <v>0.2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42"/>
      <c r="W98" s="42" t="b">
        <f t="shared" si="8"/>
        <v>0</v>
      </c>
      <c r="X98" s="42">
        <v>1.0</v>
      </c>
      <c r="Y98" s="42">
        <v>9999.0</v>
      </c>
      <c r="Z98" s="42"/>
      <c r="AA98" s="42"/>
      <c r="AB98" s="42"/>
      <c r="AC98" s="42">
        <v>1.0</v>
      </c>
      <c r="AD98" s="17" t="s">
        <v>1084</v>
      </c>
      <c r="AE98" s="8">
        <v>3.0</v>
      </c>
    </row>
    <row r="99" ht="14.25" customHeight="1">
      <c r="A99" s="42">
        <v>6011.0</v>
      </c>
      <c r="B99" s="17" t="s">
        <v>1086</v>
      </c>
      <c r="C99" s="82" t="s">
        <v>1077</v>
      </c>
      <c r="D99" s="54"/>
      <c r="E99" s="54"/>
      <c r="F99" s="54"/>
      <c r="G99" s="8">
        <v>3.0</v>
      </c>
      <c r="H99" s="8">
        <v>0.2</v>
      </c>
      <c r="I99" s="8">
        <v>0.2</v>
      </c>
      <c r="J99" s="8"/>
      <c r="K99" s="8"/>
      <c r="L99" s="8">
        <v>0.05</v>
      </c>
      <c r="M99" s="8"/>
      <c r="N99" s="8"/>
      <c r="O99" s="8">
        <v>0.1</v>
      </c>
      <c r="P99" s="8"/>
      <c r="Q99" s="8"/>
      <c r="R99" s="8"/>
      <c r="S99" s="8"/>
      <c r="T99" s="8"/>
      <c r="U99" s="8"/>
      <c r="V99" s="42"/>
      <c r="W99" s="42" t="b">
        <f t="shared" si="8"/>
        <v>0</v>
      </c>
      <c r="X99" s="42">
        <v>1.0</v>
      </c>
      <c r="Y99" s="42">
        <v>9999.0</v>
      </c>
      <c r="Z99" s="42"/>
      <c r="AA99" s="42"/>
      <c r="AB99" s="42"/>
      <c r="AC99" s="42">
        <v>1.0</v>
      </c>
      <c r="AD99" s="17" t="s">
        <v>1084</v>
      </c>
      <c r="AE99" s="8">
        <v>6.0</v>
      </c>
    </row>
    <row r="100" ht="14.25" customHeight="1">
      <c r="A100" s="47"/>
      <c r="D100" s="49"/>
      <c r="E100" s="49"/>
      <c r="F100" s="49"/>
      <c r="R100" s="1"/>
      <c r="U100" s="1"/>
      <c r="V100" s="47"/>
      <c r="W100" s="47"/>
      <c r="X100" s="47"/>
      <c r="Y100" s="47"/>
      <c r="Z100" s="47"/>
      <c r="AA100" s="47"/>
      <c r="AB100" s="47"/>
      <c r="AC100" s="47"/>
      <c r="AD100" s="49"/>
      <c r="AE100" s="1"/>
    </row>
    <row r="101" ht="14.25" customHeight="1">
      <c r="A101" s="47"/>
      <c r="D101" s="49"/>
      <c r="E101" s="49"/>
      <c r="F101" s="49"/>
      <c r="R101" s="1"/>
      <c r="U101" s="1"/>
      <c r="V101" s="47"/>
      <c r="W101" s="47"/>
      <c r="X101" s="47"/>
      <c r="Y101" s="47"/>
      <c r="Z101" s="47"/>
      <c r="AA101" s="47"/>
      <c r="AB101" s="47"/>
      <c r="AC101" s="47"/>
      <c r="AD101" s="49"/>
      <c r="AE101" s="1"/>
    </row>
    <row r="102" ht="14.25" customHeight="1">
      <c r="A102" s="47"/>
      <c r="D102" s="49"/>
      <c r="E102" s="49"/>
      <c r="F102" s="49"/>
      <c r="R102" s="1"/>
      <c r="U102" s="1"/>
      <c r="V102" s="47"/>
      <c r="W102" s="47"/>
      <c r="X102" s="47"/>
      <c r="Y102" s="47"/>
      <c r="Z102" s="47"/>
      <c r="AA102" s="47"/>
      <c r="AB102" s="47"/>
      <c r="AC102" s="47"/>
      <c r="AD102" s="49"/>
      <c r="AE102" s="1"/>
    </row>
    <row r="103" ht="14.25" customHeight="1">
      <c r="A103" s="47"/>
      <c r="D103" s="49"/>
      <c r="E103" s="49"/>
      <c r="F103" s="49"/>
      <c r="R103" s="1"/>
      <c r="U103" s="1"/>
      <c r="V103" s="47"/>
      <c r="W103" s="47"/>
      <c r="X103" s="47"/>
      <c r="Y103" s="47"/>
      <c r="Z103" s="47"/>
      <c r="AA103" s="47"/>
      <c r="AB103" s="47"/>
      <c r="AC103" s="47"/>
      <c r="AD103" s="49"/>
      <c r="AE103" s="1"/>
    </row>
    <row r="104" ht="14.25" customHeight="1">
      <c r="A104" s="47"/>
      <c r="D104" s="49"/>
      <c r="E104" s="49"/>
      <c r="F104" s="49"/>
      <c r="R104" s="1"/>
      <c r="U104" s="1"/>
      <c r="V104" s="47"/>
      <c r="W104" s="47"/>
      <c r="X104" s="47"/>
      <c r="Y104" s="47"/>
      <c r="Z104" s="47"/>
      <c r="AA104" s="47"/>
      <c r="AB104" s="47"/>
      <c r="AC104" s="47"/>
      <c r="AD104" s="49"/>
      <c r="AE104" s="1"/>
    </row>
    <row r="105" ht="14.25" customHeight="1">
      <c r="A105" s="47"/>
      <c r="D105" s="49"/>
      <c r="E105" s="49"/>
      <c r="F105" s="49"/>
      <c r="R105" s="1"/>
      <c r="U105" s="1"/>
      <c r="V105" s="47"/>
      <c r="W105" s="47"/>
      <c r="X105" s="47"/>
      <c r="Y105" s="47"/>
      <c r="Z105" s="47"/>
      <c r="AA105" s="47"/>
      <c r="AB105" s="47"/>
      <c r="AC105" s="47"/>
      <c r="AD105" s="49"/>
      <c r="AE105" s="1"/>
    </row>
    <row r="106" ht="14.25" customHeight="1">
      <c r="A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</row>
    <row r="107" ht="14.25" customHeight="1">
      <c r="A107" s="40" t="s">
        <v>381</v>
      </c>
      <c r="B107" s="40" t="s">
        <v>632</v>
      </c>
      <c r="C107" s="40" t="s">
        <v>633</v>
      </c>
      <c r="D107" s="40" t="s">
        <v>634</v>
      </c>
      <c r="E107" s="40" t="s">
        <v>636</v>
      </c>
      <c r="F107" s="40" t="s">
        <v>637</v>
      </c>
      <c r="G107" s="40" t="s">
        <v>638</v>
      </c>
      <c r="H107" s="40" t="s">
        <v>289</v>
      </c>
      <c r="I107" s="40" t="s">
        <v>290</v>
      </c>
      <c r="J107" s="40" t="s">
        <v>291</v>
      </c>
      <c r="K107" s="40" t="s">
        <v>292</v>
      </c>
      <c r="L107" s="40" t="s">
        <v>293</v>
      </c>
      <c r="M107" s="40" t="s">
        <v>134</v>
      </c>
      <c r="N107" s="40" t="s">
        <v>294</v>
      </c>
      <c r="O107" s="40" t="s">
        <v>295</v>
      </c>
      <c r="P107" s="40" t="s">
        <v>296</v>
      </c>
      <c r="Q107" s="40" t="s">
        <v>297</v>
      </c>
      <c r="R107" s="40" t="s">
        <v>298</v>
      </c>
      <c r="S107" s="40" t="s">
        <v>299</v>
      </c>
      <c r="T107" s="40" t="s">
        <v>300</v>
      </c>
      <c r="U107" s="40" t="s">
        <v>301</v>
      </c>
      <c r="V107" s="40" t="s">
        <v>302</v>
      </c>
      <c r="W107" s="40" t="s">
        <v>645</v>
      </c>
      <c r="X107" s="40" t="s">
        <v>646</v>
      </c>
      <c r="Y107" s="50" t="s">
        <v>648</v>
      </c>
      <c r="Z107" s="40"/>
      <c r="AA107" s="40"/>
      <c r="AB107" s="40"/>
      <c r="AC107" s="40" t="s">
        <v>653</v>
      </c>
      <c r="AD107" s="40" t="s">
        <v>654</v>
      </c>
      <c r="AE107" s="8" t="s">
        <v>657</v>
      </c>
    </row>
    <row r="108" ht="14.25" customHeight="1">
      <c r="A108" s="42">
        <v>7001.0</v>
      </c>
      <c r="B108" s="17" t="s">
        <v>1116</v>
      </c>
      <c r="C108" s="8" t="str">
        <f t="shared" ref="C108:C117" si="9">"戰鬥開始時裝備者的攻擊增加"&amp;H108*100&amp;"%"</f>
        <v>戰鬥開始時裝備者的攻擊增加2%</v>
      </c>
      <c r="D108" s="8"/>
      <c r="E108" s="8"/>
      <c r="F108" s="8"/>
      <c r="G108" s="8"/>
      <c r="H108" s="8">
        <v>0.02</v>
      </c>
      <c r="I108" s="8"/>
      <c r="J108" s="8"/>
      <c r="K108" s="8"/>
      <c r="L108" s="8"/>
      <c r="M108" s="8"/>
      <c r="N108" s="8"/>
      <c r="O108" s="8"/>
      <c r="P108" s="8"/>
      <c r="Q108" s="42"/>
      <c r="R108" s="42"/>
      <c r="S108" s="42"/>
      <c r="T108" s="42"/>
      <c r="U108" s="42"/>
      <c r="V108" s="42"/>
      <c r="W108" s="42" t="b">
        <f t="shared" ref="W108:W187" si="10">FALSE()</f>
        <v>0</v>
      </c>
      <c r="X108" s="42">
        <v>1.0</v>
      </c>
      <c r="Y108" s="42">
        <v>9999.0</v>
      </c>
      <c r="Z108" s="42"/>
      <c r="AA108" s="42"/>
      <c r="AB108" s="42"/>
      <c r="AC108" s="42">
        <v>1.0</v>
      </c>
      <c r="AD108" s="8"/>
      <c r="AE108" s="8"/>
    </row>
    <row r="109" ht="14.25" customHeight="1">
      <c r="A109" s="42">
        <v>7002.0</v>
      </c>
      <c r="B109" s="17" t="s">
        <v>1127</v>
      </c>
      <c r="C109" s="8" t="str">
        <f t="shared" si="9"/>
        <v>戰鬥開始時裝備者的攻擊增加3%</v>
      </c>
      <c r="D109" s="8"/>
      <c r="E109" s="8"/>
      <c r="F109" s="8"/>
      <c r="G109" s="8"/>
      <c r="H109" s="8">
        <f t="shared" ref="H109:H113" si="11">H108+0.01</f>
        <v>0.03</v>
      </c>
      <c r="I109" s="8"/>
      <c r="J109" s="8"/>
      <c r="K109" s="8"/>
      <c r="L109" s="8"/>
      <c r="M109" s="8"/>
      <c r="N109" s="8"/>
      <c r="O109" s="8"/>
      <c r="P109" s="8"/>
      <c r="Q109" s="42"/>
      <c r="R109" s="42"/>
      <c r="S109" s="42"/>
      <c r="T109" s="42"/>
      <c r="U109" s="42"/>
      <c r="V109" s="42"/>
      <c r="W109" s="42" t="b">
        <f t="shared" si="10"/>
        <v>0</v>
      </c>
      <c r="X109" s="42">
        <v>1.0</v>
      </c>
      <c r="Y109" s="42">
        <v>9999.0</v>
      </c>
      <c r="Z109" s="42"/>
      <c r="AA109" s="42"/>
      <c r="AB109" s="42"/>
      <c r="AC109" s="42">
        <v>1.0</v>
      </c>
      <c r="AD109" s="8"/>
      <c r="AE109" s="8"/>
    </row>
    <row r="110" ht="14.25" customHeight="1">
      <c r="A110" s="42">
        <v>7003.0</v>
      </c>
      <c r="B110" s="17" t="s">
        <v>1136</v>
      </c>
      <c r="C110" s="8" t="str">
        <f t="shared" si="9"/>
        <v>戰鬥開始時裝備者的攻擊增加4%</v>
      </c>
      <c r="D110" s="8"/>
      <c r="E110" s="8"/>
      <c r="F110" s="8"/>
      <c r="G110" s="8"/>
      <c r="H110" s="8">
        <f t="shared" si="11"/>
        <v>0.04</v>
      </c>
      <c r="I110" s="8"/>
      <c r="J110" s="8"/>
      <c r="K110" s="8"/>
      <c r="L110" s="8"/>
      <c r="M110" s="8"/>
      <c r="N110" s="8"/>
      <c r="O110" s="8"/>
      <c r="P110" s="8"/>
      <c r="Q110" s="42"/>
      <c r="R110" s="42"/>
      <c r="S110" s="42"/>
      <c r="T110" s="42"/>
      <c r="U110" s="42"/>
      <c r="V110" s="42"/>
      <c r="W110" s="42" t="b">
        <f t="shared" si="10"/>
        <v>0</v>
      </c>
      <c r="X110" s="42">
        <v>1.0</v>
      </c>
      <c r="Y110" s="42">
        <v>9999.0</v>
      </c>
      <c r="Z110" s="42"/>
      <c r="AA110" s="42"/>
      <c r="AB110" s="42"/>
      <c r="AC110" s="42">
        <v>1.0</v>
      </c>
      <c r="AD110" s="8"/>
      <c r="AE110" s="8"/>
    </row>
    <row r="111" ht="14.25" customHeight="1">
      <c r="A111" s="42">
        <v>7004.0</v>
      </c>
      <c r="B111" s="17" t="s">
        <v>1142</v>
      </c>
      <c r="C111" s="8" t="str">
        <f t="shared" si="9"/>
        <v>戰鬥開始時裝備者的攻擊增加5%</v>
      </c>
      <c r="D111" s="8"/>
      <c r="E111" s="8"/>
      <c r="F111" s="8"/>
      <c r="G111" s="8"/>
      <c r="H111" s="8">
        <f t="shared" si="11"/>
        <v>0.05</v>
      </c>
      <c r="I111" s="8"/>
      <c r="J111" s="8"/>
      <c r="K111" s="8"/>
      <c r="L111" s="8"/>
      <c r="M111" s="8"/>
      <c r="N111" s="8"/>
      <c r="O111" s="8"/>
      <c r="P111" s="8"/>
      <c r="Q111" s="42"/>
      <c r="R111" s="42"/>
      <c r="S111" s="42"/>
      <c r="T111" s="42"/>
      <c r="U111" s="42"/>
      <c r="V111" s="42"/>
      <c r="W111" s="42" t="b">
        <f t="shared" si="10"/>
        <v>0</v>
      </c>
      <c r="X111" s="42">
        <v>1.0</v>
      </c>
      <c r="Y111" s="42">
        <v>9999.0</v>
      </c>
      <c r="Z111" s="42"/>
      <c r="AA111" s="42"/>
      <c r="AB111" s="42"/>
      <c r="AC111" s="42">
        <v>1.0</v>
      </c>
      <c r="AD111" s="8"/>
      <c r="AE111" s="8"/>
    </row>
    <row r="112" ht="14.25" customHeight="1">
      <c r="A112" s="42">
        <v>7005.0</v>
      </c>
      <c r="B112" s="17" t="s">
        <v>1148</v>
      </c>
      <c r="C112" s="8" t="str">
        <f t="shared" si="9"/>
        <v>戰鬥開始時裝備者的攻擊增加6%</v>
      </c>
      <c r="D112" s="8"/>
      <c r="E112" s="8"/>
      <c r="F112" s="8"/>
      <c r="G112" s="8"/>
      <c r="H112" s="8">
        <f t="shared" si="11"/>
        <v>0.06</v>
      </c>
      <c r="I112" s="8"/>
      <c r="J112" s="8"/>
      <c r="K112" s="8"/>
      <c r="L112" s="8"/>
      <c r="M112" s="8"/>
      <c r="N112" s="8"/>
      <c r="O112" s="8"/>
      <c r="P112" s="8"/>
      <c r="Q112" s="42"/>
      <c r="R112" s="42"/>
      <c r="S112" s="42"/>
      <c r="T112" s="42"/>
      <c r="U112" s="42"/>
      <c r="V112" s="42"/>
      <c r="W112" s="42" t="b">
        <f t="shared" si="10"/>
        <v>0</v>
      </c>
      <c r="X112" s="42">
        <v>1.0</v>
      </c>
      <c r="Y112" s="42">
        <v>9999.0</v>
      </c>
      <c r="Z112" s="42"/>
      <c r="AA112" s="42"/>
      <c r="AB112" s="42"/>
      <c r="AC112" s="42">
        <v>1.0</v>
      </c>
      <c r="AD112" s="8"/>
      <c r="AE112" s="8"/>
    </row>
    <row r="113" ht="14.25" customHeight="1">
      <c r="A113" s="42">
        <v>7006.0</v>
      </c>
      <c r="B113" s="17" t="s">
        <v>1153</v>
      </c>
      <c r="C113" s="8" t="str">
        <f t="shared" si="9"/>
        <v>戰鬥開始時裝備者的攻擊增加7%</v>
      </c>
      <c r="D113" s="8"/>
      <c r="E113" s="8"/>
      <c r="F113" s="8"/>
      <c r="G113" s="8"/>
      <c r="H113" s="8">
        <f t="shared" si="11"/>
        <v>0.07</v>
      </c>
      <c r="I113" s="8"/>
      <c r="J113" s="8"/>
      <c r="K113" s="8"/>
      <c r="L113" s="8"/>
      <c r="M113" s="8"/>
      <c r="N113" s="8"/>
      <c r="O113" s="8"/>
      <c r="P113" s="8"/>
      <c r="Q113" s="42"/>
      <c r="R113" s="42"/>
      <c r="S113" s="42"/>
      <c r="T113" s="42"/>
      <c r="U113" s="42"/>
      <c r="V113" s="42"/>
      <c r="W113" s="42" t="b">
        <f t="shared" si="10"/>
        <v>0</v>
      </c>
      <c r="X113" s="42">
        <v>1.0</v>
      </c>
      <c r="Y113" s="42">
        <v>9999.0</v>
      </c>
      <c r="Z113" s="42"/>
      <c r="AA113" s="42"/>
      <c r="AB113" s="42"/>
      <c r="AC113" s="42">
        <v>1.0</v>
      </c>
      <c r="AD113" s="8"/>
      <c r="AE113" s="8"/>
    </row>
    <row r="114" ht="14.25" customHeight="1">
      <c r="A114" s="42">
        <v>7007.0</v>
      </c>
      <c r="B114" s="17" t="s">
        <v>1157</v>
      </c>
      <c r="C114" s="8" t="str">
        <f t="shared" si="9"/>
        <v>戰鬥開始時裝備者的攻擊增加9.%</v>
      </c>
      <c r="D114" s="8"/>
      <c r="E114" s="8"/>
      <c r="F114" s="8"/>
      <c r="G114" s="8"/>
      <c r="H114" s="8">
        <f t="shared" ref="H114:H117" si="12">H113+0.02</f>
        <v>0.09</v>
      </c>
      <c r="I114" s="8"/>
      <c r="J114" s="8"/>
      <c r="K114" s="8"/>
      <c r="L114" s="8"/>
      <c r="M114" s="8"/>
      <c r="N114" s="8"/>
      <c r="O114" s="8"/>
      <c r="P114" s="8"/>
      <c r="Q114" s="42"/>
      <c r="R114" s="42"/>
      <c r="S114" s="42"/>
      <c r="T114" s="42"/>
      <c r="U114" s="42"/>
      <c r="V114" s="42"/>
      <c r="W114" s="42" t="b">
        <f t="shared" si="10"/>
        <v>0</v>
      </c>
      <c r="X114" s="42">
        <v>1.0</v>
      </c>
      <c r="Y114" s="42">
        <v>9999.0</v>
      </c>
      <c r="Z114" s="42"/>
      <c r="AA114" s="42"/>
      <c r="AB114" s="42"/>
      <c r="AC114" s="42">
        <v>1.0</v>
      </c>
      <c r="AD114" s="8"/>
      <c r="AE114" s="8"/>
    </row>
    <row r="115" ht="14.25" customHeight="1">
      <c r="A115" s="42">
        <v>7008.0</v>
      </c>
      <c r="B115" s="17" t="s">
        <v>1164</v>
      </c>
      <c r="C115" s="8" t="str">
        <f t="shared" si="9"/>
        <v>戰鬥開始時裝備者的攻擊增加11.%</v>
      </c>
      <c r="D115" s="8"/>
      <c r="E115" s="8"/>
      <c r="F115" s="8"/>
      <c r="G115" s="8"/>
      <c r="H115" s="8">
        <f t="shared" si="12"/>
        <v>0.11</v>
      </c>
      <c r="I115" s="8"/>
      <c r="J115" s="8"/>
      <c r="K115" s="8"/>
      <c r="L115" s="8"/>
      <c r="M115" s="8"/>
      <c r="N115" s="8"/>
      <c r="O115" s="8"/>
      <c r="P115" s="8"/>
      <c r="Q115" s="42"/>
      <c r="R115" s="42"/>
      <c r="S115" s="42"/>
      <c r="T115" s="42"/>
      <c r="U115" s="42"/>
      <c r="V115" s="42"/>
      <c r="W115" s="42" t="b">
        <f t="shared" si="10"/>
        <v>0</v>
      </c>
      <c r="X115" s="42">
        <v>1.0</v>
      </c>
      <c r="Y115" s="42">
        <v>9999.0</v>
      </c>
      <c r="Z115" s="42"/>
      <c r="AA115" s="42"/>
      <c r="AB115" s="42"/>
      <c r="AC115" s="42">
        <v>1.0</v>
      </c>
      <c r="AD115" s="8"/>
      <c r="AE115" s="8"/>
    </row>
    <row r="116" ht="14.25" customHeight="1">
      <c r="A116" s="42">
        <v>7009.0</v>
      </c>
      <c r="B116" s="17" t="s">
        <v>1168</v>
      </c>
      <c r="C116" s="8" t="str">
        <f t="shared" si="9"/>
        <v>戰鬥開始時裝備者的攻擊增加13%</v>
      </c>
      <c r="D116" s="8"/>
      <c r="E116" s="8"/>
      <c r="F116" s="8"/>
      <c r="G116" s="8"/>
      <c r="H116" s="8">
        <f t="shared" si="12"/>
        <v>0.13</v>
      </c>
      <c r="I116" s="8"/>
      <c r="J116" s="8"/>
      <c r="K116" s="8"/>
      <c r="L116" s="8"/>
      <c r="M116" s="8"/>
      <c r="N116" s="8"/>
      <c r="O116" s="8"/>
      <c r="P116" s="8"/>
      <c r="Q116" s="42"/>
      <c r="R116" s="42"/>
      <c r="S116" s="42"/>
      <c r="T116" s="42"/>
      <c r="U116" s="42"/>
      <c r="V116" s="42"/>
      <c r="W116" s="42" t="b">
        <f t="shared" si="10"/>
        <v>0</v>
      </c>
      <c r="X116" s="42">
        <v>1.0</v>
      </c>
      <c r="Y116" s="42">
        <v>9999.0</v>
      </c>
      <c r="Z116" s="42"/>
      <c r="AA116" s="42"/>
      <c r="AB116" s="42"/>
      <c r="AC116" s="42">
        <v>1.0</v>
      </c>
      <c r="AD116" s="8"/>
      <c r="AE116" s="8"/>
    </row>
    <row r="117" ht="14.25" customHeight="1">
      <c r="A117" s="42">
        <v>7010.0</v>
      </c>
      <c r="B117" s="17" t="s">
        <v>1173</v>
      </c>
      <c r="C117" s="8" t="str">
        <f t="shared" si="9"/>
        <v>戰鬥開始時裝備者的攻擊增加15%</v>
      </c>
      <c r="D117" s="8"/>
      <c r="E117" s="8"/>
      <c r="F117" s="8"/>
      <c r="G117" s="8"/>
      <c r="H117" s="8">
        <f t="shared" si="12"/>
        <v>0.15</v>
      </c>
      <c r="I117" s="8"/>
      <c r="J117" s="8"/>
      <c r="K117" s="8"/>
      <c r="L117" s="8"/>
      <c r="M117" s="8"/>
      <c r="N117" s="8"/>
      <c r="O117" s="8"/>
      <c r="P117" s="8"/>
      <c r="Q117" s="42"/>
      <c r="R117" s="42"/>
      <c r="S117" s="42"/>
      <c r="T117" s="42"/>
      <c r="U117" s="42"/>
      <c r="V117" s="42"/>
      <c r="W117" s="42" t="b">
        <f t="shared" si="10"/>
        <v>0</v>
      </c>
      <c r="X117" s="42">
        <v>1.0</v>
      </c>
      <c r="Y117" s="42">
        <v>9999.0</v>
      </c>
      <c r="Z117" s="42"/>
      <c r="AA117" s="42"/>
      <c r="AB117" s="42"/>
      <c r="AC117" s="42">
        <v>1.0</v>
      </c>
      <c r="AD117" s="8"/>
      <c r="AE117" s="8"/>
    </row>
    <row r="118" ht="14.25" customHeight="1">
      <c r="A118" s="42">
        <v>7011.0</v>
      </c>
      <c r="B118" s="17" t="s">
        <v>1178</v>
      </c>
      <c r="C118" s="8" t="str">
        <f t="shared" ref="C118:C127" si="13">"戰鬥開始時裝備者的魔攻增加"&amp;I118*100&amp;"%"</f>
        <v>戰鬥開始時裝備者的魔攻增加2%</v>
      </c>
      <c r="D118" s="8"/>
      <c r="E118" s="8"/>
      <c r="F118" s="8"/>
      <c r="G118" s="8"/>
      <c r="H118" s="8"/>
      <c r="I118" s="8">
        <v>0.02</v>
      </c>
      <c r="J118" s="8"/>
      <c r="K118" s="8"/>
      <c r="L118" s="8"/>
      <c r="M118" s="8"/>
      <c r="N118" s="8"/>
      <c r="O118" s="8"/>
      <c r="P118" s="8"/>
      <c r="Q118" s="42"/>
      <c r="R118" s="42"/>
      <c r="S118" s="42"/>
      <c r="T118" s="42"/>
      <c r="U118" s="42"/>
      <c r="V118" s="42"/>
      <c r="W118" s="42" t="b">
        <f t="shared" si="10"/>
        <v>0</v>
      </c>
      <c r="X118" s="42">
        <v>1.0</v>
      </c>
      <c r="Y118" s="42">
        <v>9999.0</v>
      </c>
      <c r="Z118" s="42"/>
      <c r="AA118" s="42"/>
      <c r="AB118" s="42"/>
      <c r="AC118" s="42">
        <v>1.0</v>
      </c>
      <c r="AD118" s="8"/>
      <c r="AE118" s="8"/>
    </row>
    <row r="119" ht="14.25" customHeight="1">
      <c r="A119" s="42">
        <v>7012.0</v>
      </c>
      <c r="B119" s="17" t="s">
        <v>1187</v>
      </c>
      <c r="C119" s="8" t="str">
        <f t="shared" si="13"/>
        <v>戰鬥開始時裝備者的魔攻增加3%</v>
      </c>
      <c r="D119" s="8"/>
      <c r="E119" s="8"/>
      <c r="F119" s="8"/>
      <c r="G119" s="8"/>
      <c r="H119" s="8"/>
      <c r="I119" s="8">
        <f t="shared" ref="I119:I123" si="14">I118+0.01</f>
        <v>0.03</v>
      </c>
      <c r="J119" s="8"/>
      <c r="K119" s="8"/>
      <c r="L119" s="8"/>
      <c r="M119" s="8"/>
      <c r="N119" s="8"/>
      <c r="O119" s="8"/>
      <c r="P119" s="8"/>
      <c r="Q119" s="42"/>
      <c r="R119" s="42"/>
      <c r="S119" s="42"/>
      <c r="T119" s="42"/>
      <c r="U119" s="42"/>
      <c r="V119" s="42"/>
      <c r="W119" s="42" t="b">
        <f t="shared" si="10"/>
        <v>0</v>
      </c>
      <c r="X119" s="42">
        <v>1.0</v>
      </c>
      <c r="Y119" s="42">
        <v>9999.0</v>
      </c>
      <c r="Z119" s="42"/>
      <c r="AA119" s="42"/>
      <c r="AB119" s="42"/>
      <c r="AC119" s="42">
        <v>1.0</v>
      </c>
      <c r="AD119" s="8"/>
      <c r="AE119" s="8"/>
    </row>
    <row r="120" ht="14.25" customHeight="1">
      <c r="A120" s="42">
        <v>7013.0</v>
      </c>
      <c r="B120" s="17" t="s">
        <v>1196</v>
      </c>
      <c r="C120" s="8" t="str">
        <f t="shared" si="13"/>
        <v>戰鬥開始時裝備者的魔攻增加4%</v>
      </c>
      <c r="D120" s="8"/>
      <c r="E120" s="8"/>
      <c r="F120" s="8"/>
      <c r="G120" s="8"/>
      <c r="H120" s="8"/>
      <c r="I120" s="8">
        <f t="shared" si="14"/>
        <v>0.04</v>
      </c>
      <c r="J120" s="8"/>
      <c r="K120" s="8"/>
      <c r="L120" s="8"/>
      <c r="M120" s="8"/>
      <c r="N120" s="8"/>
      <c r="O120" s="8"/>
      <c r="P120" s="8"/>
      <c r="Q120" s="42"/>
      <c r="R120" s="42"/>
      <c r="S120" s="42"/>
      <c r="T120" s="42"/>
      <c r="U120" s="42"/>
      <c r="V120" s="42"/>
      <c r="W120" s="42" t="b">
        <f t="shared" si="10"/>
        <v>0</v>
      </c>
      <c r="X120" s="42">
        <v>1.0</v>
      </c>
      <c r="Y120" s="42">
        <v>9999.0</v>
      </c>
      <c r="Z120" s="42"/>
      <c r="AA120" s="42"/>
      <c r="AB120" s="42"/>
      <c r="AC120" s="42">
        <v>1.0</v>
      </c>
      <c r="AD120" s="8"/>
      <c r="AE120" s="8"/>
    </row>
    <row r="121" ht="14.25" customHeight="1">
      <c r="A121" s="42">
        <v>7014.0</v>
      </c>
      <c r="B121" s="17" t="s">
        <v>1201</v>
      </c>
      <c r="C121" s="8" t="str">
        <f t="shared" si="13"/>
        <v>戰鬥開始時裝備者的魔攻增加5%</v>
      </c>
      <c r="D121" s="8"/>
      <c r="E121" s="8"/>
      <c r="F121" s="8"/>
      <c r="G121" s="8"/>
      <c r="H121" s="8"/>
      <c r="I121" s="8">
        <f t="shared" si="14"/>
        <v>0.05</v>
      </c>
      <c r="J121" s="8"/>
      <c r="K121" s="8"/>
      <c r="L121" s="8"/>
      <c r="M121" s="8"/>
      <c r="N121" s="8"/>
      <c r="O121" s="8"/>
      <c r="P121" s="8"/>
      <c r="Q121" s="42"/>
      <c r="R121" s="42"/>
      <c r="S121" s="42"/>
      <c r="T121" s="42"/>
      <c r="U121" s="42"/>
      <c r="V121" s="42"/>
      <c r="W121" s="42" t="b">
        <f t="shared" si="10"/>
        <v>0</v>
      </c>
      <c r="X121" s="42">
        <v>1.0</v>
      </c>
      <c r="Y121" s="42">
        <v>9999.0</v>
      </c>
      <c r="Z121" s="42"/>
      <c r="AA121" s="42"/>
      <c r="AB121" s="42"/>
      <c r="AC121" s="42">
        <v>1.0</v>
      </c>
      <c r="AD121" s="8"/>
      <c r="AE121" s="8"/>
    </row>
    <row r="122" ht="14.25" customHeight="1">
      <c r="A122" s="42">
        <v>7015.0</v>
      </c>
      <c r="B122" s="17" t="s">
        <v>1207</v>
      </c>
      <c r="C122" s="8" t="str">
        <f t="shared" si="13"/>
        <v>戰鬥開始時裝備者的魔攻增加6%</v>
      </c>
      <c r="D122" s="8"/>
      <c r="E122" s="8"/>
      <c r="F122" s="8"/>
      <c r="G122" s="8"/>
      <c r="H122" s="8"/>
      <c r="I122" s="8">
        <f t="shared" si="14"/>
        <v>0.06</v>
      </c>
      <c r="J122" s="8"/>
      <c r="K122" s="8"/>
      <c r="L122" s="8"/>
      <c r="M122" s="8"/>
      <c r="N122" s="8"/>
      <c r="O122" s="8"/>
      <c r="P122" s="8"/>
      <c r="Q122" s="42"/>
      <c r="R122" s="42"/>
      <c r="S122" s="42"/>
      <c r="T122" s="42"/>
      <c r="U122" s="42"/>
      <c r="V122" s="42"/>
      <c r="W122" s="42" t="b">
        <f t="shared" si="10"/>
        <v>0</v>
      </c>
      <c r="X122" s="42">
        <v>1.0</v>
      </c>
      <c r="Y122" s="42">
        <v>9999.0</v>
      </c>
      <c r="Z122" s="42"/>
      <c r="AA122" s="42"/>
      <c r="AB122" s="42"/>
      <c r="AC122" s="42">
        <v>1.0</v>
      </c>
      <c r="AD122" s="8"/>
      <c r="AE122" s="8"/>
    </row>
    <row r="123" ht="14.25" customHeight="1">
      <c r="A123" s="42">
        <v>7016.0</v>
      </c>
      <c r="B123" s="17" t="s">
        <v>1213</v>
      </c>
      <c r="C123" s="8" t="str">
        <f t="shared" si="13"/>
        <v>戰鬥開始時裝備者的魔攻增加7%</v>
      </c>
      <c r="D123" s="8"/>
      <c r="E123" s="8"/>
      <c r="F123" s="8"/>
      <c r="G123" s="8"/>
      <c r="H123" s="8"/>
      <c r="I123" s="8">
        <f t="shared" si="14"/>
        <v>0.07</v>
      </c>
      <c r="J123" s="8"/>
      <c r="K123" s="8"/>
      <c r="L123" s="8"/>
      <c r="M123" s="8"/>
      <c r="N123" s="8"/>
      <c r="O123" s="8"/>
      <c r="P123" s="8"/>
      <c r="Q123" s="42"/>
      <c r="R123" s="42"/>
      <c r="S123" s="42"/>
      <c r="T123" s="42"/>
      <c r="U123" s="42"/>
      <c r="V123" s="42"/>
      <c r="W123" s="42" t="b">
        <f t="shared" si="10"/>
        <v>0</v>
      </c>
      <c r="X123" s="42">
        <v>1.0</v>
      </c>
      <c r="Y123" s="42">
        <v>9999.0</v>
      </c>
      <c r="Z123" s="42"/>
      <c r="AA123" s="42"/>
      <c r="AB123" s="42"/>
      <c r="AC123" s="42">
        <v>1.0</v>
      </c>
      <c r="AD123" s="8"/>
      <c r="AE123" s="8"/>
    </row>
    <row r="124" ht="14.25" customHeight="1">
      <c r="A124" s="42">
        <v>7017.0</v>
      </c>
      <c r="B124" s="17" t="s">
        <v>1219</v>
      </c>
      <c r="C124" s="8" t="str">
        <f t="shared" si="13"/>
        <v>戰鬥開始時裝備者的魔攻增加9.%</v>
      </c>
      <c r="D124" s="8"/>
      <c r="E124" s="8"/>
      <c r="F124" s="8"/>
      <c r="G124" s="8"/>
      <c r="H124" s="8"/>
      <c r="I124" s="8">
        <f t="shared" ref="I124:I127" si="15">I123+0.02</f>
        <v>0.09</v>
      </c>
      <c r="J124" s="8"/>
      <c r="K124" s="8"/>
      <c r="L124" s="8"/>
      <c r="M124" s="8"/>
      <c r="N124" s="8"/>
      <c r="O124" s="8"/>
      <c r="P124" s="8"/>
      <c r="Q124" s="42"/>
      <c r="R124" s="42"/>
      <c r="S124" s="42"/>
      <c r="T124" s="42"/>
      <c r="U124" s="42"/>
      <c r="V124" s="42"/>
      <c r="W124" s="42" t="b">
        <f t="shared" si="10"/>
        <v>0</v>
      </c>
      <c r="X124" s="42">
        <v>1.0</v>
      </c>
      <c r="Y124" s="42">
        <v>9999.0</v>
      </c>
      <c r="Z124" s="42"/>
      <c r="AA124" s="42"/>
      <c r="AB124" s="42"/>
      <c r="AC124" s="42">
        <v>1.0</v>
      </c>
      <c r="AD124" s="8"/>
      <c r="AE124" s="8"/>
    </row>
    <row r="125" ht="14.25" customHeight="1">
      <c r="A125" s="42">
        <v>7018.0</v>
      </c>
      <c r="B125" s="17" t="s">
        <v>1227</v>
      </c>
      <c r="C125" s="8" t="str">
        <f t="shared" si="13"/>
        <v>戰鬥開始時裝備者的魔攻增加11.%</v>
      </c>
      <c r="D125" s="8"/>
      <c r="E125" s="8"/>
      <c r="F125" s="8"/>
      <c r="G125" s="8"/>
      <c r="H125" s="8"/>
      <c r="I125" s="8">
        <f t="shared" si="15"/>
        <v>0.11</v>
      </c>
      <c r="J125" s="8"/>
      <c r="K125" s="8"/>
      <c r="L125" s="8"/>
      <c r="M125" s="8"/>
      <c r="N125" s="8"/>
      <c r="O125" s="8"/>
      <c r="P125" s="8"/>
      <c r="Q125" s="42"/>
      <c r="R125" s="42"/>
      <c r="S125" s="42"/>
      <c r="T125" s="42"/>
      <c r="U125" s="42"/>
      <c r="V125" s="42"/>
      <c r="W125" s="42" t="b">
        <f t="shared" si="10"/>
        <v>0</v>
      </c>
      <c r="X125" s="42">
        <v>1.0</v>
      </c>
      <c r="Y125" s="42">
        <v>9999.0</v>
      </c>
      <c r="Z125" s="42"/>
      <c r="AA125" s="42"/>
      <c r="AB125" s="42"/>
      <c r="AC125" s="42">
        <v>1.0</v>
      </c>
      <c r="AD125" s="8"/>
      <c r="AE125" s="8"/>
    </row>
    <row r="126" ht="14.25" customHeight="1">
      <c r="A126" s="42">
        <v>7019.0</v>
      </c>
      <c r="B126" s="17" t="s">
        <v>1234</v>
      </c>
      <c r="C126" s="8" t="str">
        <f t="shared" si="13"/>
        <v>戰鬥開始時裝備者的魔攻增加13%</v>
      </c>
      <c r="D126" s="8"/>
      <c r="E126" s="8"/>
      <c r="F126" s="8"/>
      <c r="G126" s="8"/>
      <c r="H126" s="8"/>
      <c r="I126" s="8">
        <f t="shared" si="15"/>
        <v>0.13</v>
      </c>
      <c r="J126" s="8"/>
      <c r="K126" s="8"/>
      <c r="L126" s="8"/>
      <c r="M126" s="8"/>
      <c r="N126" s="8"/>
      <c r="O126" s="8"/>
      <c r="P126" s="8"/>
      <c r="Q126" s="42"/>
      <c r="R126" s="42"/>
      <c r="S126" s="42"/>
      <c r="T126" s="42"/>
      <c r="U126" s="42"/>
      <c r="V126" s="42"/>
      <c r="W126" s="42" t="b">
        <f t="shared" si="10"/>
        <v>0</v>
      </c>
      <c r="X126" s="42">
        <v>1.0</v>
      </c>
      <c r="Y126" s="42">
        <v>9999.0</v>
      </c>
      <c r="Z126" s="42"/>
      <c r="AA126" s="42"/>
      <c r="AB126" s="42"/>
      <c r="AC126" s="42">
        <v>1.0</v>
      </c>
      <c r="AD126" s="8"/>
      <c r="AE126" s="8"/>
    </row>
    <row r="127" ht="14.25" customHeight="1">
      <c r="A127" s="42">
        <v>7020.0</v>
      </c>
      <c r="B127" s="17" t="s">
        <v>1240</v>
      </c>
      <c r="C127" s="8" t="str">
        <f t="shared" si="13"/>
        <v>戰鬥開始時裝備者的魔攻增加15%</v>
      </c>
      <c r="D127" s="8"/>
      <c r="E127" s="8"/>
      <c r="F127" s="8"/>
      <c r="G127" s="8"/>
      <c r="H127" s="8"/>
      <c r="I127" s="8">
        <f t="shared" si="15"/>
        <v>0.15</v>
      </c>
      <c r="J127" s="8"/>
      <c r="K127" s="8"/>
      <c r="L127" s="8"/>
      <c r="M127" s="8"/>
      <c r="N127" s="8"/>
      <c r="O127" s="8"/>
      <c r="P127" s="8"/>
      <c r="Q127" s="42"/>
      <c r="R127" s="42"/>
      <c r="S127" s="42"/>
      <c r="T127" s="42"/>
      <c r="U127" s="42"/>
      <c r="V127" s="42"/>
      <c r="W127" s="42" t="b">
        <f t="shared" si="10"/>
        <v>0</v>
      </c>
      <c r="X127" s="42">
        <v>1.0</v>
      </c>
      <c r="Y127" s="42">
        <v>9999.0</v>
      </c>
      <c r="Z127" s="42"/>
      <c r="AA127" s="42"/>
      <c r="AB127" s="42"/>
      <c r="AC127" s="42">
        <v>1.0</v>
      </c>
      <c r="AD127" s="8"/>
      <c r="AE127" s="8"/>
    </row>
    <row r="128" ht="14.25" customHeight="1">
      <c r="A128" s="42">
        <v>7021.0</v>
      </c>
      <c r="B128" s="17" t="s">
        <v>1242</v>
      </c>
      <c r="C128" s="8" t="str">
        <f t="shared" ref="C128:C137" si="16">"戰鬥開始時裝備者的魔防增加"&amp;K128*100&amp;"%"</f>
        <v>戰鬥開始時裝備者的魔防增加2%</v>
      </c>
      <c r="D128" s="8"/>
      <c r="E128" s="8"/>
      <c r="F128" s="8"/>
      <c r="G128" s="8"/>
      <c r="H128" s="8"/>
      <c r="I128" s="8"/>
      <c r="J128" s="8"/>
      <c r="K128" s="8">
        <v>0.02</v>
      </c>
      <c r="L128" s="8"/>
      <c r="M128" s="8"/>
      <c r="N128" s="8"/>
      <c r="O128" s="8"/>
      <c r="P128" s="8"/>
      <c r="Q128" s="42"/>
      <c r="R128" s="42"/>
      <c r="S128" s="42"/>
      <c r="T128" s="42"/>
      <c r="U128" s="42"/>
      <c r="V128" s="42"/>
      <c r="W128" s="42" t="b">
        <f t="shared" si="10"/>
        <v>0</v>
      </c>
      <c r="X128" s="42">
        <v>1.0</v>
      </c>
      <c r="Y128" s="42">
        <v>9999.0</v>
      </c>
      <c r="Z128" s="42"/>
      <c r="AA128" s="42"/>
      <c r="AB128" s="42"/>
      <c r="AC128" s="42">
        <v>1.0</v>
      </c>
      <c r="AD128" s="8"/>
      <c r="AE128" s="8"/>
    </row>
    <row r="129" ht="14.25" customHeight="1">
      <c r="A129" s="42">
        <v>7022.0</v>
      </c>
      <c r="B129" s="17" t="s">
        <v>1252</v>
      </c>
      <c r="C129" s="8" t="str">
        <f t="shared" si="16"/>
        <v>戰鬥開始時裝備者的魔防增加3%</v>
      </c>
      <c r="D129" s="8"/>
      <c r="E129" s="8"/>
      <c r="F129" s="8"/>
      <c r="G129" s="8"/>
      <c r="H129" s="8"/>
      <c r="I129" s="8"/>
      <c r="J129" s="8"/>
      <c r="K129" s="8">
        <f t="shared" ref="K129:K133" si="17">K128+0.01</f>
        <v>0.03</v>
      </c>
      <c r="L129" s="8"/>
      <c r="M129" s="8"/>
      <c r="N129" s="8"/>
      <c r="O129" s="8"/>
      <c r="P129" s="8"/>
      <c r="Q129" s="42"/>
      <c r="R129" s="42"/>
      <c r="S129" s="42"/>
      <c r="T129" s="42"/>
      <c r="U129" s="42"/>
      <c r="V129" s="42"/>
      <c r="W129" s="42" t="b">
        <f t="shared" si="10"/>
        <v>0</v>
      </c>
      <c r="X129" s="42">
        <v>1.0</v>
      </c>
      <c r="Y129" s="42">
        <v>9999.0</v>
      </c>
      <c r="Z129" s="42"/>
      <c r="AA129" s="42"/>
      <c r="AB129" s="42"/>
      <c r="AC129" s="42">
        <v>1.0</v>
      </c>
      <c r="AD129" s="8"/>
      <c r="AE129" s="8"/>
    </row>
    <row r="130" ht="14.25" customHeight="1">
      <c r="A130" s="42">
        <v>7023.0</v>
      </c>
      <c r="B130" s="17" t="s">
        <v>1261</v>
      </c>
      <c r="C130" s="8" t="str">
        <f t="shared" si="16"/>
        <v>戰鬥開始時裝備者的魔防增加4%</v>
      </c>
      <c r="D130" s="8"/>
      <c r="E130" s="8"/>
      <c r="F130" s="8"/>
      <c r="G130" s="8"/>
      <c r="H130" s="8"/>
      <c r="I130" s="8"/>
      <c r="J130" s="8"/>
      <c r="K130" s="8">
        <f t="shared" si="17"/>
        <v>0.04</v>
      </c>
      <c r="L130" s="8"/>
      <c r="M130" s="8"/>
      <c r="N130" s="8"/>
      <c r="O130" s="8"/>
      <c r="P130" s="8"/>
      <c r="Q130" s="42"/>
      <c r="R130" s="42"/>
      <c r="S130" s="42"/>
      <c r="T130" s="42"/>
      <c r="U130" s="42"/>
      <c r="V130" s="42"/>
      <c r="W130" s="42" t="b">
        <f t="shared" si="10"/>
        <v>0</v>
      </c>
      <c r="X130" s="42">
        <v>1.0</v>
      </c>
      <c r="Y130" s="42">
        <v>9999.0</v>
      </c>
      <c r="Z130" s="42"/>
      <c r="AA130" s="42"/>
      <c r="AB130" s="42"/>
      <c r="AC130" s="42">
        <v>1.0</v>
      </c>
      <c r="AD130" s="8"/>
      <c r="AE130" s="8"/>
    </row>
    <row r="131" ht="14.25" customHeight="1">
      <c r="A131" s="42">
        <v>7024.0</v>
      </c>
      <c r="B131" s="17" t="s">
        <v>1265</v>
      </c>
      <c r="C131" s="8" t="str">
        <f t="shared" si="16"/>
        <v>戰鬥開始時裝備者的魔防增加5%</v>
      </c>
      <c r="D131" s="8"/>
      <c r="E131" s="8"/>
      <c r="F131" s="8"/>
      <c r="G131" s="8"/>
      <c r="H131" s="8"/>
      <c r="I131" s="8"/>
      <c r="J131" s="8"/>
      <c r="K131" s="8">
        <f t="shared" si="17"/>
        <v>0.05</v>
      </c>
      <c r="L131" s="8"/>
      <c r="M131" s="8"/>
      <c r="N131" s="8"/>
      <c r="O131" s="8"/>
      <c r="P131" s="8"/>
      <c r="Q131" s="42"/>
      <c r="R131" s="42"/>
      <c r="S131" s="42"/>
      <c r="T131" s="42"/>
      <c r="U131" s="42"/>
      <c r="V131" s="42"/>
      <c r="W131" s="42" t="b">
        <f t="shared" si="10"/>
        <v>0</v>
      </c>
      <c r="X131" s="42">
        <v>1.0</v>
      </c>
      <c r="Y131" s="42">
        <v>9999.0</v>
      </c>
      <c r="Z131" s="42"/>
      <c r="AA131" s="42"/>
      <c r="AB131" s="42"/>
      <c r="AC131" s="42">
        <v>1.0</v>
      </c>
      <c r="AD131" s="8"/>
      <c r="AE131" s="8"/>
    </row>
    <row r="132" ht="14.25" customHeight="1">
      <c r="A132" s="42">
        <v>7025.0</v>
      </c>
      <c r="B132" s="17" t="s">
        <v>1270</v>
      </c>
      <c r="C132" s="8" t="str">
        <f t="shared" si="16"/>
        <v>戰鬥開始時裝備者的魔防增加6%</v>
      </c>
      <c r="D132" s="8"/>
      <c r="E132" s="8"/>
      <c r="F132" s="8"/>
      <c r="G132" s="8"/>
      <c r="H132" s="8"/>
      <c r="I132" s="8"/>
      <c r="J132" s="8"/>
      <c r="K132" s="8">
        <f t="shared" si="17"/>
        <v>0.06</v>
      </c>
      <c r="L132" s="8"/>
      <c r="M132" s="8"/>
      <c r="N132" s="8"/>
      <c r="O132" s="8"/>
      <c r="P132" s="8"/>
      <c r="Q132" s="42"/>
      <c r="R132" s="42"/>
      <c r="S132" s="42"/>
      <c r="T132" s="42"/>
      <c r="U132" s="42"/>
      <c r="V132" s="42"/>
      <c r="W132" s="42" t="b">
        <f t="shared" si="10"/>
        <v>0</v>
      </c>
      <c r="X132" s="42">
        <v>1.0</v>
      </c>
      <c r="Y132" s="42">
        <v>9999.0</v>
      </c>
      <c r="Z132" s="42"/>
      <c r="AA132" s="42"/>
      <c r="AB132" s="42"/>
      <c r="AC132" s="42">
        <v>1.0</v>
      </c>
      <c r="AD132" s="8"/>
      <c r="AE132" s="8"/>
    </row>
    <row r="133" ht="14.25" customHeight="1">
      <c r="A133" s="42">
        <v>7026.0</v>
      </c>
      <c r="B133" s="17" t="s">
        <v>1275</v>
      </c>
      <c r="C133" s="8" t="str">
        <f t="shared" si="16"/>
        <v>戰鬥開始時裝備者的魔防增加7%</v>
      </c>
      <c r="D133" s="8"/>
      <c r="E133" s="8"/>
      <c r="F133" s="8"/>
      <c r="G133" s="8"/>
      <c r="H133" s="8"/>
      <c r="I133" s="8"/>
      <c r="J133" s="8"/>
      <c r="K133" s="8">
        <f t="shared" si="17"/>
        <v>0.07</v>
      </c>
      <c r="L133" s="8"/>
      <c r="M133" s="8"/>
      <c r="N133" s="8"/>
      <c r="O133" s="8"/>
      <c r="P133" s="8"/>
      <c r="Q133" s="42"/>
      <c r="R133" s="42"/>
      <c r="S133" s="42"/>
      <c r="T133" s="42"/>
      <c r="U133" s="42"/>
      <c r="V133" s="42"/>
      <c r="W133" s="42" t="b">
        <f t="shared" si="10"/>
        <v>0</v>
      </c>
      <c r="X133" s="42">
        <v>1.0</v>
      </c>
      <c r="Y133" s="42">
        <v>9999.0</v>
      </c>
      <c r="Z133" s="42"/>
      <c r="AA133" s="42"/>
      <c r="AB133" s="42"/>
      <c r="AC133" s="42">
        <v>1.0</v>
      </c>
      <c r="AD133" s="8"/>
      <c r="AE133" s="8"/>
    </row>
    <row r="134" ht="14.25" customHeight="1">
      <c r="A134" s="42">
        <v>7027.0</v>
      </c>
      <c r="B134" s="17" t="s">
        <v>1281</v>
      </c>
      <c r="C134" s="8" t="str">
        <f t="shared" si="16"/>
        <v>戰鬥開始時裝備者的魔防增加9.%</v>
      </c>
      <c r="D134" s="8"/>
      <c r="E134" s="8"/>
      <c r="F134" s="8"/>
      <c r="G134" s="8"/>
      <c r="H134" s="8"/>
      <c r="I134" s="8"/>
      <c r="J134" s="8"/>
      <c r="K134" s="8">
        <f t="shared" ref="K134:K137" si="18">K133+0.02</f>
        <v>0.09</v>
      </c>
      <c r="L134" s="8"/>
      <c r="M134" s="8"/>
      <c r="N134" s="8"/>
      <c r="O134" s="8"/>
      <c r="P134" s="8"/>
      <c r="Q134" s="42"/>
      <c r="R134" s="42"/>
      <c r="S134" s="42"/>
      <c r="T134" s="42"/>
      <c r="U134" s="42"/>
      <c r="V134" s="42"/>
      <c r="W134" s="42" t="b">
        <f t="shared" si="10"/>
        <v>0</v>
      </c>
      <c r="X134" s="42">
        <v>1.0</v>
      </c>
      <c r="Y134" s="42">
        <v>9999.0</v>
      </c>
      <c r="Z134" s="42"/>
      <c r="AA134" s="42"/>
      <c r="AB134" s="42"/>
      <c r="AC134" s="42">
        <v>1.0</v>
      </c>
      <c r="AD134" s="8"/>
      <c r="AE134" s="8"/>
    </row>
    <row r="135" ht="14.25" customHeight="1">
      <c r="A135" s="42">
        <v>7028.0</v>
      </c>
      <c r="B135" s="17" t="s">
        <v>1288</v>
      </c>
      <c r="C135" s="8" t="str">
        <f t="shared" si="16"/>
        <v>戰鬥開始時裝備者的魔防增加11.%</v>
      </c>
      <c r="D135" s="8"/>
      <c r="E135" s="8"/>
      <c r="F135" s="8"/>
      <c r="G135" s="8"/>
      <c r="H135" s="8"/>
      <c r="I135" s="8"/>
      <c r="J135" s="8"/>
      <c r="K135" s="8">
        <f t="shared" si="18"/>
        <v>0.11</v>
      </c>
      <c r="L135" s="8"/>
      <c r="M135" s="8"/>
      <c r="N135" s="8"/>
      <c r="O135" s="8"/>
      <c r="P135" s="8"/>
      <c r="Q135" s="42"/>
      <c r="R135" s="42"/>
      <c r="S135" s="42"/>
      <c r="T135" s="42"/>
      <c r="U135" s="42"/>
      <c r="V135" s="42"/>
      <c r="W135" s="42" t="b">
        <f t="shared" si="10"/>
        <v>0</v>
      </c>
      <c r="X135" s="42">
        <v>1.0</v>
      </c>
      <c r="Y135" s="42">
        <v>9999.0</v>
      </c>
      <c r="Z135" s="42"/>
      <c r="AA135" s="42"/>
      <c r="AB135" s="42"/>
      <c r="AC135" s="42">
        <v>1.0</v>
      </c>
      <c r="AD135" s="8"/>
      <c r="AE135" s="8"/>
    </row>
    <row r="136" ht="14.25" customHeight="1">
      <c r="A136" s="42">
        <v>7029.0</v>
      </c>
      <c r="B136" s="17" t="s">
        <v>1292</v>
      </c>
      <c r="C136" s="8" t="str">
        <f t="shared" si="16"/>
        <v>戰鬥開始時裝備者的魔防增加13%</v>
      </c>
      <c r="D136" s="8"/>
      <c r="E136" s="8"/>
      <c r="F136" s="8"/>
      <c r="G136" s="8"/>
      <c r="H136" s="8"/>
      <c r="I136" s="8"/>
      <c r="J136" s="8"/>
      <c r="K136" s="8">
        <f t="shared" si="18"/>
        <v>0.13</v>
      </c>
      <c r="L136" s="8"/>
      <c r="M136" s="8"/>
      <c r="N136" s="8"/>
      <c r="O136" s="8"/>
      <c r="P136" s="8"/>
      <c r="Q136" s="42"/>
      <c r="R136" s="42"/>
      <c r="S136" s="42"/>
      <c r="T136" s="42"/>
      <c r="U136" s="42"/>
      <c r="V136" s="42"/>
      <c r="W136" s="42" t="b">
        <f t="shared" si="10"/>
        <v>0</v>
      </c>
      <c r="X136" s="42">
        <v>1.0</v>
      </c>
      <c r="Y136" s="42">
        <v>9999.0</v>
      </c>
      <c r="Z136" s="42"/>
      <c r="AA136" s="42"/>
      <c r="AB136" s="42"/>
      <c r="AC136" s="42">
        <v>1.0</v>
      </c>
      <c r="AD136" s="8"/>
      <c r="AE136" s="8"/>
    </row>
    <row r="137" ht="14.25" customHeight="1">
      <c r="A137" s="42">
        <v>7030.0</v>
      </c>
      <c r="B137" s="17" t="s">
        <v>1296</v>
      </c>
      <c r="C137" s="8" t="str">
        <f t="shared" si="16"/>
        <v>戰鬥開始時裝備者的魔防增加15%</v>
      </c>
      <c r="D137" s="8"/>
      <c r="E137" s="8"/>
      <c r="F137" s="8"/>
      <c r="G137" s="8"/>
      <c r="H137" s="8"/>
      <c r="I137" s="8"/>
      <c r="J137" s="8"/>
      <c r="K137" s="8">
        <f t="shared" si="18"/>
        <v>0.15</v>
      </c>
      <c r="L137" s="8"/>
      <c r="M137" s="8"/>
      <c r="N137" s="8"/>
      <c r="O137" s="8"/>
      <c r="P137" s="8"/>
      <c r="Q137" s="42"/>
      <c r="R137" s="42"/>
      <c r="S137" s="42"/>
      <c r="T137" s="42"/>
      <c r="U137" s="42"/>
      <c r="V137" s="42"/>
      <c r="W137" s="42" t="b">
        <f t="shared" si="10"/>
        <v>0</v>
      </c>
      <c r="X137" s="42">
        <v>1.0</v>
      </c>
      <c r="Y137" s="42">
        <v>9999.0</v>
      </c>
      <c r="Z137" s="42"/>
      <c r="AA137" s="42"/>
      <c r="AB137" s="42"/>
      <c r="AC137" s="42">
        <v>1.0</v>
      </c>
      <c r="AD137" s="8"/>
      <c r="AE137" s="8"/>
    </row>
    <row r="138" ht="14.25" customHeight="1">
      <c r="A138" s="42">
        <v>7031.0</v>
      </c>
      <c r="B138" s="17" t="s">
        <v>1300</v>
      </c>
      <c r="C138" s="8" t="str">
        <f t="shared" ref="C138:C147" si="19">"戰鬥開始時裝備者的物防增加"&amp;J138*100&amp;"%"</f>
        <v>戰鬥開始時裝備者的物防增加2%</v>
      </c>
      <c r="D138" s="8"/>
      <c r="E138" s="8"/>
      <c r="F138" s="8"/>
      <c r="G138" s="8"/>
      <c r="H138" s="8"/>
      <c r="I138" s="8"/>
      <c r="J138" s="8">
        <v>0.02</v>
      </c>
      <c r="K138" s="8"/>
      <c r="L138" s="8"/>
      <c r="M138" s="8"/>
      <c r="N138" s="8"/>
      <c r="O138" s="8"/>
      <c r="P138" s="8"/>
      <c r="Q138" s="42"/>
      <c r="R138" s="42"/>
      <c r="S138" s="42"/>
      <c r="T138" s="42"/>
      <c r="U138" s="42"/>
      <c r="V138" s="42"/>
      <c r="W138" s="42" t="b">
        <f t="shared" si="10"/>
        <v>0</v>
      </c>
      <c r="X138" s="42">
        <v>1.0</v>
      </c>
      <c r="Y138" s="42">
        <v>9999.0</v>
      </c>
      <c r="Z138" s="42"/>
      <c r="AA138" s="42"/>
      <c r="AB138" s="42"/>
      <c r="AC138" s="42">
        <v>1.0</v>
      </c>
      <c r="AD138" s="8"/>
      <c r="AE138" s="8"/>
    </row>
    <row r="139" ht="14.25" customHeight="1">
      <c r="A139" s="42">
        <v>7032.0</v>
      </c>
      <c r="B139" s="17" t="s">
        <v>1307</v>
      </c>
      <c r="C139" s="8" t="str">
        <f t="shared" si="19"/>
        <v>戰鬥開始時裝備者的物防增加3%</v>
      </c>
      <c r="D139" s="8"/>
      <c r="E139" s="8"/>
      <c r="F139" s="8"/>
      <c r="G139" s="8"/>
      <c r="H139" s="8"/>
      <c r="I139" s="8"/>
      <c r="J139" s="8">
        <f t="shared" ref="J139:J143" si="20">J138+0.01</f>
        <v>0.03</v>
      </c>
      <c r="K139" s="8"/>
      <c r="L139" s="8"/>
      <c r="M139" s="8"/>
      <c r="N139" s="8"/>
      <c r="O139" s="8"/>
      <c r="P139" s="8"/>
      <c r="Q139" s="42"/>
      <c r="R139" s="42"/>
      <c r="S139" s="42"/>
      <c r="T139" s="42"/>
      <c r="U139" s="42"/>
      <c r="V139" s="42"/>
      <c r="W139" s="42" t="b">
        <f t="shared" si="10"/>
        <v>0</v>
      </c>
      <c r="X139" s="42">
        <v>1.0</v>
      </c>
      <c r="Y139" s="42">
        <v>9999.0</v>
      </c>
      <c r="Z139" s="42"/>
      <c r="AA139" s="42"/>
      <c r="AB139" s="42"/>
      <c r="AC139" s="42">
        <v>1.0</v>
      </c>
      <c r="AD139" s="8"/>
      <c r="AE139" s="8"/>
    </row>
    <row r="140" ht="14.25" customHeight="1">
      <c r="A140" s="42">
        <v>7033.0</v>
      </c>
      <c r="B140" s="17" t="s">
        <v>1314</v>
      </c>
      <c r="C140" s="8" t="str">
        <f t="shared" si="19"/>
        <v>戰鬥開始時裝備者的物防增加4%</v>
      </c>
      <c r="D140" s="8"/>
      <c r="E140" s="8"/>
      <c r="F140" s="8"/>
      <c r="G140" s="8"/>
      <c r="H140" s="8"/>
      <c r="I140" s="8"/>
      <c r="J140" s="8">
        <f t="shared" si="20"/>
        <v>0.04</v>
      </c>
      <c r="K140" s="8"/>
      <c r="L140" s="8"/>
      <c r="M140" s="8"/>
      <c r="N140" s="8"/>
      <c r="O140" s="8"/>
      <c r="P140" s="8"/>
      <c r="Q140" s="42"/>
      <c r="R140" s="42"/>
      <c r="S140" s="42"/>
      <c r="T140" s="42"/>
      <c r="U140" s="42"/>
      <c r="V140" s="42"/>
      <c r="W140" s="42" t="b">
        <f t="shared" si="10"/>
        <v>0</v>
      </c>
      <c r="X140" s="42">
        <v>1.0</v>
      </c>
      <c r="Y140" s="42">
        <v>9999.0</v>
      </c>
      <c r="Z140" s="42"/>
      <c r="AA140" s="42"/>
      <c r="AB140" s="42"/>
      <c r="AC140" s="42">
        <v>1.0</v>
      </c>
      <c r="AD140" s="8"/>
      <c r="AE140" s="8"/>
    </row>
    <row r="141" ht="14.25" customHeight="1">
      <c r="A141" s="42">
        <v>7034.0</v>
      </c>
      <c r="B141" s="17" t="s">
        <v>1318</v>
      </c>
      <c r="C141" s="8" t="str">
        <f t="shared" si="19"/>
        <v>戰鬥開始時裝備者的物防增加5%</v>
      </c>
      <c r="D141" s="8"/>
      <c r="E141" s="8"/>
      <c r="F141" s="8"/>
      <c r="G141" s="8"/>
      <c r="H141" s="8"/>
      <c r="I141" s="8"/>
      <c r="J141" s="8">
        <f t="shared" si="20"/>
        <v>0.05</v>
      </c>
      <c r="K141" s="8"/>
      <c r="L141" s="8"/>
      <c r="M141" s="8"/>
      <c r="N141" s="8"/>
      <c r="O141" s="8"/>
      <c r="P141" s="8"/>
      <c r="Q141" s="42"/>
      <c r="R141" s="42"/>
      <c r="S141" s="42"/>
      <c r="T141" s="42"/>
      <c r="U141" s="42"/>
      <c r="V141" s="42"/>
      <c r="W141" s="42" t="b">
        <f t="shared" si="10"/>
        <v>0</v>
      </c>
      <c r="X141" s="42">
        <v>1.0</v>
      </c>
      <c r="Y141" s="42">
        <v>9999.0</v>
      </c>
      <c r="Z141" s="42"/>
      <c r="AA141" s="42"/>
      <c r="AB141" s="42"/>
      <c r="AC141" s="42">
        <v>1.0</v>
      </c>
      <c r="AD141" s="8"/>
      <c r="AE141" s="8"/>
    </row>
    <row r="142" ht="14.25" customHeight="1">
      <c r="A142" s="42">
        <v>7035.0</v>
      </c>
      <c r="B142" s="17" t="s">
        <v>1324</v>
      </c>
      <c r="C142" s="8" t="str">
        <f t="shared" si="19"/>
        <v>戰鬥開始時裝備者的物防增加6%</v>
      </c>
      <c r="D142" s="8"/>
      <c r="E142" s="8"/>
      <c r="F142" s="8"/>
      <c r="G142" s="8"/>
      <c r="H142" s="8"/>
      <c r="I142" s="8"/>
      <c r="J142" s="8">
        <f t="shared" si="20"/>
        <v>0.06</v>
      </c>
      <c r="K142" s="8"/>
      <c r="L142" s="8"/>
      <c r="M142" s="8"/>
      <c r="N142" s="8"/>
      <c r="O142" s="8"/>
      <c r="P142" s="8"/>
      <c r="Q142" s="42"/>
      <c r="R142" s="42"/>
      <c r="S142" s="42"/>
      <c r="T142" s="42"/>
      <c r="U142" s="42"/>
      <c r="V142" s="42"/>
      <c r="W142" s="42" t="b">
        <f t="shared" si="10"/>
        <v>0</v>
      </c>
      <c r="X142" s="42">
        <v>1.0</v>
      </c>
      <c r="Y142" s="42">
        <v>9999.0</v>
      </c>
      <c r="Z142" s="42"/>
      <c r="AA142" s="42"/>
      <c r="AB142" s="42"/>
      <c r="AC142" s="42">
        <v>1.0</v>
      </c>
      <c r="AD142" s="8"/>
      <c r="AE142" s="8"/>
    </row>
    <row r="143" ht="14.25" customHeight="1">
      <c r="A143" s="42">
        <v>7036.0</v>
      </c>
      <c r="B143" s="17" t="s">
        <v>1330</v>
      </c>
      <c r="C143" s="8" t="str">
        <f t="shared" si="19"/>
        <v>戰鬥開始時裝備者的物防增加7%</v>
      </c>
      <c r="D143" s="8"/>
      <c r="E143" s="8"/>
      <c r="F143" s="8"/>
      <c r="G143" s="8"/>
      <c r="H143" s="8"/>
      <c r="I143" s="8"/>
      <c r="J143" s="8">
        <f t="shared" si="20"/>
        <v>0.07</v>
      </c>
      <c r="K143" s="8"/>
      <c r="L143" s="8"/>
      <c r="M143" s="8"/>
      <c r="N143" s="8"/>
      <c r="O143" s="8"/>
      <c r="P143" s="8"/>
      <c r="Q143" s="42"/>
      <c r="R143" s="42"/>
      <c r="S143" s="42"/>
      <c r="T143" s="42"/>
      <c r="U143" s="42"/>
      <c r="V143" s="42"/>
      <c r="W143" s="42" t="b">
        <f t="shared" si="10"/>
        <v>0</v>
      </c>
      <c r="X143" s="42">
        <v>1.0</v>
      </c>
      <c r="Y143" s="42">
        <v>9999.0</v>
      </c>
      <c r="Z143" s="42"/>
      <c r="AA143" s="42"/>
      <c r="AB143" s="42"/>
      <c r="AC143" s="42">
        <v>1.0</v>
      </c>
      <c r="AD143" s="8"/>
      <c r="AE143" s="8"/>
    </row>
    <row r="144" ht="14.25" customHeight="1">
      <c r="A144" s="42">
        <v>7037.0</v>
      </c>
      <c r="B144" s="17" t="s">
        <v>1336</v>
      </c>
      <c r="C144" s="8" t="str">
        <f t="shared" si="19"/>
        <v>戰鬥開始時裝備者的物防增加9.%</v>
      </c>
      <c r="D144" s="8"/>
      <c r="E144" s="8"/>
      <c r="F144" s="8"/>
      <c r="G144" s="8"/>
      <c r="H144" s="8"/>
      <c r="I144" s="8"/>
      <c r="J144" s="8">
        <f t="shared" ref="J144:J147" si="21">J143+0.02</f>
        <v>0.09</v>
      </c>
      <c r="K144" s="8"/>
      <c r="L144" s="8"/>
      <c r="M144" s="8"/>
      <c r="N144" s="8"/>
      <c r="O144" s="8"/>
      <c r="P144" s="8"/>
      <c r="Q144" s="42"/>
      <c r="R144" s="42"/>
      <c r="S144" s="42"/>
      <c r="T144" s="42"/>
      <c r="U144" s="42"/>
      <c r="V144" s="42"/>
      <c r="W144" s="42" t="b">
        <f t="shared" si="10"/>
        <v>0</v>
      </c>
      <c r="X144" s="42">
        <v>1.0</v>
      </c>
      <c r="Y144" s="42">
        <v>9999.0</v>
      </c>
      <c r="Z144" s="42"/>
      <c r="AA144" s="42"/>
      <c r="AB144" s="42"/>
      <c r="AC144" s="42">
        <v>1.0</v>
      </c>
      <c r="AD144" s="8"/>
      <c r="AE144" s="8"/>
    </row>
    <row r="145" ht="14.25" customHeight="1">
      <c r="A145" s="42">
        <v>7038.0</v>
      </c>
      <c r="B145" s="17" t="s">
        <v>1340</v>
      </c>
      <c r="C145" s="8" t="str">
        <f t="shared" si="19"/>
        <v>戰鬥開始時裝備者的物防增加11.%</v>
      </c>
      <c r="D145" s="8"/>
      <c r="E145" s="8"/>
      <c r="F145" s="8"/>
      <c r="G145" s="8"/>
      <c r="H145" s="8"/>
      <c r="I145" s="8"/>
      <c r="J145" s="8">
        <f t="shared" si="21"/>
        <v>0.11</v>
      </c>
      <c r="K145" s="8"/>
      <c r="L145" s="8"/>
      <c r="M145" s="8"/>
      <c r="N145" s="8"/>
      <c r="O145" s="8"/>
      <c r="P145" s="8"/>
      <c r="Q145" s="42"/>
      <c r="R145" s="42"/>
      <c r="S145" s="42"/>
      <c r="T145" s="42"/>
      <c r="U145" s="42"/>
      <c r="V145" s="42"/>
      <c r="W145" s="42" t="b">
        <f t="shared" si="10"/>
        <v>0</v>
      </c>
      <c r="X145" s="42">
        <v>1.0</v>
      </c>
      <c r="Y145" s="42">
        <v>9999.0</v>
      </c>
      <c r="Z145" s="42"/>
      <c r="AA145" s="42"/>
      <c r="AB145" s="42"/>
      <c r="AC145" s="42">
        <v>1.0</v>
      </c>
      <c r="AD145" s="8"/>
      <c r="AE145" s="8"/>
    </row>
    <row r="146" ht="14.25" customHeight="1">
      <c r="A146" s="42">
        <v>7039.0</v>
      </c>
      <c r="B146" s="17" t="s">
        <v>1346</v>
      </c>
      <c r="C146" s="8" t="str">
        <f t="shared" si="19"/>
        <v>戰鬥開始時裝備者的物防增加13%</v>
      </c>
      <c r="D146" s="8"/>
      <c r="E146" s="8"/>
      <c r="F146" s="8"/>
      <c r="G146" s="8"/>
      <c r="H146" s="8"/>
      <c r="I146" s="8"/>
      <c r="J146" s="8">
        <f t="shared" si="21"/>
        <v>0.13</v>
      </c>
      <c r="K146" s="8"/>
      <c r="L146" s="8"/>
      <c r="M146" s="8"/>
      <c r="N146" s="8"/>
      <c r="O146" s="8"/>
      <c r="P146" s="8"/>
      <c r="Q146" s="42"/>
      <c r="R146" s="42"/>
      <c r="S146" s="42"/>
      <c r="T146" s="42"/>
      <c r="U146" s="42"/>
      <c r="V146" s="42"/>
      <c r="W146" s="42" t="b">
        <f t="shared" si="10"/>
        <v>0</v>
      </c>
      <c r="X146" s="42">
        <v>1.0</v>
      </c>
      <c r="Y146" s="42">
        <v>9999.0</v>
      </c>
      <c r="Z146" s="42"/>
      <c r="AA146" s="42"/>
      <c r="AB146" s="42"/>
      <c r="AC146" s="42">
        <v>1.0</v>
      </c>
      <c r="AD146" s="8"/>
      <c r="AE146" s="8"/>
    </row>
    <row r="147" ht="14.25" customHeight="1">
      <c r="A147" s="42">
        <v>7040.0</v>
      </c>
      <c r="B147" s="17" t="s">
        <v>1352</v>
      </c>
      <c r="C147" s="8" t="str">
        <f t="shared" si="19"/>
        <v>戰鬥開始時裝備者的物防增加15%</v>
      </c>
      <c r="D147" s="8"/>
      <c r="E147" s="8"/>
      <c r="F147" s="8"/>
      <c r="G147" s="8"/>
      <c r="H147" s="8"/>
      <c r="I147" s="8"/>
      <c r="J147" s="8">
        <f t="shared" si="21"/>
        <v>0.15</v>
      </c>
      <c r="K147" s="8"/>
      <c r="L147" s="8"/>
      <c r="M147" s="8"/>
      <c r="N147" s="8"/>
      <c r="O147" s="8"/>
      <c r="P147" s="8"/>
      <c r="Q147" s="42"/>
      <c r="R147" s="42"/>
      <c r="S147" s="42"/>
      <c r="T147" s="42"/>
      <c r="U147" s="42"/>
      <c r="V147" s="42"/>
      <c r="W147" s="42" t="b">
        <f t="shared" si="10"/>
        <v>0</v>
      </c>
      <c r="X147" s="42">
        <v>1.0</v>
      </c>
      <c r="Y147" s="42">
        <v>9999.0</v>
      </c>
      <c r="Z147" s="42"/>
      <c r="AA147" s="42"/>
      <c r="AB147" s="42"/>
      <c r="AC147" s="42">
        <v>1.0</v>
      </c>
      <c r="AD147" s="8"/>
      <c r="AE147" s="8"/>
    </row>
    <row r="148" ht="14.25" customHeight="1">
      <c r="A148" s="42">
        <v>7041.0</v>
      </c>
      <c r="B148" s="17" t="s">
        <v>1358</v>
      </c>
      <c r="C148" s="8" t="str">
        <f t="shared" ref="C148:C157" si="22">"戰鬥開始時裝備者的技能傷害增加"&amp;S148*100&amp;"%"</f>
        <v>戰鬥開始時裝備者的技能傷害增加5%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42"/>
      <c r="R148" s="42"/>
      <c r="S148" s="8">
        <v>0.05</v>
      </c>
      <c r="T148" s="42"/>
      <c r="U148" s="42"/>
      <c r="V148" s="42"/>
      <c r="W148" s="42" t="b">
        <f t="shared" si="10"/>
        <v>0</v>
      </c>
      <c r="X148" s="42">
        <v>1.0</v>
      </c>
      <c r="Y148" s="42">
        <v>9999.0</v>
      </c>
      <c r="Z148" s="42"/>
      <c r="AA148" s="42"/>
      <c r="AB148" s="42"/>
      <c r="AC148" s="42">
        <v>1.0</v>
      </c>
      <c r="AD148" s="8"/>
      <c r="AE148" s="8"/>
    </row>
    <row r="149" ht="14.25" customHeight="1">
      <c r="A149" s="42">
        <v>7042.0</v>
      </c>
      <c r="B149" s="17" t="s">
        <v>1367</v>
      </c>
      <c r="C149" s="8" t="str">
        <f t="shared" si="22"/>
        <v>戰鬥開始時裝備者的技能傷害增加7.5%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42"/>
      <c r="R149" s="42"/>
      <c r="S149" s="8">
        <f t="shared" ref="S149:S151" si="23">S148+0.025</f>
        <v>0.075</v>
      </c>
      <c r="T149" s="42"/>
      <c r="U149" s="42"/>
      <c r="V149" s="42"/>
      <c r="W149" s="42" t="b">
        <f t="shared" si="10"/>
        <v>0</v>
      </c>
      <c r="X149" s="42">
        <v>1.0</v>
      </c>
      <c r="Y149" s="42">
        <v>9999.0</v>
      </c>
      <c r="Z149" s="42"/>
      <c r="AA149" s="42"/>
      <c r="AB149" s="42"/>
      <c r="AC149" s="42">
        <v>1.0</v>
      </c>
      <c r="AD149" s="8"/>
      <c r="AE149" s="8"/>
    </row>
    <row r="150" ht="14.25" customHeight="1">
      <c r="A150" s="42">
        <v>7043.0</v>
      </c>
      <c r="B150" s="17" t="s">
        <v>1375</v>
      </c>
      <c r="C150" s="8" t="str">
        <f t="shared" si="22"/>
        <v>戰鬥開始時裝備者的技能傷害增加10%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42"/>
      <c r="R150" s="42"/>
      <c r="S150" s="8">
        <f t="shared" si="23"/>
        <v>0.1</v>
      </c>
      <c r="T150" s="42"/>
      <c r="U150" s="42"/>
      <c r="V150" s="42"/>
      <c r="W150" s="42" t="b">
        <f t="shared" si="10"/>
        <v>0</v>
      </c>
      <c r="X150" s="42">
        <v>1.0</v>
      </c>
      <c r="Y150" s="42">
        <v>9999.0</v>
      </c>
      <c r="Z150" s="42"/>
      <c r="AA150" s="42"/>
      <c r="AB150" s="42"/>
      <c r="AC150" s="42">
        <v>1.0</v>
      </c>
      <c r="AD150" s="8"/>
      <c r="AE150" s="8"/>
    </row>
    <row r="151" ht="14.25" customHeight="1">
      <c r="A151" s="42">
        <v>7044.0</v>
      </c>
      <c r="B151" s="17" t="s">
        <v>1382</v>
      </c>
      <c r="C151" s="8" t="str">
        <f t="shared" si="22"/>
        <v>戰鬥開始時裝備者的技能傷害增加12.5%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42"/>
      <c r="R151" s="42"/>
      <c r="S151" s="8">
        <f t="shared" si="23"/>
        <v>0.125</v>
      </c>
      <c r="T151" s="42"/>
      <c r="U151" s="42"/>
      <c r="V151" s="42"/>
      <c r="W151" s="42" t="b">
        <f t="shared" si="10"/>
        <v>0</v>
      </c>
      <c r="X151" s="42">
        <v>1.0</v>
      </c>
      <c r="Y151" s="42">
        <v>9999.0</v>
      </c>
      <c r="Z151" s="42"/>
      <c r="AA151" s="42"/>
      <c r="AB151" s="42"/>
      <c r="AC151" s="42">
        <v>1.0</v>
      </c>
      <c r="AD151" s="8"/>
      <c r="AE151" s="8"/>
    </row>
    <row r="152" ht="14.25" customHeight="1">
      <c r="A152" s="42">
        <v>7045.0</v>
      </c>
      <c r="B152" s="17" t="s">
        <v>1388</v>
      </c>
      <c r="C152" s="8" t="str">
        <f t="shared" si="22"/>
        <v>戰鬥開始時裝備者的技能傷害增加17.5%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42"/>
      <c r="R152" s="42"/>
      <c r="S152" s="8">
        <f t="shared" ref="S152:S154" si="24">S151+0.05</f>
        <v>0.175</v>
      </c>
      <c r="T152" s="42"/>
      <c r="U152" s="42"/>
      <c r="V152" s="42"/>
      <c r="W152" s="42" t="b">
        <f t="shared" si="10"/>
        <v>0</v>
      </c>
      <c r="X152" s="42">
        <v>1.0</v>
      </c>
      <c r="Y152" s="42">
        <v>9999.0</v>
      </c>
      <c r="Z152" s="42"/>
      <c r="AA152" s="42"/>
      <c r="AB152" s="42"/>
      <c r="AC152" s="42">
        <v>1.0</v>
      </c>
      <c r="AD152" s="8"/>
      <c r="AE152" s="8"/>
    </row>
    <row r="153" ht="14.25" customHeight="1">
      <c r="A153" s="42">
        <v>7046.0</v>
      </c>
      <c r="B153" s="17" t="s">
        <v>1396</v>
      </c>
      <c r="C153" s="8" t="str">
        <f t="shared" si="22"/>
        <v>戰鬥開始時裝備者的技能傷害增加22.5%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42"/>
      <c r="R153" s="42"/>
      <c r="S153" s="8">
        <f t="shared" si="24"/>
        <v>0.225</v>
      </c>
      <c r="T153" s="42"/>
      <c r="U153" s="42"/>
      <c r="V153" s="42"/>
      <c r="W153" s="42" t="b">
        <f t="shared" si="10"/>
        <v>0</v>
      </c>
      <c r="X153" s="42">
        <v>1.0</v>
      </c>
      <c r="Y153" s="42">
        <v>9999.0</v>
      </c>
      <c r="Z153" s="42"/>
      <c r="AA153" s="42"/>
      <c r="AB153" s="42"/>
      <c r="AC153" s="42">
        <v>1.0</v>
      </c>
      <c r="AD153" s="8"/>
      <c r="AE153" s="8"/>
    </row>
    <row r="154" ht="14.25" customHeight="1">
      <c r="A154" s="42">
        <v>7047.0</v>
      </c>
      <c r="B154" s="17" t="s">
        <v>1401</v>
      </c>
      <c r="C154" s="8" t="str">
        <f t="shared" si="22"/>
        <v>戰鬥開始時裝備者的技能傷害增加27.5%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42"/>
      <c r="R154" s="42"/>
      <c r="S154" s="8">
        <f t="shared" si="24"/>
        <v>0.275</v>
      </c>
      <c r="T154" s="42"/>
      <c r="U154" s="42"/>
      <c r="V154" s="42"/>
      <c r="W154" s="42" t="b">
        <f t="shared" si="10"/>
        <v>0</v>
      </c>
      <c r="X154" s="42">
        <v>1.0</v>
      </c>
      <c r="Y154" s="42">
        <v>9999.0</v>
      </c>
      <c r="Z154" s="42"/>
      <c r="AA154" s="42"/>
      <c r="AB154" s="42"/>
      <c r="AC154" s="42">
        <v>1.0</v>
      </c>
      <c r="AD154" s="8"/>
      <c r="AE154" s="8"/>
    </row>
    <row r="155" ht="14.25" customHeight="1">
      <c r="A155" s="42">
        <v>7048.0</v>
      </c>
      <c r="B155" s="17" t="s">
        <v>1406</v>
      </c>
      <c r="C155" s="8" t="str">
        <f t="shared" si="22"/>
        <v>戰鬥開始時裝備者的技能傷害增加34.5%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42"/>
      <c r="R155" s="42"/>
      <c r="S155" s="8">
        <f t="shared" ref="S155:S157" si="25">S154+0.07</f>
        <v>0.345</v>
      </c>
      <c r="T155" s="42"/>
      <c r="U155" s="42"/>
      <c r="V155" s="42"/>
      <c r="W155" s="42" t="b">
        <f t="shared" si="10"/>
        <v>0</v>
      </c>
      <c r="X155" s="42">
        <v>1.0</v>
      </c>
      <c r="Y155" s="42">
        <v>9999.0</v>
      </c>
      <c r="Z155" s="42"/>
      <c r="AA155" s="42"/>
      <c r="AB155" s="42"/>
      <c r="AC155" s="42">
        <v>1.0</v>
      </c>
      <c r="AD155" s="8"/>
      <c r="AE155" s="8"/>
    </row>
    <row r="156" ht="14.25" customHeight="1">
      <c r="A156" s="42">
        <v>7049.0</v>
      </c>
      <c r="B156" s="17" t="s">
        <v>1411</v>
      </c>
      <c r="C156" s="8" t="str">
        <f t="shared" si="22"/>
        <v>戰鬥開始時裝備者的技能傷害增加41.5%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42"/>
      <c r="R156" s="42"/>
      <c r="S156" s="8">
        <f t="shared" si="25"/>
        <v>0.415</v>
      </c>
      <c r="T156" s="42"/>
      <c r="U156" s="42"/>
      <c r="V156" s="42"/>
      <c r="W156" s="42" t="b">
        <f t="shared" si="10"/>
        <v>0</v>
      </c>
      <c r="X156" s="42">
        <v>1.0</v>
      </c>
      <c r="Y156" s="42">
        <v>9999.0</v>
      </c>
      <c r="Z156" s="42"/>
      <c r="AA156" s="42"/>
      <c r="AB156" s="42"/>
      <c r="AC156" s="42">
        <v>1.0</v>
      </c>
      <c r="AD156" s="8"/>
      <c r="AE156" s="8"/>
    </row>
    <row r="157" ht="14.25" customHeight="1">
      <c r="A157" s="42">
        <v>7050.0</v>
      </c>
      <c r="B157" s="17" t="s">
        <v>1420</v>
      </c>
      <c r="C157" s="8" t="str">
        <f t="shared" si="22"/>
        <v>戰鬥開始時裝備者的技能傷害增加48.5%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42"/>
      <c r="R157" s="42"/>
      <c r="S157" s="8">
        <f t="shared" si="25"/>
        <v>0.485</v>
      </c>
      <c r="T157" s="42"/>
      <c r="U157" s="42"/>
      <c r="V157" s="42"/>
      <c r="W157" s="42" t="b">
        <f t="shared" si="10"/>
        <v>0</v>
      </c>
      <c r="X157" s="42">
        <v>1.0</v>
      </c>
      <c r="Y157" s="42">
        <v>9999.0</v>
      </c>
      <c r="Z157" s="42"/>
      <c r="AA157" s="42"/>
      <c r="AB157" s="42"/>
      <c r="AC157" s="42">
        <v>1.0</v>
      </c>
      <c r="AD157" s="8"/>
      <c r="AE157" s="8"/>
    </row>
    <row r="158" ht="14.25" customHeight="1">
      <c r="A158" s="42">
        <v>7051.0</v>
      </c>
      <c r="B158" s="17" t="s">
        <v>1426</v>
      </c>
      <c r="C158" s="8" t="str">
        <f t="shared" ref="C158:C167" si="26">"戰鬥開始時裝備者的技能傷害抗性增加"&amp;T158*100&amp;"%"</f>
        <v>戰鬥開始時裝備者的技能傷害抗性增加8%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42"/>
      <c r="R158" s="42"/>
      <c r="S158" s="42"/>
      <c r="T158" s="8">
        <v>0.08</v>
      </c>
      <c r="U158" s="42"/>
      <c r="V158" s="42"/>
      <c r="W158" s="42" t="b">
        <f t="shared" si="10"/>
        <v>0</v>
      </c>
      <c r="X158" s="42">
        <v>1.0</v>
      </c>
      <c r="Y158" s="42">
        <v>9999.0</v>
      </c>
      <c r="Z158" s="42"/>
      <c r="AA158" s="42"/>
      <c r="AB158" s="42"/>
      <c r="AC158" s="42">
        <v>1.0</v>
      </c>
      <c r="AD158" s="8"/>
      <c r="AE158" s="8"/>
    </row>
    <row r="159" ht="14.25" customHeight="1">
      <c r="A159" s="42">
        <v>7052.0</v>
      </c>
      <c r="B159" s="17" t="s">
        <v>1433</v>
      </c>
      <c r="C159" s="8" t="str">
        <f t="shared" si="26"/>
        <v>戰鬥開始時裝備者的技能傷害抗性增加11%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42"/>
      <c r="R159" s="42"/>
      <c r="S159" s="42"/>
      <c r="T159" s="8">
        <f t="shared" ref="T159:T162" si="27">T158+0.03</f>
        <v>0.11</v>
      </c>
      <c r="U159" s="42"/>
      <c r="V159" s="42"/>
      <c r="W159" s="42" t="b">
        <f t="shared" si="10"/>
        <v>0</v>
      </c>
      <c r="X159" s="42">
        <v>1.0</v>
      </c>
      <c r="Y159" s="42">
        <v>9999.0</v>
      </c>
      <c r="Z159" s="42"/>
      <c r="AA159" s="42"/>
      <c r="AB159" s="42"/>
      <c r="AC159" s="42">
        <v>1.0</v>
      </c>
      <c r="AD159" s="8"/>
      <c r="AE159" s="8"/>
    </row>
    <row r="160" ht="14.25" customHeight="1">
      <c r="A160" s="42">
        <v>7053.0</v>
      </c>
      <c r="B160" s="17" t="s">
        <v>1441</v>
      </c>
      <c r="C160" s="8" t="str">
        <f t="shared" si="26"/>
        <v>戰鬥開始時裝備者的技能傷害抗性增加14.%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42"/>
      <c r="R160" s="42"/>
      <c r="S160" s="42"/>
      <c r="T160" s="8">
        <f t="shared" si="27"/>
        <v>0.14</v>
      </c>
      <c r="U160" s="42"/>
      <c r="V160" s="42"/>
      <c r="W160" s="42" t="b">
        <f t="shared" si="10"/>
        <v>0</v>
      </c>
      <c r="X160" s="42">
        <v>1.0</v>
      </c>
      <c r="Y160" s="42">
        <v>9999.0</v>
      </c>
      <c r="Z160" s="42"/>
      <c r="AA160" s="42"/>
      <c r="AB160" s="42"/>
      <c r="AC160" s="42">
        <v>1.0</v>
      </c>
      <c r="AD160" s="8"/>
      <c r="AE160" s="8"/>
    </row>
    <row r="161" ht="14.25" customHeight="1">
      <c r="A161" s="42">
        <v>7054.0</v>
      </c>
      <c r="B161" s="17" t="s">
        <v>1445</v>
      </c>
      <c r="C161" s="8" t="str">
        <f t="shared" si="26"/>
        <v>戰鬥開始時裝備者的技能傷害抗性增加17%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42"/>
      <c r="R161" s="42"/>
      <c r="S161" s="42"/>
      <c r="T161" s="8">
        <f t="shared" si="27"/>
        <v>0.17</v>
      </c>
      <c r="U161" s="42"/>
      <c r="V161" s="42"/>
      <c r="W161" s="42" t="b">
        <f t="shared" si="10"/>
        <v>0</v>
      </c>
      <c r="X161" s="42">
        <v>1.0</v>
      </c>
      <c r="Y161" s="42">
        <v>9999.0</v>
      </c>
      <c r="Z161" s="42"/>
      <c r="AA161" s="42"/>
      <c r="AB161" s="42"/>
      <c r="AC161" s="42">
        <v>1.0</v>
      </c>
      <c r="AD161" s="8"/>
      <c r="AE161" s="8"/>
    </row>
    <row r="162" ht="14.25" customHeight="1">
      <c r="A162" s="42">
        <v>7055.0</v>
      </c>
      <c r="B162" s="17" t="s">
        <v>1447</v>
      </c>
      <c r="C162" s="8" t="str">
        <f t="shared" si="26"/>
        <v>戰鬥開始時裝備者的技能傷害抗性增加20%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42"/>
      <c r="R162" s="42"/>
      <c r="S162" s="42"/>
      <c r="T162" s="8">
        <f t="shared" si="27"/>
        <v>0.2</v>
      </c>
      <c r="U162" s="42"/>
      <c r="V162" s="42"/>
      <c r="W162" s="42" t="b">
        <f t="shared" si="10"/>
        <v>0</v>
      </c>
      <c r="X162" s="42">
        <v>1.0</v>
      </c>
      <c r="Y162" s="42">
        <v>9999.0</v>
      </c>
      <c r="Z162" s="42"/>
      <c r="AA162" s="42"/>
      <c r="AB162" s="42"/>
      <c r="AC162" s="42">
        <v>1.0</v>
      </c>
      <c r="AD162" s="8"/>
      <c r="AE162" s="8"/>
    </row>
    <row r="163" ht="14.25" customHeight="1">
      <c r="A163" s="42">
        <v>7056.0</v>
      </c>
      <c r="B163" s="17" t="s">
        <v>1457</v>
      </c>
      <c r="C163" s="8" t="str">
        <f t="shared" si="26"/>
        <v>戰鬥開始時裝備者的技能傷害抗性增加25%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42"/>
      <c r="R163" s="42"/>
      <c r="S163" s="42"/>
      <c r="T163" s="8">
        <f t="shared" ref="T163:T164" si="28">T162+0.05</f>
        <v>0.25</v>
      </c>
      <c r="U163" s="42"/>
      <c r="V163" s="42"/>
      <c r="W163" s="42" t="b">
        <f t="shared" si="10"/>
        <v>0</v>
      </c>
      <c r="X163" s="42">
        <v>1.0</v>
      </c>
      <c r="Y163" s="42">
        <v>9999.0</v>
      </c>
      <c r="Z163" s="42"/>
      <c r="AA163" s="42"/>
      <c r="AB163" s="42"/>
      <c r="AC163" s="42">
        <v>1.0</v>
      </c>
      <c r="AD163" s="8"/>
      <c r="AE163" s="8"/>
    </row>
    <row r="164" ht="14.25" customHeight="1">
      <c r="A164" s="42">
        <v>7057.0</v>
      </c>
      <c r="B164" s="17" t="s">
        <v>1467</v>
      </c>
      <c r="C164" s="8" t="str">
        <f t="shared" si="26"/>
        <v>戰鬥開始時裝備者的技能傷害抗性增加30%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42"/>
      <c r="R164" s="42"/>
      <c r="S164" s="42"/>
      <c r="T164" s="8">
        <f t="shared" si="28"/>
        <v>0.3</v>
      </c>
      <c r="U164" s="42"/>
      <c r="V164" s="42"/>
      <c r="W164" s="42" t="b">
        <f t="shared" si="10"/>
        <v>0</v>
      </c>
      <c r="X164" s="42">
        <v>1.0</v>
      </c>
      <c r="Y164" s="42">
        <v>9999.0</v>
      </c>
      <c r="Z164" s="42"/>
      <c r="AA164" s="42"/>
      <c r="AB164" s="42"/>
      <c r="AC164" s="42">
        <v>1.0</v>
      </c>
      <c r="AD164" s="8"/>
      <c r="AE164" s="8"/>
    </row>
    <row r="165" ht="14.25" customHeight="1">
      <c r="A165" s="42">
        <v>7058.0</v>
      </c>
      <c r="B165" s="17" t="s">
        <v>1472</v>
      </c>
      <c r="C165" s="8" t="str">
        <f t="shared" si="26"/>
        <v>戰鬥開始時裝備者的技能傷害抗性增加37%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42"/>
      <c r="R165" s="42"/>
      <c r="S165" s="42"/>
      <c r="T165" s="8">
        <f t="shared" ref="T165:T167" si="29">T164+0.07</f>
        <v>0.37</v>
      </c>
      <c r="U165" s="42"/>
      <c r="V165" s="42"/>
      <c r="W165" s="42" t="b">
        <f t="shared" si="10"/>
        <v>0</v>
      </c>
      <c r="X165" s="42">
        <v>1.0</v>
      </c>
      <c r="Y165" s="42">
        <v>9999.0</v>
      </c>
      <c r="Z165" s="42"/>
      <c r="AA165" s="42"/>
      <c r="AB165" s="42"/>
      <c r="AC165" s="42">
        <v>1.0</v>
      </c>
      <c r="AD165" s="8"/>
      <c r="AE165" s="8"/>
    </row>
    <row r="166" ht="14.25" customHeight="1">
      <c r="A166" s="42">
        <v>7059.0</v>
      </c>
      <c r="B166" s="17" t="s">
        <v>1480</v>
      </c>
      <c r="C166" s="8" t="str">
        <f t="shared" si="26"/>
        <v>戰鬥開始時裝備者的技能傷害抗性增加44%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42"/>
      <c r="R166" s="42"/>
      <c r="S166" s="42"/>
      <c r="T166" s="8">
        <f t="shared" si="29"/>
        <v>0.44</v>
      </c>
      <c r="U166" s="42"/>
      <c r="V166" s="42"/>
      <c r="W166" s="42" t="b">
        <f t="shared" si="10"/>
        <v>0</v>
      </c>
      <c r="X166" s="42">
        <v>1.0</v>
      </c>
      <c r="Y166" s="42">
        <v>9999.0</v>
      </c>
      <c r="Z166" s="42"/>
      <c r="AA166" s="42"/>
      <c r="AB166" s="42"/>
      <c r="AC166" s="42">
        <v>1.0</v>
      </c>
      <c r="AD166" s="8"/>
      <c r="AE166" s="8"/>
    </row>
    <row r="167" ht="14.25" customHeight="1">
      <c r="A167" s="42">
        <v>7060.0</v>
      </c>
      <c r="B167" s="17" t="s">
        <v>1487</v>
      </c>
      <c r="C167" s="8" t="str">
        <f t="shared" si="26"/>
        <v>戰鬥開始時裝備者的技能傷害抗性增加51%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42"/>
      <c r="R167" s="42"/>
      <c r="S167" s="42"/>
      <c r="T167" s="8">
        <f t="shared" si="29"/>
        <v>0.51</v>
      </c>
      <c r="U167" s="42"/>
      <c r="V167" s="42"/>
      <c r="W167" s="42" t="b">
        <f t="shared" si="10"/>
        <v>0</v>
      </c>
      <c r="X167" s="42">
        <v>1.0</v>
      </c>
      <c r="Y167" s="42">
        <v>9999.0</v>
      </c>
      <c r="Z167" s="42"/>
      <c r="AA167" s="42"/>
      <c r="AB167" s="42"/>
      <c r="AC167" s="42">
        <v>1.0</v>
      </c>
      <c r="AD167" s="8"/>
      <c r="AE167" s="8"/>
    </row>
    <row r="168" ht="14.25" customHeight="1">
      <c r="A168" s="42">
        <v>7061.0</v>
      </c>
      <c r="B168" s="17" t="s">
        <v>1494</v>
      </c>
      <c r="C168" s="8" t="str">
        <f t="shared" ref="C168:C177" si="30">"戰鬥開始時裝備者的爆擊傷害增加"&amp;U168*100&amp;"%"</f>
        <v>戰鬥開始時裝備者的爆擊傷害增加5%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42"/>
      <c r="R168" s="42"/>
      <c r="S168" s="42"/>
      <c r="T168" s="8"/>
      <c r="U168" s="8">
        <v>0.05</v>
      </c>
      <c r="V168" s="42"/>
      <c r="W168" s="42" t="b">
        <f t="shared" si="10"/>
        <v>0</v>
      </c>
      <c r="X168" s="42">
        <v>1.0</v>
      </c>
      <c r="Y168" s="42">
        <v>9999.0</v>
      </c>
      <c r="Z168" s="42"/>
      <c r="AA168" s="42"/>
      <c r="AB168" s="42"/>
      <c r="AC168" s="42">
        <v>1.0</v>
      </c>
      <c r="AD168" s="8"/>
      <c r="AE168" s="8"/>
    </row>
    <row r="169" ht="14.25" customHeight="1">
      <c r="A169" s="42">
        <v>7062.0</v>
      </c>
      <c r="B169" s="17" t="s">
        <v>1505</v>
      </c>
      <c r="C169" s="8" t="str">
        <f t="shared" si="30"/>
        <v>戰鬥開始時裝備者的爆擊傷害增加7.5%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42"/>
      <c r="R169" s="42"/>
      <c r="S169" s="42"/>
      <c r="T169" s="8"/>
      <c r="U169" s="8">
        <f t="shared" ref="U169:U171" si="31">U168+0.025</f>
        <v>0.075</v>
      </c>
      <c r="V169" s="42"/>
      <c r="W169" s="42" t="b">
        <f t="shared" si="10"/>
        <v>0</v>
      </c>
      <c r="X169" s="42">
        <v>1.0</v>
      </c>
      <c r="Y169" s="42">
        <v>9999.0</v>
      </c>
      <c r="Z169" s="42"/>
      <c r="AA169" s="42"/>
      <c r="AB169" s="42"/>
      <c r="AC169" s="42">
        <v>1.0</v>
      </c>
      <c r="AD169" s="8"/>
      <c r="AE169" s="8"/>
    </row>
    <row r="170" ht="14.25" customHeight="1">
      <c r="A170" s="42">
        <v>7063.0</v>
      </c>
      <c r="B170" s="17" t="s">
        <v>1509</v>
      </c>
      <c r="C170" s="8" t="str">
        <f t="shared" si="30"/>
        <v>戰鬥開始時裝備者的爆擊傷害增加10%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42"/>
      <c r="R170" s="42"/>
      <c r="S170" s="42"/>
      <c r="T170" s="8"/>
      <c r="U170" s="8">
        <f t="shared" si="31"/>
        <v>0.1</v>
      </c>
      <c r="V170" s="42"/>
      <c r="W170" s="42" t="b">
        <f t="shared" si="10"/>
        <v>0</v>
      </c>
      <c r="X170" s="42">
        <v>1.0</v>
      </c>
      <c r="Y170" s="42">
        <v>9999.0</v>
      </c>
      <c r="Z170" s="42"/>
      <c r="AA170" s="42"/>
      <c r="AB170" s="42"/>
      <c r="AC170" s="42">
        <v>1.0</v>
      </c>
      <c r="AD170" s="8"/>
      <c r="AE170" s="8"/>
    </row>
    <row r="171" ht="14.25" customHeight="1">
      <c r="A171" s="42">
        <v>7064.0</v>
      </c>
      <c r="B171" s="17" t="s">
        <v>1514</v>
      </c>
      <c r="C171" s="8" t="str">
        <f t="shared" si="30"/>
        <v>戰鬥開始時裝備者的爆擊傷害增加12.5%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42"/>
      <c r="R171" s="42"/>
      <c r="S171" s="42"/>
      <c r="T171" s="8"/>
      <c r="U171" s="8">
        <f t="shared" si="31"/>
        <v>0.125</v>
      </c>
      <c r="V171" s="42"/>
      <c r="W171" s="42" t="b">
        <f t="shared" si="10"/>
        <v>0</v>
      </c>
      <c r="X171" s="42">
        <v>1.0</v>
      </c>
      <c r="Y171" s="42">
        <v>9999.0</v>
      </c>
      <c r="Z171" s="42"/>
      <c r="AA171" s="42"/>
      <c r="AB171" s="42"/>
      <c r="AC171" s="42">
        <v>1.0</v>
      </c>
      <c r="AD171" s="8"/>
      <c r="AE171" s="8"/>
    </row>
    <row r="172" ht="14.25" customHeight="1">
      <c r="A172" s="42">
        <v>7065.0</v>
      </c>
      <c r="B172" s="17" t="s">
        <v>1521</v>
      </c>
      <c r="C172" s="8" t="str">
        <f t="shared" si="30"/>
        <v>戰鬥開始時裝備者的爆擊傷害增加17.5%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42"/>
      <c r="R172" s="42"/>
      <c r="S172" s="42"/>
      <c r="T172" s="8"/>
      <c r="U172" s="8">
        <f t="shared" ref="U172:U174" si="32">U171+0.05</f>
        <v>0.175</v>
      </c>
      <c r="V172" s="42"/>
      <c r="W172" s="42" t="b">
        <f t="shared" si="10"/>
        <v>0</v>
      </c>
      <c r="X172" s="42">
        <v>1.0</v>
      </c>
      <c r="Y172" s="42">
        <v>9999.0</v>
      </c>
      <c r="Z172" s="42"/>
      <c r="AA172" s="42"/>
      <c r="AB172" s="42"/>
      <c r="AC172" s="42">
        <v>1.0</v>
      </c>
      <c r="AD172" s="8"/>
      <c r="AE172" s="8"/>
    </row>
    <row r="173" ht="14.25" customHeight="1">
      <c r="A173" s="42">
        <v>7066.0</v>
      </c>
      <c r="B173" s="17" t="s">
        <v>1530</v>
      </c>
      <c r="C173" s="8" t="str">
        <f t="shared" si="30"/>
        <v>戰鬥開始時裝備者的爆擊傷害增加22.5%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42"/>
      <c r="R173" s="42"/>
      <c r="S173" s="42"/>
      <c r="T173" s="8"/>
      <c r="U173" s="8">
        <f t="shared" si="32"/>
        <v>0.225</v>
      </c>
      <c r="V173" s="42"/>
      <c r="W173" s="42" t="b">
        <f t="shared" si="10"/>
        <v>0</v>
      </c>
      <c r="X173" s="42">
        <v>1.0</v>
      </c>
      <c r="Y173" s="42">
        <v>9999.0</v>
      </c>
      <c r="Z173" s="42"/>
      <c r="AA173" s="42"/>
      <c r="AB173" s="42"/>
      <c r="AC173" s="42">
        <v>1.0</v>
      </c>
      <c r="AD173" s="8"/>
      <c r="AE173" s="8"/>
    </row>
    <row r="174" ht="14.25" customHeight="1">
      <c r="A174" s="42">
        <v>7067.0</v>
      </c>
      <c r="B174" s="17" t="s">
        <v>1536</v>
      </c>
      <c r="C174" s="8" t="str">
        <f t="shared" si="30"/>
        <v>戰鬥開始時裝備者的爆擊傷害增加27.5%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42"/>
      <c r="R174" s="42"/>
      <c r="S174" s="42"/>
      <c r="T174" s="8"/>
      <c r="U174" s="8">
        <f t="shared" si="32"/>
        <v>0.275</v>
      </c>
      <c r="V174" s="42"/>
      <c r="W174" s="42" t="b">
        <f t="shared" si="10"/>
        <v>0</v>
      </c>
      <c r="X174" s="42">
        <v>1.0</v>
      </c>
      <c r="Y174" s="42">
        <v>9999.0</v>
      </c>
      <c r="Z174" s="42"/>
      <c r="AA174" s="42"/>
      <c r="AB174" s="42"/>
      <c r="AC174" s="42">
        <v>1.0</v>
      </c>
      <c r="AD174" s="8"/>
      <c r="AE174" s="8"/>
    </row>
    <row r="175" ht="14.25" customHeight="1">
      <c r="A175" s="42">
        <v>7068.0</v>
      </c>
      <c r="B175" s="17" t="s">
        <v>1537</v>
      </c>
      <c r="C175" s="8" t="str">
        <f t="shared" si="30"/>
        <v>戰鬥開始時裝備者的爆擊傷害增加34.5%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42"/>
      <c r="R175" s="42"/>
      <c r="S175" s="42"/>
      <c r="T175" s="8"/>
      <c r="U175" s="8">
        <f t="shared" ref="U175:U177" si="33">U174+0.07</f>
        <v>0.345</v>
      </c>
      <c r="V175" s="42"/>
      <c r="W175" s="42" t="b">
        <f t="shared" si="10"/>
        <v>0</v>
      </c>
      <c r="X175" s="42">
        <v>1.0</v>
      </c>
      <c r="Y175" s="42">
        <v>9999.0</v>
      </c>
      <c r="Z175" s="42"/>
      <c r="AA175" s="42"/>
      <c r="AB175" s="42"/>
      <c r="AC175" s="42">
        <v>1.0</v>
      </c>
      <c r="AD175" s="8"/>
      <c r="AE175" s="8"/>
    </row>
    <row r="176" ht="14.25" customHeight="1">
      <c r="A176" s="42">
        <v>7069.0</v>
      </c>
      <c r="B176" s="17" t="s">
        <v>1538</v>
      </c>
      <c r="C176" s="8" t="str">
        <f t="shared" si="30"/>
        <v>戰鬥開始時裝備者的爆擊傷害增加41.5%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42"/>
      <c r="R176" s="42"/>
      <c r="S176" s="42"/>
      <c r="T176" s="8"/>
      <c r="U176" s="8">
        <f t="shared" si="33"/>
        <v>0.415</v>
      </c>
      <c r="V176" s="42"/>
      <c r="W176" s="42" t="b">
        <f t="shared" si="10"/>
        <v>0</v>
      </c>
      <c r="X176" s="42">
        <v>1.0</v>
      </c>
      <c r="Y176" s="42">
        <v>9999.0</v>
      </c>
      <c r="Z176" s="42"/>
      <c r="AA176" s="42"/>
      <c r="AB176" s="42"/>
      <c r="AC176" s="42">
        <v>1.0</v>
      </c>
      <c r="AD176" s="8"/>
      <c r="AE176" s="8"/>
    </row>
    <row r="177" ht="14.25" customHeight="1">
      <c r="A177" s="42">
        <v>7070.0</v>
      </c>
      <c r="B177" s="17" t="s">
        <v>1539</v>
      </c>
      <c r="C177" s="8" t="str">
        <f t="shared" si="30"/>
        <v>戰鬥開始時裝備者的爆擊傷害增加48.5%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42"/>
      <c r="R177" s="42"/>
      <c r="S177" s="42"/>
      <c r="T177" s="8"/>
      <c r="U177" s="8">
        <f t="shared" si="33"/>
        <v>0.485</v>
      </c>
      <c r="V177" s="42"/>
      <c r="W177" s="42" t="b">
        <f t="shared" si="10"/>
        <v>0</v>
      </c>
      <c r="X177" s="42">
        <v>1.0</v>
      </c>
      <c r="Y177" s="42">
        <v>9999.0</v>
      </c>
      <c r="Z177" s="42"/>
      <c r="AA177" s="42"/>
      <c r="AB177" s="42"/>
      <c r="AC177" s="42">
        <v>1.0</v>
      </c>
      <c r="AD177" s="8"/>
      <c r="AE177" s="8"/>
    </row>
    <row r="178" ht="14.25" customHeight="1">
      <c r="A178" s="42">
        <v>7071.0</v>
      </c>
      <c r="B178" s="17" t="s">
        <v>1540</v>
      </c>
      <c r="C178" s="8" t="str">
        <f t="shared" ref="C178:C187" si="34">"戰鬥開始時裝備者的爆擊傷害抗性增加"&amp;V178*100&amp;"%"</f>
        <v>戰鬥開始時裝備者的爆擊傷害抗性增加8%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42"/>
      <c r="R178" s="42"/>
      <c r="S178" s="42"/>
      <c r="T178" s="8"/>
      <c r="U178" s="42"/>
      <c r="V178" s="8">
        <v>0.08</v>
      </c>
      <c r="W178" s="42" t="b">
        <f t="shared" si="10"/>
        <v>0</v>
      </c>
      <c r="X178" s="42">
        <v>1.0</v>
      </c>
      <c r="Y178" s="42">
        <v>9999.0</v>
      </c>
      <c r="Z178" s="42"/>
      <c r="AA178" s="42"/>
      <c r="AB178" s="42"/>
      <c r="AC178" s="42">
        <v>1.0</v>
      </c>
      <c r="AD178" s="8"/>
      <c r="AE178" s="8"/>
    </row>
    <row r="179" ht="14.25" customHeight="1">
      <c r="A179" s="42">
        <v>7072.0</v>
      </c>
      <c r="B179" s="17" t="s">
        <v>1544</v>
      </c>
      <c r="C179" s="8" t="str">
        <f t="shared" si="34"/>
        <v>戰鬥開始時裝備者的爆擊傷害抗性增加11%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42"/>
      <c r="R179" s="42"/>
      <c r="S179" s="42"/>
      <c r="T179" s="8"/>
      <c r="U179" s="42"/>
      <c r="V179" s="8">
        <f t="shared" ref="V179:V182" si="35">V178+0.03</f>
        <v>0.11</v>
      </c>
      <c r="W179" s="42" t="b">
        <f t="shared" si="10"/>
        <v>0</v>
      </c>
      <c r="X179" s="42">
        <v>1.0</v>
      </c>
      <c r="Y179" s="42">
        <v>9999.0</v>
      </c>
      <c r="Z179" s="42"/>
      <c r="AA179" s="42"/>
      <c r="AB179" s="42"/>
      <c r="AC179" s="42">
        <v>1.0</v>
      </c>
      <c r="AD179" s="8"/>
      <c r="AE179" s="8"/>
    </row>
    <row r="180" ht="14.25" customHeight="1">
      <c r="A180" s="42">
        <v>7073.0</v>
      </c>
      <c r="B180" s="17" t="s">
        <v>1548</v>
      </c>
      <c r="C180" s="8" t="str">
        <f t="shared" si="34"/>
        <v>戰鬥開始時裝備者的爆擊傷害抗性增加14.%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42"/>
      <c r="R180" s="42"/>
      <c r="S180" s="42"/>
      <c r="T180" s="8"/>
      <c r="U180" s="42"/>
      <c r="V180" s="8">
        <f t="shared" si="35"/>
        <v>0.14</v>
      </c>
      <c r="W180" s="42" t="b">
        <f t="shared" si="10"/>
        <v>0</v>
      </c>
      <c r="X180" s="42">
        <v>1.0</v>
      </c>
      <c r="Y180" s="42">
        <v>9999.0</v>
      </c>
      <c r="Z180" s="42"/>
      <c r="AA180" s="42"/>
      <c r="AB180" s="42"/>
      <c r="AC180" s="42">
        <v>1.0</v>
      </c>
      <c r="AD180" s="8"/>
      <c r="AE180" s="8"/>
    </row>
    <row r="181" ht="14.25" customHeight="1">
      <c r="A181" s="42">
        <v>7074.0</v>
      </c>
      <c r="B181" s="17" t="s">
        <v>1553</v>
      </c>
      <c r="C181" s="8" t="str">
        <f t="shared" si="34"/>
        <v>戰鬥開始時裝備者的爆擊傷害抗性增加17%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42"/>
      <c r="R181" s="42"/>
      <c r="S181" s="42"/>
      <c r="T181" s="8"/>
      <c r="U181" s="42"/>
      <c r="V181" s="8">
        <f t="shared" si="35"/>
        <v>0.17</v>
      </c>
      <c r="W181" s="42" t="b">
        <f t="shared" si="10"/>
        <v>0</v>
      </c>
      <c r="X181" s="42">
        <v>1.0</v>
      </c>
      <c r="Y181" s="42">
        <v>9999.0</v>
      </c>
      <c r="Z181" s="42"/>
      <c r="AA181" s="42"/>
      <c r="AB181" s="42"/>
      <c r="AC181" s="42">
        <v>1.0</v>
      </c>
      <c r="AD181" s="8"/>
      <c r="AE181" s="8"/>
    </row>
    <row r="182" ht="14.25" customHeight="1">
      <c r="A182" s="42">
        <v>7075.0</v>
      </c>
      <c r="B182" s="17" t="s">
        <v>1558</v>
      </c>
      <c r="C182" s="8" t="str">
        <f t="shared" si="34"/>
        <v>戰鬥開始時裝備者的爆擊傷害抗性增加20%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42"/>
      <c r="R182" s="42"/>
      <c r="S182" s="42"/>
      <c r="T182" s="8"/>
      <c r="U182" s="42"/>
      <c r="V182" s="8">
        <f t="shared" si="35"/>
        <v>0.2</v>
      </c>
      <c r="W182" s="42" t="b">
        <f t="shared" si="10"/>
        <v>0</v>
      </c>
      <c r="X182" s="42">
        <v>1.0</v>
      </c>
      <c r="Y182" s="42">
        <v>9999.0</v>
      </c>
      <c r="Z182" s="42"/>
      <c r="AA182" s="42"/>
      <c r="AB182" s="42"/>
      <c r="AC182" s="42">
        <v>1.0</v>
      </c>
      <c r="AD182" s="8"/>
      <c r="AE182" s="8"/>
    </row>
    <row r="183" ht="14.25" customHeight="1">
      <c r="A183" s="42">
        <v>7076.0</v>
      </c>
      <c r="B183" s="17" t="s">
        <v>1561</v>
      </c>
      <c r="C183" s="8" t="str">
        <f t="shared" si="34"/>
        <v>戰鬥開始時裝備者的爆擊傷害抗性增加25%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42"/>
      <c r="R183" s="42"/>
      <c r="S183" s="42"/>
      <c r="T183" s="8"/>
      <c r="U183" s="42"/>
      <c r="V183" s="8">
        <f t="shared" ref="V183:V184" si="36">V182+0.05</f>
        <v>0.25</v>
      </c>
      <c r="W183" s="42" t="b">
        <f t="shared" si="10"/>
        <v>0</v>
      </c>
      <c r="X183" s="42">
        <v>1.0</v>
      </c>
      <c r="Y183" s="42">
        <v>9999.0</v>
      </c>
      <c r="Z183" s="42"/>
      <c r="AA183" s="42"/>
      <c r="AB183" s="42"/>
      <c r="AC183" s="42">
        <v>1.0</v>
      </c>
      <c r="AD183" s="8"/>
      <c r="AE183" s="8"/>
    </row>
    <row r="184" ht="14.25" customHeight="1">
      <c r="A184" s="42">
        <v>7077.0</v>
      </c>
      <c r="B184" s="17" t="s">
        <v>1565</v>
      </c>
      <c r="C184" s="8" t="str">
        <f t="shared" si="34"/>
        <v>戰鬥開始時裝備者的爆擊傷害抗性增加30%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42"/>
      <c r="R184" s="42"/>
      <c r="S184" s="42"/>
      <c r="T184" s="8"/>
      <c r="U184" s="42"/>
      <c r="V184" s="8">
        <f t="shared" si="36"/>
        <v>0.3</v>
      </c>
      <c r="W184" s="42" t="b">
        <f t="shared" si="10"/>
        <v>0</v>
      </c>
      <c r="X184" s="42">
        <v>1.0</v>
      </c>
      <c r="Y184" s="42">
        <v>9999.0</v>
      </c>
      <c r="Z184" s="42"/>
      <c r="AA184" s="42"/>
      <c r="AB184" s="42"/>
      <c r="AC184" s="42">
        <v>1.0</v>
      </c>
      <c r="AD184" s="8"/>
      <c r="AE184" s="8"/>
    </row>
    <row r="185" ht="14.25" customHeight="1">
      <c r="A185" s="42">
        <v>7078.0</v>
      </c>
      <c r="B185" s="17" t="s">
        <v>1569</v>
      </c>
      <c r="C185" s="8" t="str">
        <f t="shared" si="34"/>
        <v>戰鬥開始時裝備者的爆擊傷害抗性增加37%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42"/>
      <c r="R185" s="42"/>
      <c r="S185" s="42"/>
      <c r="T185" s="8"/>
      <c r="U185" s="42"/>
      <c r="V185" s="8">
        <f t="shared" ref="V185:V187" si="37">V184+0.07</f>
        <v>0.37</v>
      </c>
      <c r="W185" s="42" t="b">
        <f t="shared" si="10"/>
        <v>0</v>
      </c>
      <c r="X185" s="42">
        <v>1.0</v>
      </c>
      <c r="Y185" s="42">
        <v>9999.0</v>
      </c>
      <c r="Z185" s="42"/>
      <c r="AA185" s="42"/>
      <c r="AB185" s="42"/>
      <c r="AC185" s="42">
        <v>1.0</v>
      </c>
      <c r="AD185" s="8"/>
      <c r="AE185" s="8"/>
    </row>
    <row r="186" ht="14.25" customHeight="1">
      <c r="A186" s="42">
        <v>7079.0</v>
      </c>
      <c r="B186" s="17" t="s">
        <v>1573</v>
      </c>
      <c r="C186" s="8" t="str">
        <f t="shared" si="34"/>
        <v>戰鬥開始時裝備者的爆擊傷害抗性增加44%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42"/>
      <c r="R186" s="42"/>
      <c r="S186" s="42"/>
      <c r="T186" s="8"/>
      <c r="U186" s="42"/>
      <c r="V186" s="8">
        <f t="shared" si="37"/>
        <v>0.44</v>
      </c>
      <c r="W186" s="42" t="b">
        <f t="shared" si="10"/>
        <v>0</v>
      </c>
      <c r="X186" s="42">
        <v>1.0</v>
      </c>
      <c r="Y186" s="42">
        <v>9999.0</v>
      </c>
      <c r="Z186" s="42"/>
      <c r="AA186" s="42"/>
      <c r="AB186" s="42"/>
      <c r="AC186" s="42">
        <v>1.0</v>
      </c>
      <c r="AD186" s="8"/>
      <c r="AE186" s="8"/>
    </row>
    <row r="187" ht="14.25" customHeight="1">
      <c r="A187" s="42">
        <v>7080.0</v>
      </c>
      <c r="B187" s="17" t="s">
        <v>1575</v>
      </c>
      <c r="C187" s="8" t="str">
        <f t="shared" si="34"/>
        <v>戰鬥開始時裝備者的爆擊傷害抗性增加51%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42"/>
      <c r="R187" s="42"/>
      <c r="S187" s="42"/>
      <c r="T187" s="8"/>
      <c r="U187" s="42"/>
      <c r="V187" s="8">
        <f t="shared" si="37"/>
        <v>0.51</v>
      </c>
      <c r="W187" s="42" t="b">
        <f t="shared" si="10"/>
        <v>0</v>
      </c>
      <c r="X187" s="42">
        <v>1.0</v>
      </c>
      <c r="Y187" s="42">
        <v>9999.0</v>
      </c>
      <c r="Z187" s="42"/>
      <c r="AA187" s="42"/>
      <c r="AB187" s="42"/>
      <c r="AC187" s="42">
        <v>1.0</v>
      </c>
      <c r="AD187" s="8"/>
      <c r="AE187" s="8"/>
    </row>
    <row r="188" ht="14.25" customHeight="1">
      <c r="A188" s="47"/>
      <c r="B188" s="47"/>
      <c r="C188" s="1"/>
      <c r="J188" s="1"/>
      <c r="K188" s="1"/>
      <c r="Q188" s="47"/>
      <c r="R188" s="47"/>
      <c r="S188" s="47"/>
      <c r="T188" s="1"/>
      <c r="U188" s="47"/>
      <c r="V188" s="47"/>
      <c r="W188" s="47"/>
      <c r="X188" s="47"/>
      <c r="Y188" s="47"/>
      <c r="Z188" s="47"/>
      <c r="AA188" s="47"/>
      <c r="AB188" s="47"/>
      <c r="AC188" s="47"/>
    </row>
    <row r="189" ht="14.25" customHeight="1">
      <c r="A189" s="47"/>
      <c r="B189" s="47"/>
      <c r="V189" s="47"/>
    </row>
    <row r="190" ht="14.25" customHeight="1">
      <c r="V190" s="47"/>
    </row>
    <row r="191" ht="14.25" customHeight="1">
      <c r="A191" s="40" t="s">
        <v>381</v>
      </c>
      <c r="B191" s="40" t="s">
        <v>632</v>
      </c>
      <c r="C191" s="40" t="s">
        <v>633</v>
      </c>
      <c r="D191" s="40" t="s">
        <v>634</v>
      </c>
      <c r="E191" s="40" t="s">
        <v>636</v>
      </c>
      <c r="F191" s="40" t="s">
        <v>637</v>
      </c>
      <c r="G191" s="40" t="s">
        <v>638</v>
      </c>
      <c r="H191" s="40" t="s">
        <v>289</v>
      </c>
      <c r="I191" s="40" t="s">
        <v>290</v>
      </c>
      <c r="J191" s="40" t="s">
        <v>291</v>
      </c>
      <c r="K191" s="40" t="s">
        <v>292</v>
      </c>
      <c r="L191" s="40" t="s">
        <v>293</v>
      </c>
      <c r="M191" s="40" t="s">
        <v>134</v>
      </c>
      <c r="N191" s="40" t="s">
        <v>294</v>
      </c>
      <c r="O191" s="40" t="s">
        <v>295</v>
      </c>
      <c r="P191" s="40" t="s">
        <v>296</v>
      </c>
      <c r="Q191" s="40" t="s">
        <v>297</v>
      </c>
      <c r="R191" s="40" t="s">
        <v>298</v>
      </c>
      <c r="S191" s="40" t="s">
        <v>299</v>
      </c>
      <c r="T191" s="40" t="s">
        <v>300</v>
      </c>
      <c r="U191" s="40" t="s">
        <v>301</v>
      </c>
      <c r="V191" s="40" t="s">
        <v>302</v>
      </c>
      <c r="W191" s="40" t="s">
        <v>645</v>
      </c>
      <c r="X191" s="40" t="s">
        <v>646</v>
      </c>
      <c r="Y191" s="50" t="s">
        <v>648</v>
      </c>
      <c r="Z191" s="40" t="s">
        <v>650</v>
      </c>
      <c r="AA191" s="40" t="s">
        <v>651</v>
      </c>
      <c r="AB191" s="40" t="s">
        <v>652</v>
      </c>
      <c r="AC191" s="40" t="s">
        <v>653</v>
      </c>
      <c r="AD191" s="40" t="s">
        <v>654</v>
      </c>
      <c r="AE191" s="8" t="s">
        <v>1584</v>
      </c>
    </row>
    <row r="192" ht="14.25" customHeight="1">
      <c r="A192" s="42">
        <v>8000.0</v>
      </c>
      <c r="B192" s="54"/>
      <c r="C192" s="82" t="s">
        <v>1586</v>
      </c>
      <c r="D192" s="8"/>
      <c r="E192" s="8"/>
      <c r="F192" s="8"/>
      <c r="G192" s="8"/>
      <c r="H192" s="12">
        <v>0.01</v>
      </c>
      <c r="I192" s="8"/>
      <c r="J192" s="8"/>
      <c r="K192" s="8"/>
      <c r="L192" s="8"/>
      <c r="M192" s="42"/>
      <c r="N192" s="8"/>
      <c r="O192" s="8"/>
      <c r="P192" s="8"/>
      <c r="Q192" s="8"/>
      <c r="R192" s="8"/>
      <c r="S192" s="8"/>
      <c r="T192" s="8"/>
      <c r="U192" s="8"/>
      <c r="V192" s="42"/>
      <c r="W192" s="42"/>
      <c r="X192" s="42"/>
      <c r="Y192" s="42"/>
      <c r="Z192" s="42"/>
      <c r="AA192" s="42"/>
      <c r="AB192" s="42"/>
      <c r="AC192" s="42">
        <v>1.0</v>
      </c>
      <c r="AD192" s="8"/>
      <c r="AE192" s="8"/>
    </row>
    <row r="193" ht="14.25" customHeight="1">
      <c r="A193" s="42">
        <v>8001.0</v>
      </c>
      <c r="B193" s="54"/>
      <c r="C193" s="82" t="s">
        <v>1586</v>
      </c>
      <c r="D193" s="8"/>
      <c r="E193" s="8"/>
      <c r="F193" s="8"/>
      <c r="G193" s="8"/>
      <c r="H193" s="12">
        <v>0.01</v>
      </c>
      <c r="I193" s="12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42"/>
      <c r="W193" s="42"/>
      <c r="X193" s="42"/>
      <c r="Y193" s="42"/>
      <c r="Z193" s="42"/>
      <c r="AA193" s="42"/>
      <c r="AB193" s="42"/>
      <c r="AC193" s="42">
        <v>1.0</v>
      </c>
      <c r="AD193" s="8"/>
      <c r="AE193" s="8"/>
    </row>
    <row r="194" ht="14.25" customHeight="1">
      <c r="A194" s="42">
        <v>8002.0</v>
      </c>
      <c r="B194" s="54"/>
      <c r="C194" s="82" t="s">
        <v>1586</v>
      </c>
      <c r="D194" s="8"/>
      <c r="E194" s="8"/>
      <c r="F194" s="8"/>
      <c r="G194" s="8"/>
      <c r="H194" s="12">
        <v>0.01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42"/>
      <c r="W194" s="42"/>
      <c r="X194" s="42"/>
      <c r="Y194" s="42"/>
      <c r="Z194" s="42"/>
      <c r="AA194" s="42"/>
      <c r="AB194" s="42"/>
      <c r="AC194" s="42">
        <v>1.0</v>
      </c>
      <c r="AD194" s="8"/>
      <c r="AE194" s="8"/>
    </row>
    <row r="195" ht="14.25" customHeight="1">
      <c r="A195" s="42">
        <v>8003.0</v>
      </c>
      <c r="B195" s="54"/>
      <c r="C195" s="82" t="s">
        <v>1586</v>
      </c>
      <c r="D195" s="8"/>
      <c r="E195" s="8"/>
      <c r="F195" s="8"/>
      <c r="G195" s="8"/>
      <c r="H195" s="12">
        <v>0.01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42"/>
      <c r="W195" s="42"/>
      <c r="X195" s="42"/>
      <c r="Y195" s="42"/>
      <c r="Z195" s="42"/>
      <c r="AA195" s="42"/>
      <c r="AB195" s="42"/>
      <c r="AC195" s="42">
        <v>1.0</v>
      </c>
      <c r="AD195" s="8"/>
      <c r="AE195" s="8"/>
    </row>
    <row r="196" ht="14.25" customHeight="1">
      <c r="A196" s="42">
        <v>8004.0</v>
      </c>
      <c r="B196" s="54"/>
      <c r="C196" s="82" t="s">
        <v>1586</v>
      </c>
      <c r="D196" s="8"/>
      <c r="E196" s="8"/>
      <c r="F196" s="8"/>
      <c r="G196" s="8"/>
      <c r="H196" s="12">
        <v>0.01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42"/>
      <c r="W196" s="42"/>
      <c r="X196" s="42"/>
      <c r="Y196" s="42"/>
      <c r="Z196" s="42"/>
      <c r="AA196" s="42"/>
      <c r="AB196" s="42"/>
      <c r="AC196" s="42">
        <v>1.0</v>
      </c>
      <c r="AD196" s="8"/>
      <c r="AE196" s="8"/>
    </row>
    <row r="197" ht="14.25" customHeight="1">
      <c r="A197" s="42">
        <v>8005.0</v>
      </c>
      <c r="B197" s="54"/>
      <c r="C197" s="82" t="s">
        <v>1586</v>
      </c>
      <c r="D197" s="8"/>
      <c r="E197" s="8"/>
      <c r="F197" s="8"/>
      <c r="G197" s="8"/>
      <c r="H197" s="12">
        <v>0.01</v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42"/>
      <c r="W197" s="42"/>
      <c r="X197" s="42"/>
      <c r="Y197" s="42"/>
      <c r="Z197" s="42"/>
      <c r="AA197" s="42"/>
      <c r="AB197" s="42"/>
      <c r="AC197" s="42">
        <v>1.0</v>
      </c>
      <c r="AD197" s="8"/>
      <c r="AE197" s="8"/>
    </row>
    <row r="198" ht="14.25" customHeight="1">
      <c r="A198" s="42">
        <v>8006.0</v>
      </c>
      <c r="B198" s="54"/>
      <c r="C198" s="82" t="s">
        <v>1586</v>
      </c>
      <c r="D198" s="8"/>
      <c r="E198" s="8"/>
      <c r="F198" s="8"/>
      <c r="G198" s="8"/>
      <c r="H198" s="12">
        <v>0.01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42"/>
      <c r="W198" s="42"/>
      <c r="X198" s="42"/>
      <c r="Y198" s="42"/>
      <c r="Z198" s="42"/>
      <c r="AA198" s="42"/>
      <c r="AB198" s="42"/>
      <c r="AC198" s="42">
        <v>1.0</v>
      </c>
      <c r="AD198" s="8"/>
      <c r="AE198" s="8"/>
    </row>
    <row r="199" ht="14.25" customHeight="1">
      <c r="A199" s="42">
        <v>8007.0</v>
      </c>
      <c r="B199" s="54"/>
      <c r="C199" s="82" t="s">
        <v>1586</v>
      </c>
      <c r="D199" s="8"/>
      <c r="E199" s="8"/>
      <c r="F199" s="8"/>
      <c r="G199" s="8"/>
      <c r="H199" s="12">
        <v>0.01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42"/>
      <c r="W199" s="42"/>
      <c r="X199" s="42"/>
      <c r="Y199" s="42"/>
      <c r="Z199" s="42"/>
      <c r="AA199" s="42"/>
      <c r="AB199" s="42"/>
      <c r="AC199" s="42">
        <v>1.0</v>
      </c>
      <c r="AD199" s="8"/>
      <c r="AE199" s="8"/>
    </row>
    <row r="200" ht="14.25" customHeight="1">
      <c r="A200" s="42">
        <v>8008.0</v>
      </c>
      <c r="B200" s="54"/>
      <c r="C200" s="82" t="s">
        <v>1586</v>
      </c>
      <c r="D200" s="8"/>
      <c r="E200" s="8"/>
      <c r="F200" s="8"/>
      <c r="G200" s="8"/>
      <c r="H200" s="12">
        <v>0.01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42"/>
      <c r="W200" s="42"/>
      <c r="X200" s="42"/>
      <c r="Y200" s="42"/>
      <c r="Z200" s="42"/>
      <c r="AA200" s="42"/>
      <c r="AB200" s="42"/>
      <c r="AC200" s="42">
        <v>1.0</v>
      </c>
      <c r="AD200" s="8"/>
      <c r="AE200" s="8"/>
    </row>
    <row r="201" ht="14.25" customHeight="1">
      <c r="A201" s="42">
        <v>8009.0</v>
      </c>
      <c r="B201" s="54"/>
      <c r="C201" s="82" t="s">
        <v>1586</v>
      </c>
      <c r="D201" s="8"/>
      <c r="E201" s="8"/>
      <c r="F201" s="8"/>
      <c r="G201" s="8"/>
      <c r="H201" s="12">
        <v>0.01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42"/>
      <c r="W201" s="42"/>
      <c r="X201" s="42"/>
      <c r="Y201" s="42"/>
      <c r="Z201" s="42"/>
      <c r="AA201" s="42"/>
      <c r="AB201" s="42"/>
      <c r="AC201" s="42">
        <v>1.0</v>
      </c>
      <c r="AD201" s="8"/>
      <c r="AE201" s="8"/>
    </row>
    <row r="202" ht="14.25" customHeight="1">
      <c r="A202" s="42">
        <v>8010.0</v>
      </c>
      <c r="B202" s="54"/>
      <c r="C202" s="82" t="s">
        <v>1586</v>
      </c>
      <c r="D202" s="8"/>
      <c r="E202" s="8"/>
      <c r="F202" s="8"/>
      <c r="G202" s="8"/>
      <c r="H202" s="12">
        <v>0.01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42"/>
      <c r="W202" s="42"/>
      <c r="X202" s="42"/>
      <c r="Y202" s="42"/>
      <c r="Z202" s="42"/>
      <c r="AA202" s="42"/>
      <c r="AB202" s="42"/>
      <c r="AC202" s="42">
        <v>1.0</v>
      </c>
      <c r="AD202" s="8"/>
      <c r="AE202" s="8"/>
    </row>
    <row r="203" ht="16.5" customHeight="1">
      <c r="A203" s="42">
        <v>8011.0</v>
      </c>
      <c r="B203" s="54"/>
      <c r="C203" s="82" t="s">
        <v>1586</v>
      </c>
      <c r="D203" s="8"/>
      <c r="E203" s="8"/>
      <c r="F203" s="8"/>
      <c r="G203" s="8"/>
      <c r="H203" s="12">
        <v>0.01</v>
      </c>
      <c r="I203" s="8"/>
      <c r="J203" s="8"/>
      <c r="K203" s="8"/>
      <c r="L203" s="8"/>
      <c r="M203" s="42"/>
      <c r="N203" s="8"/>
      <c r="O203" s="8"/>
      <c r="P203" s="8"/>
      <c r="Q203" s="8"/>
      <c r="R203" s="8"/>
      <c r="S203" s="8"/>
      <c r="T203" s="8"/>
      <c r="U203" s="8"/>
      <c r="V203" s="42"/>
      <c r="W203" s="42"/>
      <c r="X203" s="42"/>
      <c r="Y203" s="42"/>
      <c r="Z203" s="42"/>
      <c r="AA203" s="42"/>
      <c r="AB203" s="42"/>
      <c r="AC203" s="42">
        <v>1.0</v>
      </c>
      <c r="AD203" s="8"/>
      <c r="AE203" s="8"/>
    </row>
    <row r="204" ht="14.25" customHeight="1">
      <c r="A204" s="42">
        <v>8012.0</v>
      </c>
      <c r="B204" s="54"/>
      <c r="C204" s="82" t="s">
        <v>1586</v>
      </c>
      <c r="D204" s="8"/>
      <c r="E204" s="8"/>
      <c r="F204" s="8"/>
      <c r="G204" s="8"/>
      <c r="H204" s="12">
        <v>0.01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42"/>
      <c r="W204" s="42"/>
      <c r="X204" s="42"/>
      <c r="Y204" s="42"/>
      <c r="Z204" s="42"/>
      <c r="AA204" s="42"/>
      <c r="AB204" s="42"/>
      <c r="AC204" s="42">
        <v>1.0</v>
      </c>
      <c r="AD204" s="8"/>
      <c r="AE204" s="8"/>
    </row>
    <row r="205" ht="14.25" customHeight="1">
      <c r="A205" s="42">
        <v>8013.0</v>
      </c>
      <c r="B205" s="54"/>
      <c r="C205" s="82" t="s">
        <v>1586</v>
      </c>
      <c r="D205" s="8"/>
      <c r="E205" s="8"/>
      <c r="F205" s="8"/>
      <c r="G205" s="8"/>
      <c r="H205" s="12">
        <v>0.01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42"/>
      <c r="W205" s="42"/>
      <c r="X205" s="42"/>
      <c r="Y205" s="42"/>
      <c r="Z205" s="42"/>
      <c r="AA205" s="42"/>
      <c r="AB205" s="42"/>
      <c r="AC205" s="42">
        <v>1.0</v>
      </c>
      <c r="AD205" s="8"/>
      <c r="AE205" s="8"/>
    </row>
    <row r="206" ht="14.25" customHeight="1">
      <c r="A206" s="42">
        <v>8014.0</v>
      </c>
      <c r="B206" s="54"/>
      <c r="C206" s="82" t="s">
        <v>1614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42"/>
      <c r="W206" s="42"/>
      <c r="X206" s="42"/>
      <c r="Y206" s="42"/>
      <c r="Z206" s="42"/>
      <c r="AA206" s="42"/>
      <c r="AB206" s="42"/>
      <c r="AC206" s="42">
        <v>1.0</v>
      </c>
      <c r="AD206" s="8"/>
      <c r="AE206" s="8"/>
    </row>
    <row r="207" ht="14.25" customHeight="1">
      <c r="A207" s="42">
        <v>8015.0</v>
      </c>
      <c r="B207" s="54"/>
      <c r="C207" s="82" t="s">
        <v>1586</v>
      </c>
      <c r="D207" s="8"/>
      <c r="E207" s="8"/>
      <c r="F207" s="8"/>
      <c r="G207" s="8"/>
      <c r="H207" s="12">
        <v>0.01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42"/>
      <c r="W207" s="42"/>
      <c r="X207" s="42"/>
      <c r="Y207" s="42"/>
      <c r="Z207" s="42"/>
      <c r="AA207" s="42"/>
      <c r="AB207" s="42"/>
      <c r="AC207" s="42">
        <v>1.0</v>
      </c>
      <c r="AD207" s="8"/>
      <c r="AE207" s="8"/>
    </row>
    <row r="208" ht="14.25" customHeight="1">
      <c r="A208" s="42">
        <v>8016.0</v>
      </c>
      <c r="B208" s="54"/>
      <c r="C208" s="82" t="s">
        <v>1586</v>
      </c>
      <c r="D208" s="8"/>
      <c r="E208" s="8"/>
      <c r="F208" s="8"/>
      <c r="G208" s="8"/>
      <c r="H208" s="12">
        <v>0.01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42"/>
      <c r="W208" s="42"/>
      <c r="X208" s="42"/>
      <c r="Y208" s="42"/>
      <c r="Z208" s="42"/>
      <c r="AA208" s="42"/>
      <c r="AB208" s="42"/>
      <c r="AC208" s="42">
        <v>1.0</v>
      </c>
      <c r="AD208" s="8"/>
      <c r="AE208" s="8"/>
    </row>
    <row r="209" ht="14.25" customHeight="1">
      <c r="A209" s="42">
        <v>8017.0</v>
      </c>
      <c r="B209" s="54"/>
      <c r="C209" s="82" t="s">
        <v>1586</v>
      </c>
      <c r="D209" s="8"/>
      <c r="E209" s="8"/>
      <c r="F209" s="8"/>
      <c r="G209" s="8"/>
      <c r="H209" s="12">
        <v>0.01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42"/>
      <c r="W209" s="42"/>
      <c r="X209" s="42"/>
      <c r="Y209" s="42"/>
      <c r="Z209" s="42"/>
      <c r="AA209" s="42"/>
      <c r="AB209" s="42"/>
      <c r="AC209" s="42">
        <v>1.0</v>
      </c>
      <c r="AD209" s="8"/>
      <c r="AE209" s="8"/>
    </row>
    <row r="210" ht="14.25" customHeight="1">
      <c r="A210" s="42">
        <v>8018.0</v>
      </c>
      <c r="B210" s="54"/>
      <c r="C210" s="82" t="s">
        <v>1586</v>
      </c>
      <c r="D210" s="8"/>
      <c r="E210" s="8"/>
      <c r="F210" s="8"/>
      <c r="G210" s="8"/>
      <c r="H210" s="12">
        <v>0.01</v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42"/>
      <c r="W210" s="42"/>
      <c r="X210" s="42"/>
      <c r="Y210" s="42"/>
      <c r="Z210" s="42"/>
      <c r="AA210" s="42"/>
      <c r="AB210" s="42"/>
      <c r="AC210" s="42">
        <v>1.0</v>
      </c>
      <c r="AD210" s="8"/>
      <c r="AE210" s="8"/>
    </row>
    <row r="211" ht="14.25" customHeight="1">
      <c r="A211" s="42">
        <v>8019.0</v>
      </c>
      <c r="B211" s="54"/>
      <c r="C211" s="82" t="s">
        <v>1586</v>
      </c>
      <c r="D211" s="8"/>
      <c r="E211" s="8"/>
      <c r="F211" s="8"/>
      <c r="G211" s="8"/>
      <c r="H211" s="12">
        <v>0.01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42"/>
      <c r="W211" s="42"/>
      <c r="X211" s="42"/>
      <c r="Y211" s="42"/>
      <c r="Z211" s="42"/>
      <c r="AA211" s="42"/>
      <c r="AB211" s="42"/>
      <c r="AC211" s="42">
        <v>1.0</v>
      </c>
      <c r="AD211" s="8"/>
      <c r="AE211" s="8"/>
    </row>
    <row r="212" ht="14.25" customHeight="1">
      <c r="A212" s="42">
        <v>8020.0</v>
      </c>
      <c r="B212" s="54"/>
      <c r="C212" s="82" t="s">
        <v>1586</v>
      </c>
      <c r="D212" s="8"/>
      <c r="E212" s="8"/>
      <c r="F212" s="8"/>
      <c r="G212" s="8"/>
      <c r="H212" s="12">
        <v>0.01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42"/>
      <c r="W212" s="42"/>
      <c r="X212" s="42"/>
      <c r="Y212" s="42"/>
      <c r="Z212" s="42"/>
      <c r="AA212" s="42"/>
      <c r="AB212" s="42"/>
      <c r="AC212" s="42">
        <v>1.0</v>
      </c>
      <c r="AD212" s="8"/>
      <c r="AE212" s="8"/>
    </row>
    <row r="213" ht="14.25" customHeight="1">
      <c r="A213" s="42">
        <v>8021.0</v>
      </c>
      <c r="B213" s="54"/>
      <c r="C213" s="82" t="s">
        <v>1586</v>
      </c>
      <c r="D213" s="8"/>
      <c r="E213" s="8"/>
      <c r="F213" s="8"/>
      <c r="G213" s="8"/>
      <c r="H213" s="12">
        <v>0.01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42"/>
      <c r="W213" s="42"/>
      <c r="X213" s="42"/>
      <c r="Y213" s="42"/>
      <c r="Z213" s="42"/>
      <c r="AA213" s="42"/>
      <c r="AB213" s="42"/>
      <c r="AC213" s="42">
        <v>1.0</v>
      </c>
      <c r="AD213" s="8"/>
      <c r="AE213" s="8"/>
    </row>
    <row r="214" ht="14.25" customHeight="1">
      <c r="A214" s="42">
        <v>8022.0</v>
      </c>
      <c r="B214" s="54"/>
      <c r="C214" s="82" t="s">
        <v>1586</v>
      </c>
      <c r="D214" s="8"/>
      <c r="E214" s="8"/>
      <c r="F214" s="8"/>
      <c r="G214" s="8"/>
      <c r="H214" s="12">
        <v>0.01</v>
      </c>
      <c r="I214" s="8"/>
      <c r="J214" s="8"/>
      <c r="K214" s="8"/>
      <c r="L214" s="8"/>
      <c r="M214" s="42"/>
      <c r="N214" s="8"/>
      <c r="O214" s="8"/>
      <c r="P214" s="8"/>
      <c r="Q214" s="8"/>
      <c r="R214" s="8"/>
      <c r="S214" s="8"/>
      <c r="T214" s="8"/>
      <c r="U214" s="8"/>
      <c r="V214" s="42"/>
      <c r="W214" s="42"/>
      <c r="X214" s="42"/>
      <c r="Y214" s="42"/>
      <c r="Z214" s="42"/>
      <c r="AA214" s="42"/>
      <c r="AB214" s="42"/>
      <c r="AC214" s="42">
        <v>1.0</v>
      </c>
      <c r="AD214" s="8"/>
      <c r="AE214" s="8"/>
    </row>
    <row r="215" ht="14.25" customHeight="1">
      <c r="A215" s="42">
        <v>8023.0</v>
      </c>
      <c r="B215" s="54"/>
      <c r="C215" s="82" t="s">
        <v>1586</v>
      </c>
      <c r="D215" s="8"/>
      <c r="E215" s="8"/>
      <c r="F215" s="8"/>
      <c r="G215" s="8"/>
      <c r="H215" s="12">
        <v>0.01</v>
      </c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42"/>
      <c r="W215" s="42"/>
      <c r="X215" s="42"/>
      <c r="Y215" s="42"/>
      <c r="Z215" s="42"/>
      <c r="AA215" s="42"/>
      <c r="AB215" s="42"/>
      <c r="AC215" s="42">
        <v>1.0</v>
      </c>
      <c r="AD215" s="8"/>
      <c r="AE215" s="8"/>
    </row>
    <row r="216" ht="14.25" customHeight="1">
      <c r="A216" s="42">
        <v>8024.0</v>
      </c>
      <c r="B216" s="54"/>
      <c r="C216" s="82" t="s">
        <v>1586</v>
      </c>
      <c r="D216" s="8"/>
      <c r="E216" s="8"/>
      <c r="F216" s="8"/>
      <c r="G216" s="8"/>
      <c r="H216" s="12">
        <v>0.01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42"/>
      <c r="W216" s="42"/>
      <c r="X216" s="42"/>
      <c r="Y216" s="42"/>
      <c r="Z216" s="42"/>
      <c r="AA216" s="42"/>
      <c r="AB216" s="42"/>
      <c r="AC216" s="42">
        <v>1.0</v>
      </c>
      <c r="AD216" s="8"/>
      <c r="AE216" s="8"/>
    </row>
    <row r="217" ht="14.25" customHeight="1">
      <c r="A217" s="42">
        <v>8025.0</v>
      </c>
      <c r="B217" s="54"/>
      <c r="C217" s="82" t="s">
        <v>1586</v>
      </c>
      <c r="D217" s="8"/>
      <c r="E217" s="8"/>
      <c r="F217" s="8"/>
      <c r="G217" s="8"/>
      <c r="H217" s="12">
        <v>0.01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42"/>
      <c r="W217" s="42"/>
      <c r="X217" s="42"/>
      <c r="Y217" s="42"/>
      <c r="Z217" s="42"/>
      <c r="AA217" s="42"/>
      <c r="AB217" s="42"/>
      <c r="AC217" s="42">
        <v>1.0</v>
      </c>
      <c r="AD217" s="8"/>
      <c r="AE217" s="8"/>
    </row>
    <row r="218" ht="14.25" customHeight="1">
      <c r="A218" s="42">
        <v>8026.0</v>
      </c>
      <c r="B218" s="54"/>
      <c r="C218" s="82" t="s">
        <v>1586</v>
      </c>
      <c r="D218" s="8"/>
      <c r="E218" s="8"/>
      <c r="F218" s="8"/>
      <c r="G218" s="8"/>
      <c r="H218" s="12">
        <v>0.01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42"/>
      <c r="W218" s="42"/>
      <c r="X218" s="42"/>
      <c r="Y218" s="42"/>
      <c r="Z218" s="42"/>
      <c r="AA218" s="42"/>
      <c r="AB218" s="42"/>
      <c r="AC218" s="42">
        <v>1.0</v>
      </c>
      <c r="AD218" s="8"/>
      <c r="AE218" s="8"/>
    </row>
    <row r="219" ht="14.25" customHeight="1">
      <c r="A219" s="42">
        <v>8027.0</v>
      </c>
      <c r="B219" s="54"/>
      <c r="C219" s="82" t="s">
        <v>1586</v>
      </c>
      <c r="D219" s="8"/>
      <c r="E219" s="8"/>
      <c r="F219" s="8"/>
      <c r="G219" s="8"/>
      <c r="H219" s="12">
        <v>0.01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42"/>
      <c r="W219" s="42"/>
      <c r="X219" s="42"/>
      <c r="Y219" s="42"/>
      <c r="Z219" s="42"/>
      <c r="AA219" s="42"/>
      <c r="AB219" s="42"/>
      <c r="AC219" s="42">
        <v>1.0</v>
      </c>
      <c r="AD219" s="8"/>
      <c r="AE219" s="8"/>
    </row>
    <row r="220" ht="14.25" customHeight="1">
      <c r="A220" s="42">
        <v>8028.0</v>
      </c>
      <c r="B220" s="54"/>
      <c r="C220" s="82" t="s">
        <v>1586</v>
      </c>
      <c r="D220" s="8"/>
      <c r="E220" s="8"/>
      <c r="F220" s="8"/>
      <c r="G220" s="8"/>
      <c r="H220" s="12">
        <v>0.01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42"/>
      <c r="W220" s="42"/>
      <c r="X220" s="42"/>
      <c r="Y220" s="42"/>
      <c r="Z220" s="42"/>
      <c r="AA220" s="42"/>
      <c r="AB220" s="42"/>
      <c r="AC220" s="42">
        <v>1.0</v>
      </c>
      <c r="AD220" s="8"/>
      <c r="AE220" s="8"/>
    </row>
    <row r="221" ht="14.25" customHeight="1">
      <c r="A221" s="42">
        <v>8029.0</v>
      </c>
      <c r="B221" s="54"/>
      <c r="C221" s="82" t="s">
        <v>1662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42"/>
      <c r="W221" s="42"/>
      <c r="X221" s="42"/>
      <c r="Y221" s="42"/>
      <c r="Z221" s="42"/>
      <c r="AA221" s="42"/>
      <c r="AB221" s="42"/>
      <c r="AC221" s="42">
        <v>1.0</v>
      </c>
      <c r="AD221" s="8"/>
      <c r="AE221" s="8"/>
    </row>
    <row r="222" ht="14.25" customHeight="1">
      <c r="A222" s="42">
        <v>8030.0</v>
      </c>
      <c r="B222" s="54"/>
      <c r="C222" s="82" t="s">
        <v>1586</v>
      </c>
      <c r="D222" s="8"/>
      <c r="E222" s="8"/>
      <c r="F222" s="8"/>
      <c r="G222" s="8"/>
      <c r="H222" s="12">
        <v>0.01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42"/>
      <c r="W222" s="42"/>
      <c r="X222" s="42"/>
      <c r="Y222" s="42"/>
      <c r="Z222" s="42"/>
      <c r="AA222" s="42"/>
      <c r="AB222" s="42"/>
      <c r="AC222" s="42">
        <v>1.0</v>
      </c>
      <c r="AD222" s="8"/>
      <c r="AE222" s="8"/>
    </row>
    <row r="223" ht="14.25" customHeight="1">
      <c r="A223" s="42">
        <v>8031.0</v>
      </c>
      <c r="B223" s="54"/>
      <c r="C223" s="82" t="s">
        <v>1586</v>
      </c>
      <c r="D223" s="8"/>
      <c r="E223" s="8"/>
      <c r="F223" s="8"/>
      <c r="G223" s="8"/>
      <c r="H223" s="12">
        <v>0.01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42"/>
      <c r="W223" s="42"/>
      <c r="X223" s="42"/>
      <c r="Y223" s="42"/>
      <c r="Z223" s="42"/>
      <c r="AA223" s="42"/>
      <c r="AB223" s="42"/>
      <c r="AC223" s="42">
        <v>1.0</v>
      </c>
      <c r="AD223" s="8"/>
      <c r="AE223" s="8"/>
    </row>
    <row r="224" ht="14.25" customHeight="1">
      <c r="A224" s="42">
        <v>8032.0</v>
      </c>
      <c r="B224" s="54"/>
      <c r="C224" s="82" t="s">
        <v>1586</v>
      </c>
      <c r="D224" s="8"/>
      <c r="E224" s="8"/>
      <c r="F224" s="8"/>
      <c r="G224" s="8"/>
      <c r="H224" s="12">
        <v>0.01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42"/>
      <c r="W224" s="42"/>
      <c r="X224" s="42"/>
      <c r="Y224" s="42"/>
      <c r="Z224" s="42"/>
      <c r="AA224" s="42"/>
      <c r="AB224" s="42"/>
      <c r="AC224" s="42">
        <v>1.0</v>
      </c>
      <c r="AD224" s="8"/>
      <c r="AE224" s="8"/>
    </row>
    <row r="225" ht="14.25" customHeight="1">
      <c r="A225" s="42">
        <v>8033.0</v>
      </c>
      <c r="B225" s="54"/>
      <c r="C225" s="82" t="s">
        <v>1586</v>
      </c>
      <c r="D225" s="8"/>
      <c r="E225" s="8"/>
      <c r="F225" s="8"/>
      <c r="G225" s="8"/>
      <c r="H225" s="12">
        <v>0.01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42"/>
      <c r="W225" s="42"/>
      <c r="X225" s="42"/>
      <c r="Y225" s="42"/>
      <c r="Z225" s="42"/>
      <c r="AA225" s="42"/>
      <c r="AB225" s="42"/>
      <c r="AC225" s="42">
        <v>1.0</v>
      </c>
      <c r="AD225" s="8"/>
      <c r="AE225" s="8"/>
    </row>
    <row r="226" ht="14.25" customHeight="1">
      <c r="A226" s="42">
        <v>8034.0</v>
      </c>
      <c r="B226" s="54"/>
      <c r="C226" s="82" t="s">
        <v>1586</v>
      </c>
      <c r="D226" s="8"/>
      <c r="E226" s="8"/>
      <c r="F226" s="8"/>
      <c r="G226" s="8"/>
      <c r="H226" s="12">
        <v>0.01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42"/>
      <c r="W226" s="42"/>
      <c r="X226" s="42"/>
      <c r="Y226" s="42"/>
      <c r="Z226" s="42"/>
      <c r="AA226" s="42"/>
      <c r="AB226" s="42"/>
      <c r="AC226" s="42">
        <v>1.0</v>
      </c>
      <c r="AD226" s="8"/>
      <c r="AE226" s="8"/>
    </row>
    <row r="227" ht="14.25" customHeight="1">
      <c r="A227" s="42">
        <v>8035.0</v>
      </c>
      <c r="B227" s="54"/>
      <c r="C227" s="82" t="s">
        <v>1586</v>
      </c>
      <c r="D227" s="8"/>
      <c r="E227" s="8"/>
      <c r="F227" s="8"/>
      <c r="G227" s="8"/>
      <c r="H227" s="12">
        <v>0.01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42"/>
      <c r="W227" s="42"/>
      <c r="X227" s="42"/>
      <c r="Y227" s="42"/>
      <c r="Z227" s="42"/>
      <c r="AA227" s="42"/>
      <c r="AB227" s="42"/>
      <c r="AC227" s="42">
        <v>1.0</v>
      </c>
      <c r="AD227" s="8"/>
      <c r="AE227" s="8"/>
    </row>
    <row r="228" ht="14.25" customHeight="1">
      <c r="A228" s="42">
        <v>8036.0</v>
      </c>
      <c r="B228" s="54"/>
      <c r="C228" s="82" t="s">
        <v>1586</v>
      </c>
      <c r="D228" s="8"/>
      <c r="E228" s="8"/>
      <c r="F228" s="8"/>
      <c r="G228" s="8"/>
      <c r="H228" s="12">
        <v>0.01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42"/>
      <c r="W228" s="42"/>
      <c r="X228" s="42"/>
      <c r="Y228" s="42"/>
      <c r="Z228" s="42"/>
      <c r="AA228" s="42"/>
      <c r="AB228" s="42"/>
      <c r="AC228" s="42">
        <v>1.0</v>
      </c>
      <c r="AD228" s="8"/>
      <c r="AE228" s="8"/>
    </row>
    <row r="229" ht="14.25" customHeight="1">
      <c r="A229" s="42">
        <v>8037.0</v>
      </c>
      <c r="B229" s="54"/>
      <c r="C229" s="82" t="s">
        <v>1586</v>
      </c>
      <c r="D229" s="8"/>
      <c r="E229" s="8"/>
      <c r="F229" s="8"/>
      <c r="G229" s="8"/>
      <c r="H229" s="12">
        <v>0.01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42"/>
      <c r="W229" s="42"/>
      <c r="X229" s="42"/>
      <c r="Y229" s="42"/>
      <c r="Z229" s="42"/>
      <c r="AA229" s="42"/>
      <c r="AB229" s="42"/>
      <c r="AC229" s="42">
        <v>1.0</v>
      </c>
      <c r="AD229" s="8"/>
      <c r="AE229" s="8"/>
    </row>
    <row r="230" ht="14.25" customHeight="1">
      <c r="A230" s="42">
        <v>8038.0</v>
      </c>
      <c r="B230" s="54"/>
      <c r="C230" s="82" t="s">
        <v>1586</v>
      </c>
      <c r="D230" s="8"/>
      <c r="E230" s="8"/>
      <c r="F230" s="8"/>
      <c r="G230" s="8"/>
      <c r="H230" s="12">
        <v>0.01</v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42"/>
      <c r="W230" s="42"/>
      <c r="X230" s="42"/>
      <c r="Y230" s="42"/>
      <c r="Z230" s="42"/>
      <c r="AA230" s="42"/>
      <c r="AB230" s="42"/>
      <c r="AC230" s="42">
        <v>1.0</v>
      </c>
      <c r="AD230" s="8"/>
      <c r="AE230" s="8"/>
    </row>
    <row r="231" ht="14.25" customHeight="1">
      <c r="A231" s="42">
        <v>8039.0</v>
      </c>
      <c r="B231" s="54"/>
      <c r="C231" s="82" t="s">
        <v>1586</v>
      </c>
      <c r="D231" s="8"/>
      <c r="E231" s="8"/>
      <c r="F231" s="8"/>
      <c r="G231" s="8"/>
      <c r="H231" s="12">
        <v>0.01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42"/>
      <c r="W231" s="42"/>
      <c r="X231" s="42"/>
      <c r="Y231" s="42"/>
      <c r="Z231" s="42"/>
      <c r="AA231" s="42"/>
      <c r="AB231" s="42"/>
      <c r="AC231" s="42">
        <v>1.0</v>
      </c>
      <c r="AD231" s="8"/>
      <c r="AE231" s="8"/>
    </row>
    <row r="232" ht="14.25" customHeight="1">
      <c r="A232" s="42">
        <v>8040.0</v>
      </c>
      <c r="B232" s="54"/>
      <c r="C232" s="82" t="s">
        <v>1586</v>
      </c>
      <c r="D232" s="8"/>
      <c r="E232" s="8"/>
      <c r="F232" s="8"/>
      <c r="G232" s="8"/>
      <c r="H232" s="12">
        <v>0.01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42"/>
      <c r="W232" s="42"/>
      <c r="X232" s="42"/>
      <c r="Y232" s="42"/>
      <c r="Z232" s="42"/>
      <c r="AA232" s="42"/>
      <c r="AB232" s="42"/>
      <c r="AC232" s="42">
        <v>1.0</v>
      </c>
      <c r="AD232" s="8"/>
      <c r="AE232" s="8"/>
    </row>
    <row r="233" ht="14.25" customHeight="1">
      <c r="A233" s="42">
        <v>8041.0</v>
      </c>
      <c r="B233" s="54"/>
      <c r="C233" s="82" t="s">
        <v>1586</v>
      </c>
      <c r="D233" s="8"/>
      <c r="E233" s="8"/>
      <c r="F233" s="8"/>
      <c r="G233" s="8"/>
      <c r="H233" s="12">
        <v>0.01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42"/>
      <c r="W233" s="42"/>
      <c r="X233" s="42"/>
      <c r="Y233" s="42"/>
      <c r="Z233" s="42"/>
      <c r="AA233" s="42"/>
      <c r="AB233" s="42"/>
      <c r="AC233" s="42">
        <v>1.0</v>
      </c>
      <c r="AD233" s="8"/>
      <c r="AE233" s="8"/>
    </row>
    <row r="234" ht="14.25" customHeight="1">
      <c r="A234" s="42">
        <v>8042.0</v>
      </c>
      <c r="B234" s="54"/>
      <c r="C234" s="82" t="s">
        <v>1586</v>
      </c>
      <c r="D234" s="8"/>
      <c r="E234" s="8"/>
      <c r="F234" s="8"/>
      <c r="G234" s="8"/>
      <c r="H234" s="12">
        <v>0.01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42"/>
      <c r="W234" s="42"/>
      <c r="X234" s="42"/>
      <c r="Y234" s="42"/>
      <c r="Z234" s="42"/>
      <c r="AA234" s="42"/>
      <c r="AB234" s="42"/>
      <c r="AC234" s="42">
        <v>1.0</v>
      </c>
      <c r="AD234" s="8"/>
      <c r="AE234" s="8"/>
    </row>
    <row r="235" ht="14.25" customHeight="1">
      <c r="A235" s="42">
        <v>8043.0</v>
      </c>
      <c r="B235" s="54"/>
      <c r="C235" s="82" t="s">
        <v>1586</v>
      </c>
      <c r="D235" s="8"/>
      <c r="E235" s="8"/>
      <c r="F235" s="8"/>
      <c r="G235" s="8"/>
      <c r="H235" s="12">
        <v>0.01</v>
      </c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42"/>
      <c r="W235" s="42"/>
      <c r="X235" s="42"/>
      <c r="Y235" s="42"/>
      <c r="Z235" s="42"/>
      <c r="AA235" s="42"/>
      <c r="AB235" s="42"/>
      <c r="AC235" s="42">
        <v>1.0</v>
      </c>
      <c r="AD235" s="8"/>
      <c r="AE235" s="8"/>
    </row>
    <row r="236" ht="14.25" customHeight="1">
      <c r="A236" s="42">
        <v>8044.0</v>
      </c>
      <c r="B236" s="54"/>
      <c r="C236" s="82" t="s">
        <v>1706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42"/>
      <c r="W236" s="42"/>
      <c r="X236" s="42"/>
      <c r="Y236" s="42"/>
      <c r="Z236" s="42"/>
      <c r="AA236" s="42"/>
      <c r="AB236" s="42"/>
      <c r="AC236" s="42">
        <v>1.0</v>
      </c>
      <c r="AD236" s="8"/>
      <c r="AE236" s="8"/>
    </row>
    <row r="237" ht="14.25" customHeight="1">
      <c r="A237" s="42">
        <v>8045.0</v>
      </c>
      <c r="B237" s="54"/>
      <c r="C237" s="82" t="s">
        <v>1586</v>
      </c>
      <c r="D237" s="8"/>
      <c r="E237" s="8"/>
      <c r="F237" s="8"/>
      <c r="G237" s="8"/>
      <c r="H237" s="12">
        <v>0.01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42"/>
      <c r="W237" s="42"/>
      <c r="X237" s="42"/>
      <c r="Y237" s="42"/>
      <c r="Z237" s="42"/>
      <c r="AA237" s="42"/>
      <c r="AB237" s="42"/>
      <c r="AC237" s="42">
        <v>1.0</v>
      </c>
      <c r="AD237" s="8"/>
      <c r="AE237" s="8"/>
    </row>
    <row r="238" ht="14.25" customHeight="1">
      <c r="A238" s="42">
        <v>8046.0</v>
      </c>
      <c r="B238" s="54"/>
      <c r="C238" s="82" t="s">
        <v>1586</v>
      </c>
      <c r="D238" s="8"/>
      <c r="E238" s="8"/>
      <c r="F238" s="8"/>
      <c r="G238" s="8"/>
      <c r="H238" s="12">
        <v>0.01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42"/>
      <c r="W238" s="42"/>
      <c r="X238" s="42"/>
      <c r="Y238" s="42"/>
      <c r="Z238" s="42"/>
      <c r="AA238" s="42"/>
      <c r="AB238" s="42"/>
      <c r="AC238" s="42">
        <v>1.0</v>
      </c>
      <c r="AD238" s="8"/>
      <c r="AE238" s="8"/>
    </row>
    <row r="239" ht="14.25" customHeight="1">
      <c r="A239" s="42">
        <v>8047.0</v>
      </c>
      <c r="B239" s="54"/>
      <c r="C239" s="82" t="s">
        <v>1586</v>
      </c>
      <c r="D239" s="8"/>
      <c r="E239" s="8"/>
      <c r="F239" s="8"/>
      <c r="G239" s="8"/>
      <c r="H239" s="12">
        <v>0.01</v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42"/>
      <c r="W239" s="42"/>
      <c r="X239" s="42"/>
      <c r="Y239" s="42"/>
      <c r="Z239" s="42"/>
      <c r="AA239" s="42"/>
      <c r="AB239" s="42"/>
      <c r="AC239" s="42">
        <v>1.0</v>
      </c>
      <c r="AD239" s="8"/>
      <c r="AE239" s="8"/>
    </row>
    <row r="240" ht="14.25" customHeight="1">
      <c r="A240" s="42">
        <v>8048.0</v>
      </c>
      <c r="B240" s="54"/>
      <c r="C240" s="82" t="s">
        <v>1586</v>
      </c>
      <c r="D240" s="8"/>
      <c r="E240" s="8"/>
      <c r="F240" s="8"/>
      <c r="G240" s="8"/>
      <c r="H240" s="12">
        <v>0.01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42"/>
      <c r="W240" s="42"/>
      <c r="X240" s="42"/>
      <c r="Y240" s="42"/>
      <c r="Z240" s="42"/>
      <c r="AA240" s="42"/>
      <c r="AB240" s="42"/>
      <c r="AC240" s="42">
        <v>1.0</v>
      </c>
      <c r="AD240" s="8"/>
      <c r="AE240" s="8"/>
    </row>
    <row r="241" ht="14.25" customHeight="1">
      <c r="A241" s="42">
        <v>8049.0</v>
      </c>
      <c r="B241" s="54"/>
      <c r="C241" s="82" t="s">
        <v>1586</v>
      </c>
      <c r="D241" s="8"/>
      <c r="E241" s="8"/>
      <c r="F241" s="8"/>
      <c r="G241" s="8"/>
      <c r="H241" s="12">
        <v>0.01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42"/>
      <c r="W241" s="42"/>
      <c r="X241" s="42"/>
      <c r="Y241" s="42"/>
      <c r="Z241" s="42"/>
      <c r="AA241" s="42"/>
      <c r="AB241" s="42"/>
      <c r="AC241" s="42">
        <v>1.0</v>
      </c>
      <c r="AD241" s="8"/>
      <c r="AE241" s="8"/>
    </row>
    <row r="242" ht="14.25" customHeight="1">
      <c r="A242" s="42">
        <v>8050.0</v>
      </c>
      <c r="B242" s="54"/>
      <c r="C242" s="82" t="s">
        <v>1586</v>
      </c>
      <c r="D242" s="8"/>
      <c r="E242" s="8"/>
      <c r="F242" s="8"/>
      <c r="G242" s="8"/>
      <c r="H242" s="12">
        <v>0.01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42"/>
      <c r="W242" s="42"/>
      <c r="X242" s="42"/>
      <c r="Y242" s="42"/>
      <c r="Z242" s="42"/>
      <c r="AA242" s="42"/>
      <c r="AB242" s="42"/>
      <c r="AC242" s="42">
        <v>1.0</v>
      </c>
      <c r="AD242" s="8"/>
      <c r="AE242" s="8"/>
    </row>
    <row r="243" ht="14.25" customHeight="1">
      <c r="A243" s="42">
        <v>8051.0</v>
      </c>
      <c r="B243" s="54"/>
      <c r="C243" s="82" t="s">
        <v>1586</v>
      </c>
      <c r="D243" s="8"/>
      <c r="E243" s="8"/>
      <c r="F243" s="8"/>
      <c r="G243" s="8"/>
      <c r="H243" s="12">
        <v>0.01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42"/>
      <c r="W243" s="42"/>
      <c r="X243" s="42"/>
      <c r="Y243" s="42"/>
      <c r="Z243" s="42"/>
      <c r="AA243" s="42"/>
      <c r="AB243" s="42"/>
      <c r="AC243" s="42">
        <v>1.0</v>
      </c>
      <c r="AD243" s="8"/>
      <c r="AE243" s="8"/>
    </row>
    <row r="244" ht="14.25" customHeight="1">
      <c r="A244" s="42">
        <v>8052.0</v>
      </c>
      <c r="B244" s="54"/>
      <c r="C244" s="82" t="s">
        <v>1586</v>
      </c>
      <c r="D244" s="8"/>
      <c r="E244" s="8"/>
      <c r="F244" s="8"/>
      <c r="G244" s="8"/>
      <c r="H244" s="12">
        <v>0.01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42"/>
      <c r="W244" s="42"/>
      <c r="X244" s="42"/>
      <c r="Y244" s="42"/>
      <c r="Z244" s="42"/>
      <c r="AA244" s="42"/>
      <c r="AB244" s="42"/>
      <c r="AC244" s="42">
        <v>1.0</v>
      </c>
      <c r="AD244" s="8"/>
      <c r="AE244" s="8"/>
    </row>
    <row r="245" ht="14.25" customHeight="1">
      <c r="A245" s="42">
        <v>8053.0</v>
      </c>
      <c r="B245" s="54"/>
      <c r="C245" s="82" t="s">
        <v>1586</v>
      </c>
      <c r="D245" s="8"/>
      <c r="E245" s="8"/>
      <c r="F245" s="8"/>
      <c r="G245" s="8"/>
      <c r="H245" s="12">
        <v>0.01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42"/>
      <c r="W245" s="42"/>
      <c r="X245" s="42"/>
      <c r="Y245" s="42"/>
      <c r="Z245" s="42"/>
      <c r="AA245" s="42"/>
      <c r="AB245" s="42"/>
      <c r="AC245" s="42">
        <v>1.0</v>
      </c>
      <c r="AD245" s="8"/>
      <c r="AE245" s="8"/>
    </row>
    <row r="246" ht="14.25" customHeight="1">
      <c r="A246" s="42">
        <v>8054.0</v>
      </c>
      <c r="B246" s="54"/>
      <c r="C246" s="82" t="s">
        <v>1586</v>
      </c>
      <c r="D246" s="8"/>
      <c r="E246" s="8"/>
      <c r="F246" s="8"/>
      <c r="G246" s="8"/>
      <c r="H246" s="12">
        <v>0.01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42"/>
      <c r="W246" s="42"/>
      <c r="X246" s="42"/>
      <c r="Y246" s="42"/>
      <c r="Z246" s="42"/>
      <c r="AA246" s="42"/>
      <c r="AB246" s="42"/>
      <c r="AC246" s="42">
        <v>1.0</v>
      </c>
      <c r="AD246" s="8"/>
      <c r="AE246" s="8"/>
    </row>
    <row r="247" ht="14.25" customHeight="1">
      <c r="A247" s="42">
        <v>8055.0</v>
      </c>
      <c r="B247" s="54"/>
      <c r="C247" s="82" t="s">
        <v>1586</v>
      </c>
      <c r="D247" s="8"/>
      <c r="E247" s="8"/>
      <c r="F247" s="8"/>
      <c r="G247" s="8"/>
      <c r="H247" s="12">
        <v>0.01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42"/>
      <c r="W247" s="42"/>
      <c r="X247" s="42"/>
      <c r="Y247" s="42"/>
      <c r="Z247" s="42"/>
      <c r="AA247" s="42"/>
      <c r="AB247" s="42"/>
      <c r="AC247" s="42">
        <v>1.0</v>
      </c>
      <c r="AD247" s="8"/>
      <c r="AE247" s="8"/>
    </row>
    <row r="248" ht="14.25" customHeight="1">
      <c r="A248" s="42">
        <v>8056.0</v>
      </c>
      <c r="B248" s="54"/>
      <c r="C248" s="82" t="s">
        <v>1586</v>
      </c>
      <c r="D248" s="8"/>
      <c r="E248" s="8"/>
      <c r="F248" s="8"/>
      <c r="G248" s="8"/>
      <c r="H248" s="12">
        <v>0.01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42"/>
      <c r="W248" s="42"/>
      <c r="X248" s="42"/>
      <c r="Y248" s="42"/>
      <c r="Z248" s="42"/>
      <c r="AA248" s="42"/>
      <c r="AB248" s="42"/>
      <c r="AC248" s="42">
        <v>1.0</v>
      </c>
      <c r="AD248" s="8"/>
      <c r="AE248" s="8"/>
    </row>
    <row r="249" ht="14.25" customHeight="1">
      <c r="A249" s="42">
        <v>8057.0</v>
      </c>
      <c r="B249" s="54"/>
      <c r="C249" s="82" t="s">
        <v>1586</v>
      </c>
      <c r="D249" s="8"/>
      <c r="E249" s="8"/>
      <c r="F249" s="8"/>
      <c r="G249" s="8"/>
      <c r="H249" s="12">
        <v>0.01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42"/>
      <c r="W249" s="42"/>
      <c r="X249" s="42"/>
      <c r="Y249" s="42"/>
      <c r="Z249" s="42"/>
      <c r="AA249" s="42"/>
      <c r="AB249" s="42"/>
      <c r="AC249" s="42">
        <v>1.0</v>
      </c>
      <c r="AD249" s="8"/>
      <c r="AE249" s="8"/>
    </row>
    <row r="250" ht="14.25" customHeight="1">
      <c r="A250" s="42">
        <v>8058.0</v>
      </c>
      <c r="B250" s="54"/>
      <c r="C250" s="82" t="s">
        <v>1586</v>
      </c>
      <c r="D250" s="8"/>
      <c r="E250" s="8"/>
      <c r="F250" s="8"/>
      <c r="G250" s="8"/>
      <c r="H250" s="12">
        <v>0.01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42"/>
      <c r="W250" s="42"/>
      <c r="X250" s="42"/>
      <c r="Y250" s="42"/>
      <c r="Z250" s="42"/>
      <c r="AA250" s="42"/>
      <c r="AB250" s="42"/>
      <c r="AC250" s="42">
        <v>1.0</v>
      </c>
      <c r="AD250" s="8"/>
      <c r="AE250" s="8"/>
    </row>
    <row r="251" ht="14.25" customHeight="1">
      <c r="A251" s="42">
        <v>8059.0</v>
      </c>
      <c r="B251" s="54"/>
      <c r="C251" s="82" t="s">
        <v>1741</v>
      </c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42"/>
      <c r="W251" s="42"/>
      <c r="X251" s="42"/>
      <c r="Y251" s="42"/>
      <c r="Z251" s="42"/>
      <c r="AA251" s="42"/>
      <c r="AB251" s="42"/>
      <c r="AC251" s="42">
        <v>1.0</v>
      </c>
      <c r="AD251" s="8"/>
      <c r="AE251" s="8"/>
    </row>
    <row r="252" ht="14.25" customHeight="1">
      <c r="A252" s="42">
        <v>8060.0</v>
      </c>
      <c r="B252" s="54"/>
      <c r="C252" s="82" t="s">
        <v>1744</v>
      </c>
      <c r="D252" s="8"/>
      <c r="E252" s="8"/>
      <c r="F252" s="8"/>
      <c r="G252" s="8"/>
      <c r="H252" s="8"/>
      <c r="I252" s="12">
        <v>0.01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42"/>
      <c r="W252" s="42"/>
      <c r="X252" s="42"/>
      <c r="Y252" s="42"/>
      <c r="Z252" s="42"/>
      <c r="AA252" s="42"/>
      <c r="AB252" s="42"/>
      <c r="AC252" s="42">
        <v>1.0</v>
      </c>
      <c r="AD252" s="8"/>
      <c r="AE252" s="8"/>
    </row>
    <row r="253" ht="14.25" customHeight="1">
      <c r="A253" s="42">
        <v>8061.0</v>
      </c>
      <c r="B253" s="54"/>
      <c r="C253" s="82" t="s">
        <v>1744</v>
      </c>
      <c r="D253" s="8"/>
      <c r="E253" s="8"/>
      <c r="F253" s="8"/>
      <c r="G253" s="8"/>
      <c r="H253" s="8"/>
      <c r="I253" s="12">
        <v>0.01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42"/>
      <c r="W253" s="42"/>
      <c r="X253" s="42"/>
      <c r="Y253" s="42"/>
      <c r="Z253" s="42"/>
      <c r="AA253" s="42"/>
      <c r="AB253" s="42"/>
      <c r="AC253" s="42">
        <v>1.0</v>
      </c>
      <c r="AD253" s="8"/>
      <c r="AE253" s="8"/>
    </row>
    <row r="254" ht="14.25" customHeight="1">
      <c r="A254" s="42">
        <v>8062.0</v>
      </c>
      <c r="B254" s="54"/>
      <c r="C254" s="82" t="s">
        <v>1744</v>
      </c>
      <c r="D254" s="8"/>
      <c r="E254" s="8"/>
      <c r="F254" s="8"/>
      <c r="G254" s="8"/>
      <c r="H254" s="8"/>
      <c r="I254" s="12">
        <v>0.01</v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42"/>
      <c r="W254" s="42"/>
      <c r="X254" s="42"/>
      <c r="Y254" s="42"/>
      <c r="Z254" s="42"/>
      <c r="AA254" s="42"/>
      <c r="AB254" s="42"/>
      <c r="AC254" s="42">
        <v>1.0</v>
      </c>
      <c r="AD254" s="8"/>
      <c r="AE254" s="8"/>
    </row>
    <row r="255" ht="14.25" customHeight="1">
      <c r="A255" s="42">
        <v>8063.0</v>
      </c>
      <c r="B255" s="54"/>
      <c r="C255" s="82" t="s">
        <v>1744</v>
      </c>
      <c r="D255" s="8"/>
      <c r="E255" s="8"/>
      <c r="F255" s="8"/>
      <c r="G255" s="8"/>
      <c r="H255" s="8"/>
      <c r="I255" s="12">
        <v>0.01</v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42"/>
      <c r="W255" s="42"/>
      <c r="X255" s="42"/>
      <c r="Y255" s="42"/>
      <c r="Z255" s="42"/>
      <c r="AA255" s="42"/>
      <c r="AB255" s="42"/>
      <c r="AC255" s="42">
        <v>1.0</v>
      </c>
      <c r="AD255" s="8"/>
      <c r="AE255" s="8"/>
    </row>
    <row r="256" ht="14.25" customHeight="1">
      <c r="A256" s="42">
        <v>8064.0</v>
      </c>
      <c r="B256" s="54"/>
      <c r="C256" s="82" t="s">
        <v>1744</v>
      </c>
      <c r="D256" s="8"/>
      <c r="E256" s="8"/>
      <c r="F256" s="8"/>
      <c r="G256" s="8"/>
      <c r="H256" s="8"/>
      <c r="I256" s="12">
        <v>0.01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42"/>
      <c r="W256" s="42"/>
      <c r="X256" s="42"/>
      <c r="Y256" s="42"/>
      <c r="Z256" s="42"/>
      <c r="AA256" s="42"/>
      <c r="AB256" s="42"/>
      <c r="AC256" s="42">
        <v>1.0</v>
      </c>
      <c r="AD256" s="8"/>
      <c r="AE256" s="8"/>
    </row>
    <row r="257" ht="14.25" customHeight="1">
      <c r="A257" s="42">
        <v>8065.0</v>
      </c>
      <c r="B257" s="54"/>
      <c r="C257" s="82" t="s">
        <v>1744</v>
      </c>
      <c r="D257" s="8"/>
      <c r="E257" s="8"/>
      <c r="F257" s="8"/>
      <c r="G257" s="8"/>
      <c r="H257" s="8"/>
      <c r="I257" s="12">
        <v>0.01</v>
      </c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42"/>
      <c r="W257" s="42"/>
      <c r="X257" s="42"/>
      <c r="Y257" s="42"/>
      <c r="Z257" s="42"/>
      <c r="AA257" s="42"/>
      <c r="AB257" s="42"/>
      <c r="AC257" s="42">
        <v>1.0</v>
      </c>
      <c r="AD257" s="8"/>
      <c r="AE257" s="8"/>
    </row>
    <row r="258" ht="14.25" customHeight="1">
      <c r="A258" s="42">
        <v>8066.0</v>
      </c>
      <c r="B258" s="54"/>
      <c r="C258" s="82" t="s">
        <v>1744</v>
      </c>
      <c r="D258" s="8"/>
      <c r="E258" s="8"/>
      <c r="F258" s="8"/>
      <c r="G258" s="8"/>
      <c r="H258" s="8"/>
      <c r="I258" s="12">
        <v>0.01</v>
      </c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42"/>
      <c r="W258" s="8"/>
      <c r="X258" s="8"/>
      <c r="Y258" s="8"/>
      <c r="Z258" s="8"/>
      <c r="AA258" s="8"/>
      <c r="AB258" s="8"/>
      <c r="AC258" s="42">
        <v>1.0</v>
      </c>
      <c r="AD258" s="8"/>
      <c r="AE258" s="8"/>
    </row>
    <row r="259" ht="14.25" customHeight="1">
      <c r="A259" s="42">
        <v>8067.0</v>
      </c>
      <c r="B259" s="54"/>
      <c r="C259" s="82" t="s">
        <v>1744</v>
      </c>
      <c r="D259" s="8"/>
      <c r="E259" s="8"/>
      <c r="F259" s="8"/>
      <c r="G259" s="8"/>
      <c r="H259" s="8"/>
      <c r="I259" s="12">
        <v>0.01</v>
      </c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42"/>
      <c r="W259" s="8"/>
      <c r="X259" s="8"/>
      <c r="Y259" s="8"/>
      <c r="Z259" s="8"/>
      <c r="AA259" s="8"/>
      <c r="AB259" s="8"/>
      <c r="AC259" s="42">
        <v>1.0</v>
      </c>
      <c r="AD259" s="8"/>
      <c r="AE259" s="8"/>
    </row>
    <row r="260" ht="14.25" customHeight="1">
      <c r="A260" s="42">
        <v>8068.0</v>
      </c>
      <c r="B260" s="54"/>
      <c r="C260" s="82" t="s">
        <v>1744</v>
      </c>
      <c r="D260" s="8"/>
      <c r="E260" s="8"/>
      <c r="F260" s="8"/>
      <c r="G260" s="8"/>
      <c r="H260" s="8"/>
      <c r="I260" s="12">
        <v>0.01</v>
      </c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42"/>
      <c r="W260" s="8"/>
      <c r="X260" s="8"/>
      <c r="Y260" s="8"/>
      <c r="Z260" s="8"/>
      <c r="AA260" s="8"/>
      <c r="AB260" s="8"/>
      <c r="AC260" s="42">
        <v>1.0</v>
      </c>
      <c r="AD260" s="8"/>
      <c r="AE260" s="8"/>
    </row>
    <row r="261" ht="14.25" customHeight="1">
      <c r="A261" s="42">
        <v>8069.0</v>
      </c>
      <c r="B261" s="54"/>
      <c r="C261" s="82" t="s">
        <v>1744</v>
      </c>
      <c r="D261" s="8"/>
      <c r="E261" s="8"/>
      <c r="F261" s="8"/>
      <c r="G261" s="8"/>
      <c r="H261" s="8"/>
      <c r="I261" s="12">
        <v>0.01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42"/>
      <c r="W261" s="8"/>
      <c r="X261" s="8"/>
      <c r="Y261" s="8"/>
      <c r="Z261" s="8"/>
      <c r="AA261" s="8"/>
      <c r="AB261" s="8"/>
      <c r="AC261" s="42">
        <v>1.0</v>
      </c>
      <c r="AD261" s="8"/>
      <c r="AE261" s="8"/>
    </row>
    <row r="262" ht="14.25" customHeight="1">
      <c r="A262" s="42">
        <v>8070.0</v>
      </c>
      <c r="B262" s="54"/>
      <c r="C262" s="82" t="s">
        <v>1744</v>
      </c>
      <c r="D262" s="8"/>
      <c r="E262" s="8"/>
      <c r="F262" s="8"/>
      <c r="G262" s="8"/>
      <c r="H262" s="8"/>
      <c r="I262" s="12">
        <v>0.01</v>
      </c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42"/>
      <c r="W262" s="8"/>
      <c r="X262" s="8"/>
      <c r="Y262" s="8"/>
      <c r="Z262" s="8"/>
      <c r="AA262" s="8"/>
      <c r="AB262" s="8"/>
      <c r="AC262" s="42">
        <v>1.0</v>
      </c>
      <c r="AD262" s="8"/>
      <c r="AE262" s="8"/>
    </row>
    <row r="263" ht="14.25" customHeight="1">
      <c r="A263" s="42">
        <v>8071.0</v>
      </c>
      <c r="B263" s="54"/>
      <c r="C263" s="82" t="s">
        <v>1744</v>
      </c>
      <c r="D263" s="8"/>
      <c r="E263" s="8"/>
      <c r="F263" s="8"/>
      <c r="G263" s="8"/>
      <c r="H263" s="8"/>
      <c r="I263" s="12">
        <v>0.01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42"/>
      <c r="W263" s="8"/>
      <c r="X263" s="8"/>
      <c r="Y263" s="8"/>
      <c r="Z263" s="8"/>
      <c r="AA263" s="8"/>
      <c r="AB263" s="8"/>
      <c r="AC263" s="42">
        <v>1.0</v>
      </c>
      <c r="AD263" s="8"/>
      <c r="AE263" s="8"/>
    </row>
    <row r="264" ht="14.25" customHeight="1">
      <c r="A264" s="42">
        <v>8072.0</v>
      </c>
      <c r="B264" s="54"/>
      <c r="C264" s="82" t="s">
        <v>1744</v>
      </c>
      <c r="D264" s="8"/>
      <c r="E264" s="8"/>
      <c r="F264" s="8"/>
      <c r="G264" s="8"/>
      <c r="H264" s="8"/>
      <c r="I264" s="12">
        <v>0.01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42"/>
      <c r="W264" s="8"/>
      <c r="X264" s="8"/>
      <c r="Y264" s="8"/>
      <c r="Z264" s="8"/>
      <c r="AA264" s="8"/>
      <c r="AB264" s="8"/>
      <c r="AC264" s="42">
        <v>1.0</v>
      </c>
      <c r="AD264" s="8"/>
      <c r="AE264" s="8"/>
    </row>
    <row r="265" ht="14.25" customHeight="1">
      <c r="A265" s="42">
        <v>8073.0</v>
      </c>
      <c r="B265" s="54"/>
      <c r="C265" s="82" t="s">
        <v>1744</v>
      </c>
      <c r="D265" s="8"/>
      <c r="E265" s="8"/>
      <c r="F265" s="8"/>
      <c r="G265" s="8"/>
      <c r="H265" s="8"/>
      <c r="I265" s="12">
        <v>0.01</v>
      </c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42"/>
      <c r="W265" s="8"/>
      <c r="X265" s="8"/>
      <c r="Y265" s="8"/>
      <c r="Z265" s="8"/>
      <c r="AA265" s="8"/>
      <c r="AB265" s="8"/>
      <c r="AC265" s="42">
        <v>1.0</v>
      </c>
      <c r="AD265" s="8"/>
      <c r="AE265" s="8"/>
    </row>
    <row r="266" ht="14.25" customHeight="1">
      <c r="A266" s="42">
        <v>8074.0</v>
      </c>
      <c r="B266" s="54"/>
      <c r="C266" s="82" t="s">
        <v>1795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42"/>
      <c r="W266" s="8"/>
      <c r="X266" s="8"/>
      <c r="Y266" s="8"/>
      <c r="Z266" s="8"/>
      <c r="AA266" s="8"/>
      <c r="AB266" s="8"/>
      <c r="AC266" s="42">
        <v>1.0</v>
      </c>
      <c r="AD266" s="8"/>
      <c r="AE266" s="8"/>
    </row>
    <row r="267" ht="14.25" customHeight="1">
      <c r="A267" s="42">
        <v>8075.0</v>
      </c>
      <c r="B267" s="54"/>
      <c r="C267" s="82" t="s">
        <v>1744</v>
      </c>
      <c r="D267" s="8"/>
      <c r="E267" s="8"/>
      <c r="F267" s="8"/>
      <c r="G267" s="8"/>
      <c r="H267" s="8"/>
      <c r="I267" s="12">
        <v>0.01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42"/>
      <c r="W267" s="8"/>
      <c r="X267" s="8"/>
      <c r="Y267" s="8"/>
      <c r="Z267" s="8"/>
      <c r="AA267" s="8"/>
      <c r="AB267" s="8"/>
      <c r="AC267" s="42">
        <v>1.0</v>
      </c>
      <c r="AD267" s="8"/>
      <c r="AE267" s="8"/>
    </row>
    <row r="268" ht="14.25" customHeight="1">
      <c r="A268" s="42">
        <v>8076.0</v>
      </c>
      <c r="B268" s="54"/>
      <c r="C268" s="82" t="s">
        <v>1744</v>
      </c>
      <c r="D268" s="8"/>
      <c r="E268" s="8"/>
      <c r="F268" s="8"/>
      <c r="G268" s="8"/>
      <c r="H268" s="8"/>
      <c r="I268" s="12">
        <v>0.01</v>
      </c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42"/>
      <c r="W268" s="8"/>
      <c r="X268" s="8"/>
      <c r="Y268" s="8"/>
      <c r="Z268" s="8"/>
      <c r="AA268" s="8"/>
      <c r="AB268" s="8"/>
      <c r="AC268" s="42">
        <v>1.0</v>
      </c>
      <c r="AD268" s="8"/>
      <c r="AE268" s="8"/>
    </row>
    <row r="269" ht="14.25" customHeight="1">
      <c r="A269" s="42">
        <v>8077.0</v>
      </c>
      <c r="B269" s="54"/>
      <c r="C269" s="82" t="s">
        <v>1744</v>
      </c>
      <c r="D269" s="8"/>
      <c r="E269" s="8"/>
      <c r="F269" s="8"/>
      <c r="G269" s="8"/>
      <c r="H269" s="8"/>
      <c r="I269" s="12">
        <v>0.01</v>
      </c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42"/>
      <c r="W269" s="8"/>
      <c r="X269" s="8"/>
      <c r="Y269" s="8"/>
      <c r="Z269" s="8"/>
      <c r="AA269" s="8"/>
      <c r="AB269" s="8"/>
      <c r="AC269" s="42">
        <v>1.0</v>
      </c>
      <c r="AD269" s="8"/>
      <c r="AE269" s="8"/>
    </row>
    <row r="270" ht="14.25" customHeight="1">
      <c r="A270" s="42">
        <v>8078.0</v>
      </c>
      <c r="B270" s="54"/>
      <c r="C270" s="82" t="s">
        <v>1744</v>
      </c>
      <c r="D270" s="8"/>
      <c r="E270" s="8"/>
      <c r="F270" s="8"/>
      <c r="G270" s="8"/>
      <c r="H270" s="8"/>
      <c r="I270" s="12">
        <v>0.01</v>
      </c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42"/>
      <c r="W270" s="8"/>
      <c r="X270" s="8"/>
      <c r="Y270" s="8"/>
      <c r="Z270" s="8"/>
      <c r="AA270" s="8"/>
      <c r="AB270" s="8"/>
      <c r="AC270" s="42">
        <v>1.0</v>
      </c>
      <c r="AD270" s="8"/>
      <c r="AE270" s="8"/>
    </row>
    <row r="271" ht="14.25" customHeight="1">
      <c r="A271" s="42">
        <v>8079.0</v>
      </c>
      <c r="B271" s="54"/>
      <c r="C271" s="82" t="s">
        <v>1744</v>
      </c>
      <c r="D271" s="8"/>
      <c r="E271" s="8"/>
      <c r="F271" s="8"/>
      <c r="G271" s="8"/>
      <c r="H271" s="8"/>
      <c r="I271" s="12">
        <v>0.01</v>
      </c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42"/>
      <c r="W271" s="8"/>
      <c r="X271" s="8"/>
      <c r="Y271" s="8"/>
      <c r="Z271" s="8"/>
      <c r="AA271" s="8"/>
      <c r="AB271" s="8"/>
      <c r="AC271" s="42">
        <v>1.0</v>
      </c>
      <c r="AD271" s="8"/>
      <c r="AE271" s="8"/>
    </row>
    <row r="272" ht="14.25" customHeight="1">
      <c r="A272" s="42">
        <v>8080.0</v>
      </c>
      <c r="B272" s="54"/>
      <c r="C272" s="82" t="s">
        <v>1744</v>
      </c>
      <c r="D272" s="8"/>
      <c r="E272" s="8"/>
      <c r="F272" s="8"/>
      <c r="G272" s="8"/>
      <c r="H272" s="8"/>
      <c r="I272" s="12">
        <v>0.01</v>
      </c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42"/>
      <c r="W272" s="8"/>
      <c r="X272" s="8"/>
      <c r="Y272" s="8"/>
      <c r="Z272" s="8"/>
      <c r="AA272" s="8"/>
      <c r="AB272" s="8"/>
      <c r="AC272" s="42">
        <v>1.0</v>
      </c>
      <c r="AD272" s="8"/>
      <c r="AE272" s="8"/>
    </row>
    <row r="273" ht="14.25" customHeight="1">
      <c r="A273" s="42">
        <v>8081.0</v>
      </c>
      <c r="B273" s="54"/>
      <c r="C273" s="82" t="s">
        <v>1744</v>
      </c>
      <c r="D273" s="8"/>
      <c r="E273" s="8"/>
      <c r="F273" s="8"/>
      <c r="G273" s="8"/>
      <c r="H273" s="8"/>
      <c r="I273" s="12">
        <v>0.01</v>
      </c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42"/>
      <c r="W273" s="8"/>
      <c r="X273" s="8"/>
      <c r="Y273" s="8"/>
      <c r="Z273" s="8"/>
      <c r="AA273" s="8"/>
      <c r="AB273" s="8"/>
      <c r="AC273" s="42">
        <v>1.0</v>
      </c>
      <c r="AD273" s="8"/>
      <c r="AE273" s="8"/>
    </row>
    <row r="274" ht="14.25" customHeight="1">
      <c r="A274" s="42">
        <v>8082.0</v>
      </c>
      <c r="B274" s="54"/>
      <c r="C274" s="82" t="s">
        <v>1744</v>
      </c>
      <c r="D274" s="8"/>
      <c r="E274" s="8"/>
      <c r="F274" s="8"/>
      <c r="G274" s="8"/>
      <c r="H274" s="8"/>
      <c r="I274" s="12">
        <v>0.01</v>
      </c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42"/>
      <c r="W274" s="8"/>
      <c r="X274" s="8"/>
      <c r="Y274" s="8"/>
      <c r="Z274" s="8"/>
      <c r="AA274" s="8"/>
      <c r="AB274" s="8"/>
      <c r="AC274" s="42">
        <v>1.0</v>
      </c>
      <c r="AD274" s="8"/>
      <c r="AE274" s="8"/>
    </row>
    <row r="275" ht="14.25" customHeight="1">
      <c r="A275" s="42">
        <v>8083.0</v>
      </c>
      <c r="B275" s="54"/>
      <c r="C275" s="82" t="s">
        <v>1744</v>
      </c>
      <c r="D275" s="8"/>
      <c r="E275" s="8"/>
      <c r="F275" s="8"/>
      <c r="G275" s="8"/>
      <c r="H275" s="8"/>
      <c r="I275" s="12">
        <v>0.01</v>
      </c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42"/>
      <c r="W275" s="8"/>
      <c r="X275" s="8"/>
      <c r="Y275" s="8"/>
      <c r="Z275" s="8"/>
      <c r="AA275" s="8"/>
      <c r="AB275" s="8"/>
      <c r="AC275" s="42">
        <v>1.0</v>
      </c>
      <c r="AD275" s="8"/>
      <c r="AE275" s="8"/>
    </row>
    <row r="276" ht="14.25" customHeight="1">
      <c r="A276" s="42">
        <v>8084.0</v>
      </c>
      <c r="B276" s="54"/>
      <c r="C276" s="82" t="s">
        <v>1744</v>
      </c>
      <c r="D276" s="8"/>
      <c r="E276" s="8"/>
      <c r="F276" s="8"/>
      <c r="G276" s="8"/>
      <c r="H276" s="8"/>
      <c r="I276" s="12">
        <v>0.01</v>
      </c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42"/>
      <c r="W276" s="8"/>
      <c r="X276" s="8"/>
      <c r="Y276" s="8"/>
      <c r="Z276" s="8"/>
      <c r="AA276" s="8"/>
      <c r="AB276" s="8"/>
      <c r="AC276" s="42">
        <v>1.0</v>
      </c>
      <c r="AD276" s="8"/>
      <c r="AE276" s="8"/>
    </row>
    <row r="277" ht="14.25" customHeight="1">
      <c r="A277" s="42">
        <v>8085.0</v>
      </c>
      <c r="B277" s="54"/>
      <c r="C277" s="82" t="s">
        <v>1744</v>
      </c>
      <c r="D277" s="8"/>
      <c r="E277" s="8"/>
      <c r="F277" s="8"/>
      <c r="G277" s="8"/>
      <c r="H277" s="8"/>
      <c r="I277" s="12">
        <v>0.01</v>
      </c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42"/>
      <c r="W277" s="8"/>
      <c r="X277" s="8"/>
      <c r="Y277" s="8"/>
      <c r="Z277" s="8"/>
      <c r="AA277" s="8"/>
      <c r="AB277" s="8"/>
      <c r="AC277" s="42">
        <v>1.0</v>
      </c>
      <c r="AD277" s="8"/>
      <c r="AE277" s="8"/>
    </row>
    <row r="278" ht="14.25" customHeight="1">
      <c r="A278" s="42">
        <v>8086.0</v>
      </c>
      <c r="B278" s="54"/>
      <c r="C278" s="82" t="s">
        <v>1744</v>
      </c>
      <c r="D278" s="8"/>
      <c r="E278" s="8"/>
      <c r="F278" s="8"/>
      <c r="G278" s="8"/>
      <c r="H278" s="8"/>
      <c r="I278" s="12">
        <v>0.01</v>
      </c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42"/>
      <c r="W278" s="8"/>
      <c r="X278" s="8"/>
      <c r="Y278" s="8"/>
      <c r="Z278" s="8"/>
      <c r="AA278" s="8"/>
      <c r="AB278" s="8"/>
      <c r="AC278" s="42">
        <v>1.0</v>
      </c>
      <c r="AD278" s="8"/>
      <c r="AE278" s="8"/>
    </row>
    <row r="279" ht="14.25" customHeight="1">
      <c r="A279" s="42">
        <v>8087.0</v>
      </c>
      <c r="B279" s="54"/>
      <c r="C279" s="82" t="s">
        <v>1744</v>
      </c>
      <c r="D279" s="8"/>
      <c r="E279" s="8"/>
      <c r="F279" s="8"/>
      <c r="G279" s="8"/>
      <c r="H279" s="8"/>
      <c r="I279" s="12">
        <v>0.01</v>
      </c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42"/>
      <c r="W279" s="8"/>
      <c r="X279" s="8"/>
      <c r="Y279" s="8"/>
      <c r="Z279" s="8"/>
      <c r="AA279" s="8"/>
      <c r="AB279" s="8"/>
      <c r="AC279" s="42">
        <v>1.0</v>
      </c>
      <c r="AD279" s="8"/>
      <c r="AE279" s="8"/>
    </row>
    <row r="280" ht="14.25" customHeight="1">
      <c r="A280" s="42">
        <v>8088.0</v>
      </c>
      <c r="B280" s="54"/>
      <c r="C280" s="82" t="s">
        <v>1744</v>
      </c>
      <c r="D280" s="8"/>
      <c r="E280" s="8"/>
      <c r="F280" s="8"/>
      <c r="G280" s="8"/>
      <c r="H280" s="8"/>
      <c r="I280" s="12">
        <v>0.01</v>
      </c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42"/>
      <c r="W280" s="8"/>
      <c r="X280" s="8"/>
      <c r="Y280" s="8"/>
      <c r="Z280" s="8"/>
      <c r="AA280" s="8"/>
      <c r="AB280" s="8"/>
      <c r="AC280" s="42">
        <v>1.0</v>
      </c>
      <c r="AD280" s="8"/>
      <c r="AE280" s="8"/>
    </row>
    <row r="281" ht="14.25" customHeight="1">
      <c r="A281" s="42">
        <v>8089.0</v>
      </c>
      <c r="B281" s="54"/>
      <c r="C281" s="82" t="s">
        <v>1876</v>
      </c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42"/>
      <c r="W281" s="8"/>
      <c r="X281" s="8"/>
      <c r="Y281" s="8"/>
      <c r="Z281" s="8"/>
      <c r="AA281" s="8"/>
      <c r="AB281" s="8"/>
      <c r="AC281" s="42">
        <v>1.0</v>
      </c>
      <c r="AD281" s="8"/>
      <c r="AE281" s="8"/>
    </row>
    <row r="282" ht="14.25" customHeight="1">
      <c r="A282" s="47"/>
      <c r="B282" s="47"/>
      <c r="V282" s="47"/>
    </row>
    <row r="283" ht="14.25" customHeight="1">
      <c r="A283" s="47"/>
      <c r="B283" s="47"/>
      <c r="V283" s="47"/>
    </row>
    <row r="284" ht="14.25" customHeight="1">
      <c r="A284" s="47"/>
      <c r="B284" s="47"/>
      <c r="V284" s="47"/>
    </row>
    <row r="285" ht="14.25" customHeight="1">
      <c r="A285" s="47"/>
      <c r="B285" s="47"/>
      <c r="V285" s="47"/>
    </row>
    <row r="286" ht="14.25" customHeight="1">
      <c r="A286" s="47"/>
      <c r="B286" s="47"/>
      <c r="V286" s="47"/>
    </row>
    <row r="287" ht="14.25" customHeight="1">
      <c r="A287" s="47"/>
      <c r="B287" s="47"/>
      <c r="V287" s="47"/>
    </row>
    <row r="288" ht="14.25" customHeight="1">
      <c r="A288" s="47"/>
      <c r="B288" s="47"/>
      <c r="V288" s="47"/>
    </row>
    <row r="289" ht="14.25" customHeight="1">
      <c r="A289" s="47"/>
      <c r="B289" s="47"/>
      <c r="V289" s="47"/>
    </row>
    <row r="290" ht="14.25" customHeight="1">
      <c r="A290" s="47"/>
      <c r="B290" s="47"/>
      <c r="V290" s="47"/>
    </row>
    <row r="291" ht="14.25" customHeight="1">
      <c r="A291" s="47"/>
      <c r="B291" s="47"/>
      <c r="V291" s="47"/>
    </row>
    <row r="292" ht="14.25" customHeight="1">
      <c r="A292" s="47"/>
      <c r="B292" s="47"/>
      <c r="V292" s="47"/>
    </row>
    <row r="293" ht="14.25" customHeight="1">
      <c r="A293" s="40" t="s">
        <v>381</v>
      </c>
      <c r="B293" s="40" t="s">
        <v>632</v>
      </c>
      <c r="C293" s="40" t="s">
        <v>633</v>
      </c>
      <c r="D293" s="40" t="s">
        <v>634</v>
      </c>
      <c r="E293" s="40" t="s">
        <v>636</v>
      </c>
      <c r="F293" s="40" t="s">
        <v>637</v>
      </c>
      <c r="G293" s="40" t="s">
        <v>638</v>
      </c>
      <c r="H293" s="40" t="s">
        <v>289</v>
      </c>
      <c r="I293" s="40" t="s">
        <v>290</v>
      </c>
      <c r="J293" s="40" t="s">
        <v>291</v>
      </c>
      <c r="K293" s="40" t="s">
        <v>292</v>
      </c>
      <c r="L293" s="40" t="s">
        <v>293</v>
      </c>
      <c r="M293" s="40" t="s">
        <v>134</v>
      </c>
      <c r="N293" s="40" t="s">
        <v>294</v>
      </c>
      <c r="O293" s="40" t="s">
        <v>295</v>
      </c>
      <c r="P293" s="40" t="s">
        <v>296</v>
      </c>
      <c r="Q293" s="40" t="s">
        <v>297</v>
      </c>
      <c r="R293" s="40" t="s">
        <v>298</v>
      </c>
      <c r="S293" s="40" t="s">
        <v>299</v>
      </c>
      <c r="T293" s="40" t="s">
        <v>300</v>
      </c>
      <c r="U293" s="40" t="s">
        <v>301</v>
      </c>
      <c r="V293" s="40" t="s">
        <v>302</v>
      </c>
      <c r="W293" s="40" t="s">
        <v>645</v>
      </c>
      <c r="X293" s="40" t="s">
        <v>646</v>
      </c>
      <c r="Y293" s="50" t="s">
        <v>648</v>
      </c>
      <c r="Z293" s="40" t="s">
        <v>650</v>
      </c>
      <c r="AA293" s="40" t="s">
        <v>651</v>
      </c>
      <c r="AB293" s="40" t="s">
        <v>652</v>
      </c>
      <c r="AC293" s="40" t="s">
        <v>653</v>
      </c>
      <c r="AD293" s="40" t="s">
        <v>654</v>
      </c>
      <c r="AE293" s="8" t="s">
        <v>1584</v>
      </c>
    </row>
    <row r="294" ht="14.25" customHeight="1">
      <c r="A294" s="42">
        <v>9001.0</v>
      </c>
      <c r="B294" s="4" t="s">
        <v>1914</v>
      </c>
      <c r="C294" s="8" t="s">
        <v>1916</v>
      </c>
      <c r="D294" s="42" t="s">
        <v>647</v>
      </c>
      <c r="E294" s="8"/>
      <c r="F294" s="8"/>
      <c r="G294" s="8"/>
      <c r="H294" s="8">
        <v>0.1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42"/>
      <c r="W294" s="42" t="b">
        <f t="shared" ref="W294:W305" si="38">FALSE()</f>
        <v>0</v>
      </c>
      <c r="X294" s="42">
        <v>1.0</v>
      </c>
      <c r="Y294" s="42">
        <v>3.0</v>
      </c>
      <c r="Z294" s="8"/>
      <c r="AA294" s="8"/>
      <c r="AB294" s="8"/>
      <c r="AC294" s="8"/>
      <c r="AD294" s="42"/>
      <c r="AE294" s="8"/>
    </row>
    <row r="295" ht="14.25" customHeight="1">
      <c r="A295" s="42">
        <v>9002.0</v>
      </c>
      <c r="B295" s="4" t="s">
        <v>1924</v>
      </c>
      <c r="C295" s="8" t="s">
        <v>1925</v>
      </c>
      <c r="D295" s="42" t="s">
        <v>647</v>
      </c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>
        <v>0.05</v>
      </c>
      <c r="P295" s="8"/>
      <c r="Q295" s="8"/>
      <c r="R295" s="8"/>
      <c r="S295" s="8"/>
      <c r="T295" s="8"/>
      <c r="U295" s="8"/>
      <c r="V295" s="42"/>
      <c r="W295" s="42" t="b">
        <f t="shared" si="38"/>
        <v>0</v>
      </c>
      <c r="X295" s="42">
        <v>1.0</v>
      </c>
      <c r="Y295" s="42">
        <v>3.0</v>
      </c>
      <c r="Z295" s="8"/>
      <c r="AA295" s="8"/>
      <c r="AB295" s="8"/>
      <c r="AC295" s="8"/>
      <c r="AD295" s="42"/>
      <c r="AE295" s="8"/>
    </row>
    <row r="296" ht="14.25" customHeight="1">
      <c r="A296" s="42">
        <v>9003.0</v>
      </c>
      <c r="B296" s="4" t="s">
        <v>1927</v>
      </c>
      <c r="C296" s="8" t="s">
        <v>1929</v>
      </c>
      <c r="D296" s="42" t="s">
        <v>658</v>
      </c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>
        <v>-0.1</v>
      </c>
      <c r="P296" s="8"/>
      <c r="Q296" s="8"/>
      <c r="R296" s="8"/>
      <c r="S296" s="8"/>
      <c r="T296" s="8"/>
      <c r="U296" s="8"/>
      <c r="V296" s="42"/>
      <c r="W296" s="42" t="b">
        <f t="shared" si="38"/>
        <v>0</v>
      </c>
      <c r="X296" s="42">
        <v>1.0</v>
      </c>
      <c r="Y296" s="42">
        <v>3.0</v>
      </c>
      <c r="Z296" s="8"/>
      <c r="AA296" s="8"/>
      <c r="AB296" s="8"/>
      <c r="AC296" s="8"/>
      <c r="AD296" s="42"/>
      <c r="AE296" s="8"/>
    </row>
    <row r="297" ht="14.25" customHeight="1">
      <c r="A297" s="42">
        <v>9004.0</v>
      </c>
      <c r="B297" s="4" t="s">
        <v>1934</v>
      </c>
      <c r="C297" s="8" t="s">
        <v>1935</v>
      </c>
      <c r="D297" s="42" t="s">
        <v>658</v>
      </c>
      <c r="E297" s="8"/>
      <c r="F297" s="8"/>
      <c r="G297" s="8"/>
      <c r="H297" s="8"/>
      <c r="I297" s="8"/>
      <c r="J297" s="8"/>
      <c r="K297" s="8">
        <v>-0.1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42"/>
      <c r="W297" s="42" t="b">
        <f t="shared" si="38"/>
        <v>0</v>
      </c>
      <c r="X297" s="42">
        <v>1.0</v>
      </c>
      <c r="Y297" s="42">
        <v>3.0</v>
      </c>
      <c r="Z297" s="8"/>
      <c r="AA297" s="8"/>
      <c r="AB297" s="8"/>
      <c r="AC297" s="8"/>
      <c r="AD297" s="42"/>
      <c r="AE297" s="8"/>
    </row>
    <row r="298" ht="14.25" customHeight="1">
      <c r="A298" s="42">
        <v>9005.0</v>
      </c>
      <c r="B298" s="4" t="s">
        <v>1943</v>
      </c>
      <c r="C298" s="8" t="s">
        <v>1944</v>
      </c>
      <c r="D298" s="42" t="s">
        <v>647</v>
      </c>
      <c r="E298" s="8"/>
      <c r="F298" s="8"/>
      <c r="G298" s="8"/>
      <c r="H298" s="8"/>
      <c r="I298" s="8">
        <v>0.1</v>
      </c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42"/>
      <c r="W298" s="42" t="b">
        <f t="shared" si="38"/>
        <v>0</v>
      </c>
      <c r="X298" s="42">
        <v>1.0</v>
      </c>
      <c r="Y298" s="42">
        <v>3.0</v>
      </c>
      <c r="Z298" s="8"/>
      <c r="AA298" s="8"/>
      <c r="AB298" s="8"/>
      <c r="AC298" s="8"/>
      <c r="AD298" s="42"/>
      <c r="AE298" s="8"/>
    </row>
    <row r="299" ht="14.25" customHeight="1">
      <c r="A299" s="42">
        <v>9006.0</v>
      </c>
      <c r="B299" s="4" t="s">
        <v>1952</v>
      </c>
      <c r="C299" s="4" t="s">
        <v>1954</v>
      </c>
      <c r="D299" s="42" t="s">
        <v>647</v>
      </c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42">
        <v>-0.1</v>
      </c>
      <c r="W299" s="42" t="b">
        <f t="shared" si="38"/>
        <v>0</v>
      </c>
      <c r="X299" s="42">
        <v>1.0</v>
      </c>
      <c r="Y299" s="42">
        <v>3.0</v>
      </c>
      <c r="Z299" s="8"/>
      <c r="AA299" s="8"/>
      <c r="AB299" s="8"/>
      <c r="AC299" s="8"/>
      <c r="AD299" s="42"/>
      <c r="AE299" s="8"/>
    </row>
    <row r="300" ht="14.25" customHeight="1">
      <c r="A300" s="42">
        <v>9007.0</v>
      </c>
      <c r="B300" s="4" t="s">
        <v>1957</v>
      </c>
      <c r="C300" s="8" t="s">
        <v>1958</v>
      </c>
      <c r="D300" s="42" t="s">
        <v>658</v>
      </c>
      <c r="E300" s="8"/>
      <c r="F300" s="8"/>
      <c r="G300" s="8"/>
      <c r="H300" s="8"/>
      <c r="I300" s="8"/>
      <c r="J300" s="8">
        <v>-0.1</v>
      </c>
      <c r="K300" s="8">
        <v>-0.1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42"/>
      <c r="W300" s="42" t="b">
        <f t="shared" si="38"/>
        <v>0</v>
      </c>
      <c r="X300" s="42">
        <v>1.0</v>
      </c>
      <c r="Y300" s="42">
        <v>3.0</v>
      </c>
      <c r="Z300" s="8"/>
      <c r="AA300" s="8"/>
      <c r="AB300" s="8"/>
      <c r="AC300" s="8"/>
      <c r="AD300" s="42"/>
      <c r="AE300" s="8"/>
    </row>
    <row r="301" ht="14.25" customHeight="1">
      <c r="A301" s="42">
        <v>9008.0</v>
      </c>
      <c r="B301" s="4" t="s">
        <v>1961</v>
      </c>
      <c r="C301" s="8" t="s">
        <v>1962</v>
      </c>
      <c r="D301" s="42" t="s">
        <v>658</v>
      </c>
      <c r="E301" s="8"/>
      <c r="F301" s="8"/>
      <c r="G301" s="8"/>
      <c r="H301" s="8">
        <v>-0.1</v>
      </c>
      <c r="I301" s="8">
        <v>-0.1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42"/>
      <c r="W301" s="42" t="b">
        <f t="shared" si="38"/>
        <v>0</v>
      </c>
      <c r="X301" s="42">
        <v>1.0</v>
      </c>
      <c r="Y301" s="42">
        <v>3.0</v>
      </c>
      <c r="Z301" s="8"/>
      <c r="AA301" s="8"/>
      <c r="AB301" s="8"/>
      <c r="AC301" s="8"/>
      <c r="AD301" s="42"/>
      <c r="AE301" s="8"/>
    </row>
    <row r="302" ht="14.25" customHeight="1">
      <c r="A302" s="42">
        <v>9009.0</v>
      </c>
      <c r="B302" s="4" t="s">
        <v>1965</v>
      </c>
      <c r="C302" s="4" t="s">
        <v>1966</v>
      </c>
      <c r="D302" s="42" t="s">
        <v>647</v>
      </c>
      <c r="E302" s="8"/>
      <c r="F302" s="8"/>
      <c r="G302" s="8"/>
      <c r="H302" s="8"/>
      <c r="I302" s="8"/>
      <c r="J302" s="8"/>
      <c r="K302" s="8"/>
      <c r="L302" s="8"/>
      <c r="M302" s="8">
        <v>10.0</v>
      </c>
      <c r="N302" s="8"/>
      <c r="O302" s="8"/>
      <c r="P302" s="8"/>
      <c r="Q302" s="8"/>
      <c r="R302" s="8"/>
      <c r="S302" s="8"/>
      <c r="T302" s="8"/>
      <c r="U302" s="8"/>
      <c r="V302" s="42"/>
      <c r="W302" s="42" t="b">
        <f t="shared" si="38"/>
        <v>0</v>
      </c>
      <c r="X302" s="42">
        <v>1.0</v>
      </c>
      <c r="Y302" s="42">
        <v>3.0</v>
      </c>
      <c r="Z302" s="8"/>
      <c r="AA302" s="8"/>
      <c r="AB302" s="8"/>
      <c r="AC302" s="8"/>
      <c r="AD302" s="42"/>
      <c r="AE302" s="8"/>
    </row>
    <row r="303" ht="14.25" customHeight="1">
      <c r="A303" s="42">
        <v>9010.0</v>
      </c>
      <c r="B303" s="4" t="s">
        <v>1971</v>
      </c>
      <c r="C303" s="4" t="s">
        <v>1972</v>
      </c>
      <c r="D303" s="42" t="s">
        <v>658</v>
      </c>
      <c r="E303" s="8"/>
      <c r="F303" s="8"/>
      <c r="G303" s="8"/>
      <c r="H303" s="8"/>
      <c r="I303" s="8"/>
      <c r="J303" s="8"/>
      <c r="K303" s="8"/>
      <c r="L303" s="8"/>
      <c r="M303" s="8">
        <v>-10.0</v>
      </c>
      <c r="N303" s="8"/>
      <c r="O303" s="8"/>
      <c r="P303" s="8"/>
      <c r="Q303" s="8"/>
      <c r="R303" s="8"/>
      <c r="S303" s="8"/>
      <c r="T303" s="8"/>
      <c r="U303" s="8"/>
      <c r="V303" s="42"/>
      <c r="W303" s="42" t="b">
        <f t="shared" si="38"/>
        <v>0</v>
      </c>
      <c r="X303" s="42">
        <v>1.0</v>
      </c>
      <c r="Y303" s="42">
        <v>3.0</v>
      </c>
      <c r="Z303" s="8"/>
      <c r="AA303" s="8"/>
      <c r="AB303" s="8"/>
      <c r="AC303" s="8"/>
      <c r="AD303" s="42"/>
      <c r="AE303" s="8"/>
    </row>
    <row r="304" ht="14.25" customHeight="1">
      <c r="A304" s="42">
        <v>9011.0</v>
      </c>
      <c r="B304" s="4" t="s">
        <v>1975</v>
      </c>
      <c r="C304" s="8" t="s">
        <v>1976</v>
      </c>
      <c r="D304" s="42" t="s">
        <v>658</v>
      </c>
      <c r="E304" s="8"/>
      <c r="F304" s="8"/>
      <c r="G304" s="8"/>
      <c r="H304" s="8"/>
      <c r="I304" s="8"/>
      <c r="J304" s="8"/>
      <c r="K304" s="8">
        <v>-0.2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42"/>
      <c r="W304" s="42" t="b">
        <f t="shared" si="38"/>
        <v>0</v>
      </c>
      <c r="X304" s="42">
        <v>1.0</v>
      </c>
      <c r="Y304" s="42">
        <v>3.0</v>
      </c>
      <c r="Z304" s="8"/>
      <c r="AA304" s="8"/>
      <c r="AB304" s="8"/>
      <c r="AC304" s="8"/>
      <c r="AD304" s="42"/>
      <c r="AE304" s="8"/>
    </row>
    <row r="305" ht="14.25" customHeight="1">
      <c r="A305" s="42">
        <v>9012.0</v>
      </c>
      <c r="B305" s="4" t="s">
        <v>1981</v>
      </c>
      <c r="C305" s="8" t="s">
        <v>1982</v>
      </c>
      <c r="D305" s="42" t="s">
        <v>658</v>
      </c>
      <c r="E305" s="8"/>
      <c r="F305" s="8"/>
      <c r="G305" s="8"/>
      <c r="H305" s="8">
        <v>-0.2</v>
      </c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42"/>
      <c r="W305" s="42" t="b">
        <f t="shared" si="38"/>
        <v>0</v>
      </c>
      <c r="X305" s="42">
        <v>1.0</v>
      </c>
      <c r="Y305" s="42">
        <v>3.0</v>
      </c>
      <c r="Z305" s="8"/>
      <c r="AA305" s="8"/>
      <c r="AB305" s="8"/>
      <c r="AC305" s="8"/>
      <c r="AD305" s="42"/>
      <c r="AE305" s="8"/>
    </row>
    <row r="306" ht="14.25" customHeight="1">
      <c r="A306" s="47"/>
      <c r="B306" s="47"/>
      <c r="V306" s="47"/>
    </row>
    <row r="307" ht="14.25" customHeight="1">
      <c r="A307" s="47"/>
      <c r="B307" s="47"/>
      <c r="V307" s="47"/>
    </row>
    <row r="308" ht="14.25" customHeight="1">
      <c r="A308" s="47"/>
      <c r="B308" s="47"/>
      <c r="V308" s="47"/>
    </row>
    <row r="309" ht="14.25" customHeight="1">
      <c r="A309" s="47"/>
      <c r="V309" s="47"/>
    </row>
    <row r="310" ht="14.25" customHeight="1">
      <c r="A310" s="47"/>
      <c r="V310" s="47"/>
    </row>
    <row r="311" ht="14.25" customHeight="1">
      <c r="A311" s="40" t="s">
        <v>381</v>
      </c>
      <c r="B311" s="40" t="s">
        <v>632</v>
      </c>
      <c r="C311" s="40" t="s">
        <v>633</v>
      </c>
      <c r="D311" s="40" t="s">
        <v>634</v>
      </c>
      <c r="E311" s="40" t="s">
        <v>636</v>
      </c>
      <c r="F311" s="40" t="s">
        <v>637</v>
      </c>
      <c r="G311" s="40" t="s">
        <v>638</v>
      </c>
      <c r="H311" s="40" t="s">
        <v>289</v>
      </c>
      <c r="I311" s="40" t="s">
        <v>290</v>
      </c>
      <c r="J311" s="40" t="s">
        <v>291</v>
      </c>
      <c r="K311" s="40" t="s">
        <v>292</v>
      </c>
      <c r="L311" s="40" t="s">
        <v>293</v>
      </c>
      <c r="M311" s="40" t="s">
        <v>134</v>
      </c>
      <c r="N311" s="40" t="s">
        <v>294</v>
      </c>
      <c r="O311" s="40" t="s">
        <v>295</v>
      </c>
      <c r="P311" s="40" t="s">
        <v>296</v>
      </c>
      <c r="Q311" s="40" t="s">
        <v>297</v>
      </c>
      <c r="R311" s="40" t="s">
        <v>298</v>
      </c>
      <c r="S311" s="40" t="s">
        <v>299</v>
      </c>
      <c r="T311" s="40" t="s">
        <v>300</v>
      </c>
      <c r="U311" s="40" t="s">
        <v>301</v>
      </c>
      <c r="V311" s="40" t="s">
        <v>302</v>
      </c>
      <c r="W311" s="40" t="s">
        <v>645</v>
      </c>
      <c r="X311" s="40" t="s">
        <v>646</v>
      </c>
      <c r="Y311" s="50" t="s">
        <v>648</v>
      </c>
      <c r="Z311" s="40" t="s">
        <v>650</v>
      </c>
      <c r="AA311" s="40" t="s">
        <v>651</v>
      </c>
      <c r="AB311" s="40" t="s">
        <v>652</v>
      </c>
      <c r="AC311" s="40" t="s">
        <v>653</v>
      </c>
      <c r="AD311" s="40" t="s">
        <v>654</v>
      </c>
      <c r="AE311" s="8" t="s">
        <v>1584</v>
      </c>
    </row>
    <row r="312" ht="14.25" customHeight="1">
      <c r="A312" s="8">
        <v>9900.0</v>
      </c>
      <c r="B312" s="8" t="s">
        <v>385</v>
      </c>
      <c r="C312" s="8" t="s">
        <v>1916</v>
      </c>
      <c r="D312" s="42" t="s">
        <v>647</v>
      </c>
      <c r="E312" s="8"/>
      <c r="F312" s="8"/>
      <c r="G312" s="8"/>
      <c r="H312" s="8">
        <v>0.1</v>
      </c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42"/>
      <c r="W312" s="42" t="b">
        <f t="shared" ref="W312:W327" si="39">FALSE()</f>
        <v>0</v>
      </c>
      <c r="X312" s="42">
        <v>1.0</v>
      </c>
      <c r="Y312" s="42">
        <v>3.0</v>
      </c>
      <c r="Z312" s="8"/>
      <c r="AA312" s="8"/>
      <c r="AB312" s="8"/>
      <c r="AC312" s="8">
        <v>1.0</v>
      </c>
      <c r="AD312" s="42"/>
      <c r="AE312" s="8"/>
    </row>
    <row r="313" ht="14.25" customHeight="1">
      <c r="A313" s="8">
        <f t="shared" ref="A313:A327" si="40">A312+1</f>
        <v>9901</v>
      </c>
      <c r="B313" s="8" t="s">
        <v>393</v>
      </c>
      <c r="C313" s="8" t="s">
        <v>1916</v>
      </c>
      <c r="D313" s="42" t="s">
        <v>647</v>
      </c>
      <c r="E313" s="8"/>
      <c r="F313" s="8"/>
      <c r="G313" s="8"/>
      <c r="H313" s="8">
        <v>0.1</v>
      </c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42"/>
      <c r="W313" s="42" t="b">
        <f t="shared" si="39"/>
        <v>0</v>
      </c>
      <c r="X313" s="42">
        <v>1.0</v>
      </c>
      <c r="Y313" s="42">
        <v>3.0</v>
      </c>
      <c r="Z313" s="8"/>
      <c r="AA313" s="8"/>
      <c r="AB313" s="8"/>
      <c r="AC313" s="8">
        <v>1.0</v>
      </c>
      <c r="AD313" s="42"/>
      <c r="AE313" s="8"/>
    </row>
    <row r="314" ht="14.25" customHeight="1">
      <c r="A314" s="8">
        <f t="shared" si="40"/>
        <v>9902</v>
      </c>
      <c r="B314" s="8" t="s">
        <v>405</v>
      </c>
      <c r="C314" s="8" t="s">
        <v>1916</v>
      </c>
      <c r="D314" s="42" t="s">
        <v>647</v>
      </c>
      <c r="E314" s="8"/>
      <c r="F314" s="8"/>
      <c r="G314" s="8"/>
      <c r="H314" s="8">
        <v>0.1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42"/>
      <c r="W314" s="42" t="b">
        <f t="shared" si="39"/>
        <v>0</v>
      </c>
      <c r="X314" s="42">
        <v>1.0</v>
      </c>
      <c r="Y314" s="42">
        <v>3.0</v>
      </c>
      <c r="Z314" s="8"/>
      <c r="AA314" s="8"/>
      <c r="AB314" s="8"/>
      <c r="AC314" s="8">
        <v>1.0</v>
      </c>
      <c r="AD314" s="42"/>
      <c r="AE314" s="8"/>
    </row>
    <row r="315" ht="14.25" customHeight="1">
      <c r="A315" s="8">
        <f t="shared" si="40"/>
        <v>9903</v>
      </c>
      <c r="B315" s="8" t="s">
        <v>406</v>
      </c>
      <c r="C315" s="8" t="s">
        <v>1916</v>
      </c>
      <c r="D315" s="42" t="s">
        <v>647</v>
      </c>
      <c r="E315" s="8"/>
      <c r="F315" s="8"/>
      <c r="G315" s="8"/>
      <c r="H315" s="8">
        <v>0.1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42"/>
      <c r="W315" s="42" t="b">
        <f t="shared" si="39"/>
        <v>0</v>
      </c>
      <c r="X315" s="42">
        <v>1.0</v>
      </c>
      <c r="Y315" s="42">
        <v>3.0</v>
      </c>
      <c r="Z315" s="8"/>
      <c r="AA315" s="8"/>
      <c r="AB315" s="8"/>
      <c r="AC315" s="8">
        <v>1.0</v>
      </c>
      <c r="AD315" s="42"/>
      <c r="AE315" s="8"/>
    </row>
    <row r="316" ht="14.25" customHeight="1">
      <c r="A316" s="8">
        <f t="shared" si="40"/>
        <v>9904</v>
      </c>
      <c r="B316" s="8" t="s">
        <v>413</v>
      </c>
      <c r="C316" s="8" t="s">
        <v>1916</v>
      </c>
      <c r="D316" s="42" t="s">
        <v>647</v>
      </c>
      <c r="E316" s="8"/>
      <c r="F316" s="8"/>
      <c r="G316" s="8"/>
      <c r="H316" s="8">
        <v>0.1</v>
      </c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42"/>
      <c r="W316" s="42" t="b">
        <f t="shared" si="39"/>
        <v>0</v>
      </c>
      <c r="X316" s="42">
        <v>1.0</v>
      </c>
      <c r="Y316" s="42">
        <v>3.0</v>
      </c>
      <c r="Z316" s="8"/>
      <c r="AA316" s="8"/>
      <c r="AB316" s="8"/>
      <c r="AC316" s="8">
        <v>1.0</v>
      </c>
      <c r="AD316" s="42"/>
      <c r="AE316" s="8"/>
    </row>
    <row r="317" ht="14.25" customHeight="1">
      <c r="A317" s="8">
        <f t="shared" si="40"/>
        <v>9905</v>
      </c>
      <c r="B317" s="8" t="s">
        <v>417</v>
      </c>
      <c r="C317" s="8" t="s">
        <v>1916</v>
      </c>
      <c r="D317" s="42" t="s">
        <v>647</v>
      </c>
      <c r="E317" s="8"/>
      <c r="F317" s="8"/>
      <c r="G317" s="8"/>
      <c r="H317" s="8">
        <v>0.1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42"/>
      <c r="W317" s="42" t="b">
        <f t="shared" si="39"/>
        <v>0</v>
      </c>
      <c r="X317" s="42">
        <v>1.0</v>
      </c>
      <c r="Y317" s="42">
        <v>3.0</v>
      </c>
      <c r="Z317" s="8"/>
      <c r="AA317" s="8"/>
      <c r="AB317" s="8"/>
      <c r="AC317" s="8">
        <v>1.0</v>
      </c>
      <c r="AD317" s="42"/>
      <c r="AE317" s="8"/>
    </row>
    <row r="318" ht="14.25" customHeight="1">
      <c r="A318" s="8">
        <f t="shared" si="40"/>
        <v>9906</v>
      </c>
      <c r="B318" s="8" t="s">
        <v>419</v>
      </c>
      <c r="C318" s="8" t="s">
        <v>1916</v>
      </c>
      <c r="D318" s="42" t="s">
        <v>647</v>
      </c>
      <c r="E318" s="8"/>
      <c r="F318" s="8"/>
      <c r="G318" s="8"/>
      <c r="H318" s="8">
        <v>0.1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42"/>
      <c r="W318" s="42" t="b">
        <f t="shared" si="39"/>
        <v>0</v>
      </c>
      <c r="X318" s="42">
        <v>1.0</v>
      </c>
      <c r="Y318" s="42">
        <v>3.0</v>
      </c>
      <c r="Z318" s="8"/>
      <c r="AA318" s="8"/>
      <c r="AB318" s="8"/>
      <c r="AC318" s="8">
        <v>1.0</v>
      </c>
      <c r="AD318" s="42"/>
      <c r="AE318" s="8"/>
    </row>
    <row r="319" ht="14.25" customHeight="1">
      <c r="A319" s="8">
        <f t="shared" si="40"/>
        <v>9907</v>
      </c>
      <c r="B319" s="8" t="s">
        <v>421</v>
      </c>
      <c r="C319" s="8" t="s">
        <v>1916</v>
      </c>
      <c r="D319" s="42" t="s">
        <v>647</v>
      </c>
      <c r="E319" s="8"/>
      <c r="F319" s="8"/>
      <c r="G319" s="8"/>
      <c r="H319" s="8">
        <v>0.1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42"/>
      <c r="W319" s="42" t="b">
        <f t="shared" si="39"/>
        <v>0</v>
      </c>
      <c r="X319" s="42">
        <v>1.0</v>
      </c>
      <c r="Y319" s="42">
        <v>3.0</v>
      </c>
      <c r="Z319" s="8"/>
      <c r="AA319" s="8"/>
      <c r="AB319" s="8"/>
      <c r="AC319" s="8">
        <v>1.0</v>
      </c>
      <c r="AD319" s="42"/>
      <c r="AE319" s="8"/>
    </row>
    <row r="320" ht="14.25" customHeight="1">
      <c r="A320" s="8">
        <f t="shared" si="40"/>
        <v>9908</v>
      </c>
      <c r="B320" s="8" t="s">
        <v>423</v>
      </c>
      <c r="C320" s="8" t="s">
        <v>1916</v>
      </c>
      <c r="D320" s="42" t="s">
        <v>647</v>
      </c>
      <c r="E320" s="8"/>
      <c r="F320" s="8"/>
      <c r="G320" s="8"/>
      <c r="H320" s="8">
        <v>0.1</v>
      </c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42"/>
      <c r="W320" s="42" t="b">
        <f t="shared" si="39"/>
        <v>0</v>
      </c>
      <c r="X320" s="42">
        <v>1.0</v>
      </c>
      <c r="Y320" s="42">
        <v>3.0</v>
      </c>
      <c r="Z320" s="8"/>
      <c r="AA320" s="8"/>
      <c r="AB320" s="8"/>
      <c r="AC320" s="8">
        <v>1.0</v>
      </c>
      <c r="AD320" s="42"/>
      <c r="AE320" s="8"/>
    </row>
    <row r="321" ht="14.25" customHeight="1">
      <c r="A321" s="8">
        <f t="shared" si="40"/>
        <v>9909</v>
      </c>
      <c r="B321" s="8" t="s">
        <v>429</v>
      </c>
      <c r="C321" s="8" t="s">
        <v>1916</v>
      </c>
      <c r="D321" s="42" t="s">
        <v>647</v>
      </c>
      <c r="E321" s="8"/>
      <c r="F321" s="8"/>
      <c r="G321" s="8"/>
      <c r="H321" s="8">
        <v>0.1</v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42"/>
      <c r="W321" s="42" t="b">
        <f t="shared" si="39"/>
        <v>0</v>
      </c>
      <c r="X321" s="42">
        <v>1.0</v>
      </c>
      <c r="Y321" s="42">
        <v>3.0</v>
      </c>
      <c r="Z321" s="8"/>
      <c r="AA321" s="8"/>
      <c r="AB321" s="8"/>
      <c r="AC321" s="8">
        <v>1.0</v>
      </c>
      <c r="AD321" s="42"/>
      <c r="AE321" s="8"/>
    </row>
    <row r="322" ht="14.25" customHeight="1">
      <c r="A322" s="8">
        <f t="shared" si="40"/>
        <v>9910</v>
      </c>
      <c r="B322" s="8" t="s">
        <v>432</v>
      </c>
      <c r="C322" s="8" t="s">
        <v>1916</v>
      </c>
      <c r="D322" s="42" t="s">
        <v>647</v>
      </c>
      <c r="E322" s="8"/>
      <c r="F322" s="8"/>
      <c r="G322" s="8"/>
      <c r="H322" s="8">
        <v>0.1</v>
      </c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42"/>
      <c r="W322" s="42" t="b">
        <f t="shared" si="39"/>
        <v>0</v>
      </c>
      <c r="X322" s="42">
        <v>1.0</v>
      </c>
      <c r="Y322" s="42">
        <v>3.0</v>
      </c>
      <c r="Z322" s="8"/>
      <c r="AA322" s="8"/>
      <c r="AB322" s="8"/>
      <c r="AC322" s="8">
        <v>1.0</v>
      </c>
      <c r="AD322" s="42"/>
      <c r="AE322" s="8"/>
    </row>
    <row r="323" ht="14.25" customHeight="1">
      <c r="A323" s="8">
        <f t="shared" si="40"/>
        <v>9911</v>
      </c>
      <c r="B323" s="8" t="s">
        <v>435</v>
      </c>
      <c r="C323" s="8" t="s">
        <v>1916</v>
      </c>
      <c r="D323" s="42" t="s">
        <v>647</v>
      </c>
      <c r="E323" s="8"/>
      <c r="F323" s="8"/>
      <c r="G323" s="8"/>
      <c r="H323" s="8">
        <v>0.1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42"/>
      <c r="W323" s="42" t="b">
        <f t="shared" si="39"/>
        <v>0</v>
      </c>
      <c r="X323" s="42">
        <v>1.0</v>
      </c>
      <c r="Y323" s="42">
        <v>3.0</v>
      </c>
      <c r="Z323" s="8"/>
      <c r="AA323" s="8"/>
      <c r="AB323" s="8"/>
      <c r="AC323" s="8">
        <v>1.0</v>
      </c>
      <c r="AD323" s="8"/>
      <c r="AE323" s="8"/>
    </row>
    <row r="324" ht="14.25" customHeight="1">
      <c r="A324" s="8">
        <f t="shared" si="40"/>
        <v>9912</v>
      </c>
      <c r="B324" s="8" t="s">
        <v>439</v>
      </c>
      <c r="C324" s="8" t="s">
        <v>1916</v>
      </c>
      <c r="D324" s="42" t="s">
        <v>647</v>
      </c>
      <c r="E324" s="8"/>
      <c r="F324" s="8"/>
      <c r="G324" s="8"/>
      <c r="H324" s="8">
        <v>0.1</v>
      </c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42"/>
      <c r="W324" s="42" t="b">
        <f t="shared" si="39"/>
        <v>0</v>
      </c>
      <c r="X324" s="42">
        <v>1.0</v>
      </c>
      <c r="Y324" s="42">
        <v>3.0</v>
      </c>
      <c r="Z324" s="8"/>
      <c r="AA324" s="8"/>
      <c r="AB324" s="8"/>
      <c r="AC324" s="8">
        <v>1.0</v>
      </c>
      <c r="AD324" s="8"/>
      <c r="AE324" s="8"/>
    </row>
    <row r="325" ht="14.25" customHeight="1">
      <c r="A325" s="8">
        <f t="shared" si="40"/>
        <v>9913</v>
      </c>
      <c r="B325" s="8" t="s">
        <v>440</v>
      </c>
      <c r="C325" s="8" t="s">
        <v>1916</v>
      </c>
      <c r="D325" s="42" t="s">
        <v>647</v>
      </c>
      <c r="E325" s="8"/>
      <c r="F325" s="8"/>
      <c r="G325" s="8"/>
      <c r="H325" s="8">
        <v>0.1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42"/>
      <c r="W325" s="42" t="b">
        <f t="shared" si="39"/>
        <v>0</v>
      </c>
      <c r="X325" s="42">
        <v>1.0</v>
      </c>
      <c r="Y325" s="42">
        <v>3.0</v>
      </c>
      <c r="Z325" s="8"/>
      <c r="AA325" s="8"/>
      <c r="AB325" s="8"/>
      <c r="AC325" s="8">
        <v>1.0</v>
      </c>
      <c r="AD325" s="8"/>
      <c r="AE325" s="8"/>
    </row>
    <row r="326" ht="14.25" customHeight="1">
      <c r="A326" s="8">
        <f t="shared" si="40"/>
        <v>9914</v>
      </c>
      <c r="B326" s="8" t="s">
        <v>448</v>
      </c>
      <c r="C326" s="8" t="s">
        <v>1916</v>
      </c>
      <c r="D326" s="42" t="s">
        <v>647</v>
      </c>
      <c r="E326" s="8"/>
      <c r="F326" s="8"/>
      <c r="G326" s="8"/>
      <c r="H326" s="8">
        <v>0.1</v>
      </c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42"/>
      <c r="W326" s="42" t="b">
        <f t="shared" si="39"/>
        <v>0</v>
      </c>
      <c r="X326" s="42">
        <v>1.0</v>
      </c>
      <c r="Y326" s="42">
        <v>3.0</v>
      </c>
      <c r="Z326" s="8"/>
      <c r="AA326" s="8"/>
      <c r="AB326" s="8"/>
      <c r="AC326" s="8">
        <v>1.0</v>
      </c>
      <c r="AD326" s="8"/>
      <c r="AE326" s="8"/>
    </row>
    <row r="327" ht="14.25" customHeight="1">
      <c r="A327" s="8">
        <f t="shared" si="40"/>
        <v>9915</v>
      </c>
      <c r="B327" s="8" t="s">
        <v>452</v>
      </c>
      <c r="C327" s="8" t="s">
        <v>1916</v>
      </c>
      <c r="D327" s="42" t="s">
        <v>647</v>
      </c>
      <c r="E327" s="8"/>
      <c r="F327" s="8"/>
      <c r="G327" s="8"/>
      <c r="H327" s="8">
        <v>0.1</v>
      </c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42"/>
      <c r="W327" s="42" t="b">
        <f t="shared" si="39"/>
        <v>0</v>
      </c>
      <c r="X327" s="42">
        <v>1.0</v>
      </c>
      <c r="Y327" s="42">
        <v>3.0</v>
      </c>
      <c r="Z327" s="8"/>
      <c r="AA327" s="8"/>
      <c r="AB327" s="8"/>
      <c r="AC327" s="8">
        <v>1.0</v>
      </c>
      <c r="AD327" s="8"/>
      <c r="AE327" s="8"/>
    </row>
    <row r="328" ht="14.25" customHeight="1">
      <c r="A328" s="47"/>
      <c r="B328" s="47"/>
      <c r="V328" s="47"/>
    </row>
    <row r="329" ht="14.25" customHeight="1">
      <c r="A329" s="47"/>
      <c r="B329" s="47"/>
      <c r="V329" s="47"/>
    </row>
    <row r="330" ht="14.25" customHeight="1">
      <c r="A330" s="47"/>
      <c r="B330" s="47"/>
      <c r="V330" s="47"/>
    </row>
    <row r="331" ht="14.25" customHeight="1">
      <c r="A331" s="47"/>
      <c r="B331" s="47"/>
      <c r="V331" s="47"/>
    </row>
    <row r="332" ht="14.25" customHeight="1">
      <c r="A332" s="47"/>
      <c r="B332" s="47"/>
      <c r="V332" s="47"/>
    </row>
    <row r="333" ht="14.25" customHeight="1">
      <c r="A333" s="47"/>
      <c r="B333" s="47"/>
      <c r="V333" s="47"/>
    </row>
    <row r="334" ht="14.25" customHeight="1">
      <c r="A334" s="47"/>
      <c r="B334" s="47"/>
      <c r="V334" s="47"/>
    </row>
    <row r="335" ht="14.25" customHeight="1">
      <c r="A335" s="47"/>
      <c r="B335" s="47"/>
      <c r="V335" s="47"/>
    </row>
    <row r="336" ht="14.25" customHeight="1">
      <c r="A336" s="47"/>
      <c r="B336" s="47"/>
      <c r="V336" s="47"/>
    </row>
    <row r="337" ht="14.25" customHeight="1">
      <c r="A337" s="47"/>
      <c r="B337" s="47"/>
      <c r="V337" s="47"/>
    </row>
    <row r="338" ht="14.25" customHeight="1">
      <c r="A338" s="47"/>
      <c r="B338" s="47"/>
      <c r="V338" s="47"/>
    </row>
    <row r="339" ht="14.25" customHeight="1">
      <c r="A339" s="47"/>
      <c r="B339" s="47"/>
      <c r="V339" s="47"/>
    </row>
    <row r="340" ht="14.25" customHeight="1">
      <c r="A340" s="47"/>
      <c r="B340" s="47"/>
      <c r="V340" s="47"/>
    </row>
    <row r="341" ht="14.25" customHeight="1">
      <c r="A341" s="47"/>
      <c r="B341" s="47"/>
      <c r="V341" s="47"/>
    </row>
    <row r="342" ht="14.25" customHeight="1">
      <c r="A342" s="47"/>
      <c r="B342" s="47"/>
      <c r="V342" s="47"/>
    </row>
    <row r="343" ht="14.25" customHeight="1">
      <c r="A343" s="47"/>
      <c r="B343" s="47"/>
      <c r="V343" s="47"/>
    </row>
    <row r="344" ht="14.25" customHeight="1">
      <c r="A344" s="47"/>
      <c r="B344" s="47"/>
      <c r="V344" s="47"/>
    </row>
    <row r="345" ht="14.25" customHeight="1">
      <c r="A345" s="47"/>
      <c r="B345" s="47"/>
      <c r="V345" s="47"/>
    </row>
    <row r="346" ht="14.25" customHeight="1">
      <c r="A346" s="47"/>
      <c r="B346" s="47"/>
      <c r="V346" s="47"/>
    </row>
    <row r="347" ht="14.25" customHeight="1">
      <c r="A347" s="47"/>
      <c r="B347" s="47"/>
      <c r="V347" s="47"/>
    </row>
    <row r="348" ht="14.25" customHeight="1">
      <c r="A348" s="47"/>
      <c r="B348" s="47"/>
      <c r="V348" s="47"/>
    </row>
    <row r="349" ht="14.25" customHeight="1">
      <c r="A349" s="47"/>
      <c r="B349" s="47"/>
      <c r="V349" s="47"/>
    </row>
    <row r="350" ht="14.25" customHeight="1">
      <c r="A350" s="47"/>
      <c r="B350" s="47"/>
      <c r="V350" s="47"/>
    </row>
    <row r="351" ht="14.25" customHeight="1">
      <c r="A351" s="47"/>
      <c r="B351" s="47"/>
      <c r="V351" s="47"/>
    </row>
    <row r="352" ht="14.25" customHeight="1">
      <c r="A352" s="47"/>
      <c r="B352" s="47"/>
      <c r="V352" s="47"/>
    </row>
    <row r="353" ht="14.25" customHeight="1">
      <c r="A353" s="47"/>
      <c r="B353" s="47"/>
      <c r="V353" s="47"/>
    </row>
    <row r="354" ht="14.25" customHeight="1">
      <c r="A354" s="47"/>
      <c r="B354" s="47"/>
      <c r="V354" s="47"/>
    </row>
    <row r="355" ht="14.25" customHeight="1">
      <c r="A355" s="47"/>
      <c r="B355" s="47"/>
      <c r="V355" s="47"/>
    </row>
    <row r="356" ht="14.25" customHeight="1">
      <c r="A356" s="47"/>
      <c r="B356" s="47"/>
      <c r="V356" s="47"/>
    </row>
    <row r="357" ht="14.25" customHeight="1">
      <c r="A357" s="47"/>
      <c r="B357" s="47"/>
      <c r="V357" s="47"/>
    </row>
    <row r="358" ht="14.25" customHeight="1">
      <c r="A358" s="47"/>
      <c r="B358" s="47"/>
      <c r="V358" s="47"/>
    </row>
    <row r="359" ht="14.25" customHeight="1">
      <c r="A359" s="47"/>
      <c r="B359" s="47"/>
      <c r="V359" s="47"/>
    </row>
    <row r="360" ht="14.25" customHeight="1">
      <c r="A360" s="47"/>
      <c r="B360" s="47"/>
      <c r="V360" s="47"/>
    </row>
    <row r="361" ht="14.25" customHeight="1">
      <c r="A361" s="47"/>
      <c r="B361" s="47"/>
      <c r="V361" s="47"/>
    </row>
    <row r="362" ht="14.25" customHeight="1">
      <c r="A362" s="47"/>
      <c r="B362" s="47"/>
      <c r="V362" s="47"/>
    </row>
    <row r="363" ht="14.25" customHeight="1">
      <c r="A363" s="47"/>
      <c r="B363" s="47"/>
      <c r="V363" s="47"/>
    </row>
    <row r="364" ht="14.25" customHeight="1">
      <c r="A364" s="47"/>
      <c r="B364" s="47"/>
      <c r="V364" s="47"/>
    </row>
    <row r="365" ht="14.25" customHeight="1">
      <c r="A365" s="47"/>
      <c r="B365" s="47"/>
      <c r="V365" s="47"/>
    </row>
    <row r="366" ht="14.25" customHeight="1">
      <c r="A366" s="47"/>
      <c r="B366" s="47"/>
      <c r="V366" s="47"/>
    </row>
    <row r="367" ht="14.25" customHeight="1">
      <c r="A367" s="47"/>
      <c r="B367" s="47"/>
      <c r="V367" s="47"/>
    </row>
    <row r="368" ht="14.25" customHeight="1">
      <c r="A368" s="47"/>
      <c r="B368" s="47"/>
      <c r="V368" s="47"/>
    </row>
    <row r="369" ht="14.25" customHeight="1">
      <c r="A369" s="47"/>
      <c r="B369" s="47"/>
      <c r="V369" s="47"/>
    </row>
    <row r="370" ht="14.25" customHeight="1">
      <c r="A370" s="47"/>
      <c r="B370" s="47"/>
      <c r="V370" s="47"/>
    </row>
    <row r="371" ht="14.25" customHeight="1">
      <c r="A371" s="47"/>
      <c r="B371" s="47"/>
      <c r="V371" s="47"/>
    </row>
    <row r="372" ht="14.25" customHeight="1">
      <c r="A372" s="47"/>
      <c r="B372" s="47"/>
      <c r="V372" s="47"/>
    </row>
    <row r="373" ht="14.25" customHeight="1">
      <c r="A373" s="47"/>
      <c r="B373" s="47"/>
      <c r="V373" s="47"/>
    </row>
    <row r="374" ht="14.25" customHeight="1">
      <c r="A374" s="47"/>
      <c r="B374" s="47"/>
      <c r="V374" s="47"/>
    </row>
    <row r="375" ht="14.25" customHeight="1">
      <c r="A375" s="47"/>
      <c r="B375" s="47"/>
      <c r="V375" s="47"/>
    </row>
    <row r="376" ht="14.25" customHeight="1">
      <c r="A376" s="47"/>
      <c r="B376" s="47"/>
      <c r="V376" s="47"/>
    </row>
    <row r="377" ht="14.25" customHeight="1">
      <c r="A377" s="47"/>
      <c r="B377" s="47"/>
      <c r="V377" s="47"/>
    </row>
    <row r="378" ht="14.25" customHeight="1">
      <c r="A378" s="47"/>
      <c r="B378" s="47"/>
      <c r="V378" s="47"/>
    </row>
    <row r="379" ht="14.25" customHeight="1">
      <c r="A379" s="47"/>
      <c r="B379" s="47"/>
      <c r="V379" s="47"/>
    </row>
    <row r="380" ht="14.25" customHeight="1">
      <c r="A380" s="47"/>
      <c r="B380" s="47"/>
      <c r="V380" s="47"/>
    </row>
    <row r="381" ht="14.25" customHeight="1">
      <c r="A381" s="47"/>
      <c r="B381" s="47"/>
      <c r="V381" s="47"/>
    </row>
    <row r="382" ht="14.25" customHeight="1">
      <c r="A382" s="47"/>
      <c r="B382" s="47"/>
      <c r="V382" s="47"/>
    </row>
    <row r="383" ht="14.25" customHeight="1">
      <c r="A383" s="47"/>
      <c r="B383" s="47"/>
      <c r="V383" s="47"/>
    </row>
    <row r="384" ht="14.25" customHeight="1">
      <c r="A384" s="47"/>
      <c r="B384" s="47"/>
      <c r="V384" s="47"/>
    </row>
    <row r="385" ht="14.25" customHeight="1">
      <c r="A385" s="47"/>
      <c r="B385" s="47"/>
      <c r="V385" s="47"/>
    </row>
    <row r="386" ht="14.25" customHeight="1">
      <c r="A386" s="47"/>
      <c r="B386" s="47"/>
      <c r="V386" s="47"/>
    </row>
    <row r="387" ht="14.25" customHeight="1">
      <c r="A387" s="47"/>
      <c r="B387" s="47"/>
      <c r="V387" s="47"/>
    </row>
    <row r="388" ht="14.25" customHeight="1">
      <c r="A388" s="47"/>
      <c r="B388" s="47"/>
      <c r="V388" s="47"/>
    </row>
    <row r="389" ht="14.25" customHeight="1">
      <c r="A389" s="47"/>
      <c r="B389" s="47"/>
      <c r="V389" s="47"/>
    </row>
    <row r="390" ht="14.25" customHeight="1">
      <c r="A390" s="47"/>
      <c r="B390" s="47"/>
      <c r="V390" s="47"/>
    </row>
    <row r="391" ht="14.25" customHeight="1">
      <c r="A391" s="47"/>
      <c r="B391" s="47"/>
      <c r="V391" s="47"/>
    </row>
    <row r="392" ht="14.25" customHeight="1">
      <c r="A392" s="47"/>
      <c r="B392" s="47"/>
      <c r="V392" s="47"/>
    </row>
    <row r="393" ht="14.25" customHeight="1">
      <c r="A393" s="47"/>
      <c r="B393" s="47"/>
      <c r="V393" s="47"/>
    </row>
    <row r="394" ht="14.25" customHeight="1">
      <c r="A394" s="47"/>
      <c r="B394" s="47"/>
      <c r="V394" s="47"/>
    </row>
    <row r="395" ht="14.25" customHeight="1">
      <c r="A395" s="47"/>
      <c r="B395" s="47"/>
      <c r="V395" s="47"/>
    </row>
    <row r="396" ht="14.25" customHeight="1">
      <c r="A396" s="47"/>
      <c r="B396" s="47"/>
      <c r="V396" s="47"/>
    </row>
    <row r="397" ht="14.25" customHeight="1">
      <c r="A397" s="47"/>
      <c r="B397" s="47"/>
      <c r="V397" s="47"/>
    </row>
    <row r="398" ht="14.25" customHeight="1">
      <c r="A398" s="47"/>
      <c r="B398" s="47"/>
      <c r="V398" s="47"/>
    </row>
    <row r="399" ht="14.25" customHeight="1">
      <c r="A399" s="47"/>
      <c r="B399" s="47"/>
      <c r="V399" s="47"/>
    </row>
    <row r="400" ht="14.25" customHeight="1">
      <c r="A400" s="47"/>
      <c r="B400" s="47"/>
      <c r="V400" s="47"/>
    </row>
    <row r="401" ht="14.25" customHeight="1">
      <c r="A401" s="47"/>
      <c r="B401" s="47"/>
      <c r="V401" s="47"/>
    </row>
    <row r="402" ht="14.25" customHeight="1">
      <c r="A402" s="47"/>
      <c r="B402" s="47"/>
      <c r="V402" s="47"/>
    </row>
    <row r="403" ht="14.25" customHeight="1">
      <c r="A403" s="47"/>
      <c r="B403" s="47"/>
      <c r="V403" s="47"/>
    </row>
    <row r="404" ht="14.25" customHeight="1">
      <c r="A404" s="47"/>
      <c r="B404" s="47"/>
      <c r="V404" s="47"/>
    </row>
    <row r="405" ht="14.25" customHeight="1">
      <c r="A405" s="47"/>
      <c r="B405" s="47"/>
      <c r="V405" s="47"/>
    </row>
    <row r="406" ht="14.25" customHeight="1">
      <c r="A406" s="47"/>
      <c r="B406" s="47"/>
      <c r="V406" s="47"/>
    </row>
    <row r="407" ht="14.25" customHeight="1">
      <c r="A407" s="47"/>
      <c r="B407" s="47"/>
      <c r="V407" s="47"/>
    </row>
    <row r="408" ht="14.25" customHeight="1">
      <c r="A408" s="47"/>
      <c r="B408" s="47"/>
      <c r="V408" s="47"/>
    </row>
    <row r="409" ht="14.25" customHeight="1">
      <c r="A409" s="47"/>
      <c r="B409" s="47"/>
      <c r="V409" s="47"/>
    </row>
    <row r="410" ht="14.25" customHeight="1">
      <c r="A410" s="47"/>
      <c r="B410" s="47"/>
      <c r="V410" s="47"/>
    </row>
    <row r="411" ht="14.25" customHeight="1">
      <c r="A411" s="47"/>
      <c r="B411" s="47"/>
      <c r="V411" s="47"/>
    </row>
    <row r="412" ht="14.25" customHeight="1">
      <c r="A412" s="47"/>
      <c r="B412" s="47"/>
      <c r="V412" s="47"/>
    </row>
    <row r="413" ht="14.25" customHeight="1">
      <c r="A413" s="47"/>
      <c r="B413" s="47"/>
      <c r="V413" s="47"/>
    </row>
    <row r="414" ht="14.25" customHeight="1">
      <c r="A414" s="47"/>
      <c r="B414" s="47"/>
      <c r="V414" s="47"/>
    </row>
    <row r="415" ht="14.25" customHeight="1">
      <c r="A415" s="47"/>
      <c r="B415" s="47"/>
      <c r="V415" s="47"/>
    </row>
    <row r="416" ht="14.25" customHeight="1">
      <c r="A416" s="47"/>
      <c r="B416" s="47"/>
      <c r="V416" s="47"/>
    </row>
    <row r="417" ht="14.25" customHeight="1">
      <c r="A417" s="47"/>
      <c r="B417" s="47"/>
      <c r="V417" s="47"/>
    </row>
    <row r="418" ht="14.25" customHeight="1">
      <c r="A418" s="47"/>
      <c r="B418" s="47"/>
      <c r="V418" s="47"/>
    </row>
    <row r="419" ht="14.25" customHeight="1">
      <c r="A419" s="47"/>
      <c r="B419" s="47"/>
      <c r="V419" s="47"/>
    </row>
    <row r="420" ht="14.25" customHeight="1">
      <c r="A420" s="47"/>
      <c r="B420" s="47"/>
      <c r="V420" s="47"/>
    </row>
    <row r="421" ht="14.25" customHeight="1">
      <c r="A421" s="47"/>
      <c r="B421" s="47"/>
      <c r="V421" s="47"/>
    </row>
    <row r="422" ht="14.25" customHeight="1">
      <c r="A422" s="47"/>
      <c r="B422" s="47"/>
      <c r="V422" s="47"/>
    </row>
    <row r="423" ht="14.25" customHeight="1">
      <c r="A423" s="47"/>
      <c r="B423" s="47"/>
      <c r="V423" s="47"/>
    </row>
    <row r="424" ht="14.25" customHeight="1">
      <c r="A424" s="47"/>
      <c r="B424" s="47"/>
      <c r="V424" s="47"/>
    </row>
    <row r="425" ht="14.25" customHeight="1">
      <c r="A425" s="47"/>
      <c r="B425" s="47"/>
      <c r="V425" s="47"/>
    </row>
    <row r="426" ht="14.25" customHeight="1">
      <c r="A426" s="47"/>
      <c r="B426" s="47"/>
      <c r="V426" s="47"/>
    </row>
    <row r="427" ht="14.25" customHeight="1">
      <c r="A427" s="47"/>
      <c r="B427" s="47"/>
      <c r="V427" s="47"/>
    </row>
    <row r="428" ht="14.25" customHeight="1">
      <c r="A428" s="47"/>
      <c r="B428" s="47"/>
      <c r="V428" s="47"/>
    </row>
    <row r="429" ht="14.25" customHeight="1">
      <c r="A429" s="47"/>
      <c r="B429" s="47"/>
      <c r="V429" s="47"/>
    </row>
    <row r="430" ht="14.25" customHeight="1">
      <c r="A430" s="47"/>
      <c r="B430" s="47"/>
      <c r="V430" s="47"/>
    </row>
    <row r="431" ht="14.25" customHeight="1">
      <c r="A431" s="47"/>
      <c r="B431" s="47"/>
      <c r="V431" s="47"/>
    </row>
    <row r="432" ht="14.25" customHeight="1">
      <c r="A432" s="47"/>
      <c r="B432" s="47"/>
      <c r="V432" s="47"/>
    </row>
    <row r="433" ht="14.25" customHeight="1">
      <c r="A433" s="47"/>
      <c r="B433" s="47"/>
      <c r="V433" s="47"/>
    </row>
    <row r="434" ht="14.25" customHeight="1">
      <c r="A434" s="47"/>
      <c r="B434" s="47"/>
      <c r="V434" s="47"/>
    </row>
    <row r="435" ht="14.25" customHeight="1">
      <c r="A435" s="47"/>
      <c r="B435" s="47"/>
      <c r="V435" s="47"/>
    </row>
    <row r="436" ht="14.25" customHeight="1">
      <c r="A436" s="47"/>
      <c r="B436" s="47"/>
      <c r="V436" s="47"/>
    </row>
    <row r="437" ht="14.25" customHeight="1">
      <c r="A437" s="47"/>
      <c r="B437" s="47"/>
      <c r="V437" s="47"/>
    </row>
    <row r="438" ht="14.25" customHeight="1">
      <c r="A438" s="47"/>
      <c r="B438" s="47"/>
      <c r="V438" s="47"/>
    </row>
    <row r="439" ht="14.25" customHeight="1">
      <c r="A439" s="47"/>
      <c r="B439" s="47"/>
      <c r="V439" s="47"/>
    </row>
    <row r="440" ht="14.25" customHeight="1">
      <c r="A440" s="47"/>
      <c r="B440" s="47"/>
      <c r="V440" s="47"/>
    </row>
    <row r="441" ht="14.25" customHeight="1">
      <c r="A441" s="47"/>
      <c r="B441" s="47"/>
      <c r="V441" s="47"/>
    </row>
    <row r="442" ht="14.25" customHeight="1">
      <c r="A442" s="47"/>
      <c r="B442" s="47"/>
      <c r="V442" s="47"/>
    </row>
    <row r="443" ht="14.25" customHeight="1">
      <c r="A443" s="47"/>
      <c r="B443" s="47"/>
      <c r="V443" s="47"/>
    </row>
    <row r="444" ht="14.25" customHeight="1">
      <c r="A444" s="47"/>
      <c r="B444" s="47"/>
      <c r="V444" s="47"/>
    </row>
    <row r="445" ht="14.25" customHeight="1">
      <c r="A445" s="47"/>
      <c r="B445" s="47"/>
      <c r="V445" s="47"/>
    </row>
    <row r="446" ht="14.25" customHeight="1">
      <c r="A446" s="47"/>
      <c r="B446" s="47"/>
      <c r="V446" s="47"/>
    </row>
    <row r="447" ht="14.25" customHeight="1">
      <c r="A447" s="47"/>
      <c r="B447" s="47"/>
      <c r="V447" s="47"/>
    </row>
    <row r="448" ht="14.25" customHeight="1">
      <c r="A448" s="47"/>
      <c r="B448" s="47"/>
      <c r="V448" s="47"/>
    </row>
    <row r="449" ht="14.25" customHeight="1">
      <c r="A449" s="47"/>
      <c r="B449" s="47"/>
      <c r="V449" s="47"/>
    </row>
    <row r="450" ht="14.25" customHeight="1">
      <c r="A450" s="47"/>
      <c r="B450" s="47"/>
      <c r="V450" s="47"/>
    </row>
    <row r="451" ht="14.25" customHeight="1">
      <c r="A451" s="47"/>
      <c r="B451" s="47"/>
      <c r="V451" s="47"/>
    </row>
    <row r="452" ht="14.25" customHeight="1">
      <c r="A452" s="47"/>
      <c r="B452" s="47"/>
      <c r="V452" s="47"/>
    </row>
    <row r="453" ht="14.25" customHeight="1">
      <c r="A453" s="47"/>
      <c r="B453" s="47"/>
      <c r="V453" s="47"/>
    </row>
    <row r="454" ht="14.25" customHeight="1">
      <c r="A454" s="47"/>
      <c r="B454" s="47"/>
      <c r="V454" s="47"/>
    </row>
    <row r="455" ht="14.25" customHeight="1">
      <c r="A455" s="47"/>
      <c r="B455" s="47"/>
      <c r="V455" s="47"/>
    </row>
    <row r="456" ht="14.25" customHeight="1">
      <c r="A456" s="47"/>
      <c r="B456" s="47"/>
      <c r="V456" s="47"/>
    </row>
    <row r="457" ht="14.25" customHeight="1">
      <c r="A457" s="47"/>
      <c r="B457" s="47"/>
      <c r="V457" s="47"/>
    </row>
    <row r="458" ht="14.25" customHeight="1">
      <c r="A458" s="47"/>
      <c r="B458" s="47"/>
      <c r="V458" s="47"/>
    </row>
    <row r="459" ht="14.25" customHeight="1">
      <c r="A459" s="47"/>
      <c r="B459" s="47"/>
      <c r="V459" s="47"/>
    </row>
    <row r="460" ht="14.25" customHeight="1">
      <c r="A460" s="47"/>
      <c r="B460" s="47"/>
      <c r="V460" s="47"/>
    </row>
    <row r="461" ht="14.25" customHeight="1">
      <c r="A461" s="47"/>
      <c r="B461" s="47"/>
      <c r="V461" s="47"/>
    </row>
    <row r="462" ht="14.25" customHeight="1">
      <c r="A462" s="47"/>
      <c r="B462" s="47"/>
      <c r="V462" s="47"/>
    </row>
    <row r="463" ht="14.25" customHeight="1">
      <c r="A463" s="47"/>
      <c r="B463" s="47"/>
      <c r="V463" s="47"/>
    </row>
    <row r="464" ht="14.25" customHeight="1">
      <c r="A464" s="47"/>
      <c r="B464" s="47"/>
      <c r="V464" s="47"/>
    </row>
    <row r="465" ht="14.25" customHeight="1">
      <c r="A465" s="47"/>
      <c r="B465" s="47"/>
      <c r="V465" s="47"/>
    </row>
    <row r="466" ht="14.25" customHeight="1">
      <c r="A466" s="47"/>
      <c r="B466" s="47"/>
      <c r="V466" s="47"/>
    </row>
    <row r="467" ht="14.25" customHeight="1">
      <c r="A467" s="47"/>
      <c r="B467" s="47"/>
      <c r="V467" s="47"/>
    </row>
    <row r="468" ht="14.25" customHeight="1">
      <c r="A468" s="47"/>
      <c r="B468" s="47"/>
      <c r="V468" s="47"/>
    </row>
    <row r="469" ht="14.25" customHeight="1">
      <c r="A469" s="47"/>
      <c r="B469" s="47"/>
      <c r="V469" s="47"/>
    </row>
    <row r="470" ht="14.25" customHeight="1">
      <c r="A470" s="47"/>
      <c r="B470" s="47"/>
      <c r="V470" s="47"/>
    </row>
    <row r="471" ht="14.25" customHeight="1">
      <c r="A471" s="47"/>
      <c r="B471" s="47"/>
      <c r="V471" s="47"/>
    </row>
    <row r="472" ht="14.25" customHeight="1">
      <c r="A472" s="47"/>
      <c r="B472" s="47"/>
      <c r="V472" s="47"/>
    </row>
    <row r="473" ht="14.25" customHeight="1">
      <c r="A473" s="47"/>
      <c r="B473" s="47"/>
      <c r="V473" s="47"/>
    </row>
    <row r="474" ht="14.25" customHeight="1">
      <c r="A474" s="47"/>
      <c r="B474" s="47"/>
      <c r="V474" s="47"/>
    </row>
    <row r="475" ht="14.25" customHeight="1">
      <c r="A475" s="47"/>
      <c r="B475" s="47"/>
      <c r="V475" s="47"/>
    </row>
    <row r="476" ht="14.25" customHeight="1">
      <c r="A476" s="47"/>
      <c r="B476" s="47"/>
      <c r="V476" s="47"/>
    </row>
    <row r="477" ht="14.25" customHeight="1">
      <c r="A477" s="47"/>
      <c r="B477" s="47"/>
      <c r="V477" s="47"/>
    </row>
    <row r="478" ht="14.25" customHeight="1">
      <c r="A478" s="47"/>
      <c r="B478" s="47"/>
      <c r="V478" s="47"/>
    </row>
    <row r="479" ht="14.25" customHeight="1">
      <c r="A479" s="47"/>
      <c r="B479" s="47"/>
      <c r="V479" s="47"/>
    </row>
    <row r="480" ht="14.25" customHeight="1">
      <c r="A480" s="47"/>
      <c r="B480" s="47"/>
      <c r="V480" s="47"/>
    </row>
    <row r="481" ht="14.25" customHeight="1">
      <c r="A481" s="47"/>
      <c r="B481" s="47"/>
      <c r="V481" s="47"/>
    </row>
    <row r="482" ht="14.25" customHeight="1">
      <c r="A482" s="47"/>
      <c r="B482" s="47"/>
      <c r="V482" s="47"/>
    </row>
    <row r="483" ht="14.25" customHeight="1">
      <c r="A483" s="47"/>
      <c r="B483" s="47"/>
      <c r="V483" s="47"/>
    </row>
    <row r="484" ht="14.25" customHeight="1">
      <c r="A484" s="47"/>
      <c r="B484" s="47"/>
      <c r="V484" s="47"/>
    </row>
    <row r="485" ht="14.25" customHeight="1">
      <c r="A485" s="47"/>
      <c r="B485" s="47"/>
      <c r="V485" s="47"/>
    </row>
    <row r="486" ht="14.25" customHeight="1">
      <c r="A486" s="47"/>
      <c r="B486" s="47"/>
      <c r="V486" s="47"/>
    </row>
    <row r="487" ht="14.25" customHeight="1">
      <c r="A487" s="47"/>
      <c r="B487" s="47"/>
      <c r="V487" s="47"/>
    </row>
    <row r="488" ht="14.25" customHeight="1">
      <c r="A488" s="47"/>
      <c r="B488" s="47"/>
      <c r="V488" s="47"/>
    </row>
    <row r="489" ht="14.25" customHeight="1">
      <c r="A489" s="47"/>
      <c r="B489" s="47"/>
      <c r="V489" s="47"/>
    </row>
    <row r="490" ht="14.25" customHeight="1">
      <c r="A490" s="47"/>
      <c r="B490" s="47"/>
      <c r="V490" s="47"/>
    </row>
    <row r="491" ht="14.25" customHeight="1">
      <c r="A491" s="47"/>
      <c r="B491" s="47"/>
      <c r="V491" s="47"/>
    </row>
    <row r="492" ht="14.25" customHeight="1">
      <c r="A492" s="47"/>
      <c r="B492" s="47"/>
      <c r="V492" s="47"/>
    </row>
    <row r="493" ht="14.25" customHeight="1">
      <c r="A493" s="47"/>
      <c r="B493" s="47"/>
      <c r="V493" s="47"/>
    </row>
    <row r="494" ht="14.25" customHeight="1">
      <c r="A494" s="47"/>
      <c r="B494" s="47"/>
      <c r="V494" s="47"/>
    </row>
    <row r="495" ht="14.25" customHeight="1">
      <c r="A495" s="47"/>
      <c r="B495" s="47"/>
      <c r="V495" s="47"/>
    </row>
    <row r="496" ht="14.25" customHeight="1">
      <c r="A496" s="47"/>
      <c r="B496" s="47"/>
      <c r="V496" s="47"/>
    </row>
    <row r="497" ht="14.25" customHeight="1">
      <c r="A497" s="47"/>
      <c r="B497" s="47"/>
      <c r="V497" s="47"/>
    </row>
    <row r="498" ht="14.25" customHeight="1">
      <c r="A498" s="47"/>
      <c r="B498" s="47"/>
      <c r="V498" s="47"/>
    </row>
    <row r="499" ht="14.25" customHeight="1">
      <c r="A499" s="47"/>
      <c r="B499" s="47"/>
      <c r="V499" s="47"/>
    </row>
    <row r="500" ht="14.25" customHeight="1">
      <c r="A500" s="47"/>
      <c r="B500" s="47"/>
      <c r="V500" s="47"/>
    </row>
    <row r="501" ht="14.25" customHeight="1">
      <c r="A501" s="47"/>
      <c r="B501" s="47"/>
      <c r="V501" s="47"/>
    </row>
    <row r="502" ht="14.25" customHeight="1">
      <c r="A502" s="47"/>
      <c r="B502" s="47"/>
      <c r="V502" s="47"/>
    </row>
    <row r="503" ht="14.25" customHeight="1">
      <c r="A503" s="47"/>
      <c r="B503" s="47"/>
      <c r="V503" s="47"/>
    </row>
    <row r="504" ht="14.25" customHeight="1">
      <c r="A504" s="47"/>
      <c r="B504" s="47"/>
      <c r="V504" s="47"/>
    </row>
    <row r="505" ht="14.25" customHeight="1">
      <c r="A505" s="47"/>
      <c r="B505" s="47"/>
      <c r="V505" s="47"/>
    </row>
    <row r="506" ht="14.25" customHeight="1">
      <c r="A506" s="47"/>
      <c r="B506" s="47"/>
      <c r="V506" s="47"/>
    </row>
    <row r="507" ht="14.25" customHeight="1">
      <c r="A507" s="47"/>
      <c r="B507" s="47"/>
      <c r="V507" s="47"/>
    </row>
    <row r="508" ht="14.25" customHeight="1">
      <c r="A508" s="47"/>
      <c r="B508" s="47"/>
      <c r="V508" s="47"/>
    </row>
    <row r="509" ht="14.25" customHeight="1">
      <c r="A509" s="47"/>
      <c r="B509" s="47"/>
      <c r="V509" s="47"/>
    </row>
    <row r="510" ht="14.25" customHeight="1">
      <c r="A510" s="47"/>
      <c r="B510" s="47"/>
      <c r="V510" s="47"/>
    </row>
    <row r="511" ht="14.25" customHeight="1">
      <c r="A511" s="47"/>
      <c r="B511" s="47"/>
      <c r="V511" s="47"/>
    </row>
    <row r="512" ht="14.25" customHeight="1">
      <c r="A512" s="47"/>
      <c r="B512" s="47"/>
      <c r="V512" s="47"/>
    </row>
    <row r="513" ht="14.25" customHeight="1">
      <c r="A513" s="47"/>
      <c r="B513" s="47"/>
      <c r="V513" s="47"/>
    </row>
    <row r="514" ht="14.25" customHeight="1">
      <c r="A514" s="47"/>
      <c r="B514" s="47"/>
      <c r="V514" s="47"/>
    </row>
    <row r="515" ht="14.25" customHeight="1">
      <c r="A515" s="47"/>
      <c r="B515" s="47"/>
      <c r="V515" s="47"/>
    </row>
    <row r="516" ht="14.25" customHeight="1">
      <c r="A516" s="47"/>
      <c r="B516" s="47"/>
      <c r="V516" s="47"/>
    </row>
    <row r="517" ht="14.25" customHeight="1">
      <c r="A517" s="47"/>
      <c r="B517" s="47"/>
      <c r="V517" s="47"/>
    </row>
    <row r="518" ht="14.25" customHeight="1">
      <c r="A518" s="47"/>
      <c r="B518" s="47"/>
      <c r="V518" s="47"/>
    </row>
    <row r="519" ht="14.25" customHeight="1">
      <c r="A519" s="47"/>
      <c r="B519" s="47"/>
      <c r="V519" s="47"/>
    </row>
    <row r="520" ht="14.25" customHeight="1">
      <c r="A520" s="47"/>
      <c r="B520" s="47"/>
      <c r="V520" s="47"/>
    </row>
    <row r="521" ht="14.25" customHeight="1">
      <c r="A521" s="47"/>
      <c r="B521" s="47"/>
      <c r="V521" s="47"/>
    </row>
    <row r="522" ht="14.25" customHeight="1">
      <c r="A522" s="47"/>
      <c r="B522" s="47"/>
      <c r="V522" s="47"/>
    </row>
    <row r="523" ht="14.25" customHeight="1">
      <c r="A523" s="47"/>
      <c r="B523" s="47"/>
      <c r="V523" s="47"/>
    </row>
    <row r="524" ht="14.25" customHeight="1">
      <c r="A524" s="47"/>
      <c r="B524" s="47"/>
      <c r="V524" s="47"/>
    </row>
    <row r="525" ht="14.25" customHeight="1">
      <c r="A525" s="47"/>
      <c r="B525" s="47"/>
      <c r="V525" s="47"/>
    </row>
    <row r="526" ht="14.25" customHeight="1">
      <c r="A526" s="47"/>
      <c r="B526" s="47"/>
      <c r="V526" s="47"/>
    </row>
    <row r="527" ht="14.25" customHeight="1">
      <c r="A527" s="47"/>
      <c r="B527" s="47"/>
      <c r="V527" s="47"/>
    </row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1.88"/>
    <col customWidth="1" min="3" max="3" width="8.25"/>
    <col customWidth="1" min="4" max="4" width="10.38"/>
    <col customWidth="1" min="5" max="5" width="3.88"/>
    <col customWidth="1" min="6" max="6" width="11.25"/>
    <col customWidth="1" min="7" max="7" width="13.88"/>
    <col customWidth="1" min="8" max="8" width="22.88"/>
    <col customWidth="1" min="9" max="11" width="7.88"/>
    <col customWidth="1" min="12" max="12" width="6.0"/>
    <col customWidth="1" min="13" max="13" width="18.5"/>
    <col customWidth="1" min="14" max="14" width="7.13"/>
    <col customWidth="1" min="15" max="15" width="4.38"/>
    <col customWidth="1" min="16" max="16" width="6.0"/>
    <col customWidth="1" min="17" max="17" width="5.13"/>
    <col customWidth="1" min="18" max="18" width="6.25"/>
    <col customWidth="1" min="19" max="19" width="4.0"/>
    <col customWidth="1" min="20" max="20" width="3.38"/>
    <col customWidth="1" min="21" max="21" width="8.25"/>
    <col customWidth="1" min="22" max="22" width="5.63"/>
    <col customWidth="1" min="23" max="24" width="9.25"/>
    <col customWidth="1" min="25" max="25" width="12.88"/>
    <col customWidth="1" min="26" max="26" width="9.75"/>
    <col customWidth="1" min="27" max="27" width="8.75"/>
    <col customWidth="1" min="28" max="37" width="8.25"/>
  </cols>
  <sheetData>
    <row r="1" ht="12.75" customHeight="1">
      <c r="I1" s="67"/>
      <c r="J1" s="67"/>
      <c r="K1" s="67"/>
      <c r="U1" s="68"/>
    </row>
    <row r="2" ht="14.25" customHeight="1">
      <c r="A2" s="50" t="s">
        <v>712</v>
      </c>
      <c r="B2" s="50" t="s">
        <v>714</v>
      </c>
      <c r="C2" s="40" t="s">
        <v>716</v>
      </c>
      <c r="D2" s="40" t="s">
        <v>507</v>
      </c>
      <c r="E2" s="50" t="s">
        <v>720</v>
      </c>
      <c r="F2" s="52" t="s">
        <v>721</v>
      </c>
      <c r="G2" s="40" t="s">
        <v>637</v>
      </c>
      <c r="H2" s="40" t="s">
        <v>724</v>
      </c>
      <c r="I2" s="69" t="s">
        <v>726</v>
      </c>
      <c r="J2" s="69" t="s">
        <v>727</v>
      </c>
      <c r="K2" s="69" t="s">
        <v>729</v>
      </c>
      <c r="L2" s="40" t="s">
        <v>638</v>
      </c>
      <c r="M2" s="40" t="s">
        <v>731</v>
      </c>
      <c r="N2" s="40" t="s">
        <v>732</v>
      </c>
      <c r="O2" s="40" t="s">
        <v>733</v>
      </c>
      <c r="P2" s="40" t="s">
        <v>735</v>
      </c>
      <c r="Q2" s="40" t="s">
        <v>739</v>
      </c>
      <c r="R2" s="40" t="s">
        <v>741</v>
      </c>
      <c r="S2" s="40" t="s">
        <v>743</v>
      </c>
      <c r="T2" s="40" t="s">
        <v>112</v>
      </c>
      <c r="U2" s="70" t="s">
        <v>746</v>
      </c>
      <c r="V2" s="42" t="s">
        <v>747</v>
      </c>
      <c r="W2" s="40" t="s">
        <v>748</v>
      </c>
      <c r="X2" s="40" t="s">
        <v>749</v>
      </c>
      <c r="Y2" s="71" t="s">
        <v>752</v>
      </c>
      <c r="Z2" s="1" t="s">
        <v>758</v>
      </c>
      <c r="AA2" s="42" t="s">
        <v>760</v>
      </c>
      <c r="AB2" s="42" t="s">
        <v>762</v>
      </c>
      <c r="AC2" s="42" t="s">
        <v>763</v>
      </c>
      <c r="AD2" s="42" t="s">
        <v>764</v>
      </c>
      <c r="AE2" s="42" t="s">
        <v>765</v>
      </c>
      <c r="AF2" s="42" t="s">
        <v>766</v>
      </c>
      <c r="AG2" s="42" t="s">
        <v>767</v>
      </c>
      <c r="AH2" s="42" t="s">
        <v>768</v>
      </c>
      <c r="AI2" s="42" t="s">
        <v>770</v>
      </c>
      <c r="AJ2" s="42" t="s">
        <v>771</v>
      </c>
      <c r="AK2" s="42" t="s">
        <v>772</v>
      </c>
    </row>
    <row r="3" ht="16.5" customHeight="1">
      <c r="A3" s="54">
        <v>10001.0</v>
      </c>
      <c r="B3" s="35" t="s">
        <v>773</v>
      </c>
      <c r="C3" s="54" t="s">
        <v>8</v>
      </c>
      <c r="D3" s="54" t="s">
        <v>774</v>
      </c>
      <c r="E3" s="54"/>
      <c r="F3" s="73" t="str">
        <f t="shared" ref="F3:F33" si="3">"1,1"</f>
        <v>1,1</v>
      </c>
      <c r="G3" s="39" t="str">
        <f>"56,58,17,13,3,6,18"</f>
        <v>56,58,17,13,3,6,18</v>
      </c>
      <c r="H3" s="54"/>
      <c r="I3" s="74">
        <v>110012.0</v>
      </c>
      <c r="J3" s="74">
        <f t="shared" ref="J3:J9" si="4">A3+200000</f>
        <v>210001</v>
      </c>
      <c r="K3" s="74">
        <f t="shared" ref="K3:K9" si="5">J3+100000</f>
        <v>310001</v>
      </c>
      <c r="L3" s="42">
        <v>2.0</v>
      </c>
      <c r="M3" s="54"/>
      <c r="N3" s="54">
        <v>660.0</v>
      </c>
      <c r="O3" s="54">
        <v>14.0</v>
      </c>
      <c r="P3" s="54">
        <v>97.0</v>
      </c>
      <c r="Q3" s="54">
        <v>32.0</v>
      </c>
      <c r="R3" s="54">
        <v>55.0</v>
      </c>
      <c r="S3" s="54">
        <v>179.0</v>
      </c>
      <c r="T3" s="54">
        <v>19.0</v>
      </c>
      <c r="U3" s="76"/>
      <c r="V3" s="77">
        <f t="shared" ref="V3:V33" si="6">N3*0.5+O3+P3+Q3+R3+S3+T3*5</f>
        <v>802</v>
      </c>
      <c r="W3" s="42"/>
      <c r="X3" s="42">
        <v>9101.0</v>
      </c>
      <c r="Y3" s="18">
        <f t="shared" ref="Y3:Y33" si="7">IF(C3="SSR",30,IF(C3="SR",10,IF(C3="R",5)))</f>
        <v>30</v>
      </c>
      <c r="Z3" s="42" t="str">
        <f t="shared" ref="Z3:Z33" si="8">IF(C3="SSR",IF(P3&gt;O3,"901","900"),IF(C3="SR",IF(P3&gt;O3,"902","903" ),IF(C3="R",IF(P3&gt;O3,"904","905" ))))</f>
        <v>901</v>
      </c>
      <c r="AA3" s="42">
        <v>900.0</v>
      </c>
      <c r="AB3" s="78">
        <f>J3+1000</f>
        <v>211001</v>
      </c>
      <c r="AC3" s="78">
        <f t="shared" ref="AC3:AF3" si="1">AB3+1000</f>
        <v>212001</v>
      </c>
      <c r="AD3" s="78">
        <f t="shared" si="1"/>
        <v>213001</v>
      </c>
      <c r="AE3" s="78">
        <f t="shared" si="1"/>
        <v>214001</v>
      </c>
      <c r="AF3" s="78">
        <f t="shared" si="1"/>
        <v>215001</v>
      </c>
      <c r="AG3" s="78">
        <f>K3+1000</f>
        <v>311001</v>
      </c>
      <c r="AH3" s="78">
        <f t="shared" ref="AH3:AK3" si="2">AG3+1000</f>
        <v>312001</v>
      </c>
      <c r="AI3" s="78">
        <f t="shared" si="2"/>
        <v>313001</v>
      </c>
      <c r="AJ3" s="78">
        <f t="shared" si="2"/>
        <v>314001</v>
      </c>
      <c r="AK3" s="78">
        <f t="shared" si="2"/>
        <v>315001</v>
      </c>
    </row>
    <row r="4" ht="16.5" customHeight="1">
      <c r="A4" s="54">
        <f t="shared" ref="A4:A9" si="10">A3+1</f>
        <v>10002</v>
      </c>
      <c r="B4" s="35" t="s">
        <v>312</v>
      </c>
      <c r="C4" s="54" t="s">
        <v>8</v>
      </c>
      <c r="D4" s="54" t="s">
        <v>774</v>
      </c>
      <c r="E4" s="54"/>
      <c r="F4" s="73" t="str">
        <f t="shared" si="3"/>
        <v>1,1</v>
      </c>
      <c r="G4" s="39" t="str">
        <f>"56,58,17,13,2,23,24"</f>
        <v>56,58,17,13,2,23,24</v>
      </c>
      <c r="H4" s="54"/>
      <c r="I4" s="74">
        <v>110011.0</v>
      </c>
      <c r="J4" s="74">
        <f t="shared" si="4"/>
        <v>210002</v>
      </c>
      <c r="K4" s="74">
        <f t="shared" si="5"/>
        <v>310002</v>
      </c>
      <c r="L4" s="42">
        <v>1.0</v>
      </c>
      <c r="M4" s="54"/>
      <c r="N4" s="54">
        <v>700.0</v>
      </c>
      <c r="O4" s="54">
        <v>16.0</v>
      </c>
      <c r="P4" s="54">
        <v>85.0</v>
      </c>
      <c r="Q4" s="54">
        <v>37.0</v>
      </c>
      <c r="R4" s="54">
        <v>65.0</v>
      </c>
      <c r="S4" s="54">
        <v>248.0</v>
      </c>
      <c r="T4" s="54">
        <v>17.0</v>
      </c>
      <c r="U4" s="76"/>
      <c r="V4" s="77">
        <f t="shared" si="6"/>
        <v>886</v>
      </c>
      <c r="W4" s="42"/>
      <c r="X4" s="42">
        <v>9102.0</v>
      </c>
      <c r="Y4" s="18">
        <f t="shared" si="7"/>
        <v>30</v>
      </c>
      <c r="Z4" s="42" t="str">
        <f t="shared" si="8"/>
        <v>901</v>
      </c>
      <c r="AA4" s="42">
        <v>900.0</v>
      </c>
      <c r="AB4" s="78">
        <f t="shared" ref="AB4:AK4" si="9">AB3+1</f>
        <v>211002</v>
      </c>
      <c r="AC4" s="78">
        <f t="shared" si="9"/>
        <v>212002</v>
      </c>
      <c r="AD4" s="78">
        <f t="shared" si="9"/>
        <v>213002</v>
      </c>
      <c r="AE4" s="78">
        <f t="shared" si="9"/>
        <v>214002</v>
      </c>
      <c r="AF4" s="78">
        <f t="shared" si="9"/>
        <v>215002</v>
      </c>
      <c r="AG4" s="78">
        <f t="shared" si="9"/>
        <v>311002</v>
      </c>
      <c r="AH4" s="78">
        <f t="shared" si="9"/>
        <v>312002</v>
      </c>
      <c r="AI4" s="78">
        <f t="shared" si="9"/>
        <v>313002</v>
      </c>
      <c r="AJ4" s="78">
        <f t="shared" si="9"/>
        <v>314002</v>
      </c>
      <c r="AK4" s="78">
        <f t="shared" si="9"/>
        <v>315002</v>
      </c>
    </row>
    <row r="5" ht="16.5" customHeight="1">
      <c r="A5" s="54">
        <f t="shared" si="10"/>
        <v>10003</v>
      </c>
      <c r="B5" s="35" t="s">
        <v>330</v>
      </c>
      <c r="C5" s="54" t="s">
        <v>8</v>
      </c>
      <c r="D5" s="54" t="s">
        <v>774</v>
      </c>
      <c r="E5" s="54"/>
      <c r="F5" s="73" t="str">
        <f t="shared" si="3"/>
        <v>1,1</v>
      </c>
      <c r="G5" s="39" t="str">
        <f>"56,58,14,8,25,26"</f>
        <v>56,58,14,8,25,26</v>
      </c>
      <c r="H5" s="54"/>
      <c r="I5" s="74">
        <v>110011.0</v>
      </c>
      <c r="J5" s="74">
        <f t="shared" si="4"/>
        <v>210003</v>
      </c>
      <c r="K5" s="74">
        <f t="shared" si="5"/>
        <v>310003</v>
      </c>
      <c r="L5" s="42">
        <v>1.0</v>
      </c>
      <c r="M5" s="54"/>
      <c r="N5" s="54">
        <v>750.0</v>
      </c>
      <c r="O5" s="54">
        <v>22.0</v>
      </c>
      <c r="P5" s="54">
        <v>81.0</v>
      </c>
      <c r="Q5" s="54">
        <v>44.0</v>
      </c>
      <c r="R5" s="54">
        <v>43.0</v>
      </c>
      <c r="S5" s="54">
        <v>126.0</v>
      </c>
      <c r="T5" s="54">
        <v>16.0</v>
      </c>
      <c r="U5" s="76"/>
      <c r="V5" s="77">
        <f t="shared" si="6"/>
        <v>771</v>
      </c>
      <c r="W5" s="42"/>
      <c r="X5" s="42">
        <v>9103.0</v>
      </c>
      <c r="Y5" s="18">
        <f t="shared" si="7"/>
        <v>30</v>
      </c>
      <c r="Z5" s="42" t="str">
        <f t="shared" si="8"/>
        <v>901</v>
      </c>
      <c r="AA5" s="42">
        <v>900.0</v>
      </c>
      <c r="AB5" s="78">
        <f t="shared" ref="AB5:AK5" si="11">AB4+1</f>
        <v>211003</v>
      </c>
      <c r="AC5" s="78">
        <f t="shared" si="11"/>
        <v>212003</v>
      </c>
      <c r="AD5" s="78">
        <f t="shared" si="11"/>
        <v>213003</v>
      </c>
      <c r="AE5" s="78">
        <f t="shared" si="11"/>
        <v>214003</v>
      </c>
      <c r="AF5" s="78">
        <f t="shared" si="11"/>
        <v>215003</v>
      </c>
      <c r="AG5" s="78">
        <f t="shared" si="11"/>
        <v>311003</v>
      </c>
      <c r="AH5" s="78">
        <f t="shared" si="11"/>
        <v>312003</v>
      </c>
      <c r="AI5" s="78">
        <f t="shared" si="11"/>
        <v>313003</v>
      </c>
      <c r="AJ5" s="78">
        <f t="shared" si="11"/>
        <v>314003</v>
      </c>
      <c r="AK5" s="78">
        <f t="shared" si="11"/>
        <v>315003</v>
      </c>
    </row>
    <row r="6" ht="16.5" customHeight="1">
      <c r="A6" s="54">
        <f t="shared" si="10"/>
        <v>10004</v>
      </c>
      <c r="B6" s="35" t="s">
        <v>846</v>
      </c>
      <c r="C6" s="54" t="s">
        <v>8</v>
      </c>
      <c r="D6" s="54" t="s">
        <v>774</v>
      </c>
      <c r="E6" s="54"/>
      <c r="F6" s="73" t="str">
        <f t="shared" si="3"/>
        <v>1,1</v>
      </c>
      <c r="G6" s="39" t="s">
        <v>847</v>
      </c>
      <c r="H6" s="54"/>
      <c r="I6" s="74">
        <v>110002.0</v>
      </c>
      <c r="J6" s="74">
        <f t="shared" si="4"/>
        <v>210004</v>
      </c>
      <c r="K6" s="74">
        <f t="shared" si="5"/>
        <v>310004</v>
      </c>
      <c r="L6" s="42">
        <v>3.0</v>
      </c>
      <c r="M6" s="54"/>
      <c r="N6" s="54">
        <v>680.0</v>
      </c>
      <c r="O6" s="54">
        <v>91.0</v>
      </c>
      <c r="P6" s="54">
        <v>12.0</v>
      </c>
      <c r="Q6" s="54">
        <v>58.0</v>
      </c>
      <c r="R6" s="54">
        <v>40.0</v>
      </c>
      <c r="S6" s="54">
        <v>124.0</v>
      </c>
      <c r="T6" s="54">
        <v>15.0</v>
      </c>
      <c r="U6" s="76"/>
      <c r="V6" s="77">
        <f t="shared" si="6"/>
        <v>740</v>
      </c>
      <c r="W6" s="42"/>
      <c r="X6" s="42">
        <v>9104.0</v>
      </c>
      <c r="Y6" s="18">
        <f t="shared" si="7"/>
        <v>30</v>
      </c>
      <c r="Z6" s="42" t="str">
        <f t="shared" si="8"/>
        <v>900</v>
      </c>
      <c r="AA6" s="42">
        <v>900.0</v>
      </c>
      <c r="AB6" s="78">
        <f t="shared" ref="AB6:AK6" si="12">AB5+1</f>
        <v>211004</v>
      </c>
      <c r="AC6" s="78">
        <f t="shared" si="12"/>
        <v>212004</v>
      </c>
      <c r="AD6" s="78">
        <f t="shared" si="12"/>
        <v>213004</v>
      </c>
      <c r="AE6" s="78">
        <f t="shared" si="12"/>
        <v>214004</v>
      </c>
      <c r="AF6" s="78">
        <f t="shared" si="12"/>
        <v>215004</v>
      </c>
      <c r="AG6" s="78">
        <f t="shared" si="12"/>
        <v>311004</v>
      </c>
      <c r="AH6" s="78">
        <f t="shared" si="12"/>
        <v>312004</v>
      </c>
      <c r="AI6" s="78">
        <f t="shared" si="12"/>
        <v>313004</v>
      </c>
      <c r="AJ6" s="78">
        <f t="shared" si="12"/>
        <v>314004</v>
      </c>
      <c r="AK6" s="78">
        <f t="shared" si="12"/>
        <v>315004</v>
      </c>
    </row>
    <row r="7" ht="16.5" customHeight="1">
      <c r="A7" s="54">
        <f t="shared" si="10"/>
        <v>10005</v>
      </c>
      <c r="B7" s="35" t="s">
        <v>363</v>
      </c>
      <c r="C7" s="54" t="s">
        <v>8</v>
      </c>
      <c r="D7" s="54" t="s">
        <v>774</v>
      </c>
      <c r="E7" s="54"/>
      <c r="F7" s="73" t="str">
        <f t="shared" si="3"/>
        <v>1,1</v>
      </c>
      <c r="G7" s="39" t="str">
        <f>"56,58,12,13,3,1,2"</f>
        <v>56,58,12,13,3,1,2</v>
      </c>
      <c r="H7" s="54"/>
      <c r="I7" s="74">
        <v>110001.0</v>
      </c>
      <c r="J7" s="74">
        <f t="shared" si="4"/>
        <v>210005</v>
      </c>
      <c r="K7" s="74">
        <f t="shared" si="5"/>
        <v>310005</v>
      </c>
      <c r="L7" s="42">
        <v>2.0</v>
      </c>
      <c r="M7" s="54"/>
      <c r="N7" s="54">
        <v>690.0</v>
      </c>
      <c r="O7" s="54">
        <v>88.0</v>
      </c>
      <c r="P7" s="54">
        <v>21.0</v>
      </c>
      <c r="Q7" s="54">
        <v>62.0</v>
      </c>
      <c r="R7" s="54">
        <v>49.0</v>
      </c>
      <c r="S7" s="54">
        <v>126.0</v>
      </c>
      <c r="T7" s="54">
        <v>17.0</v>
      </c>
      <c r="U7" s="76"/>
      <c r="V7" s="77">
        <f t="shared" si="6"/>
        <v>776</v>
      </c>
      <c r="W7" s="42"/>
      <c r="X7" s="42">
        <v>9105.0</v>
      </c>
      <c r="Y7" s="18">
        <f t="shared" si="7"/>
        <v>30</v>
      </c>
      <c r="Z7" s="42" t="str">
        <f t="shared" si="8"/>
        <v>900</v>
      </c>
      <c r="AA7" s="42">
        <v>900.0</v>
      </c>
      <c r="AB7" s="78">
        <f t="shared" ref="AB7:AK7" si="13">AB6+1</f>
        <v>211005</v>
      </c>
      <c r="AC7" s="78">
        <f t="shared" si="13"/>
        <v>212005</v>
      </c>
      <c r="AD7" s="78">
        <f t="shared" si="13"/>
        <v>213005</v>
      </c>
      <c r="AE7" s="78">
        <f t="shared" si="13"/>
        <v>214005</v>
      </c>
      <c r="AF7" s="78">
        <f t="shared" si="13"/>
        <v>215005</v>
      </c>
      <c r="AG7" s="78">
        <f t="shared" si="13"/>
        <v>311005</v>
      </c>
      <c r="AH7" s="78">
        <f t="shared" si="13"/>
        <v>312005</v>
      </c>
      <c r="AI7" s="78">
        <f t="shared" si="13"/>
        <v>313005</v>
      </c>
      <c r="AJ7" s="78">
        <f t="shared" si="13"/>
        <v>314005</v>
      </c>
      <c r="AK7" s="78">
        <f t="shared" si="13"/>
        <v>315005</v>
      </c>
    </row>
    <row r="8" ht="16.5" customHeight="1">
      <c r="A8" s="54">
        <f t="shared" si="10"/>
        <v>10006</v>
      </c>
      <c r="B8" s="35" t="s">
        <v>380</v>
      </c>
      <c r="C8" s="54" t="s">
        <v>8</v>
      </c>
      <c r="D8" s="54" t="s">
        <v>774</v>
      </c>
      <c r="E8" s="54"/>
      <c r="F8" s="73" t="str">
        <f t="shared" si="3"/>
        <v>1,1</v>
      </c>
      <c r="G8" s="39" t="str">
        <f>"56,58,18,5,8,15"</f>
        <v>56,58,18,5,8,15</v>
      </c>
      <c r="H8" s="54"/>
      <c r="I8" s="74">
        <v>110012.0</v>
      </c>
      <c r="J8" s="74">
        <f t="shared" si="4"/>
        <v>210006</v>
      </c>
      <c r="K8" s="74">
        <f t="shared" si="5"/>
        <v>310006</v>
      </c>
      <c r="L8" s="42">
        <v>1.0</v>
      </c>
      <c r="M8" s="54"/>
      <c r="N8" s="54">
        <v>930.0</v>
      </c>
      <c r="O8" s="54">
        <v>13.0</v>
      </c>
      <c r="P8" s="54">
        <v>59.0</v>
      </c>
      <c r="Q8" s="54">
        <v>59.0</v>
      </c>
      <c r="R8" s="54">
        <v>75.0</v>
      </c>
      <c r="S8" s="54">
        <v>231.0</v>
      </c>
      <c r="T8" s="54">
        <v>13.0</v>
      </c>
      <c r="U8" s="76"/>
      <c r="V8" s="77">
        <f t="shared" si="6"/>
        <v>967</v>
      </c>
      <c r="W8" s="42"/>
      <c r="X8" s="42">
        <v>9106.0</v>
      </c>
      <c r="Y8" s="18">
        <f t="shared" si="7"/>
        <v>30</v>
      </c>
      <c r="Z8" s="42" t="str">
        <f t="shared" si="8"/>
        <v>901</v>
      </c>
      <c r="AA8" s="42">
        <v>900.0</v>
      </c>
      <c r="AB8" s="78">
        <f t="shared" ref="AB8:AK8" si="14">AB7+1</f>
        <v>211006</v>
      </c>
      <c r="AC8" s="78">
        <f t="shared" si="14"/>
        <v>212006</v>
      </c>
      <c r="AD8" s="78">
        <f t="shared" si="14"/>
        <v>213006</v>
      </c>
      <c r="AE8" s="78">
        <f t="shared" si="14"/>
        <v>214006</v>
      </c>
      <c r="AF8" s="78">
        <f t="shared" si="14"/>
        <v>215006</v>
      </c>
      <c r="AG8" s="78">
        <f t="shared" si="14"/>
        <v>311006</v>
      </c>
      <c r="AH8" s="78">
        <f t="shared" si="14"/>
        <v>312006</v>
      </c>
      <c r="AI8" s="78">
        <f t="shared" si="14"/>
        <v>313006</v>
      </c>
      <c r="AJ8" s="78">
        <f t="shared" si="14"/>
        <v>314006</v>
      </c>
      <c r="AK8" s="78">
        <f t="shared" si="14"/>
        <v>315006</v>
      </c>
    </row>
    <row r="9" ht="16.5" customHeight="1">
      <c r="A9" s="54">
        <f t="shared" si="10"/>
        <v>10007</v>
      </c>
      <c r="B9" s="35" t="s">
        <v>400</v>
      </c>
      <c r="C9" s="54" t="s">
        <v>8</v>
      </c>
      <c r="D9" s="54" t="s">
        <v>774</v>
      </c>
      <c r="E9" s="54"/>
      <c r="F9" s="73" t="str">
        <f t="shared" si="3"/>
        <v>1,1</v>
      </c>
      <c r="G9" s="39" t="str">
        <f>"58,12,11,20,1"</f>
        <v>58,12,11,20,1</v>
      </c>
      <c r="H9" s="54"/>
      <c r="I9" s="74">
        <v>110011.0</v>
      </c>
      <c r="J9" s="74">
        <f t="shared" si="4"/>
        <v>210007</v>
      </c>
      <c r="K9" s="74">
        <f t="shared" si="5"/>
        <v>310007</v>
      </c>
      <c r="L9" s="42">
        <v>3.0</v>
      </c>
      <c r="M9" s="54"/>
      <c r="N9" s="54">
        <v>820.0</v>
      </c>
      <c r="O9" s="54">
        <v>71.0</v>
      </c>
      <c r="P9" s="54">
        <v>22.0</v>
      </c>
      <c r="Q9" s="54">
        <v>66.0</v>
      </c>
      <c r="R9" s="54">
        <v>55.0</v>
      </c>
      <c r="S9" s="54">
        <v>199.0</v>
      </c>
      <c r="T9" s="54">
        <v>13.0</v>
      </c>
      <c r="U9" s="76"/>
      <c r="V9" s="77">
        <f t="shared" si="6"/>
        <v>888</v>
      </c>
      <c r="W9" s="42"/>
      <c r="X9" s="42">
        <v>9107.0</v>
      </c>
      <c r="Y9" s="18">
        <f t="shared" si="7"/>
        <v>30</v>
      </c>
      <c r="Z9" s="42" t="str">
        <f t="shared" si="8"/>
        <v>900</v>
      </c>
      <c r="AA9" s="42">
        <v>900.0</v>
      </c>
      <c r="AB9" s="78">
        <f t="shared" ref="AB9:AK9" si="15">AB8+1</f>
        <v>211007</v>
      </c>
      <c r="AC9" s="78">
        <f t="shared" si="15"/>
        <v>212007</v>
      </c>
      <c r="AD9" s="78">
        <f t="shared" si="15"/>
        <v>213007</v>
      </c>
      <c r="AE9" s="78">
        <f t="shared" si="15"/>
        <v>214007</v>
      </c>
      <c r="AF9" s="78">
        <f t="shared" si="15"/>
        <v>215007</v>
      </c>
      <c r="AG9" s="78">
        <f t="shared" si="15"/>
        <v>311007</v>
      </c>
      <c r="AH9" s="78">
        <f t="shared" si="15"/>
        <v>312007</v>
      </c>
      <c r="AI9" s="78">
        <f t="shared" si="15"/>
        <v>313007</v>
      </c>
      <c r="AJ9" s="78">
        <f t="shared" si="15"/>
        <v>314007</v>
      </c>
      <c r="AK9" s="78">
        <f t="shared" si="15"/>
        <v>315007</v>
      </c>
    </row>
    <row r="10" ht="16.5" customHeight="1">
      <c r="A10" s="54">
        <v>10008.0</v>
      </c>
      <c r="B10" s="35" t="s">
        <v>422</v>
      </c>
      <c r="C10" s="54" t="s">
        <v>8</v>
      </c>
      <c r="D10" s="54" t="s">
        <v>774</v>
      </c>
      <c r="E10" s="54"/>
      <c r="F10" s="73" t="str">
        <f t="shared" si="3"/>
        <v>1,1</v>
      </c>
      <c r="G10" s="39" t="s">
        <v>866</v>
      </c>
      <c r="H10" s="54"/>
      <c r="I10" s="74">
        <v>110012.0</v>
      </c>
      <c r="J10" s="74">
        <v>210008.0</v>
      </c>
      <c r="K10" s="74">
        <v>310008.0</v>
      </c>
      <c r="L10" s="64">
        <v>3.0</v>
      </c>
      <c r="M10" s="54"/>
      <c r="N10" s="54">
        <v>640.0</v>
      </c>
      <c r="O10" s="54">
        <v>19.0</v>
      </c>
      <c r="P10" s="54">
        <v>89.0</v>
      </c>
      <c r="Q10" s="54">
        <v>41.0</v>
      </c>
      <c r="R10" s="54">
        <v>55.0</v>
      </c>
      <c r="S10" s="54">
        <v>242.0</v>
      </c>
      <c r="T10" s="54">
        <v>14.0</v>
      </c>
      <c r="U10" s="76"/>
      <c r="V10" s="77">
        <f t="shared" si="6"/>
        <v>836</v>
      </c>
      <c r="W10" s="42"/>
      <c r="X10" s="42">
        <v>9108.0</v>
      </c>
      <c r="Y10" s="18">
        <f t="shared" si="7"/>
        <v>30</v>
      </c>
      <c r="Z10" s="42" t="str">
        <f t="shared" si="8"/>
        <v>901</v>
      </c>
      <c r="AA10" s="42">
        <v>900.0</v>
      </c>
      <c r="AB10" s="78">
        <f t="shared" ref="AB10:AK10" si="16">AB9+1</f>
        <v>211008</v>
      </c>
      <c r="AC10" s="78">
        <f t="shared" si="16"/>
        <v>212008</v>
      </c>
      <c r="AD10" s="78">
        <f t="shared" si="16"/>
        <v>213008</v>
      </c>
      <c r="AE10" s="78">
        <f t="shared" si="16"/>
        <v>214008</v>
      </c>
      <c r="AF10" s="78">
        <f t="shared" si="16"/>
        <v>215008</v>
      </c>
      <c r="AG10" s="78">
        <f t="shared" si="16"/>
        <v>311008</v>
      </c>
      <c r="AH10" s="78">
        <f t="shared" si="16"/>
        <v>312008</v>
      </c>
      <c r="AI10" s="78">
        <f t="shared" si="16"/>
        <v>313008</v>
      </c>
      <c r="AJ10" s="78">
        <f t="shared" si="16"/>
        <v>314008</v>
      </c>
      <c r="AK10" s="78">
        <f t="shared" si="16"/>
        <v>315008</v>
      </c>
    </row>
    <row r="11" ht="16.5" customHeight="1">
      <c r="A11" s="54">
        <v>10009.0</v>
      </c>
      <c r="B11" s="35" t="s">
        <v>442</v>
      </c>
      <c r="C11" s="54" t="s">
        <v>8</v>
      </c>
      <c r="D11" s="54" t="s">
        <v>774</v>
      </c>
      <c r="E11" s="54"/>
      <c r="F11" s="73" t="str">
        <f t="shared" si="3"/>
        <v>1,1</v>
      </c>
      <c r="G11" s="39" t="str">
        <f>"56,60,18,15,25,26"</f>
        <v>56,60,18,15,25,26</v>
      </c>
      <c r="H11" s="54"/>
      <c r="I11" s="74">
        <v>110001.0</v>
      </c>
      <c r="J11" s="74">
        <v>210009.0</v>
      </c>
      <c r="K11" s="74">
        <v>310009.0</v>
      </c>
      <c r="L11" s="64">
        <v>1.0</v>
      </c>
      <c r="M11" s="54"/>
      <c r="N11" s="54">
        <v>655.0</v>
      </c>
      <c r="O11" s="54">
        <v>93.0</v>
      </c>
      <c r="P11" s="54">
        <v>13.0</v>
      </c>
      <c r="Q11" s="54">
        <v>58.0</v>
      </c>
      <c r="R11" s="54">
        <v>40.0</v>
      </c>
      <c r="S11" s="54">
        <v>155.0</v>
      </c>
      <c r="T11" s="54">
        <v>19.0</v>
      </c>
      <c r="U11" s="76"/>
      <c r="V11" s="77">
        <f t="shared" si="6"/>
        <v>781.5</v>
      </c>
      <c r="W11" s="42"/>
      <c r="X11" s="42">
        <v>9109.0</v>
      </c>
      <c r="Y11" s="18">
        <f t="shared" si="7"/>
        <v>30</v>
      </c>
      <c r="Z11" s="42" t="str">
        <f t="shared" si="8"/>
        <v>900</v>
      </c>
      <c r="AA11" s="42">
        <v>900.0</v>
      </c>
      <c r="AB11" s="78">
        <f t="shared" ref="AB11:AK11" si="17">AB10+1</f>
        <v>211009</v>
      </c>
      <c r="AC11" s="78">
        <f t="shared" si="17"/>
        <v>212009</v>
      </c>
      <c r="AD11" s="78">
        <f t="shared" si="17"/>
        <v>213009</v>
      </c>
      <c r="AE11" s="78">
        <f t="shared" si="17"/>
        <v>214009</v>
      </c>
      <c r="AF11" s="78">
        <f t="shared" si="17"/>
        <v>215009</v>
      </c>
      <c r="AG11" s="78">
        <f t="shared" si="17"/>
        <v>311009</v>
      </c>
      <c r="AH11" s="78">
        <f t="shared" si="17"/>
        <v>312009</v>
      </c>
      <c r="AI11" s="78">
        <f t="shared" si="17"/>
        <v>313009</v>
      </c>
      <c r="AJ11" s="78">
        <f t="shared" si="17"/>
        <v>314009</v>
      </c>
      <c r="AK11" s="78">
        <f t="shared" si="17"/>
        <v>315009</v>
      </c>
    </row>
    <row r="12" ht="16.5" customHeight="1">
      <c r="A12" s="54">
        <v>10010.0</v>
      </c>
      <c r="B12" s="35" t="s">
        <v>458</v>
      </c>
      <c r="C12" s="54" t="s">
        <v>8</v>
      </c>
      <c r="D12" s="54" t="s">
        <v>774</v>
      </c>
      <c r="E12" s="54"/>
      <c r="F12" s="73" t="str">
        <f t="shared" si="3"/>
        <v>1,1</v>
      </c>
      <c r="G12" s="39" t="s">
        <v>883</v>
      </c>
      <c r="H12" s="54"/>
      <c r="I12" s="74">
        <v>110001.0</v>
      </c>
      <c r="J12" s="74">
        <v>210010.0</v>
      </c>
      <c r="K12" s="74">
        <v>310010.0</v>
      </c>
      <c r="L12" s="64">
        <v>2.0</v>
      </c>
      <c r="M12" s="54"/>
      <c r="N12" s="54">
        <v>680.0</v>
      </c>
      <c r="O12" s="54">
        <v>87.0</v>
      </c>
      <c r="P12" s="54">
        <v>22.0</v>
      </c>
      <c r="Q12" s="54">
        <v>59.0</v>
      </c>
      <c r="R12" s="54">
        <v>48.0</v>
      </c>
      <c r="S12" s="54">
        <v>192.0</v>
      </c>
      <c r="T12" s="54">
        <v>12.0</v>
      </c>
      <c r="U12" s="76"/>
      <c r="V12" s="77">
        <f t="shared" si="6"/>
        <v>808</v>
      </c>
      <c r="W12" s="42"/>
      <c r="X12" s="42">
        <v>9110.0</v>
      </c>
      <c r="Y12" s="18">
        <f t="shared" si="7"/>
        <v>30</v>
      </c>
      <c r="Z12" s="42" t="str">
        <f t="shared" si="8"/>
        <v>900</v>
      </c>
      <c r="AA12" s="42">
        <v>900.0</v>
      </c>
      <c r="AB12" s="78">
        <f t="shared" ref="AB12:AK12" si="18">AB11+1</f>
        <v>211010</v>
      </c>
      <c r="AC12" s="78">
        <f t="shared" si="18"/>
        <v>212010</v>
      </c>
      <c r="AD12" s="78">
        <f t="shared" si="18"/>
        <v>213010</v>
      </c>
      <c r="AE12" s="78">
        <f t="shared" si="18"/>
        <v>214010</v>
      </c>
      <c r="AF12" s="78">
        <f t="shared" si="18"/>
        <v>215010</v>
      </c>
      <c r="AG12" s="78">
        <f t="shared" si="18"/>
        <v>311010</v>
      </c>
      <c r="AH12" s="78">
        <f t="shared" si="18"/>
        <v>312010</v>
      </c>
      <c r="AI12" s="78">
        <f t="shared" si="18"/>
        <v>313010</v>
      </c>
      <c r="AJ12" s="78">
        <f t="shared" si="18"/>
        <v>314010</v>
      </c>
      <c r="AK12" s="78">
        <f t="shared" si="18"/>
        <v>315010</v>
      </c>
    </row>
    <row r="13" ht="16.5" customHeight="1">
      <c r="A13" s="54">
        <v>10011.0</v>
      </c>
      <c r="B13" s="35" t="s">
        <v>473</v>
      </c>
      <c r="C13" s="54" t="s">
        <v>8</v>
      </c>
      <c r="D13" s="54" t="s">
        <v>774</v>
      </c>
      <c r="E13" s="54"/>
      <c r="F13" s="73" t="str">
        <f t="shared" si="3"/>
        <v>1,1</v>
      </c>
      <c r="G13" s="39" t="s">
        <v>894</v>
      </c>
      <c r="H13" s="54"/>
      <c r="I13" s="74">
        <v>110001.0</v>
      </c>
      <c r="J13" s="74">
        <v>210011.0</v>
      </c>
      <c r="K13" s="74">
        <v>310011.0</v>
      </c>
      <c r="L13" s="64">
        <v>1.0</v>
      </c>
      <c r="M13" s="54"/>
      <c r="N13" s="54">
        <v>930.0</v>
      </c>
      <c r="O13" s="54">
        <v>61.0</v>
      </c>
      <c r="P13" s="54">
        <v>13.0</v>
      </c>
      <c r="Q13" s="54">
        <v>77.0</v>
      </c>
      <c r="R13" s="54">
        <v>57.0</v>
      </c>
      <c r="S13" s="54">
        <v>120.0</v>
      </c>
      <c r="T13" s="54">
        <v>11.0</v>
      </c>
      <c r="U13" s="76">
        <v>3.0</v>
      </c>
      <c r="V13" s="77">
        <f t="shared" si="6"/>
        <v>848</v>
      </c>
      <c r="W13" s="42"/>
      <c r="X13" s="42">
        <v>9111.0</v>
      </c>
      <c r="Y13" s="18">
        <f t="shared" si="7"/>
        <v>30</v>
      </c>
      <c r="Z13" s="42" t="str">
        <f t="shared" si="8"/>
        <v>900</v>
      </c>
      <c r="AA13" s="42">
        <v>900.0</v>
      </c>
      <c r="AB13" s="78">
        <f t="shared" ref="AB13:AK13" si="19">AB12+1</f>
        <v>211011</v>
      </c>
      <c r="AC13" s="78">
        <f t="shared" si="19"/>
        <v>212011</v>
      </c>
      <c r="AD13" s="78">
        <f t="shared" si="19"/>
        <v>213011</v>
      </c>
      <c r="AE13" s="78">
        <f t="shared" si="19"/>
        <v>214011</v>
      </c>
      <c r="AF13" s="78">
        <f t="shared" si="19"/>
        <v>215011</v>
      </c>
      <c r="AG13" s="78">
        <f t="shared" si="19"/>
        <v>311011</v>
      </c>
      <c r="AH13" s="78">
        <f t="shared" si="19"/>
        <v>312011</v>
      </c>
      <c r="AI13" s="78">
        <f t="shared" si="19"/>
        <v>313011</v>
      </c>
      <c r="AJ13" s="78">
        <f t="shared" si="19"/>
        <v>314011</v>
      </c>
      <c r="AK13" s="78">
        <f t="shared" si="19"/>
        <v>315011</v>
      </c>
    </row>
    <row r="14" ht="16.5" customHeight="1">
      <c r="A14" s="54">
        <v>10012.0</v>
      </c>
      <c r="B14" s="35" t="s">
        <v>494</v>
      </c>
      <c r="C14" s="54" t="s">
        <v>8</v>
      </c>
      <c r="D14" s="54" t="s">
        <v>774</v>
      </c>
      <c r="E14" s="54"/>
      <c r="F14" s="73" t="str">
        <f t="shared" si="3"/>
        <v>1,1</v>
      </c>
      <c r="G14" s="39" t="s">
        <v>903</v>
      </c>
      <c r="H14" s="54"/>
      <c r="I14" s="74">
        <v>110012.0</v>
      </c>
      <c r="J14" s="74">
        <v>210012.0</v>
      </c>
      <c r="K14" s="74">
        <v>310012.0</v>
      </c>
      <c r="L14" s="64">
        <v>1.0</v>
      </c>
      <c r="M14" s="54"/>
      <c r="N14" s="54">
        <v>690.0</v>
      </c>
      <c r="O14" s="54">
        <v>16.0</v>
      </c>
      <c r="P14" s="54">
        <v>79.0</v>
      </c>
      <c r="Q14" s="54">
        <v>49.0</v>
      </c>
      <c r="R14" s="54">
        <v>57.0</v>
      </c>
      <c r="S14" s="54">
        <v>191.0</v>
      </c>
      <c r="T14" s="54">
        <v>13.0</v>
      </c>
      <c r="U14" s="76"/>
      <c r="V14" s="77">
        <f t="shared" si="6"/>
        <v>802</v>
      </c>
      <c r="W14" s="42"/>
      <c r="X14" s="42">
        <v>9112.0</v>
      </c>
      <c r="Y14" s="18">
        <f t="shared" si="7"/>
        <v>30</v>
      </c>
      <c r="Z14" s="42" t="str">
        <f t="shared" si="8"/>
        <v>901</v>
      </c>
      <c r="AA14" s="42">
        <v>900.0</v>
      </c>
      <c r="AB14" s="78">
        <f t="shared" ref="AB14:AK14" si="20">AB13+1</f>
        <v>211012</v>
      </c>
      <c r="AC14" s="78">
        <f t="shared" si="20"/>
        <v>212012</v>
      </c>
      <c r="AD14" s="78">
        <f t="shared" si="20"/>
        <v>213012</v>
      </c>
      <c r="AE14" s="78">
        <f t="shared" si="20"/>
        <v>214012</v>
      </c>
      <c r="AF14" s="78">
        <f t="shared" si="20"/>
        <v>215012</v>
      </c>
      <c r="AG14" s="78">
        <f t="shared" si="20"/>
        <v>311012</v>
      </c>
      <c r="AH14" s="78">
        <f t="shared" si="20"/>
        <v>312012</v>
      </c>
      <c r="AI14" s="78">
        <f t="shared" si="20"/>
        <v>313012</v>
      </c>
      <c r="AJ14" s="78">
        <f t="shared" si="20"/>
        <v>314012</v>
      </c>
      <c r="AK14" s="78">
        <f t="shared" si="20"/>
        <v>315012</v>
      </c>
    </row>
    <row r="15" ht="16.5" customHeight="1">
      <c r="A15" s="54">
        <v>10013.0</v>
      </c>
      <c r="B15" s="35" t="s">
        <v>550</v>
      </c>
      <c r="C15" s="54" t="s">
        <v>11</v>
      </c>
      <c r="D15" s="54" t="s">
        <v>774</v>
      </c>
      <c r="E15" s="54"/>
      <c r="F15" s="73" t="str">
        <f t="shared" si="3"/>
        <v>1,1</v>
      </c>
      <c r="G15" s="39" t="s">
        <v>913</v>
      </c>
      <c r="H15" s="54"/>
      <c r="I15" s="74">
        <v>110002.0</v>
      </c>
      <c r="J15" s="74">
        <v>210013.0</v>
      </c>
      <c r="K15" s="74">
        <v>310013.0</v>
      </c>
      <c r="L15" s="64">
        <v>2.0</v>
      </c>
      <c r="M15" s="54"/>
      <c r="N15" s="54">
        <v>555.0</v>
      </c>
      <c r="O15" s="54">
        <v>70.0</v>
      </c>
      <c r="P15" s="54">
        <v>17.0</v>
      </c>
      <c r="Q15" s="54">
        <v>50.0</v>
      </c>
      <c r="R15" s="54">
        <v>39.0</v>
      </c>
      <c r="S15" s="54">
        <v>84.0</v>
      </c>
      <c r="T15" s="54">
        <v>10.0</v>
      </c>
      <c r="U15" s="76"/>
      <c r="V15" s="77">
        <f t="shared" si="6"/>
        <v>587.5</v>
      </c>
      <c r="W15" s="42"/>
      <c r="X15" s="42">
        <v>9113.0</v>
      </c>
      <c r="Y15" s="18">
        <f t="shared" si="7"/>
        <v>10</v>
      </c>
      <c r="Z15" s="42" t="str">
        <f t="shared" si="8"/>
        <v>903</v>
      </c>
      <c r="AA15" s="42">
        <v>900.0</v>
      </c>
      <c r="AB15" s="78">
        <f t="shared" ref="AB15:AB33" si="23">J15</f>
        <v>210013</v>
      </c>
      <c r="AC15" s="78">
        <f t="shared" ref="AC15:AE15" si="21">AB15</f>
        <v>210013</v>
      </c>
      <c r="AD15" s="78">
        <f t="shared" si="21"/>
        <v>210013</v>
      </c>
      <c r="AE15" s="78">
        <f t="shared" si="21"/>
        <v>210013</v>
      </c>
      <c r="AF15" s="78">
        <f t="shared" ref="AF15:AF33" si="25">AD15</f>
        <v>210013</v>
      </c>
      <c r="AG15" s="78">
        <f t="shared" ref="AG15:AG33" si="26">K15</f>
        <v>310013</v>
      </c>
      <c r="AH15" s="78">
        <f t="shared" ref="AH15:AJ15" si="22">AG15</f>
        <v>310013</v>
      </c>
      <c r="AI15" s="78">
        <f t="shared" si="22"/>
        <v>310013</v>
      </c>
      <c r="AJ15" s="78">
        <f t="shared" si="22"/>
        <v>310013</v>
      </c>
      <c r="AK15" s="78">
        <f t="shared" ref="AK15:AK33" si="28">AI15</f>
        <v>310013</v>
      </c>
    </row>
    <row r="16" ht="16.5" customHeight="1">
      <c r="A16" s="54">
        <v>10014.0</v>
      </c>
      <c r="B16" s="35" t="s">
        <v>563</v>
      </c>
      <c r="C16" s="54" t="s">
        <v>11</v>
      </c>
      <c r="D16" s="54" t="s">
        <v>774</v>
      </c>
      <c r="E16" s="54"/>
      <c r="F16" s="73" t="str">
        <f t="shared" si="3"/>
        <v>1,1</v>
      </c>
      <c r="G16" s="39" t="s">
        <v>922</v>
      </c>
      <c r="H16" s="54"/>
      <c r="I16" s="74">
        <v>110002.0</v>
      </c>
      <c r="J16" s="74">
        <v>210014.0</v>
      </c>
      <c r="K16" s="74">
        <v>310014.0</v>
      </c>
      <c r="L16" s="64">
        <v>3.0</v>
      </c>
      <c r="M16" s="54"/>
      <c r="N16" s="54">
        <v>570.0</v>
      </c>
      <c r="O16" s="54">
        <v>68.0</v>
      </c>
      <c r="P16" s="54">
        <v>16.0</v>
      </c>
      <c r="Q16" s="54">
        <v>53.0</v>
      </c>
      <c r="R16" s="54">
        <v>31.0</v>
      </c>
      <c r="S16" s="54">
        <v>85.0</v>
      </c>
      <c r="T16" s="54">
        <v>10.0</v>
      </c>
      <c r="U16" s="76"/>
      <c r="V16" s="77">
        <f t="shared" si="6"/>
        <v>588</v>
      </c>
      <c r="W16" s="42"/>
      <c r="X16" s="42">
        <v>9114.0</v>
      </c>
      <c r="Y16" s="18">
        <f t="shared" si="7"/>
        <v>10</v>
      </c>
      <c r="Z16" s="42" t="str">
        <f t="shared" si="8"/>
        <v>903</v>
      </c>
      <c r="AA16" s="42">
        <v>900.0</v>
      </c>
      <c r="AB16" s="78">
        <f t="shared" si="23"/>
        <v>210014</v>
      </c>
      <c r="AC16" s="78">
        <f t="shared" ref="AC16:AE16" si="24">AB16</f>
        <v>210014</v>
      </c>
      <c r="AD16" s="78">
        <f t="shared" si="24"/>
        <v>210014</v>
      </c>
      <c r="AE16" s="78">
        <f t="shared" si="24"/>
        <v>210014</v>
      </c>
      <c r="AF16" s="78">
        <f t="shared" si="25"/>
        <v>210014</v>
      </c>
      <c r="AG16" s="78">
        <f t="shared" si="26"/>
        <v>310014</v>
      </c>
      <c r="AH16" s="78">
        <f t="shared" ref="AH16:AJ16" si="27">AG16</f>
        <v>310014</v>
      </c>
      <c r="AI16" s="78">
        <f t="shared" si="27"/>
        <v>310014</v>
      </c>
      <c r="AJ16" s="78">
        <f t="shared" si="27"/>
        <v>310014</v>
      </c>
      <c r="AK16" s="78">
        <f t="shared" si="28"/>
        <v>310014</v>
      </c>
    </row>
    <row r="17" ht="16.5" customHeight="1">
      <c r="A17" s="54">
        <v>10015.0</v>
      </c>
      <c r="B17" s="35" t="s">
        <v>571</v>
      </c>
      <c r="C17" s="54" t="s">
        <v>11</v>
      </c>
      <c r="D17" s="54" t="s">
        <v>774</v>
      </c>
      <c r="E17" s="54"/>
      <c r="F17" s="73" t="str">
        <f t="shared" si="3"/>
        <v>1,1</v>
      </c>
      <c r="G17" s="39" t="s">
        <v>925</v>
      </c>
      <c r="H17" s="54"/>
      <c r="I17" s="74">
        <v>110011.0</v>
      </c>
      <c r="J17" s="74">
        <v>210015.0</v>
      </c>
      <c r="K17" s="74">
        <v>310015.0</v>
      </c>
      <c r="L17" s="64">
        <v>1.0</v>
      </c>
      <c r="M17" s="54"/>
      <c r="N17" s="54">
        <v>795.0</v>
      </c>
      <c r="O17" s="54">
        <v>55.0</v>
      </c>
      <c r="P17" s="54">
        <v>12.0</v>
      </c>
      <c r="Q17" s="54">
        <v>69.0</v>
      </c>
      <c r="R17" s="54">
        <v>51.0</v>
      </c>
      <c r="S17" s="54">
        <v>167.0</v>
      </c>
      <c r="T17" s="54">
        <v>9.0</v>
      </c>
      <c r="U17" s="76"/>
      <c r="V17" s="77">
        <f t="shared" si="6"/>
        <v>796.5</v>
      </c>
      <c r="W17" s="42"/>
      <c r="X17" s="42">
        <v>9115.0</v>
      </c>
      <c r="Y17" s="18">
        <f t="shared" si="7"/>
        <v>10</v>
      </c>
      <c r="Z17" s="42" t="str">
        <f t="shared" si="8"/>
        <v>903</v>
      </c>
      <c r="AA17" s="42">
        <v>900.0</v>
      </c>
      <c r="AB17" s="78">
        <f t="shared" si="23"/>
        <v>210015</v>
      </c>
      <c r="AC17" s="78">
        <f t="shared" ref="AC17:AE17" si="29">AB17</f>
        <v>210015</v>
      </c>
      <c r="AD17" s="78">
        <f t="shared" si="29"/>
        <v>210015</v>
      </c>
      <c r="AE17" s="78">
        <f t="shared" si="29"/>
        <v>210015</v>
      </c>
      <c r="AF17" s="78">
        <f t="shared" si="25"/>
        <v>210015</v>
      </c>
      <c r="AG17" s="78">
        <f t="shared" si="26"/>
        <v>310015</v>
      </c>
      <c r="AH17" s="78">
        <f t="shared" ref="AH17:AJ17" si="30">AG17</f>
        <v>310015</v>
      </c>
      <c r="AI17" s="78">
        <f t="shared" si="30"/>
        <v>310015</v>
      </c>
      <c r="AJ17" s="78">
        <f t="shared" si="30"/>
        <v>310015</v>
      </c>
      <c r="AK17" s="78">
        <f t="shared" si="28"/>
        <v>310015</v>
      </c>
    </row>
    <row r="18" ht="16.5" customHeight="1">
      <c r="A18" s="54">
        <v>10016.0</v>
      </c>
      <c r="B18" s="35" t="s">
        <v>583</v>
      </c>
      <c r="C18" s="54" t="s">
        <v>11</v>
      </c>
      <c r="D18" s="54" t="s">
        <v>774</v>
      </c>
      <c r="E18" s="54"/>
      <c r="F18" s="73" t="str">
        <f t="shared" si="3"/>
        <v>1,1</v>
      </c>
      <c r="G18" s="39" t="s">
        <v>929</v>
      </c>
      <c r="H18" s="54"/>
      <c r="I18" s="74">
        <v>110011.0</v>
      </c>
      <c r="J18" s="74">
        <f t="shared" ref="J18:K18" si="31">J17+1</f>
        <v>210016</v>
      </c>
      <c r="K18" s="74">
        <f t="shared" si="31"/>
        <v>310016</v>
      </c>
      <c r="L18" s="64">
        <v>3.0</v>
      </c>
      <c r="M18" s="54"/>
      <c r="N18" s="54">
        <v>510.0</v>
      </c>
      <c r="O18" s="54">
        <v>15.0</v>
      </c>
      <c r="P18" s="54">
        <v>69.0</v>
      </c>
      <c r="Q18" s="54">
        <v>32.0</v>
      </c>
      <c r="R18" s="54">
        <v>42.0</v>
      </c>
      <c r="S18" s="54">
        <v>174.0</v>
      </c>
      <c r="T18" s="54">
        <v>11.0</v>
      </c>
      <c r="U18" s="76"/>
      <c r="V18" s="77">
        <f t="shared" si="6"/>
        <v>642</v>
      </c>
      <c r="W18" s="42"/>
      <c r="X18" s="42">
        <v>9116.0</v>
      </c>
      <c r="Y18" s="18">
        <f t="shared" si="7"/>
        <v>10</v>
      </c>
      <c r="Z18" s="42" t="str">
        <f t="shared" si="8"/>
        <v>902</v>
      </c>
      <c r="AA18" s="42">
        <v>900.0</v>
      </c>
      <c r="AB18" s="78">
        <f t="shared" si="23"/>
        <v>210016</v>
      </c>
      <c r="AC18" s="78">
        <f t="shared" ref="AC18:AE18" si="32">AB18</f>
        <v>210016</v>
      </c>
      <c r="AD18" s="78">
        <f t="shared" si="32"/>
        <v>210016</v>
      </c>
      <c r="AE18" s="78">
        <f t="shared" si="32"/>
        <v>210016</v>
      </c>
      <c r="AF18" s="78">
        <f t="shared" si="25"/>
        <v>210016</v>
      </c>
      <c r="AG18" s="78">
        <f t="shared" si="26"/>
        <v>310016</v>
      </c>
      <c r="AH18" s="78">
        <f t="shared" ref="AH18:AJ18" si="33">AG18</f>
        <v>310016</v>
      </c>
      <c r="AI18" s="78">
        <f t="shared" si="33"/>
        <v>310016</v>
      </c>
      <c r="AJ18" s="78">
        <f t="shared" si="33"/>
        <v>310016</v>
      </c>
      <c r="AK18" s="78">
        <f t="shared" si="28"/>
        <v>310016</v>
      </c>
    </row>
    <row r="19" ht="16.5" customHeight="1">
      <c r="A19" s="54">
        <v>10017.0</v>
      </c>
      <c r="B19" s="35" t="s">
        <v>593</v>
      </c>
      <c r="C19" s="54" t="s">
        <v>11</v>
      </c>
      <c r="D19" s="54" t="s">
        <v>774</v>
      </c>
      <c r="E19" s="54"/>
      <c r="F19" s="73" t="str">
        <f t="shared" si="3"/>
        <v>1,1</v>
      </c>
      <c r="G19" s="39" t="s">
        <v>936</v>
      </c>
      <c r="H19" s="54"/>
      <c r="I19" s="74">
        <v>110012.0</v>
      </c>
      <c r="J19" s="74">
        <f t="shared" ref="J19:K19" si="34">J18+1</f>
        <v>210017</v>
      </c>
      <c r="K19" s="74">
        <f t="shared" si="34"/>
        <v>310017</v>
      </c>
      <c r="L19" s="64">
        <v>3.0</v>
      </c>
      <c r="M19" s="54"/>
      <c r="N19" s="54">
        <v>615.0</v>
      </c>
      <c r="O19" s="49">
        <v>12.0</v>
      </c>
      <c r="P19" s="54">
        <v>66.0</v>
      </c>
      <c r="Q19" s="54">
        <v>36.0</v>
      </c>
      <c r="R19" s="54">
        <v>35.0</v>
      </c>
      <c r="S19" s="54">
        <v>83.0</v>
      </c>
      <c r="T19" s="54">
        <v>12.0</v>
      </c>
      <c r="U19" s="76"/>
      <c r="V19" s="77">
        <f t="shared" si="6"/>
        <v>599.5</v>
      </c>
      <c r="W19" s="42"/>
      <c r="X19" s="42">
        <v>9117.0</v>
      </c>
      <c r="Y19" s="18">
        <f t="shared" si="7"/>
        <v>10</v>
      </c>
      <c r="Z19" s="42" t="str">
        <f t="shared" si="8"/>
        <v>902</v>
      </c>
      <c r="AA19" s="42">
        <v>900.0</v>
      </c>
      <c r="AB19" s="78">
        <f t="shared" si="23"/>
        <v>210017</v>
      </c>
      <c r="AC19" s="78">
        <f t="shared" ref="AC19:AE19" si="35">AB19</f>
        <v>210017</v>
      </c>
      <c r="AD19" s="78">
        <f t="shared" si="35"/>
        <v>210017</v>
      </c>
      <c r="AE19" s="78">
        <f t="shared" si="35"/>
        <v>210017</v>
      </c>
      <c r="AF19" s="78">
        <f t="shared" si="25"/>
        <v>210017</v>
      </c>
      <c r="AG19" s="78">
        <f t="shared" si="26"/>
        <v>310017</v>
      </c>
      <c r="AH19" s="78">
        <f t="shared" ref="AH19:AJ19" si="36">AG19</f>
        <v>310017</v>
      </c>
      <c r="AI19" s="78">
        <f t="shared" si="36"/>
        <v>310017</v>
      </c>
      <c r="AJ19" s="78">
        <f t="shared" si="36"/>
        <v>310017</v>
      </c>
      <c r="AK19" s="78">
        <f t="shared" si="28"/>
        <v>310017</v>
      </c>
    </row>
    <row r="20" ht="16.5" customHeight="1">
      <c r="A20" s="54">
        <v>10018.0</v>
      </c>
      <c r="B20" s="35" t="s">
        <v>602</v>
      </c>
      <c r="C20" s="54" t="s">
        <v>11</v>
      </c>
      <c r="D20" s="54" t="s">
        <v>774</v>
      </c>
      <c r="E20" s="54"/>
      <c r="F20" s="73" t="str">
        <f t="shared" si="3"/>
        <v>1,1</v>
      </c>
      <c r="G20" s="39" t="s">
        <v>941</v>
      </c>
      <c r="H20" s="54"/>
      <c r="I20" s="74">
        <v>110012.0</v>
      </c>
      <c r="J20" s="74">
        <f t="shared" ref="J20:K20" si="37">J19+1</f>
        <v>210018</v>
      </c>
      <c r="K20" s="74">
        <f t="shared" si="37"/>
        <v>310018</v>
      </c>
      <c r="L20" s="64">
        <v>2.0</v>
      </c>
      <c r="M20" s="54"/>
      <c r="N20" s="54">
        <v>530.0</v>
      </c>
      <c r="O20" s="54">
        <v>15.0</v>
      </c>
      <c r="P20" s="54">
        <v>57.0</v>
      </c>
      <c r="Q20" s="54">
        <v>32.0</v>
      </c>
      <c r="R20" s="54">
        <v>42.0</v>
      </c>
      <c r="S20" s="54">
        <v>174.0</v>
      </c>
      <c r="T20" s="54">
        <v>8.0</v>
      </c>
      <c r="U20" s="76"/>
      <c r="V20" s="77">
        <f t="shared" si="6"/>
        <v>625</v>
      </c>
      <c r="W20" s="42"/>
      <c r="X20" s="42">
        <v>9118.0</v>
      </c>
      <c r="Y20" s="18">
        <f t="shared" si="7"/>
        <v>10</v>
      </c>
      <c r="Z20" s="42" t="str">
        <f t="shared" si="8"/>
        <v>902</v>
      </c>
      <c r="AA20" s="42">
        <v>900.0</v>
      </c>
      <c r="AB20" s="78">
        <f t="shared" si="23"/>
        <v>210018</v>
      </c>
      <c r="AC20" s="78">
        <f t="shared" ref="AC20:AE20" si="38">AB20</f>
        <v>210018</v>
      </c>
      <c r="AD20" s="78">
        <f t="shared" si="38"/>
        <v>210018</v>
      </c>
      <c r="AE20" s="78">
        <f t="shared" si="38"/>
        <v>210018</v>
      </c>
      <c r="AF20" s="78">
        <f t="shared" si="25"/>
        <v>210018</v>
      </c>
      <c r="AG20" s="78">
        <f t="shared" si="26"/>
        <v>310018</v>
      </c>
      <c r="AH20" s="78">
        <f t="shared" ref="AH20:AJ20" si="39">AG20</f>
        <v>310018</v>
      </c>
      <c r="AI20" s="78">
        <f t="shared" si="39"/>
        <v>310018</v>
      </c>
      <c r="AJ20" s="78">
        <f t="shared" si="39"/>
        <v>310018</v>
      </c>
      <c r="AK20" s="78">
        <f t="shared" si="28"/>
        <v>310018</v>
      </c>
    </row>
    <row r="21" ht="16.5" customHeight="1">
      <c r="A21" s="54">
        <v>10019.0</v>
      </c>
      <c r="B21" s="35" t="s">
        <v>543</v>
      </c>
      <c r="C21" s="54" t="s">
        <v>11</v>
      </c>
      <c r="D21" s="54" t="s">
        <v>774</v>
      </c>
      <c r="E21" s="54"/>
      <c r="F21" s="73" t="str">
        <f t="shared" si="3"/>
        <v>1,1</v>
      </c>
      <c r="G21" s="39" t="s">
        <v>962</v>
      </c>
      <c r="H21" s="54"/>
      <c r="I21" s="74">
        <v>110011.0</v>
      </c>
      <c r="J21" s="74">
        <f t="shared" ref="J21:K21" si="40">J20+1</f>
        <v>210019</v>
      </c>
      <c r="K21" s="74">
        <f t="shared" si="40"/>
        <v>310019</v>
      </c>
      <c r="L21" s="64">
        <v>1.0</v>
      </c>
      <c r="M21" s="54"/>
      <c r="N21" s="54">
        <v>565.0</v>
      </c>
      <c r="O21" s="54">
        <v>18.0</v>
      </c>
      <c r="P21" s="54">
        <v>61.0</v>
      </c>
      <c r="Q21" s="54">
        <v>32.0</v>
      </c>
      <c r="R21" s="54">
        <v>42.0</v>
      </c>
      <c r="S21" s="54">
        <v>161.0</v>
      </c>
      <c r="T21" s="54">
        <v>9.0</v>
      </c>
      <c r="U21" s="76"/>
      <c r="V21" s="77">
        <f t="shared" si="6"/>
        <v>641.5</v>
      </c>
      <c r="W21" s="42"/>
      <c r="X21" s="42">
        <v>9119.0</v>
      </c>
      <c r="Y21" s="18">
        <f t="shared" si="7"/>
        <v>10</v>
      </c>
      <c r="Z21" s="42" t="str">
        <f t="shared" si="8"/>
        <v>902</v>
      </c>
      <c r="AA21" s="42">
        <v>900.0</v>
      </c>
      <c r="AB21" s="78">
        <f t="shared" si="23"/>
        <v>210019</v>
      </c>
      <c r="AC21" s="78">
        <f t="shared" ref="AC21:AE21" si="41">AB21</f>
        <v>210019</v>
      </c>
      <c r="AD21" s="78">
        <f t="shared" si="41"/>
        <v>210019</v>
      </c>
      <c r="AE21" s="78">
        <f t="shared" si="41"/>
        <v>210019</v>
      </c>
      <c r="AF21" s="78">
        <f t="shared" si="25"/>
        <v>210019</v>
      </c>
      <c r="AG21" s="78">
        <f t="shared" si="26"/>
        <v>310019</v>
      </c>
      <c r="AH21" s="78">
        <f t="shared" ref="AH21:AJ21" si="42">AG21</f>
        <v>310019</v>
      </c>
      <c r="AI21" s="78">
        <f t="shared" si="42"/>
        <v>310019</v>
      </c>
      <c r="AJ21" s="78">
        <f t="shared" si="42"/>
        <v>310019</v>
      </c>
      <c r="AK21" s="78">
        <f t="shared" si="28"/>
        <v>310019</v>
      </c>
    </row>
    <row r="22" ht="16.5" customHeight="1">
      <c r="A22" s="54">
        <v>10020.0</v>
      </c>
      <c r="B22" s="35" t="s">
        <v>613</v>
      </c>
      <c r="C22" s="54" t="s">
        <v>11</v>
      </c>
      <c r="D22" s="54" t="s">
        <v>774</v>
      </c>
      <c r="E22" s="54"/>
      <c r="F22" s="73" t="str">
        <f t="shared" si="3"/>
        <v>1,1</v>
      </c>
      <c r="G22" s="39" t="s">
        <v>972</v>
      </c>
      <c r="H22" s="54"/>
      <c r="I22" s="74">
        <v>110011.0</v>
      </c>
      <c r="J22" s="74">
        <f t="shared" ref="J22:K22" si="43">J21+1</f>
        <v>210020</v>
      </c>
      <c r="K22" s="74">
        <f t="shared" si="43"/>
        <v>310020</v>
      </c>
      <c r="L22" s="64">
        <v>3.0</v>
      </c>
      <c r="M22" s="54"/>
      <c r="N22" s="54">
        <v>730.0</v>
      </c>
      <c r="O22" s="54">
        <v>16.0</v>
      </c>
      <c r="P22" s="54">
        <v>49.0</v>
      </c>
      <c r="Q22" s="54">
        <v>53.0</v>
      </c>
      <c r="R22" s="54">
        <v>57.0</v>
      </c>
      <c r="S22" s="54">
        <v>153.0</v>
      </c>
      <c r="T22" s="54">
        <v>9.0</v>
      </c>
      <c r="U22" s="76"/>
      <c r="V22" s="77">
        <f t="shared" si="6"/>
        <v>738</v>
      </c>
      <c r="W22" s="42"/>
      <c r="X22" s="42">
        <v>9120.0</v>
      </c>
      <c r="Y22" s="18">
        <f t="shared" si="7"/>
        <v>10</v>
      </c>
      <c r="Z22" s="42" t="str">
        <f t="shared" si="8"/>
        <v>902</v>
      </c>
      <c r="AA22" s="42">
        <v>900.0</v>
      </c>
      <c r="AB22" s="78">
        <f t="shared" si="23"/>
        <v>210020</v>
      </c>
      <c r="AC22" s="78">
        <f t="shared" ref="AC22:AE22" si="44">AB22</f>
        <v>210020</v>
      </c>
      <c r="AD22" s="78">
        <f t="shared" si="44"/>
        <v>210020</v>
      </c>
      <c r="AE22" s="78">
        <f t="shared" si="44"/>
        <v>210020</v>
      </c>
      <c r="AF22" s="78">
        <f t="shared" si="25"/>
        <v>210020</v>
      </c>
      <c r="AG22" s="78">
        <f t="shared" si="26"/>
        <v>310020</v>
      </c>
      <c r="AH22" s="78">
        <f t="shared" ref="AH22:AJ22" si="45">AG22</f>
        <v>310020</v>
      </c>
      <c r="AI22" s="78">
        <f t="shared" si="45"/>
        <v>310020</v>
      </c>
      <c r="AJ22" s="78">
        <f t="shared" si="45"/>
        <v>310020</v>
      </c>
      <c r="AK22" s="78">
        <f t="shared" si="28"/>
        <v>310020</v>
      </c>
    </row>
    <row r="23" ht="16.5" customHeight="1">
      <c r="A23" s="54">
        <v>10021.0</v>
      </c>
      <c r="B23" s="35" t="s">
        <v>623</v>
      </c>
      <c r="C23" s="54" t="s">
        <v>11</v>
      </c>
      <c r="D23" s="54" t="s">
        <v>774</v>
      </c>
      <c r="E23" s="54"/>
      <c r="F23" s="73" t="str">
        <f t="shared" si="3"/>
        <v>1,1</v>
      </c>
      <c r="G23" s="39" t="s">
        <v>978</v>
      </c>
      <c r="H23" s="54"/>
      <c r="I23" s="74">
        <v>110002.0</v>
      </c>
      <c r="J23" s="74">
        <f t="shared" ref="J23:K23" si="46">J22+1</f>
        <v>210021</v>
      </c>
      <c r="K23" s="74">
        <f t="shared" si="46"/>
        <v>310021</v>
      </c>
      <c r="L23" s="64">
        <v>1.0</v>
      </c>
      <c r="M23" s="54"/>
      <c r="N23" s="54">
        <v>590.0</v>
      </c>
      <c r="O23" s="54">
        <v>57.0</v>
      </c>
      <c r="P23" s="54">
        <v>12.0</v>
      </c>
      <c r="Q23" s="54">
        <v>42.0</v>
      </c>
      <c r="R23" s="54">
        <v>27.0</v>
      </c>
      <c r="S23" s="54">
        <v>87.0</v>
      </c>
      <c r="T23" s="54">
        <v>10.0</v>
      </c>
      <c r="U23" s="76"/>
      <c r="V23" s="77">
        <f t="shared" si="6"/>
        <v>570</v>
      </c>
      <c r="W23" s="42"/>
      <c r="X23" s="42">
        <v>9121.0</v>
      </c>
      <c r="Y23" s="18">
        <f t="shared" si="7"/>
        <v>10</v>
      </c>
      <c r="Z23" s="42" t="str">
        <f t="shared" si="8"/>
        <v>903</v>
      </c>
      <c r="AA23" s="42">
        <v>900.0</v>
      </c>
      <c r="AB23" s="78">
        <f t="shared" si="23"/>
        <v>210021</v>
      </c>
      <c r="AC23" s="78">
        <f t="shared" ref="AC23:AE23" si="47">AB23</f>
        <v>210021</v>
      </c>
      <c r="AD23" s="78">
        <f t="shared" si="47"/>
        <v>210021</v>
      </c>
      <c r="AE23" s="78">
        <f t="shared" si="47"/>
        <v>210021</v>
      </c>
      <c r="AF23" s="78">
        <f t="shared" si="25"/>
        <v>210021</v>
      </c>
      <c r="AG23" s="78">
        <f t="shared" si="26"/>
        <v>310021</v>
      </c>
      <c r="AH23" s="78">
        <f t="shared" ref="AH23:AJ23" si="48">AG23</f>
        <v>310021</v>
      </c>
      <c r="AI23" s="78">
        <f t="shared" si="48"/>
        <v>310021</v>
      </c>
      <c r="AJ23" s="78">
        <f t="shared" si="48"/>
        <v>310021</v>
      </c>
      <c r="AK23" s="78">
        <f t="shared" si="28"/>
        <v>310021</v>
      </c>
    </row>
    <row r="24" ht="16.5" customHeight="1">
      <c r="A24" s="54">
        <v>10022.0</v>
      </c>
      <c r="B24" s="35" t="s">
        <v>660</v>
      </c>
      <c r="C24" s="54" t="s">
        <v>15</v>
      </c>
      <c r="D24" s="54" t="s">
        <v>774</v>
      </c>
      <c r="E24" s="54"/>
      <c r="F24" s="73" t="str">
        <f t="shared" si="3"/>
        <v>1,1</v>
      </c>
      <c r="G24" s="39" t="s">
        <v>988</v>
      </c>
      <c r="H24" s="54"/>
      <c r="I24" s="74">
        <v>110001.0</v>
      </c>
      <c r="J24" s="74">
        <f t="shared" ref="J24:K24" si="49">J23+1</f>
        <v>210022</v>
      </c>
      <c r="K24" s="74">
        <f t="shared" si="49"/>
        <v>310022</v>
      </c>
      <c r="L24" s="64">
        <v>2.0</v>
      </c>
      <c r="M24" s="54"/>
      <c r="N24" s="54">
        <v>500.0</v>
      </c>
      <c r="O24" s="54">
        <v>48.0</v>
      </c>
      <c r="P24" s="54">
        <v>10.0</v>
      </c>
      <c r="Q24" s="54">
        <v>36.0</v>
      </c>
      <c r="R24" s="54">
        <v>23.0</v>
      </c>
      <c r="S24" s="54">
        <v>48.0</v>
      </c>
      <c r="T24" s="54">
        <v>8.0</v>
      </c>
      <c r="U24" s="76"/>
      <c r="V24" s="77">
        <f t="shared" si="6"/>
        <v>455</v>
      </c>
      <c r="W24" s="42"/>
      <c r="X24" s="42">
        <v>9122.0</v>
      </c>
      <c r="Y24" s="18">
        <f t="shared" si="7"/>
        <v>5</v>
      </c>
      <c r="Z24" s="42" t="str">
        <f t="shared" si="8"/>
        <v>905</v>
      </c>
      <c r="AA24" s="42">
        <v>900.0</v>
      </c>
      <c r="AB24" s="78">
        <f t="shared" si="23"/>
        <v>210022</v>
      </c>
      <c r="AC24" s="78">
        <f t="shared" ref="AC24:AE24" si="50">AB24</f>
        <v>210022</v>
      </c>
      <c r="AD24" s="78">
        <f t="shared" si="50"/>
        <v>210022</v>
      </c>
      <c r="AE24" s="78">
        <f t="shared" si="50"/>
        <v>210022</v>
      </c>
      <c r="AF24" s="78">
        <f t="shared" si="25"/>
        <v>210022</v>
      </c>
      <c r="AG24" s="78">
        <f t="shared" si="26"/>
        <v>310022</v>
      </c>
      <c r="AH24" s="78">
        <f t="shared" ref="AH24:AJ24" si="51">AG24</f>
        <v>310022</v>
      </c>
      <c r="AI24" s="78">
        <f t="shared" si="51"/>
        <v>310022</v>
      </c>
      <c r="AJ24" s="78">
        <f t="shared" si="51"/>
        <v>310022</v>
      </c>
      <c r="AK24" s="78">
        <f t="shared" si="28"/>
        <v>310022</v>
      </c>
    </row>
    <row r="25" ht="16.5" customHeight="1">
      <c r="A25" s="54">
        <v>10023.0</v>
      </c>
      <c r="B25" s="35" t="s">
        <v>668</v>
      </c>
      <c r="C25" s="54" t="s">
        <v>15</v>
      </c>
      <c r="D25" s="54" t="s">
        <v>774</v>
      </c>
      <c r="E25" s="54"/>
      <c r="F25" s="73" t="str">
        <f t="shared" si="3"/>
        <v>1,1</v>
      </c>
      <c r="G25" s="39" t="s">
        <v>1003</v>
      </c>
      <c r="H25" s="54"/>
      <c r="I25" s="74">
        <v>110002.0</v>
      </c>
      <c r="J25" s="74">
        <f t="shared" ref="J25:K25" si="52">J24+1</f>
        <v>210023</v>
      </c>
      <c r="K25" s="74">
        <f t="shared" si="52"/>
        <v>310023</v>
      </c>
      <c r="L25" s="64">
        <v>1.0</v>
      </c>
      <c r="M25" s="54"/>
      <c r="N25" s="54">
        <v>480.0</v>
      </c>
      <c r="O25" s="54">
        <v>51.0</v>
      </c>
      <c r="P25" s="54">
        <v>12.0</v>
      </c>
      <c r="Q25" s="54">
        <v>33.0</v>
      </c>
      <c r="R25" s="54">
        <v>27.0</v>
      </c>
      <c r="S25" s="54">
        <v>54.0</v>
      </c>
      <c r="T25" s="54">
        <v>9.0</v>
      </c>
      <c r="U25" s="76"/>
      <c r="V25" s="77">
        <f t="shared" si="6"/>
        <v>462</v>
      </c>
      <c r="W25" s="42"/>
      <c r="X25" s="42">
        <v>9123.0</v>
      </c>
      <c r="Y25" s="18">
        <f t="shared" si="7"/>
        <v>5</v>
      </c>
      <c r="Z25" s="42" t="str">
        <f t="shared" si="8"/>
        <v>905</v>
      </c>
      <c r="AA25" s="42">
        <v>900.0</v>
      </c>
      <c r="AB25" s="78">
        <f t="shared" si="23"/>
        <v>210023</v>
      </c>
      <c r="AC25" s="78">
        <f t="shared" ref="AC25:AE25" si="53">AB25</f>
        <v>210023</v>
      </c>
      <c r="AD25" s="78">
        <f t="shared" si="53"/>
        <v>210023</v>
      </c>
      <c r="AE25" s="78">
        <f t="shared" si="53"/>
        <v>210023</v>
      </c>
      <c r="AF25" s="78">
        <f t="shared" si="25"/>
        <v>210023</v>
      </c>
      <c r="AG25" s="78">
        <f t="shared" si="26"/>
        <v>310023</v>
      </c>
      <c r="AH25" s="78">
        <f t="shared" ref="AH25:AJ25" si="54">AG25</f>
        <v>310023</v>
      </c>
      <c r="AI25" s="78">
        <f t="shared" si="54"/>
        <v>310023</v>
      </c>
      <c r="AJ25" s="78">
        <f t="shared" si="54"/>
        <v>310023</v>
      </c>
      <c r="AK25" s="78">
        <f t="shared" si="28"/>
        <v>310023</v>
      </c>
    </row>
    <row r="26" ht="16.5" customHeight="1">
      <c r="A26" s="54">
        <v>10024.0</v>
      </c>
      <c r="B26" s="35" t="s">
        <v>678</v>
      </c>
      <c r="C26" s="54" t="s">
        <v>15</v>
      </c>
      <c r="D26" s="54" t="s">
        <v>774</v>
      </c>
      <c r="E26" s="54"/>
      <c r="F26" s="73" t="str">
        <f t="shared" si="3"/>
        <v>1,1</v>
      </c>
      <c r="G26" s="39" t="s">
        <v>1013</v>
      </c>
      <c r="H26" s="54"/>
      <c r="I26" s="74">
        <v>110011.0</v>
      </c>
      <c r="J26" s="74">
        <f t="shared" ref="J26:K26" si="55">J25+1</f>
        <v>210024</v>
      </c>
      <c r="K26" s="74">
        <f t="shared" si="55"/>
        <v>310024</v>
      </c>
      <c r="L26" s="64">
        <v>3.0</v>
      </c>
      <c r="M26" s="54"/>
      <c r="N26" s="54">
        <v>460.0</v>
      </c>
      <c r="O26" s="54">
        <v>15.0</v>
      </c>
      <c r="P26" s="54">
        <v>55.0</v>
      </c>
      <c r="Q26" s="54">
        <v>19.0</v>
      </c>
      <c r="R26" s="54">
        <v>37.0</v>
      </c>
      <c r="S26" s="54">
        <v>110.0</v>
      </c>
      <c r="T26" s="54">
        <v>7.0</v>
      </c>
      <c r="U26" s="76"/>
      <c r="V26" s="77">
        <f t="shared" si="6"/>
        <v>501</v>
      </c>
      <c r="W26" s="42"/>
      <c r="X26" s="42">
        <v>9124.0</v>
      </c>
      <c r="Y26" s="18">
        <f t="shared" si="7"/>
        <v>5</v>
      </c>
      <c r="Z26" s="42" t="str">
        <f t="shared" si="8"/>
        <v>904</v>
      </c>
      <c r="AA26" s="42">
        <v>900.0</v>
      </c>
      <c r="AB26" s="78">
        <f t="shared" si="23"/>
        <v>210024</v>
      </c>
      <c r="AC26" s="78">
        <f t="shared" ref="AC26:AE26" si="56">AB26</f>
        <v>210024</v>
      </c>
      <c r="AD26" s="78">
        <f t="shared" si="56"/>
        <v>210024</v>
      </c>
      <c r="AE26" s="78">
        <f t="shared" si="56"/>
        <v>210024</v>
      </c>
      <c r="AF26" s="78">
        <f t="shared" si="25"/>
        <v>210024</v>
      </c>
      <c r="AG26" s="78">
        <f t="shared" si="26"/>
        <v>310024</v>
      </c>
      <c r="AH26" s="78">
        <f t="shared" ref="AH26:AJ26" si="57">AG26</f>
        <v>310024</v>
      </c>
      <c r="AI26" s="78">
        <f t="shared" si="57"/>
        <v>310024</v>
      </c>
      <c r="AJ26" s="78">
        <f t="shared" si="57"/>
        <v>310024</v>
      </c>
      <c r="AK26" s="78">
        <f t="shared" si="28"/>
        <v>310024</v>
      </c>
    </row>
    <row r="27" ht="16.5" customHeight="1">
      <c r="A27" s="54">
        <v>10025.0</v>
      </c>
      <c r="B27" s="35" t="s">
        <v>686</v>
      </c>
      <c r="C27" s="54" t="s">
        <v>15</v>
      </c>
      <c r="D27" s="54" t="s">
        <v>774</v>
      </c>
      <c r="E27" s="54"/>
      <c r="F27" s="73" t="str">
        <f t="shared" si="3"/>
        <v>1,1</v>
      </c>
      <c r="G27" s="39" t="s">
        <v>1079</v>
      </c>
      <c r="H27" s="54"/>
      <c r="I27" s="74">
        <v>110011.0</v>
      </c>
      <c r="J27" s="74">
        <f t="shared" ref="J27:K27" si="58">J26+1</f>
        <v>210025</v>
      </c>
      <c r="K27" s="74">
        <f t="shared" si="58"/>
        <v>310025</v>
      </c>
      <c r="L27" s="64">
        <v>2.0</v>
      </c>
      <c r="M27" s="54"/>
      <c r="N27" s="54">
        <v>475.0</v>
      </c>
      <c r="O27" s="54">
        <v>15.0</v>
      </c>
      <c r="P27" s="54">
        <v>49.0</v>
      </c>
      <c r="Q27" s="54">
        <v>28.0</v>
      </c>
      <c r="R27" s="54">
        <v>39.0</v>
      </c>
      <c r="S27" s="54">
        <v>87.0</v>
      </c>
      <c r="T27" s="54">
        <v>7.0</v>
      </c>
      <c r="U27" s="76"/>
      <c r="V27" s="77">
        <f t="shared" si="6"/>
        <v>490.5</v>
      </c>
      <c r="W27" s="42"/>
      <c r="X27" s="42">
        <v>9125.0</v>
      </c>
      <c r="Y27" s="18">
        <f t="shared" si="7"/>
        <v>5</v>
      </c>
      <c r="Z27" s="42" t="str">
        <f t="shared" si="8"/>
        <v>904</v>
      </c>
      <c r="AA27" s="42">
        <v>900.0</v>
      </c>
      <c r="AB27" s="78">
        <f t="shared" si="23"/>
        <v>210025</v>
      </c>
      <c r="AC27" s="78">
        <f t="shared" ref="AC27:AE27" si="59">AB27</f>
        <v>210025</v>
      </c>
      <c r="AD27" s="78">
        <f t="shared" si="59"/>
        <v>210025</v>
      </c>
      <c r="AE27" s="78">
        <f t="shared" si="59"/>
        <v>210025</v>
      </c>
      <c r="AF27" s="78">
        <f t="shared" si="25"/>
        <v>210025</v>
      </c>
      <c r="AG27" s="78">
        <f t="shared" si="26"/>
        <v>310025</v>
      </c>
      <c r="AH27" s="78">
        <f t="shared" ref="AH27:AJ27" si="60">AG27</f>
        <v>310025</v>
      </c>
      <c r="AI27" s="78">
        <f t="shared" si="60"/>
        <v>310025</v>
      </c>
      <c r="AJ27" s="78">
        <f t="shared" si="60"/>
        <v>310025</v>
      </c>
      <c r="AK27" s="78">
        <f t="shared" si="28"/>
        <v>310025</v>
      </c>
    </row>
    <row r="28" ht="16.5" customHeight="1">
      <c r="A28" s="54">
        <v>10026.0</v>
      </c>
      <c r="B28" s="35" t="s">
        <v>692</v>
      </c>
      <c r="C28" s="54" t="s">
        <v>15</v>
      </c>
      <c r="D28" s="54" t="s">
        <v>774</v>
      </c>
      <c r="E28" s="54"/>
      <c r="F28" s="73" t="str">
        <f t="shared" si="3"/>
        <v>1,1</v>
      </c>
      <c r="G28" s="39" t="s">
        <v>1103</v>
      </c>
      <c r="H28" s="54"/>
      <c r="I28" s="74">
        <v>110002.0</v>
      </c>
      <c r="J28" s="74">
        <f t="shared" ref="J28:K28" si="61">J27+1</f>
        <v>210026</v>
      </c>
      <c r="K28" s="74">
        <f t="shared" si="61"/>
        <v>310026</v>
      </c>
      <c r="L28" s="64">
        <v>1.0</v>
      </c>
      <c r="M28" s="54"/>
      <c r="N28" s="54">
        <v>680.0</v>
      </c>
      <c r="O28" s="54">
        <v>44.0</v>
      </c>
      <c r="P28" s="49">
        <v>11.0</v>
      </c>
      <c r="Q28" s="54">
        <v>55.0</v>
      </c>
      <c r="R28" s="54">
        <v>43.0</v>
      </c>
      <c r="S28" s="54">
        <v>56.0</v>
      </c>
      <c r="T28" s="54">
        <v>6.0</v>
      </c>
      <c r="U28" s="76"/>
      <c r="V28" s="77">
        <f t="shared" si="6"/>
        <v>579</v>
      </c>
      <c r="W28" s="42"/>
      <c r="X28" s="42">
        <v>9126.0</v>
      </c>
      <c r="Y28" s="18">
        <f t="shared" si="7"/>
        <v>5</v>
      </c>
      <c r="Z28" s="42" t="str">
        <f t="shared" si="8"/>
        <v>905</v>
      </c>
      <c r="AA28" s="42">
        <v>900.0</v>
      </c>
      <c r="AB28" s="78">
        <f t="shared" si="23"/>
        <v>210026</v>
      </c>
      <c r="AC28" s="78">
        <f t="shared" ref="AC28:AE28" si="62">AB28</f>
        <v>210026</v>
      </c>
      <c r="AD28" s="78">
        <f t="shared" si="62"/>
        <v>210026</v>
      </c>
      <c r="AE28" s="78">
        <f t="shared" si="62"/>
        <v>210026</v>
      </c>
      <c r="AF28" s="78">
        <f t="shared" si="25"/>
        <v>210026</v>
      </c>
      <c r="AG28" s="78">
        <f t="shared" si="26"/>
        <v>310026</v>
      </c>
      <c r="AH28" s="78">
        <f t="shared" ref="AH28:AJ28" si="63">AG28</f>
        <v>310026</v>
      </c>
      <c r="AI28" s="78">
        <f t="shared" si="63"/>
        <v>310026</v>
      </c>
      <c r="AJ28" s="78">
        <f t="shared" si="63"/>
        <v>310026</v>
      </c>
      <c r="AK28" s="78">
        <f t="shared" si="28"/>
        <v>310026</v>
      </c>
    </row>
    <row r="29" ht="16.5" customHeight="1">
      <c r="A29" s="54">
        <v>10027.0</v>
      </c>
      <c r="B29" s="35" t="s">
        <v>700</v>
      </c>
      <c r="C29" s="54" t="s">
        <v>15</v>
      </c>
      <c r="D29" s="54" t="s">
        <v>774</v>
      </c>
      <c r="E29" s="54"/>
      <c r="F29" s="73" t="str">
        <f t="shared" si="3"/>
        <v>1,1</v>
      </c>
      <c r="G29" s="39" t="s">
        <v>1123</v>
      </c>
      <c r="H29" s="54"/>
      <c r="I29" s="74">
        <v>110001.0</v>
      </c>
      <c r="J29" s="74">
        <f t="shared" ref="J29:K29" si="64">J28+1</f>
        <v>210027</v>
      </c>
      <c r="K29" s="74">
        <f t="shared" si="64"/>
        <v>310027</v>
      </c>
      <c r="L29" s="64">
        <v>2.0</v>
      </c>
      <c r="M29" s="54"/>
      <c r="N29" s="54">
        <v>490.0</v>
      </c>
      <c r="O29" s="54">
        <v>51.0</v>
      </c>
      <c r="P29" s="54">
        <v>9.0</v>
      </c>
      <c r="Q29" s="54">
        <v>33.0</v>
      </c>
      <c r="R29" s="54">
        <v>29.0</v>
      </c>
      <c r="S29" s="54">
        <v>51.0</v>
      </c>
      <c r="T29" s="54">
        <v>10.0</v>
      </c>
      <c r="U29" s="76"/>
      <c r="V29" s="77">
        <f t="shared" si="6"/>
        <v>468</v>
      </c>
      <c r="W29" s="42"/>
      <c r="X29" s="42">
        <v>9127.0</v>
      </c>
      <c r="Y29" s="18">
        <f t="shared" si="7"/>
        <v>5</v>
      </c>
      <c r="Z29" s="42" t="str">
        <f t="shared" si="8"/>
        <v>905</v>
      </c>
      <c r="AA29" s="42">
        <v>900.0</v>
      </c>
      <c r="AB29" s="78">
        <f t="shared" si="23"/>
        <v>210027</v>
      </c>
      <c r="AC29" s="78">
        <f t="shared" ref="AC29:AE29" si="65">AB29</f>
        <v>210027</v>
      </c>
      <c r="AD29" s="78">
        <f t="shared" si="65"/>
        <v>210027</v>
      </c>
      <c r="AE29" s="78">
        <f t="shared" si="65"/>
        <v>210027</v>
      </c>
      <c r="AF29" s="78">
        <f t="shared" si="25"/>
        <v>210027</v>
      </c>
      <c r="AG29" s="78">
        <f t="shared" si="26"/>
        <v>310027</v>
      </c>
      <c r="AH29" s="78">
        <f t="shared" ref="AH29:AJ29" si="66">AG29</f>
        <v>310027</v>
      </c>
      <c r="AI29" s="78">
        <f t="shared" si="66"/>
        <v>310027</v>
      </c>
      <c r="AJ29" s="78">
        <f t="shared" si="66"/>
        <v>310027</v>
      </c>
      <c r="AK29" s="78">
        <f t="shared" si="28"/>
        <v>310027</v>
      </c>
    </row>
    <row r="30" ht="16.5" customHeight="1">
      <c r="A30" s="54">
        <v>10028.0</v>
      </c>
      <c r="B30" s="35" t="s">
        <v>709</v>
      </c>
      <c r="C30" s="54" t="s">
        <v>15</v>
      </c>
      <c r="D30" s="54" t="s">
        <v>774</v>
      </c>
      <c r="E30" s="54"/>
      <c r="F30" s="73" t="str">
        <f t="shared" si="3"/>
        <v>1,1</v>
      </c>
      <c r="G30" s="39" t="s">
        <v>1144</v>
      </c>
      <c r="H30" s="54"/>
      <c r="I30" s="74">
        <v>110011.0</v>
      </c>
      <c r="J30" s="74">
        <f t="shared" ref="J30:K30" si="67">J29+1</f>
        <v>210028</v>
      </c>
      <c r="K30" s="74">
        <f t="shared" si="67"/>
        <v>310028</v>
      </c>
      <c r="L30" s="64">
        <v>1.0</v>
      </c>
      <c r="M30" s="54"/>
      <c r="N30" s="54">
        <v>475.0</v>
      </c>
      <c r="O30" s="54">
        <v>9.0</v>
      </c>
      <c r="P30" s="54">
        <v>52.0</v>
      </c>
      <c r="Q30" s="54">
        <v>29.0</v>
      </c>
      <c r="R30" s="54">
        <v>33.0</v>
      </c>
      <c r="S30" s="54">
        <v>94.0</v>
      </c>
      <c r="T30" s="54">
        <v>9.0</v>
      </c>
      <c r="U30" s="76"/>
      <c r="V30" s="77">
        <f t="shared" si="6"/>
        <v>499.5</v>
      </c>
      <c r="W30" s="42"/>
      <c r="X30" s="42">
        <v>9128.0</v>
      </c>
      <c r="Y30" s="18">
        <f t="shared" si="7"/>
        <v>5</v>
      </c>
      <c r="Z30" s="42" t="str">
        <f t="shared" si="8"/>
        <v>904</v>
      </c>
      <c r="AA30" s="42">
        <v>900.0</v>
      </c>
      <c r="AB30" s="78">
        <f t="shared" si="23"/>
        <v>210028</v>
      </c>
      <c r="AC30" s="78">
        <f t="shared" ref="AC30:AE30" si="68">AB30</f>
        <v>210028</v>
      </c>
      <c r="AD30" s="78">
        <f t="shared" si="68"/>
        <v>210028</v>
      </c>
      <c r="AE30" s="78">
        <f t="shared" si="68"/>
        <v>210028</v>
      </c>
      <c r="AF30" s="78">
        <f t="shared" si="25"/>
        <v>210028</v>
      </c>
      <c r="AG30" s="78">
        <f t="shared" si="26"/>
        <v>310028</v>
      </c>
      <c r="AH30" s="78">
        <f t="shared" ref="AH30:AJ30" si="69">AG30</f>
        <v>310028</v>
      </c>
      <c r="AI30" s="78">
        <f t="shared" si="69"/>
        <v>310028</v>
      </c>
      <c r="AJ30" s="78">
        <f t="shared" si="69"/>
        <v>310028</v>
      </c>
      <c r="AK30" s="78">
        <f t="shared" si="28"/>
        <v>310028</v>
      </c>
    </row>
    <row r="31" ht="16.5" customHeight="1">
      <c r="A31" s="54">
        <v>10029.0</v>
      </c>
      <c r="B31" s="35" t="s">
        <v>722</v>
      </c>
      <c r="C31" s="54" t="s">
        <v>15</v>
      </c>
      <c r="D31" s="54" t="s">
        <v>774</v>
      </c>
      <c r="E31" s="54"/>
      <c r="F31" s="73" t="str">
        <f t="shared" si="3"/>
        <v>1,1</v>
      </c>
      <c r="G31" s="39" t="s">
        <v>1161</v>
      </c>
      <c r="H31" s="54"/>
      <c r="I31" s="74">
        <v>110001.0</v>
      </c>
      <c r="J31" s="74">
        <f t="shared" ref="J31:K31" si="70">J30+1</f>
        <v>210029</v>
      </c>
      <c r="K31" s="74">
        <f t="shared" si="70"/>
        <v>310029</v>
      </c>
      <c r="L31" s="64">
        <v>2.0</v>
      </c>
      <c r="M31" s="54"/>
      <c r="N31" s="54">
        <v>450.0</v>
      </c>
      <c r="O31" s="54">
        <v>53.0</v>
      </c>
      <c r="P31" s="54">
        <v>9.0</v>
      </c>
      <c r="Q31" s="54">
        <v>33.0</v>
      </c>
      <c r="R31" s="54">
        <v>21.0</v>
      </c>
      <c r="S31" s="54">
        <v>57.0</v>
      </c>
      <c r="T31" s="54">
        <v>8.0</v>
      </c>
      <c r="U31" s="76"/>
      <c r="V31" s="77">
        <f t="shared" si="6"/>
        <v>438</v>
      </c>
      <c r="W31" s="42"/>
      <c r="X31" s="42">
        <v>9129.0</v>
      </c>
      <c r="Y31" s="18">
        <f t="shared" si="7"/>
        <v>5</v>
      </c>
      <c r="Z31" s="42" t="str">
        <f t="shared" si="8"/>
        <v>905</v>
      </c>
      <c r="AA31" s="42">
        <v>900.0</v>
      </c>
      <c r="AB31" s="78">
        <f t="shared" si="23"/>
        <v>210029</v>
      </c>
      <c r="AC31" s="78">
        <f t="shared" ref="AC31:AE31" si="71">AB31</f>
        <v>210029</v>
      </c>
      <c r="AD31" s="78">
        <f t="shared" si="71"/>
        <v>210029</v>
      </c>
      <c r="AE31" s="78">
        <f t="shared" si="71"/>
        <v>210029</v>
      </c>
      <c r="AF31" s="78">
        <f t="shared" si="25"/>
        <v>210029</v>
      </c>
      <c r="AG31" s="78">
        <f t="shared" si="26"/>
        <v>310029</v>
      </c>
      <c r="AH31" s="78">
        <f t="shared" ref="AH31:AJ31" si="72">AG31</f>
        <v>310029</v>
      </c>
      <c r="AI31" s="78">
        <f t="shared" si="72"/>
        <v>310029</v>
      </c>
      <c r="AJ31" s="78">
        <f t="shared" si="72"/>
        <v>310029</v>
      </c>
      <c r="AK31" s="78">
        <f t="shared" si="28"/>
        <v>310029</v>
      </c>
    </row>
    <row r="32" ht="16.5" customHeight="1">
      <c r="A32" s="54">
        <v>10030.0</v>
      </c>
      <c r="B32" s="35" t="s">
        <v>734</v>
      </c>
      <c r="C32" s="54" t="s">
        <v>15</v>
      </c>
      <c r="D32" s="54" t="s">
        <v>774</v>
      </c>
      <c r="E32" s="54"/>
      <c r="F32" s="73" t="str">
        <f t="shared" si="3"/>
        <v>1,1</v>
      </c>
      <c r="G32" s="39" t="s">
        <v>1179</v>
      </c>
      <c r="H32" s="54"/>
      <c r="I32" s="74">
        <v>110012.0</v>
      </c>
      <c r="J32" s="74">
        <f t="shared" ref="J32:K32" si="73">J31+1</f>
        <v>210030</v>
      </c>
      <c r="K32" s="74">
        <f t="shared" si="73"/>
        <v>310030</v>
      </c>
      <c r="L32" s="64">
        <v>1.0</v>
      </c>
      <c r="M32" s="54"/>
      <c r="N32" s="54">
        <v>665.0</v>
      </c>
      <c r="O32" s="54">
        <v>10.0</v>
      </c>
      <c r="P32" s="49">
        <v>41.0</v>
      </c>
      <c r="Q32" s="54">
        <v>37.0</v>
      </c>
      <c r="R32" s="54">
        <v>55.0</v>
      </c>
      <c r="S32" s="54">
        <v>82.0</v>
      </c>
      <c r="T32" s="54">
        <v>7.0</v>
      </c>
      <c r="U32" s="76"/>
      <c r="V32" s="77">
        <f t="shared" si="6"/>
        <v>592.5</v>
      </c>
      <c r="W32" s="42"/>
      <c r="X32" s="42">
        <v>9130.0</v>
      </c>
      <c r="Y32" s="18">
        <f t="shared" si="7"/>
        <v>5</v>
      </c>
      <c r="Z32" s="42" t="str">
        <f t="shared" si="8"/>
        <v>904</v>
      </c>
      <c r="AA32" s="42">
        <v>900.0</v>
      </c>
      <c r="AB32" s="78">
        <f t="shared" si="23"/>
        <v>210030</v>
      </c>
      <c r="AC32" s="78">
        <f t="shared" ref="AC32:AE32" si="74">AB32</f>
        <v>210030</v>
      </c>
      <c r="AD32" s="78">
        <f t="shared" si="74"/>
        <v>210030</v>
      </c>
      <c r="AE32" s="78">
        <f t="shared" si="74"/>
        <v>210030</v>
      </c>
      <c r="AF32" s="78">
        <f t="shared" si="25"/>
        <v>210030</v>
      </c>
      <c r="AG32" s="78">
        <f t="shared" si="26"/>
        <v>310030</v>
      </c>
      <c r="AH32" s="78">
        <f t="shared" ref="AH32:AJ32" si="75">AG32</f>
        <v>310030</v>
      </c>
      <c r="AI32" s="78">
        <f t="shared" si="75"/>
        <v>310030</v>
      </c>
      <c r="AJ32" s="78">
        <f t="shared" si="75"/>
        <v>310030</v>
      </c>
      <c r="AK32" s="78">
        <f t="shared" si="28"/>
        <v>310030</v>
      </c>
    </row>
    <row r="33" ht="16.5" customHeight="1">
      <c r="A33" s="54">
        <v>10031.0</v>
      </c>
      <c r="B33" s="35" t="s">
        <v>750</v>
      </c>
      <c r="C33" s="54" t="s">
        <v>15</v>
      </c>
      <c r="D33" s="54" t="s">
        <v>774</v>
      </c>
      <c r="E33" s="54"/>
      <c r="F33" s="73" t="str">
        <f t="shared" si="3"/>
        <v>1,1</v>
      </c>
      <c r="G33" s="39" t="s">
        <v>1204</v>
      </c>
      <c r="H33" s="54"/>
      <c r="I33" s="74">
        <v>110001.0</v>
      </c>
      <c r="J33" s="74">
        <f t="shared" ref="J33:K33" si="76">J32+1</f>
        <v>210031</v>
      </c>
      <c r="K33" s="74">
        <f t="shared" si="76"/>
        <v>310031</v>
      </c>
      <c r="L33" s="64">
        <v>3.0</v>
      </c>
      <c r="M33" s="54"/>
      <c r="N33" s="54">
        <v>500.0</v>
      </c>
      <c r="O33" s="54">
        <v>49.0</v>
      </c>
      <c r="P33" s="54">
        <v>8.0</v>
      </c>
      <c r="Q33" s="54">
        <v>33.0</v>
      </c>
      <c r="R33" s="54">
        <v>21.0</v>
      </c>
      <c r="S33" s="54">
        <v>54.0</v>
      </c>
      <c r="T33" s="54">
        <v>9.0</v>
      </c>
      <c r="U33" s="76"/>
      <c r="V33" s="77">
        <f t="shared" si="6"/>
        <v>460</v>
      </c>
      <c r="W33" s="42"/>
      <c r="X33" s="42">
        <v>9127.0</v>
      </c>
      <c r="Y33" s="18">
        <f t="shared" si="7"/>
        <v>5</v>
      </c>
      <c r="Z33" s="42" t="str">
        <f t="shared" si="8"/>
        <v>905</v>
      </c>
      <c r="AA33" s="42">
        <v>900.0</v>
      </c>
      <c r="AB33" s="78">
        <f t="shared" si="23"/>
        <v>210031</v>
      </c>
      <c r="AC33" s="78">
        <f t="shared" ref="AC33:AE33" si="77">AB33</f>
        <v>210031</v>
      </c>
      <c r="AD33" s="78">
        <f t="shared" si="77"/>
        <v>210031</v>
      </c>
      <c r="AE33" s="78">
        <f t="shared" si="77"/>
        <v>210031</v>
      </c>
      <c r="AF33" s="78">
        <f t="shared" si="25"/>
        <v>210031</v>
      </c>
      <c r="AG33" s="78">
        <f t="shared" si="26"/>
        <v>310031</v>
      </c>
      <c r="AH33" s="78">
        <f t="shared" ref="AH33:AJ33" si="78">AG33</f>
        <v>310031</v>
      </c>
      <c r="AI33" s="78">
        <f t="shared" si="78"/>
        <v>310031</v>
      </c>
      <c r="AJ33" s="78">
        <f t="shared" si="78"/>
        <v>310031</v>
      </c>
      <c r="AK33" s="78">
        <f t="shared" si="28"/>
        <v>310031</v>
      </c>
    </row>
    <row r="34" ht="16.5" customHeight="1">
      <c r="F34" s="102"/>
      <c r="G34" s="38"/>
      <c r="I34" s="67"/>
      <c r="J34" s="67"/>
      <c r="K34" s="67"/>
      <c r="U34" s="68"/>
      <c r="AB34" s="47"/>
    </row>
    <row r="35" ht="14.25" customHeight="1">
      <c r="A35" s="50" t="s">
        <v>712</v>
      </c>
      <c r="B35" s="50" t="s">
        <v>714</v>
      </c>
      <c r="C35" s="40" t="s">
        <v>716</v>
      </c>
      <c r="D35" s="40" t="s">
        <v>507</v>
      </c>
      <c r="E35" s="50" t="s">
        <v>720</v>
      </c>
      <c r="F35" s="52" t="s">
        <v>721</v>
      </c>
      <c r="G35" s="40" t="s">
        <v>637</v>
      </c>
      <c r="H35" s="40" t="s">
        <v>724</v>
      </c>
      <c r="I35" s="69" t="s">
        <v>726</v>
      </c>
      <c r="J35" s="69" t="s">
        <v>727</v>
      </c>
      <c r="K35" s="69" t="s">
        <v>729</v>
      </c>
      <c r="L35" s="40" t="s">
        <v>638</v>
      </c>
      <c r="M35" s="40" t="s">
        <v>731</v>
      </c>
      <c r="N35" s="40" t="s">
        <v>107</v>
      </c>
      <c r="O35" s="40" t="s">
        <v>289</v>
      </c>
      <c r="P35" s="40" t="s">
        <v>290</v>
      </c>
      <c r="Q35" s="40" t="s">
        <v>291</v>
      </c>
      <c r="R35" s="40" t="s">
        <v>292</v>
      </c>
      <c r="S35" s="40" t="s">
        <v>134</v>
      </c>
      <c r="T35" s="40" t="s">
        <v>295</v>
      </c>
      <c r="U35" s="70" t="s">
        <v>746</v>
      </c>
      <c r="V35" s="42" t="s">
        <v>747</v>
      </c>
      <c r="W35" s="40" t="s">
        <v>748</v>
      </c>
      <c r="X35" s="40" t="s">
        <v>749</v>
      </c>
      <c r="Y35" s="71" t="s">
        <v>752</v>
      </c>
      <c r="Z35" s="42" t="s">
        <v>758</v>
      </c>
      <c r="AA35" s="42" t="s">
        <v>760</v>
      </c>
      <c r="AB35" s="42" t="s">
        <v>762</v>
      </c>
      <c r="AC35" s="42" t="s">
        <v>763</v>
      </c>
      <c r="AD35" s="42" t="s">
        <v>764</v>
      </c>
      <c r="AE35" s="42" t="s">
        <v>765</v>
      </c>
      <c r="AF35" s="42" t="s">
        <v>766</v>
      </c>
      <c r="AG35" s="42" t="s">
        <v>767</v>
      </c>
      <c r="AH35" s="42" t="s">
        <v>768</v>
      </c>
      <c r="AI35" s="42" t="s">
        <v>770</v>
      </c>
      <c r="AJ35" s="42" t="s">
        <v>771</v>
      </c>
      <c r="AK35" s="42" t="s">
        <v>772</v>
      </c>
    </row>
    <row r="36" ht="14.25" customHeight="1">
      <c r="A36" s="54">
        <v>90001.0</v>
      </c>
      <c r="B36" s="82" t="s">
        <v>18</v>
      </c>
      <c r="C36" s="54" t="s">
        <v>15</v>
      </c>
      <c r="D36" s="54" t="s">
        <v>1251</v>
      </c>
      <c r="E36" s="82" t="s">
        <v>1253</v>
      </c>
      <c r="F36" s="54" t="s">
        <v>1254</v>
      </c>
      <c r="G36" s="54">
        <v>21.0</v>
      </c>
      <c r="H36" s="103" t="str">
        <f t="shared" ref="H36:H48" si="79">"1001,1002,1003,1004,1005,2001,2002,2003,2004,2005,1997"</f>
        <v>1001,1002,1003,1004,1005,2001,2002,2003,2004,2005,1997</v>
      </c>
      <c r="I36" s="74">
        <v>110001.0</v>
      </c>
      <c r="J36" s="74">
        <f t="shared" ref="J36:J42" si="80">A36+800000</f>
        <v>890001</v>
      </c>
      <c r="K36" s="74">
        <f t="shared" ref="K36:K42" si="81">J36+100000</f>
        <v>990001</v>
      </c>
      <c r="L36" s="54"/>
      <c r="M36" s="54" t="str">
        <f>"{1.1},{1.1},{0.3},{1},{0.3}"</f>
        <v>{1.1},{1.1},{0.3},{1},{0.3}</v>
      </c>
      <c r="N36" s="54">
        <v>500.0</v>
      </c>
      <c r="O36" s="54">
        <v>99.0</v>
      </c>
      <c r="P36" s="54">
        <v>35.0</v>
      </c>
      <c r="Q36" s="54">
        <v>75.0</v>
      </c>
      <c r="R36" s="54">
        <v>47.0</v>
      </c>
      <c r="S36" s="54"/>
      <c r="T36" s="104">
        <v>9.0</v>
      </c>
      <c r="U36" s="76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</row>
    <row r="37" ht="14.25" customHeight="1">
      <c r="A37" s="54">
        <v>90002.0</v>
      </c>
      <c r="B37" s="82" t="s">
        <v>49</v>
      </c>
      <c r="C37" s="54" t="s">
        <v>15</v>
      </c>
      <c r="D37" s="54" t="s">
        <v>1251</v>
      </c>
      <c r="E37" s="82" t="s">
        <v>1283</v>
      </c>
      <c r="F37" s="54" t="s">
        <v>1254</v>
      </c>
      <c r="G37" s="54">
        <v>21.0</v>
      </c>
      <c r="H37" s="103" t="str">
        <f t="shared" si="79"/>
        <v>1001,1002,1003,1004,1005,2001,2002,2003,2004,2005,1997</v>
      </c>
      <c r="I37" s="74">
        <v>110001.0</v>
      </c>
      <c r="J37" s="74">
        <f t="shared" si="80"/>
        <v>890002</v>
      </c>
      <c r="K37" s="74">
        <f t="shared" si="81"/>
        <v>990002</v>
      </c>
      <c r="L37" s="54"/>
      <c r="M37" s="54" t="str">
        <f>"{1.5},{0.7},{0.3},{1.2},{1}"</f>
        <v>{1.5},{0.7},{0.3},{1.2},{1}</v>
      </c>
      <c r="N37" s="54">
        <v>680.0</v>
      </c>
      <c r="O37" s="54">
        <v>80.0</v>
      </c>
      <c r="P37" s="54">
        <v>20.0</v>
      </c>
      <c r="Q37" s="54">
        <v>82.0</v>
      </c>
      <c r="R37" s="54">
        <v>77.0</v>
      </c>
      <c r="S37" s="54"/>
      <c r="T37" s="54">
        <v>10.0</v>
      </c>
      <c r="U37" s="76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</row>
    <row r="38" ht="14.25" customHeight="1">
      <c r="A38" s="54">
        <v>90003.0</v>
      </c>
      <c r="B38" s="82" t="s">
        <v>80</v>
      </c>
      <c r="C38" s="54" t="s">
        <v>15</v>
      </c>
      <c r="D38" s="54" t="s">
        <v>1251</v>
      </c>
      <c r="E38" s="82" t="s">
        <v>1253</v>
      </c>
      <c r="F38" s="54" t="s">
        <v>1254</v>
      </c>
      <c r="G38" s="54">
        <v>21.0</v>
      </c>
      <c r="H38" s="103" t="str">
        <f t="shared" si="79"/>
        <v>1001,1002,1003,1004,1005,2001,2002,2003,2004,2005,1997</v>
      </c>
      <c r="I38" s="74">
        <v>110001.0</v>
      </c>
      <c r="J38" s="74">
        <f t="shared" si="80"/>
        <v>890003</v>
      </c>
      <c r="K38" s="74">
        <f t="shared" si="81"/>
        <v>990003</v>
      </c>
      <c r="L38" s="54"/>
      <c r="M38" s="54" t="str">
        <f>"{0.7},{1.4},{0.3},{0.3},{0.4}"</f>
        <v>{0.7},{1.4},{0.3},{0.3},{0.4}</v>
      </c>
      <c r="N38" s="54">
        <v>490.0</v>
      </c>
      <c r="O38" s="54">
        <v>99.0</v>
      </c>
      <c r="P38" s="54">
        <v>35.0</v>
      </c>
      <c r="Q38" s="54">
        <v>63.0</v>
      </c>
      <c r="R38" s="54">
        <v>56.0</v>
      </c>
      <c r="S38" s="54"/>
      <c r="T38" s="104">
        <v>8.0</v>
      </c>
      <c r="U38" s="76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</row>
    <row r="39" ht="14.25" customHeight="1">
      <c r="A39" s="54">
        <v>90004.0</v>
      </c>
      <c r="B39" s="82" t="s">
        <v>110</v>
      </c>
      <c r="C39" s="54" t="s">
        <v>15</v>
      </c>
      <c r="D39" s="54" t="s">
        <v>1251</v>
      </c>
      <c r="E39" s="82" t="s">
        <v>165</v>
      </c>
      <c r="F39" s="54" t="s">
        <v>1254</v>
      </c>
      <c r="G39" s="54">
        <v>21.0</v>
      </c>
      <c r="H39" s="103" t="str">
        <f t="shared" si="79"/>
        <v>1001,1002,1003,1004,1005,2001,2002,2003,2004,2005,1997</v>
      </c>
      <c r="I39" s="74">
        <v>110001.0</v>
      </c>
      <c r="J39" s="74">
        <f t="shared" si="80"/>
        <v>890004</v>
      </c>
      <c r="K39" s="74">
        <f t="shared" si="81"/>
        <v>990004</v>
      </c>
      <c r="L39" s="54"/>
      <c r="M39" s="54" t="str">
        <f>"{0.8},{1.3},{0.3},{0.3},{0.3}"</f>
        <v>{0.8},{1.3},{0.3},{0.3},{0.3}</v>
      </c>
      <c r="N39" s="54">
        <v>475.0</v>
      </c>
      <c r="O39" s="54">
        <v>50.0</v>
      </c>
      <c r="P39" s="54">
        <v>97.0</v>
      </c>
      <c r="Q39" s="54">
        <v>54.0</v>
      </c>
      <c r="R39" s="54">
        <v>48.0</v>
      </c>
      <c r="S39" s="54"/>
      <c r="T39" s="104">
        <v>8.0</v>
      </c>
      <c r="U39" s="76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</row>
    <row r="40" ht="14.25" customHeight="1">
      <c r="A40" s="54">
        <v>90005.0</v>
      </c>
      <c r="B40" s="82" t="s">
        <v>137</v>
      </c>
      <c r="C40" s="54" t="s">
        <v>15</v>
      </c>
      <c r="D40" s="54" t="s">
        <v>1251</v>
      </c>
      <c r="E40" s="82" t="s">
        <v>97</v>
      </c>
      <c r="F40" s="54" t="s">
        <v>1254</v>
      </c>
      <c r="G40" s="54">
        <v>21.0</v>
      </c>
      <c r="H40" s="103" t="str">
        <f t="shared" si="79"/>
        <v>1001,1002,1003,1004,1005,2001,2002,2003,2004,2005,1997</v>
      </c>
      <c r="I40" s="74">
        <v>110011.0</v>
      </c>
      <c r="J40" s="74">
        <f t="shared" si="80"/>
        <v>890005</v>
      </c>
      <c r="K40" s="74">
        <f t="shared" si="81"/>
        <v>990005</v>
      </c>
      <c r="L40" s="54"/>
      <c r="M40" s="54" t="str">
        <f>"{1},{0.3},{1.1},{1},{0.3}"</f>
        <v>{1},{0.3},{1.1},{1},{0.3}</v>
      </c>
      <c r="N40" s="54">
        <v>475.0</v>
      </c>
      <c r="O40" s="54">
        <v>20.0</v>
      </c>
      <c r="P40" s="54">
        <v>101.0</v>
      </c>
      <c r="Q40" s="54">
        <v>51.0</v>
      </c>
      <c r="R40" s="54">
        <v>72.0</v>
      </c>
      <c r="S40" s="54"/>
      <c r="T40" s="104">
        <v>10.0</v>
      </c>
      <c r="U40" s="76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</row>
    <row r="41" ht="14.25" customHeight="1">
      <c r="A41" s="54">
        <v>90006.0</v>
      </c>
      <c r="B41" s="82" t="s">
        <v>170</v>
      </c>
      <c r="C41" s="54" t="s">
        <v>15</v>
      </c>
      <c r="D41" s="54" t="s">
        <v>1251</v>
      </c>
      <c r="E41" s="82" t="s">
        <v>97</v>
      </c>
      <c r="F41" s="54" t="s">
        <v>1254</v>
      </c>
      <c r="G41" s="54">
        <v>21.0</v>
      </c>
      <c r="H41" s="103" t="str">
        <f t="shared" si="79"/>
        <v>1001,1002,1003,1004,1005,2001,2002,2003,2004,2005,1997</v>
      </c>
      <c r="I41" s="74">
        <v>110011.0</v>
      </c>
      <c r="J41" s="74">
        <f t="shared" si="80"/>
        <v>890006</v>
      </c>
      <c r="K41" s="74">
        <f t="shared" si="81"/>
        <v>990006</v>
      </c>
      <c r="L41" s="54"/>
      <c r="M41" s="54" t="str">
        <f>"{1.2},{0.3},{1.1},{1},{0.3}"</f>
        <v>{1.2},{0.3},{1.1},{1},{0.3}</v>
      </c>
      <c r="N41" s="54">
        <v>530.0</v>
      </c>
      <c r="O41" s="54">
        <v>35.0</v>
      </c>
      <c r="P41" s="54">
        <v>99.0</v>
      </c>
      <c r="Q41" s="54">
        <v>67.0</v>
      </c>
      <c r="R41" s="54">
        <v>74.0</v>
      </c>
      <c r="S41" s="54"/>
      <c r="T41" s="104">
        <v>9.0</v>
      </c>
      <c r="U41" s="76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</row>
    <row r="42" ht="14.25" customHeight="1">
      <c r="A42" s="110">
        <v>90007.0</v>
      </c>
      <c r="B42" s="111" t="s">
        <v>86</v>
      </c>
      <c r="C42" s="110" t="s">
        <v>8</v>
      </c>
      <c r="D42" s="110" t="s">
        <v>1251</v>
      </c>
      <c r="E42" s="111" t="s">
        <v>1253</v>
      </c>
      <c r="F42" s="110" t="s">
        <v>1254</v>
      </c>
      <c r="G42" s="110">
        <v>23.0</v>
      </c>
      <c r="H42" s="112" t="str">
        <f t="shared" si="79"/>
        <v>1001,1002,1003,1004,1005,2001,2002,2003,2004,2005,1997</v>
      </c>
      <c r="I42" s="113">
        <v>110004.0</v>
      </c>
      <c r="J42" s="113">
        <f t="shared" si="80"/>
        <v>890007</v>
      </c>
      <c r="K42" s="113">
        <f t="shared" si="81"/>
        <v>990007</v>
      </c>
      <c r="L42" s="110"/>
      <c r="M42" s="110" t="s">
        <v>1344</v>
      </c>
      <c r="N42" s="110">
        <f t="shared" ref="N42:R42" si="82">ROUND(N43*1.7,0)</f>
        <v>1445</v>
      </c>
      <c r="O42" s="110">
        <f t="shared" si="82"/>
        <v>286</v>
      </c>
      <c r="P42" s="110">
        <f t="shared" si="82"/>
        <v>102</v>
      </c>
      <c r="Q42" s="110">
        <f t="shared" si="82"/>
        <v>218</v>
      </c>
      <c r="R42" s="110">
        <f t="shared" si="82"/>
        <v>136</v>
      </c>
      <c r="S42" s="110"/>
      <c r="T42" s="110">
        <v>14.0</v>
      </c>
      <c r="U42" s="114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</row>
    <row r="43" ht="14.25" customHeight="1">
      <c r="A43" s="54">
        <f t="shared" ref="A43:A48" si="84">A42+1</f>
        <v>90008</v>
      </c>
      <c r="B43" s="82" t="s">
        <v>27</v>
      </c>
      <c r="C43" s="54" t="s">
        <v>11</v>
      </c>
      <c r="D43" s="54" t="s">
        <v>1251</v>
      </c>
      <c r="E43" s="82" t="s">
        <v>1253</v>
      </c>
      <c r="F43" s="54" t="s">
        <v>1254</v>
      </c>
      <c r="G43" s="54">
        <v>22.0</v>
      </c>
      <c r="H43" s="103" t="str">
        <f t="shared" si="79"/>
        <v>1001,1002,1003,1004,1005,2001,2002,2003,2004,2005,1997</v>
      </c>
      <c r="I43" s="74">
        <v>110001.0</v>
      </c>
      <c r="J43" s="74">
        <v>890001.0</v>
      </c>
      <c r="K43" s="74">
        <v>990001.0</v>
      </c>
      <c r="L43" s="54"/>
      <c r="M43" s="54" t="str">
        <f>"{1.3},{1.3},{0.5},{1.2},{0.5}"</f>
        <v>{1.3},{1.3},{0.5},{1.2},{0.5}</v>
      </c>
      <c r="N43" s="54">
        <f t="shared" ref="N43:R43" si="83">ROUND(N36*1.7,0)</f>
        <v>850</v>
      </c>
      <c r="O43" s="54">
        <f t="shared" si="83"/>
        <v>168</v>
      </c>
      <c r="P43" s="54">
        <f t="shared" si="83"/>
        <v>60</v>
      </c>
      <c r="Q43" s="54">
        <f t="shared" si="83"/>
        <v>128</v>
      </c>
      <c r="R43" s="54">
        <f t="shared" si="83"/>
        <v>80</v>
      </c>
      <c r="S43" s="54"/>
      <c r="T43" s="54">
        <f t="shared" ref="T43:T44" si="86">T36</f>
        <v>9</v>
      </c>
      <c r="U43" s="76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</row>
    <row r="44" ht="14.25" customHeight="1">
      <c r="A44" s="54">
        <f t="shared" si="84"/>
        <v>90009</v>
      </c>
      <c r="B44" s="82" t="s">
        <v>34</v>
      </c>
      <c r="C44" s="54" t="s">
        <v>11</v>
      </c>
      <c r="D44" s="54" t="s">
        <v>1251</v>
      </c>
      <c r="E44" s="82" t="s">
        <v>1283</v>
      </c>
      <c r="F44" s="54" t="s">
        <v>1254</v>
      </c>
      <c r="G44" s="54">
        <v>22.0</v>
      </c>
      <c r="H44" s="103" t="str">
        <f t="shared" si="79"/>
        <v>1001,1002,1003,1004,1005,2001,2002,2003,2004,2005,1997</v>
      </c>
      <c r="I44" s="74">
        <v>110001.0</v>
      </c>
      <c r="J44" s="74">
        <v>890002.0</v>
      </c>
      <c r="K44" s="74">
        <v>990002.0</v>
      </c>
      <c r="L44" s="54"/>
      <c r="M44" s="54" t="str">
        <f>"{1.7},{0.9},{0.5},{1.5},{1.2}"</f>
        <v>{1.7},{0.9},{0.5},{1.5},{1.2}</v>
      </c>
      <c r="N44" s="54">
        <f t="shared" ref="N44:R44" si="85">ROUND(N37*1.7,0)</f>
        <v>1156</v>
      </c>
      <c r="O44" s="54">
        <f t="shared" si="85"/>
        <v>136</v>
      </c>
      <c r="P44" s="54">
        <f t="shared" si="85"/>
        <v>34</v>
      </c>
      <c r="Q44" s="54">
        <f t="shared" si="85"/>
        <v>139</v>
      </c>
      <c r="R44" s="54">
        <f t="shared" si="85"/>
        <v>131</v>
      </c>
      <c r="S44" s="54"/>
      <c r="T44" s="54">
        <f t="shared" si="86"/>
        <v>10</v>
      </c>
      <c r="U44" s="76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</row>
    <row r="45" ht="14.25" customHeight="1">
      <c r="A45" s="54">
        <f t="shared" si="84"/>
        <v>90010</v>
      </c>
      <c r="B45" s="82" t="s">
        <v>41</v>
      </c>
      <c r="C45" s="54" t="s">
        <v>11</v>
      </c>
      <c r="D45" s="54" t="s">
        <v>1251</v>
      </c>
      <c r="E45" s="82" t="s">
        <v>1253</v>
      </c>
      <c r="F45" s="54" t="s">
        <v>1254</v>
      </c>
      <c r="G45" s="54">
        <v>22.0</v>
      </c>
      <c r="H45" s="103" t="str">
        <f t="shared" si="79"/>
        <v>1001,1002,1003,1004,1005,2001,2002,2003,2004,2005,1997</v>
      </c>
      <c r="I45" s="74">
        <v>110001.0</v>
      </c>
      <c r="J45" s="74">
        <v>890003.0</v>
      </c>
      <c r="K45" s="74">
        <v>990003.0</v>
      </c>
      <c r="L45" s="54"/>
      <c r="M45" s="54" t="str">
        <f>"{0.9},{1.6},{0.5},{0.5},{0.6}"</f>
        <v>{0.9},{1.6},{0.5},{0.5},{0.6}</v>
      </c>
      <c r="N45" s="54">
        <f t="shared" ref="N45:R45" si="87">ROUND(N38*1.7,0)</f>
        <v>833</v>
      </c>
      <c r="O45" s="54">
        <f t="shared" si="87"/>
        <v>168</v>
      </c>
      <c r="P45" s="54">
        <f t="shared" si="87"/>
        <v>60</v>
      </c>
      <c r="Q45" s="54">
        <f t="shared" si="87"/>
        <v>107</v>
      </c>
      <c r="R45" s="54">
        <f t="shared" si="87"/>
        <v>95</v>
      </c>
      <c r="S45" s="54"/>
      <c r="T45" s="54">
        <f>T38+2</f>
        <v>10</v>
      </c>
      <c r="U45" s="76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</row>
    <row r="46" ht="14.25" customHeight="1">
      <c r="A46" s="54">
        <f t="shared" si="84"/>
        <v>90011</v>
      </c>
      <c r="B46" s="82" t="s">
        <v>46</v>
      </c>
      <c r="C46" s="54" t="s">
        <v>11</v>
      </c>
      <c r="D46" s="54" t="s">
        <v>1251</v>
      </c>
      <c r="E46" s="82" t="s">
        <v>165</v>
      </c>
      <c r="F46" s="54" t="s">
        <v>1254</v>
      </c>
      <c r="G46" s="54">
        <v>22.0</v>
      </c>
      <c r="H46" s="103" t="str">
        <f t="shared" si="79"/>
        <v>1001,1002,1003,1004,1005,2001,2002,2003,2004,2005,1997</v>
      </c>
      <c r="I46" s="74">
        <v>110001.0</v>
      </c>
      <c r="J46" s="74">
        <v>890004.0</v>
      </c>
      <c r="K46" s="74">
        <v>990004.0</v>
      </c>
      <c r="L46" s="54"/>
      <c r="M46" s="54" t="str">
        <f>"{1},{1.5},{0.5},{0.5},{0.5}"</f>
        <v>{1},{1.5},{0.5},{0.5},{0.5}</v>
      </c>
      <c r="N46" s="54">
        <f t="shared" ref="N46:R46" si="88">ROUND(N39*1.7,0)</f>
        <v>808</v>
      </c>
      <c r="O46" s="54">
        <f t="shared" si="88"/>
        <v>85</v>
      </c>
      <c r="P46" s="54">
        <f t="shared" si="88"/>
        <v>165</v>
      </c>
      <c r="Q46" s="54">
        <f t="shared" si="88"/>
        <v>92</v>
      </c>
      <c r="R46" s="54">
        <f t="shared" si="88"/>
        <v>82</v>
      </c>
      <c r="S46" s="54"/>
      <c r="T46" s="54">
        <f>T39+3</f>
        <v>11</v>
      </c>
      <c r="U46" s="76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</row>
    <row r="47" ht="14.25" customHeight="1">
      <c r="A47" s="54">
        <f t="shared" si="84"/>
        <v>90012</v>
      </c>
      <c r="B47" s="82" t="s">
        <v>51</v>
      </c>
      <c r="C47" s="54" t="s">
        <v>11</v>
      </c>
      <c r="D47" s="54" t="s">
        <v>1251</v>
      </c>
      <c r="E47" s="82" t="s">
        <v>97</v>
      </c>
      <c r="F47" s="54" t="s">
        <v>1254</v>
      </c>
      <c r="G47" s="54">
        <v>22.0</v>
      </c>
      <c r="H47" s="103" t="str">
        <f t="shared" si="79"/>
        <v>1001,1002,1003,1004,1005,2001,2002,2003,2004,2005,1997</v>
      </c>
      <c r="I47" s="74">
        <v>110011.0</v>
      </c>
      <c r="J47" s="74">
        <v>890005.0</v>
      </c>
      <c r="K47" s="74">
        <v>990005.0</v>
      </c>
      <c r="L47" s="54"/>
      <c r="M47" s="54" t="str">
        <f>"{1.2},{0.5},{1.3},{1.2},{0.5}"</f>
        <v>{1.2},{0.5},{1.3},{1.2},{0.5}</v>
      </c>
      <c r="N47" s="54">
        <f t="shared" ref="N47:R47" si="89">ROUND(N40*1.7,0)</f>
        <v>808</v>
      </c>
      <c r="O47" s="54">
        <f t="shared" si="89"/>
        <v>34</v>
      </c>
      <c r="P47" s="54">
        <f t="shared" si="89"/>
        <v>172</v>
      </c>
      <c r="Q47" s="54">
        <f t="shared" si="89"/>
        <v>87</v>
      </c>
      <c r="R47" s="54">
        <f t="shared" si="89"/>
        <v>122</v>
      </c>
      <c r="S47" s="54"/>
      <c r="T47" s="54">
        <f t="shared" ref="T47:T48" si="91">T40</f>
        <v>10</v>
      </c>
      <c r="U47" s="76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</row>
    <row r="48" ht="14.25" customHeight="1">
      <c r="A48" s="54">
        <f t="shared" si="84"/>
        <v>90013</v>
      </c>
      <c r="B48" s="82" t="s">
        <v>60</v>
      </c>
      <c r="C48" s="54" t="s">
        <v>11</v>
      </c>
      <c r="D48" s="54" t="s">
        <v>1251</v>
      </c>
      <c r="E48" s="82" t="s">
        <v>97</v>
      </c>
      <c r="F48" s="54" t="s">
        <v>1254</v>
      </c>
      <c r="G48" s="54">
        <v>22.0</v>
      </c>
      <c r="H48" s="103" t="str">
        <f t="shared" si="79"/>
        <v>1001,1002,1003,1004,1005,2001,2002,2003,2004,2005,1997</v>
      </c>
      <c r="I48" s="74">
        <v>110011.0</v>
      </c>
      <c r="J48" s="74">
        <v>890006.0</v>
      </c>
      <c r="K48" s="74">
        <v>990006.0</v>
      </c>
      <c r="L48" s="54"/>
      <c r="M48" s="54" t="str">
        <f>"{1.5},{0.5},{1.3},{1.2},{0.5}"</f>
        <v>{1.5},{0.5},{1.3},{1.2},{0.5}</v>
      </c>
      <c r="N48" s="54">
        <f t="shared" ref="N48:R48" si="90">ROUND(N41*1.7,0)</f>
        <v>901</v>
      </c>
      <c r="O48" s="54">
        <f t="shared" si="90"/>
        <v>60</v>
      </c>
      <c r="P48" s="54">
        <f t="shared" si="90"/>
        <v>168</v>
      </c>
      <c r="Q48" s="54">
        <f t="shared" si="90"/>
        <v>114</v>
      </c>
      <c r="R48" s="54">
        <f t="shared" si="90"/>
        <v>126</v>
      </c>
      <c r="S48" s="54"/>
      <c r="T48" s="54">
        <f t="shared" si="91"/>
        <v>9</v>
      </c>
      <c r="U48" s="76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</row>
    <row r="49" ht="12.75" customHeight="1">
      <c r="I49" s="67"/>
      <c r="J49" s="67"/>
      <c r="K49" s="67"/>
      <c r="U49" s="68"/>
    </row>
    <row r="50" ht="12.75" customHeight="1">
      <c r="I50" s="67"/>
      <c r="J50" s="67"/>
      <c r="K50" s="67"/>
      <c r="U50" s="68"/>
    </row>
    <row r="51" ht="12.75" customHeight="1">
      <c r="I51" s="67"/>
      <c r="J51" s="67"/>
      <c r="K51" s="67"/>
      <c r="U51" s="68"/>
    </row>
    <row r="52" ht="12.75" customHeight="1">
      <c r="I52" s="67"/>
      <c r="J52" s="67"/>
      <c r="K52" s="67"/>
      <c r="U52" s="68"/>
    </row>
    <row r="53" ht="14.25" customHeight="1">
      <c r="A53" s="50" t="s">
        <v>712</v>
      </c>
      <c r="B53" s="50" t="s">
        <v>714</v>
      </c>
      <c r="C53" s="40" t="s">
        <v>716</v>
      </c>
      <c r="D53" s="40" t="s">
        <v>507</v>
      </c>
      <c r="E53" s="50" t="s">
        <v>720</v>
      </c>
      <c r="F53" s="52" t="s">
        <v>721</v>
      </c>
      <c r="G53" s="40" t="s">
        <v>637</v>
      </c>
      <c r="H53" s="40" t="s">
        <v>724</v>
      </c>
      <c r="I53" s="69" t="s">
        <v>726</v>
      </c>
      <c r="J53" s="69" t="s">
        <v>727</v>
      </c>
      <c r="K53" s="69" t="s">
        <v>729</v>
      </c>
      <c r="L53" s="40" t="s">
        <v>638</v>
      </c>
      <c r="M53" s="40" t="s">
        <v>731</v>
      </c>
      <c r="N53" s="40" t="s">
        <v>732</v>
      </c>
      <c r="O53" s="40" t="s">
        <v>733</v>
      </c>
      <c r="P53" s="40" t="s">
        <v>735</v>
      </c>
      <c r="Q53" s="40" t="s">
        <v>739</v>
      </c>
      <c r="R53" s="40" t="s">
        <v>741</v>
      </c>
      <c r="S53" s="40" t="s">
        <v>743</v>
      </c>
      <c r="T53" s="40" t="s">
        <v>112</v>
      </c>
      <c r="U53" s="70" t="s">
        <v>746</v>
      </c>
      <c r="V53" s="42" t="s">
        <v>747</v>
      </c>
      <c r="W53" s="40" t="s">
        <v>748</v>
      </c>
      <c r="X53" s="40" t="s">
        <v>749</v>
      </c>
      <c r="Y53" s="71" t="s">
        <v>752</v>
      </c>
      <c r="Z53" s="42" t="s">
        <v>758</v>
      </c>
      <c r="AA53" s="42" t="s">
        <v>760</v>
      </c>
      <c r="AB53" s="42" t="s">
        <v>762</v>
      </c>
      <c r="AC53" s="42" t="s">
        <v>763</v>
      </c>
      <c r="AD53" s="42" t="s">
        <v>764</v>
      </c>
      <c r="AE53" s="42" t="s">
        <v>765</v>
      </c>
      <c r="AF53" s="42" t="s">
        <v>766</v>
      </c>
      <c r="AG53" s="42" t="s">
        <v>767</v>
      </c>
      <c r="AH53" s="42" t="s">
        <v>768</v>
      </c>
      <c r="AI53" s="42" t="s">
        <v>770</v>
      </c>
      <c r="AJ53" s="42" t="s">
        <v>771</v>
      </c>
      <c r="AK53" s="42" t="s">
        <v>772</v>
      </c>
    </row>
    <row r="54" ht="16.5" customHeight="1">
      <c r="A54" s="54">
        <v>40001.0</v>
      </c>
      <c r="B54" s="35" t="s">
        <v>1500</v>
      </c>
      <c r="C54" s="54" t="s">
        <v>15</v>
      </c>
      <c r="D54" s="54" t="s">
        <v>1501</v>
      </c>
      <c r="E54" s="54" t="str">
        <f t="shared" ref="E54:E69" si="92">IF(O54&gt;P54,"物攻","魔攻")</f>
        <v>物攻</v>
      </c>
      <c r="F54" s="73" t="str">
        <f t="shared" ref="F54:F69" si="93">"1,1"</f>
        <v>1,1</v>
      </c>
      <c r="G54" s="35">
        <v>62.0</v>
      </c>
      <c r="H54" s="54"/>
      <c r="I54" s="74">
        <v>110002.0</v>
      </c>
      <c r="J54" s="74">
        <v>400001.0</v>
      </c>
      <c r="K54" s="74">
        <v>410001.0</v>
      </c>
      <c r="L54" s="64">
        <v>2.0</v>
      </c>
      <c r="M54" s="54"/>
      <c r="N54" s="54">
        <v>550.0</v>
      </c>
      <c r="O54" s="54">
        <v>53.0</v>
      </c>
      <c r="P54" s="54">
        <v>9.0</v>
      </c>
      <c r="Q54" s="54">
        <v>33.0</v>
      </c>
      <c r="R54" s="54">
        <v>21.0</v>
      </c>
      <c r="S54" s="54">
        <v>57.0</v>
      </c>
      <c r="T54" s="104">
        <v>8.0</v>
      </c>
      <c r="U54" s="76"/>
      <c r="V54" s="77">
        <f t="shared" ref="V54:V69" si="94">N54*0.5+O54+P54+Q54+R54+S54+T54*5</f>
        <v>488</v>
      </c>
      <c r="W54" s="121">
        <f t="shared" ref="W54:W140" si="95">round((1000-V54)/2000,2)</f>
        <v>0.26</v>
      </c>
      <c r="X54" s="42"/>
      <c r="Y54" s="18"/>
      <c r="Z54" s="42" t="str">
        <f t="shared" ref="Z54:Z69" si="96">IF(C54="SSR",IF(P54&gt;O54,"901","900"),IF(C54="SR",IF(P54&gt;O54,"902","903" ),IF(C54="R",IF(P54&gt;O54,"904","905" ))))</f>
        <v>905</v>
      </c>
      <c r="AA54" s="42">
        <v>910.0</v>
      </c>
      <c r="AB54" s="42"/>
      <c r="AC54" s="42"/>
      <c r="AD54" s="42"/>
      <c r="AE54" s="42"/>
      <c r="AF54" s="42"/>
      <c r="AG54" s="42"/>
      <c r="AH54" s="42"/>
      <c r="AI54" s="42"/>
      <c r="AJ54" s="42"/>
      <c r="AK54" s="42"/>
    </row>
    <row r="55" ht="16.5" customHeight="1">
      <c r="A55" s="54">
        <v>40002.0</v>
      </c>
      <c r="B55" s="35" t="s">
        <v>1534</v>
      </c>
      <c r="C55" s="54" t="s">
        <v>15</v>
      </c>
      <c r="D55" s="54" t="s">
        <v>1501</v>
      </c>
      <c r="E55" s="54" t="str">
        <f t="shared" si="92"/>
        <v>物攻</v>
      </c>
      <c r="F55" s="73" t="str">
        <f t="shared" si="93"/>
        <v>1,1</v>
      </c>
      <c r="G55" s="35">
        <v>62.0</v>
      </c>
      <c r="H55" s="54"/>
      <c r="I55" s="74">
        <v>110002.0</v>
      </c>
      <c r="J55" s="74">
        <v>400002.0</v>
      </c>
      <c r="K55" s="74">
        <v>410002.0</v>
      </c>
      <c r="L55" s="64">
        <v>1.0</v>
      </c>
      <c r="M55" s="54"/>
      <c r="N55" s="54">
        <v>430.0</v>
      </c>
      <c r="O55" s="54">
        <v>49.0</v>
      </c>
      <c r="P55" s="54">
        <v>11.0</v>
      </c>
      <c r="Q55" s="54">
        <v>36.0</v>
      </c>
      <c r="R55" s="54">
        <v>27.0</v>
      </c>
      <c r="S55" s="54">
        <v>57.0</v>
      </c>
      <c r="T55" s="104">
        <v>10.0</v>
      </c>
      <c r="U55" s="76"/>
      <c r="V55" s="77">
        <f t="shared" si="94"/>
        <v>445</v>
      </c>
      <c r="W55" s="121">
        <f t="shared" si="95"/>
        <v>0.28</v>
      </c>
      <c r="X55" s="42"/>
      <c r="Y55" s="18"/>
      <c r="Z55" s="42" t="str">
        <f t="shared" si="96"/>
        <v>905</v>
      </c>
      <c r="AA55" s="42">
        <v>910.0</v>
      </c>
      <c r="AB55" s="42"/>
      <c r="AC55" s="42"/>
      <c r="AD55" s="42"/>
      <c r="AE55" s="42"/>
      <c r="AF55" s="42"/>
      <c r="AG55" s="42"/>
      <c r="AH55" s="42"/>
      <c r="AI55" s="42"/>
      <c r="AJ55" s="42"/>
      <c r="AK55" s="42"/>
    </row>
    <row r="56" ht="16.5" customHeight="1">
      <c r="A56" s="54">
        <v>40003.0</v>
      </c>
      <c r="B56" s="35" t="s">
        <v>1545</v>
      </c>
      <c r="C56" s="54" t="s">
        <v>15</v>
      </c>
      <c r="D56" s="54" t="s">
        <v>1501</v>
      </c>
      <c r="E56" s="54" t="str">
        <f t="shared" si="92"/>
        <v>物攻</v>
      </c>
      <c r="F56" s="73" t="str">
        <f t="shared" si="93"/>
        <v>1,1</v>
      </c>
      <c r="G56" s="35">
        <v>67.0</v>
      </c>
      <c r="H56" s="54"/>
      <c r="I56" s="74">
        <v>110001.0</v>
      </c>
      <c r="J56" s="74">
        <v>400003.0</v>
      </c>
      <c r="K56" s="74">
        <v>410003.0</v>
      </c>
      <c r="L56" s="64">
        <v>2.0</v>
      </c>
      <c r="M56" s="54"/>
      <c r="N56" s="54">
        <v>690.0</v>
      </c>
      <c r="O56" s="54">
        <v>44.0</v>
      </c>
      <c r="P56" s="54">
        <v>9.0</v>
      </c>
      <c r="Q56" s="54">
        <v>41.0</v>
      </c>
      <c r="R56" s="54">
        <v>31.0</v>
      </c>
      <c r="S56" s="54">
        <v>57.0</v>
      </c>
      <c r="T56" s="54">
        <v>8.0</v>
      </c>
      <c r="U56" s="76"/>
      <c r="V56" s="77">
        <f t="shared" si="94"/>
        <v>567</v>
      </c>
      <c r="W56" s="121">
        <f t="shared" si="95"/>
        <v>0.22</v>
      </c>
      <c r="X56" s="42"/>
      <c r="Y56" s="18"/>
      <c r="Z56" s="42" t="str">
        <f t="shared" si="96"/>
        <v>905</v>
      </c>
      <c r="AA56" s="42">
        <v>910.0</v>
      </c>
      <c r="AB56" s="42"/>
      <c r="AC56" s="42"/>
      <c r="AD56" s="42"/>
      <c r="AE56" s="42"/>
      <c r="AF56" s="42"/>
      <c r="AG56" s="42"/>
      <c r="AH56" s="42"/>
      <c r="AI56" s="42"/>
      <c r="AJ56" s="42"/>
      <c r="AK56" s="42"/>
    </row>
    <row r="57" ht="16.5" customHeight="1">
      <c r="A57" s="54">
        <v>40004.0</v>
      </c>
      <c r="B57" s="35" t="s">
        <v>1555</v>
      </c>
      <c r="C57" s="54" t="s">
        <v>15</v>
      </c>
      <c r="D57" s="54" t="s">
        <v>1501</v>
      </c>
      <c r="E57" s="54" t="str">
        <f t="shared" si="92"/>
        <v>物攻</v>
      </c>
      <c r="F57" s="73" t="str">
        <f t="shared" si="93"/>
        <v>1,1</v>
      </c>
      <c r="G57" s="35">
        <v>62.0</v>
      </c>
      <c r="H57" s="54"/>
      <c r="I57" s="74">
        <v>110002.0</v>
      </c>
      <c r="J57" s="74">
        <v>400004.0</v>
      </c>
      <c r="K57" s="74">
        <v>410004.0</v>
      </c>
      <c r="L57" s="64">
        <v>3.0</v>
      </c>
      <c r="M57" s="54"/>
      <c r="N57" s="54">
        <v>450.0</v>
      </c>
      <c r="O57" s="54">
        <v>57.0</v>
      </c>
      <c r="P57" s="54">
        <v>9.0</v>
      </c>
      <c r="Q57" s="54">
        <v>27.0</v>
      </c>
      <c r="R57" s="54">
        <v>23.0</v>
      </c>
      <c r="S57" s="54">
        <v>57.0</v>
      </c>
      <c r="T57" s="104">
        <v>11.0</v>
      </c>
      <c r="U57" s="76"/>
      <c r="V57" s="77">
        <f t="shared" si="94"/>
        <v>453</v>
      </c>
      <c r="W57" s="121">
        <f t="shared" si="95"/>
        <v>0.27</v>
      </c>
      <c r="X57" s="42"/>
      <c r="Y57" s="18"/>
      <c r="Z57" s="42" t="str">
        <f t="shared" si="96"/>
        <v>905</v>
      </c>
      <c r="AA57" s="42">
        <v>910.0</v>
      </c>
      <c r="AB57" s="42"/>
      <c r="AC57" s="42"/>
      <c r="AD57" s="42"/>
      <c r="AE57" s="42"/>
      <c r="AF57" s="42"/>
      <c r="AG57" s="42"/>
      <c r="AH57" s="42"/>
      <c r="AI57" s="42"/>
      <c r="AJ57" s="42"/>
      <c r="AK57" s="42"/>
    </row>
    <row r="58" ht="16.5" customHeight="1">
      <c r="A58" s="54">
        <v>40005.0</v>
      </c>
      <c r="B58" s="35" t="s">
        <v>1566</v>
      </c>
      <c r="C58" s="54" t="s">
        <v>15</v>
      </c>
      <c r="D58" s="54" t="s">
        <v>1501</v>
      </c>
      <c r="E58" s="54" t="str">
        <f t="shared" si="92"/>
        <v>魔攻</v>
      </c>
      <c r="F58" s="73" t="str">
        <f t="shared" si="93"/>
        <v>1,1</v>
      </c>
      <c r="G58" s="35">
        <v>64.0</v>
      </c>
      <c r="H58" s="54"/>
      <c r="I58" s="74">
        <v>110011.0</v>
      </c>
      <c r="J58" s="74">
        <v>400005.0</v>
      </c>
      <c r="K58" s="74">
        <v>410005.0</v>
      </c>
      <c r="L58" s="64">
        <v>2.0</v>
      </c>
      <c r="M58" s="54"/>
      <c r="N58" s="54">
        <v>480.0</v>
      </c>
      <c r="O58" s="54">
        <v>7.0</v>
      </c>
      <c r="P58" s="54">
        <v>43.0</v>
      </c>
      <c r="Q58" s="54">
        <v>20.0</v>
      </c>
      <c r="R58" s="54">
        <v>35.0</v>
      </c>
      <c r="S58" s="54">
        <v>57.0</v>
      </c>
      <c r="T58" s="54">
        <v>8.0</v>
      </c>
      <c r="U58" s="76"/>
      <c r="V58" s="77">
        <f t="shared" si="94"/>
        <v>442</v>
      </c>
      <c r="W58" s="121">
        <f t="shared" si="95"/>
        <v>0.28</v>
      </c>
      <c r="X58" s="42"/>
      <c r="Y58" s="18"/>
      <c r="Z58" s="42" t="str">
        <f t="shared" si="96"/>
        <v>904</v>
      </c>
      <c r="AA58" s="42">
        <v>910.0</v>
      </c>
      <c r="AB58" s="42"/>
      <c r="AC58" s="42"/>
      <c r="AD58" s="42"/>
      <c r="AE58" s="42"/>
      <c r="AF58" s="42"/>
      <c r="AG58" s="42"/>
      <c r="AH58" s="42"/>
      <c r="AI58" s="42"/>
      <c r="AJ58" s="42"/>
      <c r="AK58" s="42"/>
    </row>
    <row r="59" ht="16.5" customHeight="1">
      <c r="A59" s="54">
        <v>40006.0</v>
      </c>
      <c r="B59" s="35" t="s">
        <v>1570</v>
      </c>
      <c r="C59" s="54" t="s">
        <v>15</v>
      </c>
      <c r="D59" s="54" t="s">
        <v>1501</v>
      </c>
      <c r="E59" s="54" t="str">
        <f t="shared" si="92"/>
        <v>物攻</v>
      </c>
      <c r="F59" s="73" t="str">
        <f t="shared" si="93"/>
        <v>1,1</v>
      </c>
      <c r="G59" s="35">
        <v>62.0</v>
      </c>
      <c r="H59" s="54"/>
      <c r="I59" s="74">
        <v>110001.0</v>
      </c>
      <c r="J59" s="74">
        <v>400006.0</v>
      </c>
      <c r="K59" s="74">
        <v>410006.0</v>
      </c>
      <c r="L59" s="64">
        <v>3.0</v>
      </c>
      <c r="M59" s="54"/>
      <c r="N59" s="54">
        <v>450.0</v>
      </c>
      <c r="O59" s="54">
        <v>46.0</v>
      </c>
      <c r="P59" s="54">
        <v>9.0</v>
      </c>
      <c r="Q59" s="54">
        <v>19.0</v>
      </c>
      <c r="R59" s="54">
        <v>19.0</v>
      </c>
      <c r="S59" s="54">
        <v>57.0</v>
      </c>
      <c r="T59" s="104">
        <v>11.0</v>
      </c>
      <c r="U59" s="76"/>
      <c r="V59" s="77">
        <f t="shared" si="94"/>
        <v>430</v>
      </c>
      <c r="W59" s="121">
        <f t="shared" si="95"/>
        <v>0.29</v>
      </c>
      <c r="X59" s="42"/>
      <c r="Y59" s="18"/>
      <c r="Z59" s="42" t="str">
        <f t="shared" si="96"/>
        <v>905</v>
      </c>
      <c r="AA59" s="42">
        <v>910.0</v>
      </c>
      <c r="AB59" s="42"/>
      <c r="AC59" s="42"/>
      <c r="AD59" s="42"/>
      <c r="AE59" s="42"/>
      <c r="AF59" s="42"/>
      <c r="AG59" s="42"/>
      <c r="AH59" s="42"/>
      <c r="AI59" s="42"/>
      <c r="AJ59" s="42"/>
      <c r="AK59" s="42"/>
    </row>
    <row r="60" ht="16.5" customHeight="1">
      <c r="A60" s="54">
        <v>40007.0</v>
      </c>
      <c r="B60" s="35" t="s">
        <v>1578</v>
      </c>
      <c r="C60" s="54" t="s">
        <v>15</v>
      </c>
      <c r="D60" s="54" t="s">
        <v>1501</v>
      </c>
      <c r="E60" s="54" t="str">
        <f t="shared" si="92"/>
        <v>魔攻</v>
      </c>
      <c r="F60" s="73" t="str">
        <f t="shared" si="93"/>
        <v>1,1</v>
      </c>
      <c r="G60" s="35">
        <v>67.0</v>
      </c>
      <c r="H60" s="54"/>
      <c r="I60" s="74">
        <v>110012.0</v>
      </c>
      <c r="J60" s="74">
        <v>400007.0</v>
      </c>
      <c r="K60" s="74">
        <v>410007.0</v>
      </c>
      <c r="L60" s="64">
        <v>1.0</v>
      </c>
      <c r="M60" s="54"/>
      <c r="N60" s="54">
        <v>500.0</v>
      </c>
      <c r="O60" s="54">
        <v>3.0</v>
      </c>
      <c r="P60" s="54">
        <v>55.0</v>
      </c>
      <c r="Q60" s="54">
        <v>21.0</v>
      </c>
      <c r="R60" s="54">
        <v>38.0</v>
      </c>
      <c r="S60" s="54">
        <v>57.0</v>
      </c>
      <c r="T60" s="54">
        <v>8.0</v>
      </c>
      <c r="U60" s="76"/>
      <c r="V60" s="77">
        <f t="shared" si="94"/>
        <v>464</v>
      </c>
      <c r="W60" s="121">
        <f t="shared" si="95"/>
        <v>0.27</v>
      </c>
      <c r="X60" s="42"/>
      <c r="Y60" s="18"/>
      <c r="Z60" s="42" t="str">
        <f t="shared" si="96"/>
        <v>904</v>
      </c>
      <c r="AA60" s="42">
        <v>910.0</v>
      </c>
      <c r="AB60" s="42"/>
      <c r="AC60" s="42"/>
      <c r="AD60" s="42"/>
      <c r="AE60" s="42"/>
      <c r="AF60" s="42"/>
      <c r="AG60" s="42"/>
      <c r="AH60" s="42"/>
      <c r="AI60" s="42"/>
      <c r="AJ60" s="42"/>
      <c r="AK60" s="42"/>
    </row>
    <row r="61" ht="16.5" customHeight="1">
      <c r="A61" s="54">
        <v>40008.0</v>
      </c>
      <c r="B61" s="35" t="s">
        <v>1583</v>
      </c>
      <c r="C61" s="54" t="s">
        <v>15</v>
      </c>
      <c r="D61" s="54" t="s">
        <v>1501</v>
      </c>
      <c r="E61" s="54" t="str">
        <f t="shared" si="92"/>
        <v>物攻</v>
      </c>
      <c r="F61" s="73" t="str">
        <f t="shared" si="93"/>
        <v>1,1</v>
      </c>
      <c r="G61" s="35">
        <v>62.0</v>
      </c>
      <c r="H61" s="54"/>
      <c r="I61" s="74">
        <v>110002.0</v>
      </c>
      <c r="J61" s="74">
        <v>400008.0</v>
      </c>
      <c r="K61" s="74">
        <v>410008.0</v>
      </c>
      <c r="L61" s="64">
        <v>1.0</v>
      </c>
      <c r="M61" s="54"/>
      <c r="N61" s="54">
        <v>470.0</v>
      </c>
      <c r="O61" s="54">
        <v>53.0</v>
      </c>
      <c r="P61" s="54">
        <v>9.0</v>
      </c>
      <c r="Q61" s="54">
        <v>33.0</v>
      </c>
      <c r="R61" s="54">
        <v>29.0</v>
      </c>
      <c r="S61" s="54">
        <v>57.0</v>
      </c>
      <c r="T61" s="104">
        <v>10.0</v>
      </c>
      <c r="U61" s="76"/>
      <c r="V61" s="77">
        <f t="shared" si="94"/>
        <v>466</v>
      </c>
      <c r="W61" s="121">
        <f t="shared" si="95"/>
        <v>0.27</v>
      </c>
      <c r="X61" s="42"/>
      <c r="Y61" s="18"/>
      <c r="Z61" s="42" t="str">
        <f t="shared" si="96"/>
        <v>905</v>
      </c>
      <c r="AA61" s="42">
        <v>910.0</v>
      </c>
      <c r="AB61" s="42"/>
      <c r="AC61" s="42"/>
      <c r="AD61" s="42"/>
      <c r="AE61" s="42"/>
      <c r="AF61" s="42"/>
      <c r="AG61" s="42"/>
      <c r="AH61" s="42"/>
      <c r="AI61" s="42"/>
      <c r="AJ61" s="42"/>
      <c r="AK61" s="42"/>
    </row>
    <row r="62" ht="16.5" customHeight="1">
      <c r="A62" s="54">
        <v>40009.0</v>
      </c>
      <c r="B62" s="35" t="s">
        <v>1591</v>
      </c>
      <c r="C62" s="54" t="s">
        <v>15</v>
      </c>
      <c r="D62" s="54" t="s">
        <v>1501</v>
      </c>
      <c r="E62" s="54" t="str">
        <f t="shared" si="92"/>
        <v>魔攻</v>
      </c>
      <c r="F62" s="73" t="str">
        <f t="shared" si="93"/>
        <v>1,1</v>
      </c>
      <c r="G62" s="35">
        <v>64.0</v>
      </c>
      <c r="H62" s="54"/>
      <c r="I62" s="74">
        <v>110011.0</v>
      </c>
      <c r="J62" s="74">
        <v>400009.0</v>
      </c>
      <c r="K62" s="74">
        <v>410009.0</v>
      </c>
      <c r="L62" s="64">
        <v>2.0</v>
      </c>
      <c r="M62" s="54"/>
      <c r="N62" s="54">
        <v>490.0</v>
      </c>
      <c r="O62" s="54">
        <v>12.0</v>
      </c>
      <c r="P62" s="54">
        <v>55.0</v>
      </c>
      <c r="Q62" s="54">
        <v>17.0</v>
      </c>
      <c r="R62" s="54">
        <v>37.0</v>
      </c>
      <c r="S62" s="54">
        <v>57.0</v>
      </c>
      <c r="T62" s="104">
        <v>9.0</v>
      </c>
      <c r="U62" s="76"/>
      <c r="V62" s="77">
        <f t="shared" si="94"/>
        <v>468</v>
      </c>
      <c r="W62" s="121">
        <f t="shared" si="95"/>
        <v>0.27</v>
      </c>
      <c r="X62" s="42"/>
      <c r="Y62" s="18"/>
      <c r="Z62" s="42" t="str">
        <f t="shared" si="96"/>
        <v>904</v>
      </c>
      <c r="AA62" s="42">
        <v>910.0</v>
      </c>
      <c r="AB62" s="42"/>
      <c r="AC62" s="42"/>
      <c r="AD62" s="42"/>
      <c r="AE62" s="42"/>
      <c r="AF62" s="42"/>
      <c r="AG62" s="42"/>
      <c r="AH62" s="42"/>
      <c r="AI62" s="42"/>
      <c r="AJ62" s="42"/>
      <c r="AK62" s="42"/>
    </row>
    <row r="63" ht="16.5" customHeight="1">
      <c r="A63" s="54">
        <v>40010.0</v>
      </c>
      <c r="B63" s="35" t="s">
        <v>1599</v>
      </c>
      <c r="C63" s="54" t="s">
        <v>15</v>
      </c>
      <c r="D63" s="54" t="s">
        <v>1501</v>
      </c>
      <c r="E63" s="54" t="str">
        <f t="shared" si="92"/>
        <v>魔攻</v>
      </c>
      <c r="F63" s="73" t="str">
        <f t="shared" si="93"/>
        <v>1,1</v>
      </c>
      <c r="G63" s="35">
        <v>64.0</v>
      </c>
      <c r="H63" s="54"/>
      <c r="I63" s="74">
        <v>110012.0</v>
      </c>
      <c r="J63" s="74">
        <v>400010.0</v>
      </c>
      <c r="K63" s="74">
        <v>410010.0</v>
      </c>
      <c r="L63" s="64">
        <v>1.0</v>
      </c>
      <c r="M63" s="54"/>
      <c r="N63" s="54">
        <v>660.0</v>
      </c>
      <c r="O63" s="54">
        <v>15.0</v>
      </c>
      <c r="P63" s="54">
        <v>47.0</v>
      </c>
      <c r="Q63" s="54">
        <v>39.0</v>
      </c>
      <c r="R63" s="54">
        <v>27.0</v>
      </c>
      <c r="S63" s="54">
        <v>57.0</v>
      </c>
      <c r="T63" s="104">
        <v>9.0</v>
      </c>
      <c r="U63" s="76"/>
      <c r="V63" s="77">
        <f t="shared" si="94"/>
        <v>560</v>
      </c>
      <c r="W63" s="121">
        <f t="shared" si="95"/>
        <v>0.22</v>
      </c>
      <c r="X63" s="42"/>
      <c r="Y63" s="18"/>
      <c r="Z63" s="42" t="str">
        <f t="shared" si="96"/>
        <v>904</v>
      </c>
      <c r="AA63" s="42">
        <v>910.0</v>
      </c>
      <c r="AB63" s="42"/>
      <c r="AC63" s="42"/>
      <c r="AD63" s="42"/>
      <c r="AE63" s="42"/>
      <c r="AF63" s="42"/>
      <c r="AG63" s="42"/>
      <c r="AH63" s="42"/>
      <c r="AI63" s="42"/>
      <c r="AJ63" s="42"/>
      <c r="AK63" s="42"/>
    </row>
    <row r="64" ht="16.5" customHeight="1">
      <c r="A64" s="54">
        <v>40011.0</v>
      </c>
      <c r="B64" s="4" t="s">
        <v>1603</v>
      </c>
      <c r="C64" s="54" t="s">
        <v>15</v>
      </c>
      <c r="D64" s="54" t="s">
        <v>1501</v>
      </c>
      <c r="E64" s="54" t="str">
        <f t="shared" si="92"/>
        <v>魔攻</v>
      </c>
      <c r="F64" s="73" t="str">
        <f t="shared" si="93"/>
        <v>1,1</v>
      </c>
      <c r="G64" s="35">
        <v>63.0</v>
      </c>
      <c r="H64" s="54"/>
      <c r="I64" s="74">
        <v>110012.0</v>
      </c>
      <c r="J64" s="74">
        <v>400011.0</v>
      </c>
      <c r="K64" s="74">
        <v>410011.0</v>
      </c>
      <c r="L64" s="64">
        <v>1.0</v>
      </c>
      <c r="M64" s="54"/>
      <c r="N64" s="54">
        <v>760.0</v>
      </c>
      <c r="O64" s="54">
        <v>15.0</v>
      </c>
      <c r="P64" s="54">
        <v>40.0</v>
      </c>
      <c r="Q64" s="54">
        <v>20.0</v>
      </c>
      <c r="R64" s="54">
        <v>19.0</v>
      </c>
      <c r="S64" s="54">
        <v>57.0</v>
      </c>
      <c r="T64" s="104">
        <v>10.0</v>
      </c>
      <c r="U64" s="122">
        <v>5.0</v>
      </c>
      <c r="V64" s="77">
        <f t="shared" si="94"/>
        <v>581</v>
      </c>
      <c r="W64" s="121">
        <f t="shared" si="95"/>
        <v>0.21</v>
      </c>
      <c r="X64" s="73"/>
      <c r="Y64" s="54"/>
      <c r="Z64" s="42" t="str">
        <f t="shared" si="96"/>
        <v>904</v>
      </c>
      <c r="AA64" s="42">
        <v>910.0</v>
      </c>
      <c r="AB64" s="73"/>
      <c r="AC64" s="54"/>
      <c r="AD64" s="73"/>
      <c r="AE64" s="54"/>
      <c r="AF64" s="73"/>
      <c r="AG64" s="54"/>
      <c r="AH64" s="73"/>
      <c r="AI64" s="54"/>
      <c r="AJ64" s="73"/>
      <c r="AK64" s="73"/>
    </row>
    <row r="65" ht="16.5" customHeight="1">
      <c r="A65" s="54">
        <v>40012.0</v>
      </c>
      <c r="B65" s="4" t="s">
        <v>1617</v>
      </c>
      <c r="C65" s="54" t="s">
        <v>15</v>
      </c>
      <c r="D65" s="54" t="s">
        <v>1501</v>
      </c>
      <c r="E65" s="54" t="str">
        <f t="shared" si="92"/>
        <v>魔攻</v>
      </c>
      <c r="F65" s="73" t="str">
        <f t="shared" si="93"/>
        <v>1,1</v>
      </c>
      <c r="G65" s="35">
        <v>63.0</v>
      </c>
      <c r="H65" s="54"/>
      <c r="I65" s="74">
        <v>110012.0</v>
      </c>
      <c r="J65" s="74">
        <v>400011.0</v>
      </c>
      <c r="K65" s="74">
        <v>410011.0</v>
      </c>
      <c r="L65" s="64">
        <v>1.0</v>
      </c>
      <c r="M65" s="54"/>
      <c r="N65" s="54">
        <v>760.0</v>
      </c>
      <c r="O65" s="54">
        <v>15.0</v>
      </c>
      <c r="P65" s="54">
        <v>40.0</v>
      </c>
      <c r="Q65" s="54">
        <v>20.0</v>
      </c>
      <c r="R65" s="54">
        <v>19.0</v>
      </c>
      <c r="S65" s="54">
        <v>57.0</v>
      </c>
      <c r="T65" s="54">
        <v>8.0</v>
      </c>
      <c r="U65" s="122">
        <v>5.0</v>
      </c>
      <c r="V65" s="77">
        <f t="shared" si="94"/>
        <v>571</v>
      </c>
      <c r="W65" s="121">
        <f t="shared" si="95"/>
        <v>0.21</v>
      </c>
      <c r="X65" s="73"/>
      <c r="Y65" s="54"/>
      <c r="Z65" s="42" t="str">
        <f t="shared" si="96"/>
        <v>904</v>
      </c>
      <c r="AA65" s="42">
        <v>910.0</v>
      </c>
      <c r="AB65" s="73"/>
      <c r="AC65" s="54"/>
      <c r="AD65" s="73"/>
      <c r="AE65" s="54"/>
      <c r="AF65" s="73"/>
      <c r="AG65" s="54"/>
      <c r="AH65" s="73"/>
      <c r="AI65" s="54"/>
      <c r="AJ65" s="73"/>
      <c r="AK65" s="73"/>
    </row>
    <row r="66" ht="16.5" customHeight="1">
      <c r="A66" s="54">
        <v>40013.0</v>
      </c>
      <c r="B66" s="4" t="s">
        <v>1628</v>
      </c>
      <c r="C66" s="54" t="s">
        <v>15</v>
      </c>
      <c r="D66" s="54" t="s">
        <v>1501</v>
      </c>
      <c r="E66" s="54" t="str">
        <f t="shared" si="92"/>
        <v>魔攻</v>
      </c>
      <c r="F66" s="73" t="str">
        <f t="shared" si="93"/>
        <v>1,1</v>
      </c>
      <c r="G66" s="35">
        <v>63.0</v>
      </c>
      <c r="H66" s="54"/>
      <c r="I66" s="74">
        <v>110012.0</v>
      </c>
      <c r="J66" s="74">
        <v>400013.0</v>
      </c>
      <c r="K66" s="74">
        <v>410011.0</v>
      </c>
      <c r="L66" s="64">
        <v>1.0</v>
      </c>
      <c r="M66" s="54"/>
      <c r="N66" s="54">
        <v>710.0</v>
      </c>
      <c r="O66" s="54">
        <v>15.0</v>
      </c>
      <c r="P66" s="54">
        <v>44.0</v>
      </c>
      <c r="Q66" s="54">
        <v>18.0</v>
      </c>
      <c r="R66" s="54">
        <v>22.0</v>
      </c>
      <c r="S66" s="54">
        <v>57.0</v>
      </c>
      <c r="T66" s="104">
        <v>9.0</v>
      </c>
      <c r="U66" s="122">
        <v>5.0</v>
      </c>
      <c r="V66" s="77">
        <f t="shared" si="94"/>
        <v>556</v>
      </c>
      <c r="W66" s="121">
        <f t="shared" si="95"/>
        <v>0.22</v>
      </c>
      <c r="X66" s="73"/>
      <c r="Y66" s="54"/>
      <c r="Z66" s="42" t="str">
        <f t="shared" si="96"/>
        <v>904</v>
      </c>
      <c r="AA66" s="42">
        <v>910.0</v>
      </c>
      <c r="AB66" s="73"/>
      <c r="AC66" s="54"/>
      <c r="AD66" s="73"/>
      <c r="AE66" s="54"/>
      <c r="AF66" s="73"/>
      <c r="AG66" s="54"/>
      <c r="AH66" s="73"/>
      <c r="AI66" s="54"/>
      <c r="AJ66" s="73"/>
      <c r="AK66" s="73"/>
    </row>
    <row r="67" ht="16.5" customHeight="1">
      <c r="A67" s="54">
        <v>40014.0</v>
      </c>
      <c r="B67" s="4" t="s">
        <v>1640</v>
      </c>
      <c r="C67" s="54" t="s">
        <v>15</v>
      </c>
      <c r="D67" s="54" t="s">
        <v>1501</v>
      </c>
      <c r="E67" s="54" t="str">
        <f t="shared" si="92"/>
        <v>魔攻</v>
      </c>
      <c r="F67" s="73" t="str">
        <f t="shared" si="93"/>
        <v>1,1</v>
      </c>
      <c r="G67" s="35">
        <v>63.0</v>
      </c>
      <c r="H67" s="54"/>
      <c r="I67" s="74">
        <v>110012.0</v>
      </c>
      <c r="J67" s="74">
        <v>400012.0</v>
      </c>
      <c r="K67" s="74">
        <v>410009.0</v>
      </c>
      <c r="L67" s="64">
        <v>2.0</v>
      </c>
      <c r="M67" s="54"/>
      <c r="N67" s="54">
        <v>720.0</v>
      </c>
      <c r="O67" s="54">
        <v>15.0</v>
      </c>
      <c r="P67" s="54">
        <v>48.0</v>
      </c>
      <c r="Q67" s="54">
        <v>22.0</v>
      </c>
      <c r="R67" s="54">
        <v>19.0</v>
      </c>
      <c r="S67" s="54">
        <v>57.0</v>
      </c>
      <c r="T67" s="104">
        <v>9.0</v>
      </c>
      <c r="U67" s="122">
        <v>5.0</v>
      </c>
      <c r="V67" s="77">
        <f t="shared" si="94"/>
        <v>566</v>
      </c>
      <c r="W67" s="121">
        <f t="shared" si="95"/>
        <v>0.22</v>
      </c>
      <c r="X67" s="73"/>
      <c r="Y67" s="54"/>
      <c r="Z67" s="42" t="str">
        <f t="shared" si="96"/>
        <v>904</v>
      </c>
      <c r="AA67" s="42">
        <v>910.0</v>
      </c>
      <c r="AB67" s="73"/>
      <c r="AC67" s="54"/>
      <c r="AD67" s="73"/>
      <c r="AE67" s="54"/>
      <c r="AF67" s="73"/>
      <c r="AG67" s="54"/>
      <c r="AH67" s="73"/>
      <c r="AI67" s="54"/>
      <c r="AJ67" s="73"/>
      <c r="AK67" s="73"/>
    </row>
    <row r="68" ht="16.5" customHeight="1">
      <c r="A68" s="54">
        <v>40015.0</v>
      </c>
      <c r="B68" s="4" t="s">
        <v>1645</v>
      </c>
      <c r="C68" s="54" t="s">
        <v>15</v>
      </c>
      <c r="D68" s="54" t="s">
        <v>1501</v>
      </c>
      <c r="E68" s="54" t="str">
        <f t="shared" si="92"/>
        <v>物攻</v>
      </c>
      <c r="F68" s="73" t="str">
        <f t="shared" si="93"/>
        <v>1,1</v>
      </c>
      <c r="G68" s="35">
        <v>63.0</v>
      </c>
      <c r="H68" s="54"/>
      <c r="I68" s="74">
        <v>110011.0</v>
      </c>
      <c r="J68" s="74">
        <v>400014.0</v>
      </c>
      <c r="K68" s="74">
        <v>410006.0</v>
      </c>
      <c r="L68" s="64">
        <v>3.0</v>
      </c>
      <c r="M68" s="54"/>
      <c r="N68" s="54">
        <v>670.0</v>
      </c>
      <c r="O68" s="54">
        <v>49.0</v>
      </c>
      <c r="P68" s="54">
        <v>12.0</v>
      </c>
      <c r="Q68" s="54">
        <v>20.0</v>
      </c>
      <c r="R68" s="54">
        <v>19.0</v>
      </c>
      <c r="S68" s="54">
        <v>57.0</v>
      </c>
      <c r="T68" s="54">
        <v>8.0</v>
      </c>
      <c r="U68" s="122">
        <v>5.0</v>
      </c>
      <c r="V68" s="77">
        <f t="shared" si="94"/>
        <v>532</v>
      </c>
      <c r="W68" s="121">
        <f t="shared" si="95"/>
        <v>0.23</v>
      </c>
      <c r="X68" s="73"/>
      <c r="Y68" s="54"/>
      <c r="Z68" s="42" t="str">
        <f t="shared" si="96"/>
        <v>905</v>
      </c>
      <c r="AA68" s="42">
        <v>910.0</v>
      </c>
      <c r="AB68" s="73"/>
      <c r="AC68" s="54"/>
      <c r="AD68" s="73"/>
      <c r="AE68" s="54"/>
      <c r="AF68" s="73"/>
      <c r="AG68" s="54"/>
      <c r="AH68" s="73"/>
      <c r="AI68" s="54"/>
      <c r="AJ68" s="73"/>
      <c r="AK68" s="73"/>
    </row>
    <row r="69" ht="16.5" customHeight="1">
      <c r="A69" s="54">
        <v>40016.0</v>
      </c>
      <c r="B69" s="4" t="s">
        <v>1654</v>
      </c>
      <c r="C69" s="54" t="s">
        <v>15</v>
      </c>
      <c r="D69" s="54" t="s">
        <v>1501</v>
      </c>
      <c r="E69" s="54" t="str">
        <f t="shared" si="92"/>
        <v>物攻</v>
      </c>
      <c r="F69" s="73" t="str">
        <f t="shared" si="93"/>
        <v>1,1</v>
      </c>
      <c r="G69" s="35">
        <v>63.0</v>
      </c>
      <c r="H69" s="54"/>
      <c r="I69" s="74">
        <v>110001.0</v>
      </c>
      <c r="J69" s="74">
        <v>400015.0</v>
      </c>
      <c r="K69" s="74">
        <v>410012.0</v>
      </c>
      <c r="L69" s="64">
        <v>1.0</v>
      </c>
      <c r="M69" s="54"/>
      <c r="N69" s="54">
        <v>790.0</v>
      </c>
      <c r="O69" s="54">
        <v>45.0</v>
      </c>
      <c r="P69" s="54">
        <v>11.0</v>
      </c>
      <c r="Q69" s="54">
        <v>40.0</v>
      </c>
      <c r="R69" s="54">
        <v>32.0</v>
      </c>
      <c r="S69" s="54">
        <v>57.0</v>
      </c>
      <c r="T69" s="54">
        <v>8.0</v>
      </c>
      <c r="U69" s="122"/>
      <c r="V69" s="77">
        <f t="shared" si="94"/>
        <v>620</v>
      </c>
      <c r="W69" s="121">
        <f t="shared" si="95"/>
        <v>0.19</v>
      </c>
      <c r="X69" s="73"/>
      <c r="Y69" s="54"/>
      <c r="Z69" s="42" t="str">
        <f t="shared" si="96"/>
        <v>905</v>
      </c>
      <c r="AA69" s="42">
        <v>910.0</v>
      </c>
      <c r="AB69" s="73"/>
      <c r="AC69" s="54"/>
      <c r="AD69" s="73"/>
      <c r="AE69" s="54"/>
      <c r="AF69" s="73"/>
      <c r="AG69" s="54"/>
      <c r="AH69" s="73"/>
      <c r="AI69" s="54"/>
      <c r="AJ69" s="73"/>
      <c r="AK69" s="73"/>
    </row>
    <row r="70" ht="16.5" customHeight="1">
      <c r="A70" s="54">
        <v>40017.0</v>
      </c>
      <c r="B70" s="35" t="s">
        <v>1661</v>
      </c>
      <c r="C70" s="54" t="s">
        <v>15</v>
      </c>
      <c r="D70" s="54" t="s">
        <v>1501</v>
      </c>
      <c r="E70" s="82" t="s">
        <v>97</v>
      </c>
      <c r="F70" s="73" t="s">
        <v>1663</v>
      </c>
      <c r="G70" s="35">
        <v>67.0</v>
      </c>
      <c r="H70" s="54"/>
      <c r="I70" s="74">
        <v>110011.0</v>
      </c>
      <c r="J70" s="74">
        <v>400011.0</v>
      </c>
      <c r="K70" s="74">
        <v>410019.0</v>
      </c>
      <c r="L70" s="42">
        <v>1.0</v>
      </c>
      <c r="M70" s="54"/>
      <c r="N70" s="54">
        <v>450.0</v>
      </c>
      <c r="O70" s="54">
        <v>9.0</v>
      </c>
      <c r="P70" s="54">
        <v>52.0</v>
      </c>
      <c r="Q70" s="54">
        <v>19.0</v>
      </c>
      <c r="R70" s="54">
        <v>33.0</v>
      </c>
      <c r="S70" s="54">
        <v>57.0</v>
      </c>
      <c r="T70" s="104">
        <v>10.0</v>
      </c>
      <c r="U70" s="122"/>
      <c r="V70" s="77">
        <v>435.0</v>
      </c>
      <c r="W70" s="121">
        <f t="shared" si="95"/>
        <v>0.28</v>
      </c>
      <c r="X70" s="73"/>
      <c r="Y70" s="54"/>
      <c r="Z70" s="42" t="s">
        <v>1669</v>
      </c>
      <c r="AA70" s="42">
        <v>910.0</v>
      </c>
      <c r="AB70" s="73"/>
      <c r="AC70" s="54"/>
      <c r="AD70" s="73"/>
      <c r="AE70" s="54"/>
      <c r="AF70" s="73"/>
      <c r="AG70" s="54"/>
      <c r="AH70" s="73"/>
      <c r="AI70" s="54"/>
      <c r="AJ70" s="73"/>
      <c r="AK70" s="73"/>
    </row>
    <row r="71" ht="16.5" customHeight="1">
      <c r="A71" s="54">
        <v>40018.0</v>
      </c>
      <c r="B71" s="35" t="s">
        <v>1672</v>
      </c>
      <c r="C71" s="54" t="s">
        <v>15</v>
      </c>
      <c r="D71" s="54" t="s">
        <v>1501</v>
      </c>
      <c r="E71" s="82" t="s">
        <v>97</v>
      </c>
      <c r="F71" s="73" t="s">
        <v>1663</v>
      </c>
      <c r="G71" s="35">
        <v>67.0</v>
      </c>
      <c r="H71" s="54"/>
      <c r="I71" s="74">
        <v>110012.0</v>
      </c>
      <c r="J71" s="74">
        <v>400012.0</v>
      </c>
      <c r="K71" s="74">
        <v>410021.0</v>
      </c>
      <c r="L71" s="42">
        <v>2.0</v>
      </c>
      <c r="M71" s="54"/>
      <c r="N71" s="54">
        <v>510.0</v>
      </c>
      <c r="O71" s="54">
        <v>11.0</v>
      </c>
      <c r="P71" s="54">
        <v>48.0</v>
      </c>
      <c r="Q71" s="54">
        <v>21.0</v>
      </c>
      <c r="R71" s="54">
        <v>29.0</v>
      </c>
      <c r="S71" s="54">
        <v>57.0</v>
      </c>
      <c r="T71" s="104">
        <v>11.0</v>
      </c>
      <c r="U71" s="122"/>
      <c r="V71" s="77">
        <v>461.0</v>
      </c>
      <c r="W71" s="121">
        <f t="shared" si="95"/>
        <v>0.27</v>
      </c>
      <c r="X71" s="73"/>
      <c r="Y71" s="54"/>
      <c r="Z71" s="42" t="s">
        <v>1669</v>
      </c>
      <c r="AA71" s="42">
        <v>910.0</v>
      </c>
      <c r="AB71" s="73"/>
      <c r="AC71" s="54"/>
      <c r="AD71" s="73"/>
      <c r="AE71" s="54"/>
      <c r="AF71" s="73"/>
      <c r="AG71" s="54"/>
      <c r="AH71" s="73"/>
      <c r="AI71" s="54"/>
      <c r="AJ71" s="73"/>
      <c r="AK71" s="73"/>
    </row>
    <row r="72" ht="16.5" customHeight="1">
      <c r="A72" s="54">
        <v>40019.0</v>
      </c>
      <c r="B72" s="35" t="s">
        <v>1680</v>
      </c>
      <c r="C72" s="54" t="s">
        <v>15</v>
      </c>
      <c r="D72" s="54" t="s">
        <v>1501</v>
      </c>
      <c r="E72" s="82" t="s">
        <v>97</v>
      </c>
      <c r="F72" s="73" t="s">
        <v>1663</v>
      </c>
      <c r="G72" s="35">
        <v>67.0</v>
      </c>
      <c r="H72" s="54"/>
      <c r="I72" s="74">
        <v>110011.0</v>
      </c>
      <c r="J72" s="74">
        <v>400013.0</v>
      </c>
      <c r="K72" s="74">
        <v>410001.0</v>
      </c>
      <c r="L72" s="42">
        <v>2.0</v>
      </c>
      <c r="M72" s="54"/>
      <c r="N72" s="54">
        <v>620.0</v>
      </c>
      <c r="O72" s="54">
        <v>14.0</v>
      </c>
      <c r="P72" s="54">
        <v>45.0</v>
      </c>
      <c r="Q72" s="54">
        <v>28.0</v>
      </c>
      <c r="R72" s="54">
        <v>36.0</v>
      </c>
      <c r="S72" s="54">
        <v>57.0</v>
      </c>
      <c r="T72" s="104">
        <v>9.0</v>
      </c>
      <c r="U72" s="122"/>
      <c r="V72" s="77">
        <v>530.0</v>
      </c>
      <c r="W72" s="121">
        <f t="shared" si="95"/>
        <v>0.24</v>
      </c>
      <c r="X72" s="73"/>
      <c r="Y72" s="54"/>
      <c r="Z72" s="42" t="s">
        <v>1669</v>
      </c>
      <c r="AA72" s="42">
        <v>910.0</v>
      </c>
      <c r="AB72" s="73"/>
      <c r="AC72" s="54"/>
      <c r="AD72" s="73"/>
      <c r="AE72" s="54"/>
      <c r="AF72" s="73"/>
      <c r="AG72" s="54"/>
      <c r="AH72" s="73"/>
      <c r="AI72" s="54"/>
      <c r="AJ72" s="73"/>
      <c r="AK72" s="73"/>
    </row>
    <row r="73" ht="16.5" customHeight="1">
      <c r="A73" s="54">
        <v>40020.0</v>
      </c>
      <c r="B73" s="35" t="s">
        <v>1686</v>
      </c>
      <c r="C73" s="54" t="s">
        <v>15</v>
      </c>
      <c r="D73" s="54" t="s">
        <v>1501</v>
      </c>
      <c r="E73" s="82" t="s">
        <v>97</v>
      </c>
      <c r="F73" s="73" t="s">
        <v>1663</v>
      </c>
      <c r="G73" s="35">
        <v>66.0</v>
      </c>
      <c r="H73" s="54"/>
      <c r="I73" s="74">
        <v>110012.0</v>
      </c>
      <c r="J73" s="74">
        <v>400019.0</v>
      </c>
      <c r="K73" s="74">
        <v>410019.0</v>
      </c>
      <c r="L73" s="42">
        <v>1.0</v>
      </c>
      <c r="M73" s="54"/>
      <c r="N73" s="54">
        <v>480.0</v>
      </c>
      <c r="O73" s="54">
        <v>12.0</v>
      </c>
      <c r="P73" s="54">
        <v>50.0</v>
      </c>
      <c r="Q73" s="54">
        <v>18.0</v>
      </c>
      <c r="R73" s="54">
        <v>28.0</v>
      </c>
      <c r="S73" s="54">
        <v>57.0</v>
      </c>
      <c r="T73" s="104">
        <v>10.0</v>
      </c>
      <c r="U73" s="122"/>
      <c r="V73" s="77">
        <v>445.0</v>
      </c>
      <c r="W73" s="121">
        <f t="shared" si="95"/>
        <v>0.28</v>
      </c>
      <c r="X73" s="73"/>
      <c r="Y73" s="54"/>
      <c r="Z73" s="42" t="s">
        <v>1669</v>
      </c>
      <c r="AA73" s="42">
        <v>910.0</v>
      </c>
      <c r="AB73" s="73"/>
      <c r="AC73" s="54"/>
      <c r="AD73" s="73"/>
      <c r="AE73" s="54"/>
      <c r="AF73" s="73"/>
      <c r="AG73" s="54"/>
      <c r="AH73" s="73"/>
      <c r="AI73" s="54"/>
      <c r="AJ73" s="73"/>
      <c r="AK73" s="73"/>
    </row>
    <row r="74" ht="16.5" customHeight="1">
      <c r="A74" s="54">
        <v>40021.0</v>
      </c>
      <c r="B74" s="35" t="s">
        <v>1690</v>
      </c>
      <c r="C74" s="54" t="s">
        <v>15</v>
      </c>
      <c r="D74" s="54" t="s">
        <v>1501</v>
      </c>
      <c r="E74" s="82" t="s">
        <v>1253</v>
      </c>
      <c r="F74" s="73" t="s">
        <v>1663</v>
      </c>
      <c r="G74" s="35">
        <v>67.0</v>
      </c>
      <c r="H74" s="54"/>
      <c r="I74" s="74">
        <v>110001.0</v>
      </c>
      <c r="J74" s="74">
        <v>400001.0</v>
      </c>
      <c r="K74" s="74">
        <v>410020.0</v>
      </c>
      <c r="L74" s="42">
        <v>1.0</v>
      </c>
      <c r="M74" s="54"/>
      <c r="N74" s="54">
        <v>750.0</v>
      </c>
      <c r="O74" s="54">
        <v>46.0</v>
      </c>
      <c r="P74" s="54">
        <v>8.0</v>
      </c>
      <c r="Q74" s="54">
        <v>42.0</v>
      </c>
      <c r="R74" s="54">
        <v>22.0</v>
      </c>
      <c r="S74" s="54">
        <v>57.0</v>
      </c>
      <c r="T74" s="54">
        <v>8.0</v>
      </c>
      <c r="U74" s="122">
        <v>3.0</v>
      </c>
      <c r="V74" s="77">
        <v>590.0</v>
      </c>
      <c r="W74" s="121">
        <f t="shared" si="95"/>
        <v>0.21</v>
      </c>
      <c r="X74" s="73"/>
      <c r="Y74" s="54"/>
      <c r="Z74" s="42" t="s">
        <v>1696</v>
      </c>
      <c r="AA74" s="42">
        <v>910.0</v>
      </c>
      <c r="AB74" s="73"/>
      <c r="AC74" s="54"/>
      <c r="AD74" s="73"/>
      <c r="AE74" s="54"/>
      <c r="AF74" s="73"/>
      <c r="AG74" s="54"/>
      <c r="AH74" s="73"/>
      <c r="AI74" s="54"/>
      <c r="AJ74" s="73"/>
      <c r="AK74" s="73"/>
    </row>
    <row r="75" ht="16.5" customHeight="1">
      <c r="A75" s="54">
        <v>40022.0</v>
      </c>
      <c r="B75" s="35" t="s">
        <v>1699</v>
      </c>
      <c r="C75" s="54" t="s">
        <v>15</v>
      </c>
      <c r="D75" s="54" t="s">
        <v>1501</v>
      </c>
      <c r="E75" s="82" t="s">
        <v>1253</v>
      </c>
      <c r="F75" s="73" t="s">
        <v>1663</v>
      </c>
      <c r="G75" s="35">
        <v>68.0</v>
      </c>
      <c r="H75" s="54"/>
      <c r="I75" s="74">
        <v>110001.0</v>
      </c>
      <c r="J75" s="74">
        <v>400004.0</v>
      </c>
      <c r="K75" s="74">
        <v>410013.0</v>
      </c>
      <c r="L75" s="42">
        <v>3.0</v>
      </c>
      <c r="M75" s="54"/>
      <c r="N75" s="54">
        <v>550.0</v>
      </c>
      <c r="O75" s="54">
        <v>50.0</v>
      </c>
      <c r="P75" s="54">
        <v>10.0</v>
      </c>
      <c r="Q75" s="54">
        <v>32.0</v>
      </c>
      <c r="R75" s="54">
        <v>24.0</v>
      </c>
      <c r="S75" s="54">
        <v>57.0</v>
      </c>
      <c r="T75" s="104">
        <v>12.0</v>
      </c>
      <c r="U75" s="122"/>
      <c r="V75" s="77">
        <v>488.0</v>
      </c>
      <c r="W75" s="121">
        <f t="shared" si="95"/>
        <v>0.26</v>
      </c>
      <c r="X75" s="73"/>
      <c r="Y75" s="54"/>
      <c r="Z75" s="42" t="s">
        <v>1696</v>
      </c>
      <c r="AA75" s="42">
        <v>910.0</v>
      </c>
      <c r="AB75" s="73"/>
      <c r="AC75" s="54"/>
      <c r="AD75" s="73"/>
      <c r="AE75" s="54"/>
      <c r="AF75" s="73"/>
      <c r="AG75" s="54"/>
      <c r="AH75" s="73"/>
      <c r="AI75" s="54"/>
      <c r="AJ75" s="73"/>
      <c r="AK75" s="73"/>
    </row>
    <row r="76" ht="16.5" customHeight="1">
      <c r="A76" s="54">
        <v>40023.0</v>
      </c>
      <c r="B76" s="123" t="s">
        <v>1709</v>
      </c>
      <c r="C76" s="54" t="s">
        <v>15</v>
      </c>
      <c r="D76" s="54" t="s">
        <v>1501</v>
      </c>
      <c r="E76" s="82" t="s">
        <v>1253</v>
      </c>
      <c r="F76" s="73" t="s">
        <v>1663</v>
      </c>
      <c r="G76" s="35">
        <v>65.0</v>
      </c>
      <c r="H76" s="54"/>
      <c r="I76" s="74">
        <v>110001.0</v>
      </c>
      <c r="J76" s="74">
        <v>400008.0</v>
      </c>
      <c r="K76" s="74">
        <v>410006.0</v>
      </c>
      <c r="L76" s="42">
        <v>1.0</v>
      </c>
      <c r="M76" s="54"/>
      <c r="N76" s="54">
        <v>580.0</v>
      </c>
      <c r="O76" s="54">
        <v>48.0</v>
      </c>
      <c r="P76" s="54">
        <v>9.0</v>
      </c>
      <c r="Q76" s="54">
        <v>30.0</v>
      </c>
      <c r="R76" s="54">
        <v>22.0</v>
      </c>
      <c r="S76" s="54">
        <v>57.0</v>
      </c>
      <c r="T76" s="104">
        <v>9.0</v>
      </c>
      <c r="U76" s="122"/>
      <c r="V76" s="77">
        <v>496.0</v>
      </c>
      <c r="W76" s="121">
        <f t="shared" si="95"/>
        <v>0.25</v>
      </c>
      <c r="X76" s="73"/>
      <c r="Y76" s="54"/>
      <c r="Z76" s="42" t="s">
        <v>1696</v>
      </c>
      <c r="AA76" s="42">
        <v>910.0</v>
      </c>
      <c r="AB76" s="73"/>
      <c r="AC76" s="54"/>
      <c r="AD76" s="73"/>
      <c r="AE76" s="54"/>
      <c r="AF76" s="73"/>
      <c r="AG76" s="54"/>
      <c r="AH76" s="73"/>
      <c r="AI76" s="54"/>
      <c r="AJ76" s="73"/>
      <c r="AK76" s="73"/>
    </row>
    <row r="77" ht="16.5" customHeight="1">
      <c r="A77" s="54">
        <v>40024.0</v>
      </c>
      <c r="B77" s="35" t="s">
        <v>1713</v>
      </c>
      <c r="C77" s="54" t="s">
        <v>15</v>
      </c>
      <c r="D77" s="54" t="s">
        <v>1501</v>
      </c>
      <c r="E77" s="82" t="s">
        <v>1253</v>
      </c>
      <c r="F77" s="73" t="s">
        <v>1663</v>
      </c>
      <c r="G77" s="35">
        <v>62.0</v>
      </c>
      <c r="H77" s="54"/>
      <c r="I77" s="74">
        <v>110002.0</v>
      </c>
      <c r="J77" s="74">
        <v>400008.0</v>
      </c>
      <c r="K77" s="74">
        <v>410017.0</v>
      </c>
      <c r="L77" s="42">
        <v>1.0</v>
      </c>
      <c r="M77" s="54"/>
      <c r="N77" s="54">
        <v>460.0</v>
      </c>
      <c r="O77" s="54">
        <v>52.0</v>
      </c>
      <c r="P77" s="54">
        <v>9.0</v>
      </c>
      <c r="Q77" s="54">
        <v>26.0</v>
      </c>
      <c r="R77" s="54">
        <v>21.0</v>
      </c>
      <c r="S77" s="54">
        <v>57.0</v>
      </c>
      <c r="T77" s="104">
        <v>10.0</v>
      </c>
      <c r="U77" s="122"/>
      <c r="V77" s="77">
        <v>435.0</v>
      </c>
      <c r="W77" s="121">
        <f t="shared" si="95"/>
        <v>0.28</v>
      </c>
      <c r="X77" s="73"/>
      <c r="Y77" s="54"/>
      <c r="Z77" s="42" t="s">
        <v>1696</v>
      </c>
      <c r="AA77" s="42">
        <v>910.0</v>
      </c>
      <c r="AB77" s="73"/>
      <c r="AC77" s="54"/>
      <c r="AD77" s="73"/>
      <c r="AE77" s="54"/>
      <c r="AF77" s="73"/>
      <c r="AG77" s="54"/>
      <c r="AH77" s="73"/>
      <c r="AI77" s="54"/>
      <c r="AJ77" s="73"/>
      <c r="AK77" s="73"/>
    </row>
    <row r="78" ht="16.5" customHeight="1">
      <c r="A78" s="54">
        <v>40025.0</v>
      </c>
      <c r="B78" s="35" t="s">
        <v>1718</v>
      </c>
      <c r="C78" s="54" t="s">
        <v>15</v>
      </c>
      <c r="D78" s="54" t="s">
        <v>1501</v>
      </c>
      <c r="E78" s="82" t="s">
        <v>1253</v>
      </c>
      <c r="F78" s="73" t="s">
        <v>1663</v>
      </c>
      <c r="G78" s="35">
        <v>68.0</v>
      </c>
      <c r="H78" s="54"/>
      <c r="I78" s="74">
        <v>110002.0</v>
      </c>
      <c r="J78" s="74">
        <v>400002.0</v>
      </c>
      <c r="K78" s="74">
        <v>410013.0</v>
      </c>
      <c r="L78" s="42">
        <v>3.0</v>
      </c>
      <c r="M78" s="54"/>
      <c r="N78" s="54">
        <v>430.0</v>
      </c>
      <c r="O78" s="54">
        <v>54.0</v>
      </c>
      <c r="P78" s="54">
        <v>11.0</v>
      </c>
      <c r="Q78" s="54">
        <v>24.0</v>
      </c>
      <c r="R78" s="54">
        <v>19.0</v>
      </c>
      <c r="S78" s="54">
        <v>57.0</v>
      </c>
      <c r="T78" s="104">
        <v>9.0</v>
      </c>
      <c r="U78" s="122"/>
      <c r="V78" s="77">
        <v>420.0</v>
      </c>
      <c r="W78" s="121">
        <f t="shared" si="95"/>
        <v>0.29</v>
      </c>
      <c r="X78" s="73"/>
      <c r="Y78" s="54"/>
      <c r="Z78" s="42" t="s">
        <v>1696</v>
      </c>
      <c r="AA78" s="42">
        <v>910.0</v>
      </c>
      <c r="AB78" s="73"/>
      <c r="AC78" s="54"/>
      <c r="AD78" s="73"/>
      <c r="AE78" s="54"/>
      <c r="AF78" s="73"/>
      <c r="AG78" s="54"/>
      <c r="AH78" s="73"/>
      <c r="AI78" s="54"/>
      <c r="AJ78" s="73"/>
      <c r="AK78" s="73"/>
    </row>
    <row r="79" ht="16.5" customHeight="1">
      <c r="A79" s="54">
        <v>40026.0</v>
      </c>
      <c r="B79" s="35" t="s">
        <v>1725</v>
      </c>
      <c r="C79" s="54" t="s">
        <v>15</v>
      </c>
      <c r="D79" s="54" t="s">
        <v>1501</v>
      </c>
      <c r="E79" s="82" t="s">
        <v>1253</v>
      </c>
      <c r="F79" s="73" t="s">
        <v>1663</v>
      </c>
      <c r="G79" s="35">
        <v>62.0</v>
      </c>
      <c r="H79" s="54"/>
      <c r="I79" s="74">
        <v>110002.0</v>
      </c>
      <c r="J79" s="74">
        <v>400008.0</v>
      </c>
      <c r="K79" s="74">
        <v>410006.0</v>
      </c>
      <c r="L79" s="42">
        <v>1.0</v>
      </c>
      <c r="M79" s="54"/>
      <c r="N79" s="54">
        <v>480.0</v>
      </c>
      <c r="O79" s="54">
        <v>53.0</v>
      </c>
      <c r="P79" s="54">
        <v>12.0</v>
      </c>
      <c r="Q79" s="54">
        <v>27.0</v>
      </c>
      <c r="R79" s="54">
        <v>23.0</v>
      </c>
      <c r="S79" s="54">
        <v>57.0</v>
      </c>
      <c r="T79" s="104">
        <v>11.0</v>
      </c>
      <c r="U79" s="122"/>
      <c r="V79" s="77">
        <v>452.0</v>
      </c>
      <c r="W79" s="121">
        <f t="shared" si="95"/>
        <v>0.27</v>
      </c>
      <c r="X79" s="73"/>
      <c r="Y79" s="54"/>
      <c r="Z79" s="42" t="s">
        <v>1696</v>
      </c>
      <c r="AA79" s="42">
        <v>910.0</v>
      </c>
      <c r="AB79" s="73"/>
      <c r="AC79" s="54"/>
      <c r="AD79" s="73"/>
      <c r="AE79" s="54"/>
      <c r="AF79" s="73"/>
      <c r="AG79" s="54"/>
      <c r="AH79" s="73"/>
      <c r="AI79" s="54"/>
      <c r="AJ79" s="73"/>
      <c r="AK79" s="73"/>
    </row>
    <row r="80" ht="16.5" customHeight="1">
      <c r="A80" s="54">
        <v>40027.0</v>
      </c>
      <c r="B80" s="35" t="s">
        <v>1730</v>
      </c>
      <c r="C80" s="54" t="s">
        <v>15</v>
      </c>
      <c r="D80" s="54" t="s">
        <v>1501</v>
      </c>
      <c r="E80" s="82" t="s">
        <v>97</v>
      </c>
      <c r="F80" s="73" t="s">
        <v>1663</v>
      </c>
      <c r="G80" s="35">
        <v>68.0</v>
      </c>
      <c r="H80" s="54"/>
      <c r="I80" s="74">
        <v>110011.0</v>
      </c>
      <c r="J80" s="74">
        <v>400011.0</v>
      </c>
      <c r="K80" s="74">
        <v>410019.0</v>
      </c>
      <c r="L80" s="42">
        <v>3.0</v>
      </c>
      <c r="M80" s="54"/>
      <c r="N80" s="54">
        <v>490.0</v>
      </c>
      <c r="O80" s="54">
        <v>8.0</v>
      </c>
      <c r="P80" s="54">
        <v>51.0</v>
      </c>
      <c r="Q80" s="54">
        <v>18.0</v>
      </c>
      <c r="R80" s="54">
        <v>32.0</v>
      </c>
      <c r="S80" s="54">
        <v>57.0</v>
      </c>
      <c r="T80" s="104">
        <v>9.0</v>
      </c>
      <c r="U80" s="122"/>
      <c r="V80" s="77">
        <v>451.0</v>
      </c>
      <c r="W80" s="121">
        <f t="shared" si="95"/>
        <v>0.27</v>
      </c>
      <c r="X80" s="73"/>
      <c r="Y80" s="54"/>
      <c r="Z80" s="42" t="s">
        <v>1669</v>
      </c>
      <c r="AA80" s="42">
        <v>910.0</v>
      </c>
      <c r="AB80" s="73"/>
      <c r="AC80" s="54"/>
      <c r="AD80" s="73"/>
      <c r="AE80" s="54"/>
      <c r="AF80" s="73"/>
      <c r="AG80" s="54"/>
      <c r="AH80" s="73"/>
      <c r="AI80" s="54"/>
      <c r="AJ80" s="73"/>
      <c r="AK80" s="73"/>
    </row>
    <row r="81" ht="16.5" customHeight="1">
      <c r="A81" s="54">
        <v>40028.0</v>
      </c>
      <c r="B81" s="35" t="s">
        <v>1736</v>
      </c>
      <c r="C81" s="54" t="s">
        <v>15</v>
      </c>
      <c r="D81" s="54" t="s">
        <v>1501</v>
      </c>
      <c r="E81" s="82" t="s">
        <v>97</v>
      </c>
      <c r="F81" s="73" t="s">
        <v>1663</v>
      </c>
      <c r="G81" s="35">
        <v>64.0</v>
      </c>
      <c r="H81" s="54"/>
      <c r="I81" s="74">
        <v>110012.0</v>
      </c>
      <c r="J81" s="74">
        <v>400005.0</v>
      </c>
      <c r="K81" s="74">
        <v>410016.0</v>
      </c>
      <c r="L81" s="42">
        <v>1.0</v>
      </c>
      <c r="M81" s="54"/>
      <c r="N81" s="54">
        <v>450.0</v>
      </c>
      <c r="O81" s="54">
        <v>10.0</v>
      </c>
      <c r="P81" s="54">
        <v>46.0</v>
      </c>
      <c r="Q81" s="54">
        <v>17.0</v>
      </c>
      <c r="R81" s="54">
        <v>34.0</v>
      </c>
      <c r="S81" s="54">
        <v>57.0</v>
      </c>
      <c r="T81" s="54">
        <v>8.0</v>
      </c>
      <c r="U81" s="122"/>
      <c r="V81" s="77">
        <v>429.0</v>
      </c>
      <c r="W81" s="121">
        <f t="shared" si="95"/>
        <v>0.29</v>
      </c>
      <c r="X81" s="73"/>
      <c r="Y81" s="54"/>
      <c r="Z81" s="42" t="s">
        <v>1669</v>
      </c>
      <c r="AA81" s="42">
        <v>910.0</v>
      </c>
      <c r="AB81" s="73"/>
      <c r="AC81" s="54"/>
      <c r="AD81" s="73"/>
      <c r="AE81" s="54"/>
      <c r="AF81" s="73"/>
      <c r="AG81" s="54"/>
      <c r="AH81" s="73"/>
      <c r="AI81" s="54"/>
      <c r="AJ81" s="73"/>
      <c r="AK81" s="73"/>
    </row>
    <row r="82" ht="16.5" customHeight="1">
      <c r="A82" s="54">
        <v>40029.0</v>
      </c>
      <c r="B82" s="35" t="s">
        <v>1743</v>
      </c>
      <c r="C82" s="54" t="s">
        <v>15</v>
      </c>
      <c r="D82" s="54" t="s">
        <v>1501</v>
      </c>
      <c r="E82" s="82" t="s">
        <v>1253</v>
      </c>
      <c r="F82" s="73" t="s">
        <v>1663</v>
      </c>
      <c r="G82" s="35">
        <v>64.0</v>
      </c>
      <c r="H82" s="54"/>
      <c r="I82" s="74">
        <v>110002.0</v>
      </c>
      <c r="J82" s="74">
        <v>400014.0</v>
      </c>
      <c r="K82" s="74">
        <v>410006.0</v>
      </c>
      <c r="L82" s="42">
        <v>2.0</v>
      </c>
      <c r="M82" s="54"/>
      <c r="N82" s="54">
        <v>680.0</v>
      </c>
      <c r="O82" s="54">
        <v>48.0</v>
      </c>
      <c r="P82" s="54">
        <v>11.0</v>
      </c>
      <c r="Q82" s="54">
        <v>35.0</v>
      </c>
      <c r="R82" s="54">
        <v>27.0</v>
      </c>
      <c r="S82" s="54">
        <v>57.0</v>
      </c>
      <c r="T82" s="104">
        <v>10.0</v>
      </c>
      <c r="U82" s="122"/>
      <c r="V82" s="77">
        <v>558.0</v>
      </c>
      <c r="W82" s="121">
        <f t="shared" si="95"/>
        <v>0.22</v>
      </c>
      <c r="X82" s="73"/>
      <c r="Y82" s="54"/>
      <c r="Z82" s="42" t="s">
        <v>1696</v>
      </c>
      <c r="AA82" s="42">
        <v>910.0</v>
      </c>
      <c r="AB82" s="73"/>
      <c r="AC82" s="54"/>
      <c r="AD82" s="73"/>
      <c r="AE82" s="54"/>
      <c r="AF82" s="73"/>
      <c r="AG82" s="54"/>
      <c r="AH82" s="73"/>
      <c r="AI82" s="54"/>
      <c r="AJ82" s="73"/>
      <c r="AK82" s="73"/>
    </row>
    <row r="83" ht="16.5" customHeight="1">
      <c r="A83" s="54">
        <v>40030.0</v>
      </c>
      <c r="B83" s="35" t="s">
        <v>1751</v>
      </c>
      <c r="C83" s="54" t="s">
        <v>15</v>
      </c>
      <c r="D83" s="54" t="s">
        <v>1501</v>
      </c>
      <c r="E83" s="82" t="s">
        <v>97</v>
      </c>
      <c r="F83" s="73" t="s">
        <v>1663</v>
      </c>
      <c r="G83" s="35">
        <v>64.0</v>
      </c>
      <c r="H83" s="54"/>
      <c r="I83" s="74">
        <v>110011.0</v>
      </c>
      <c r="J83" s="74">
        <v>400007.0</v>
      </c>
      <c r="K83" s="74">
        <v>410016.0</v>
      </c>
      <c r="L83" s="42">
        <v>1.0</v>
      </c>
      <c r="M83" s="54"/>
      <c r="N83" s="54">
        <v>520.0</v>
      </c>
      <c r="O83" s="54">
        <v>9.0</v>
      </c>
      <c r="P83" s="54">
        <v>43.0</v>
      </c>
      <c r="Q83" s="54">
        <v>22.0</v>
      </c>
      <c r="R83" s="54">
        <v>30.0</v>
      </c>
      <c r="S83" s="54">
        <v>57.0</v>
      </c>
      <c r="T83" s="54">
        <v>8.0</v>
      </c>
      <c r="U83" s="122"/>
      <c r="V83" s="77">
        <v>461.0</v>
      </c>
      <c r="W83" s="121">
        <f t="shared" si="95"/>
        <v>0.27</v>
      </c>
      <c r="X83" s="73"/>
      <c r="Y83" s="54"/>
      <c r="Z83" s="42" t="s">
        <v>1669</v>
      </c>
      <c r="AA83" s="42">
        <v>910.0</v>
      </c>
      <c r="AB83" s="73"/>
      <c r="AC83" s="54"/>
      <c r="AD83" s="73"/>
      <c r="AE83" s="54"/>
      <c r="AF83" s="73"/>
      <c r="AG83" s="54"/>
      <c r="AH83" s="73"/>
      <c r="AI83" s="54"/>
      <c r="AJ83" s="73"/>
      <c r="AK83" s="73"/>
    </row>
    <row r="84" ht="16.5" customHeight="1">
      <c r="A84" s="54">
        <v>40031.0</v>
      </c>
      <c r="B84" s="35" t="s">
        <v>1757</v>
      </c>
      <c r="C84" s="54" t="s">
        <v>15</v>
      </c>
      <c r="D84" s="54" t="s">
        <v>1501</v>
      </c>
      <c r="E84" s="82" t="s">
        <v>1253</v>
      </c>
      <c r="F84" s="73" t="s">
        <v>1663</v>
      </c>
      <c r="G84" s="35">
        <v>62.0</v>
      </c>
      <c r="H84" s="54"/>
      <c r="I84" s="74">
        <v>110002.0</v>
      </c>
      <c r="J84" s="74">
        <v>400004.0</v>
      </c>
      <c r="K84" s="74">
        <v>410013.0</v>
      </c>
      <c r="L84" s="42">
        <v>3.0</v>
      </c>
      <c r="M84" s="54"/>
      <c r="N84" s="54">
        <v>470.0</v>
      </c>
      <c r="O84" s="54">
        <v>51.0</v>
      </c>
      <c r="P84" s="54">
        <v>9.0</v>
      </c>
      <c r="Q84" s="54">
        <v>28.0</v>
      </c>
      <c r="R84" s="54">
        <v>20.0</v>
      </c>
      <c r="S84" s="54">
        <v>57.0</v>
      </c>
      <c r="T84" s="104">
        <v>9.0</v>
      </c>
      <c r="U84" s="122">
        <v>3.0</v>
      </c>
      <c r="V84" s="77">
        <v>440.0</v>
      </c>
      <c r="W84" s="121">
        <f t="shared" si="95"/>
        <v>0.28</v>
      </c>
      <c r="X84" s="73"/>
      <c r="Y84" s="54"/>
      <c r="Z84" s="42" t="s">
        <v>1696</v>
      </c>
      <c r="AA84" s="42">
        <v>910.0</v>
      </c>
      <c r="AB84" s="73"/>
      <c r="AC84" s="54"/>
      <c r="AD84" s="73"/>
      <c r="AE84" s="54"/>
      <c r="AF84" s="73"/>
      <c r="AG84" s="54"/>
      <c r="AH84" s="73"/>
      <c r="AI84" s="54"/>
      <c r="AJ84" s="73"/>
      <c r="AK84" s="73"/>
    </row>
    <row r="85" ht="16.5" customHeight="1">
      <c r="A85" s="54">
        <v>40032.0</v>
      </c>
      <c r="B85" s="124" t="s">
        <v>1764</v>
      </c>
      <c r="C85" s="54" t="s">
        <v>15</v>
      </c>
      <c r="D85" s="54" t="s">
        <v>1501</v>
      </c>
      <c r="E85" s="82" t="s">
        <v>1253</v>
      </c>
      <c r="F85" s="73" t="s">
        <v>1663</v>
      </c>
      <c r="G85" s="35">
        <v>68.0</v>
      </c>
      <c r="H85" s="54"/>
      <c r="I85" s="74">
        <v>110001.0</v>
      </c>
      <c r="J85" s="74">
        <v>400002.0</v>
      </c>
      <c r="K85" s="74">
        <v>410002.0</v>
      </c>
      <c r="L85" s="42">
        <v>1.0</v>
      </c>
      <c r="M85" s="54"/>
      <c r="N85" s="54">
        <v>450.0</v>
      </c>
      <c r="O85" s="54">
        <v>54.0</v>
      </c>
      <c r="P85" s="54">
        <v>10.0</v>
      </c>
      <c r="Q85" s="54">
        <v>24.0</v>
      </c>
      <c r="R85" s="54">
        <v>18.0</v>
      </c>
      <c r="S85" s="54">
        <v>57.0</v>
      </c>
      <c r="T85" s="104">
        <v>10.0</v>
      </c>
      <c r="U85" s="122"/>
      <c r="V85" s="77">
        <v>428.0</v>
      </c>
      <c r="W85" s="121">
        <f t="shared" si="95"/>
        <v>0.29</v>
      </c>
      <c r="X85" s="73"/>
      <c r="Y85" s="54"/>
      <c r="Z85" s="42" t="s">
        <v>1696</v>
      </c>
      <c r="AA85" s="42">
        <v>910.0</v>
      </c>
      <c r="AB85" s="73"/>
      <c r="AC85" s="54"/>
      <c r="AD85" s="73"/>
      <c r="AE85" s="54"/>
      <c r="AF85" s="73"/>
      <c r="AG85" s="54"/>
      <c r="AH85" s="73"/>
      <c r="AI85" s="54"/>
      <c r="AJ85" s="73"/>
      <c r="AK85" s="73"/>
    </row>
    <row r="86" ht="16.5" customHeight="1">
      <c r="A86" s="54">
        <v>40033.0</v>
      </c>
      <c r="B86" s="35" t="s">
        <v>1771</v>
      </c>
      <c r="C86" s="54" t="s">
        <v>15</v>
      </c>
      <c r="D86" s="54" t="s">
        <v>1501</v>
      </c>
      <c r="E86" s="82" t="s">
        <v>1253</v>
      </c>
      <c r="F86" s="73" t="s">
        <v>1663</v>
      </c>
      <c r="G86" s="35">
        <v>64.0</v>
      </c>
      <c r="H86" s="54"/>
      <c r="I86" s="74">
        <v>110001.0</v>
      </c>
      <c r="J86" s="74">
        <v>400001.0</v>
      </c>
      <c r="K86" s="74">
        <v>410005.0</v>
      </c>
      <c r="L86" s="42">
        <v>1.0</v>
      </c>
      <c r="M86" s="54"/>
      <c r="N86" s="54">
        <v>710.0</v>
      </c>
      <c r="O86" s="54">
        <v>45.0</v>
      </c>
      <c r="P86" s="54">
        <v>10.0</v>
      </c>
      <c r="Q86" s="54">
        <v>38.0</v>
      </c>
      <c r="R86" s="54">
        <v>25.0</v>
      </c>
      <c r="S86" s="54">
        <v>57.0</v>
      </c>
      <c r="T86" s="104">
        <v>9.0</v>
      </c>
      <c r="U86" s="122">
        <v>5.0</v>
      </c>
      <c r="V86" s="77">
        <v>570.0</v>
      </c>
      <c r="W86" s="121">
        <f t="shared" si="95"/>
        <v>0.22</v>
      </c>
      <c r="X86" s="73"/>
      <c r="Y86" s="54"/>
      <c r="Z86" s="42" t="s">
        <v>1696</v>
      </c>
      <c r="AA86" s="42">
        <v>910.0</v>
      </c>
      <c r="AB86" s="73"/>
      <c r="AC86" s="54"/>
      <c r="AD86" s="73"/>
      <c r="AE86" s="54"/>
      <c r="AF86" s="73"/>
      <c r="AG86" s="54"/>
      <c r="AH86" s="73"/>
      <c r="AI86" s="54"/>
      <c r="AJ86" s="73"/>
      <c r="AK86" s="73"/>
    </row>
    <row r="87" ht="16.5" customHeight="1">
      <c r="A87" s="54">
        <v>40034.0</v>
      </c>
      <c r="B87" s="35" t="s">
        <v>1777</v>
      </c>
      <c r="C87" s="54" t="s">
        <v>15</v>
      </c>
      <c r="D87" s="54" t="s">
        <v>1501</v>
      </c>
      <c r="E87" s="82" t="s">
        <v>97</v>
      </c>
      <c r="F87" s="73" t="s">
        <v>1663</v>
      </c>
      <c r="G87" s="35">
        <v>67.0</v>
      </c>
      <c r="H87" s="54"/>
      <c r="I87" s="74">
        <v>110012.0</v>
      </c>
      <c r="J87" s="74">
        <v>400012.0</v>
      </c>
      <c r="K87" s="74">
        <v>410021.0</v>
      </c>
      <c r="L87" s="42">
        <v>2.0</v>
      </c>
      <c r="M87" s="54"/>
      <c r="N87" s="54">
        <v>460.0</v>
      </c>
      <c r="O87" s="54">
        <v>8.0</v>
      </c>
      <c r="P87" s="54">
        <v>54.0</v>
      </c>
      <c r="Q87" s="54">
        <v>19.0</v>
      </c>
      <c r="R87" s="54">
        <v>35.0</v>
      </c>
      <c r="S87" s="54">
        <v>57.0</v>
      </c>
      <c r="T87" s="54">
        <v>8.0</v>
      </c>
      <c r="U87" s="122"/>
      <c r="V87" s="77">
        <v>443.0</v>
      </c>
      <c r="W87" s="121">
        <f t="shared" si="95"/>
        <v>0.28</v>
      </c>
      <c r="X87" s="73"/>
      <c r="Y87" s="54"/>
      <c r="Z87" s="42" t="s">
        <v>1669</v>
      </c>
      <c r="AA87" s="42">
        <v>910.0</v>
      </c>
      <c r="AB87" s="73"/>
      <c r="AC87" s="54"/>
      <c r="AD87" s="73"/>
      <c r="AE87" s="54"/>
      <c r="AF87" s="73"/>
      <c r="AG87" s="54"/>
      <c r="AH87" s="73"/>
      <c r="AI87" s="54"/>
      <c r="AJ87" s="73"/>
      <c r="AK87" s="73"/>
    </row>
    <row r="88" ht="16.5" customHeight="1">
      <c r="A88" s="54">
        <v>40035.0</v>
      </c>
      <c r="B88" s="35" t="s">
        <v>1786</v>
      </c>
      <c r="C88" s="54" t="s">
        <v>15</v>
      </c>
      <c r="D88" s="54" t="s">
        <v>1501</v>
      </c>
      <c r="E88" s="82" t="s">
        <v>97</v>
      </c>
      <c r="F88" s="73" t="s">
        <v>1663</v>
      </c>
      <c r="G88" s="35">
        <v>66.0</v>
      </c>
      <c r="H88" s="54"/>
      <c r="I88" s="74">
        <v>110011.0</v>
      </c>
      <c r="J88" s="74">
        <v>400019.0</v>
      </c>
      <c r="K88" s="74">
        <v>410022.0</v>
      </c>
      <c r="L88" s="42">
        <v>1.0</v>
      </c>
      <c r="M88" s="54"/>
      <c r="N88" s="54">
        <v>440.0</v>
      </c>
      <c r="O88" s="54">
        <v>11.0</v>
      </c>
      <c r="P88" s="54">
        <v>49.0</v>
      </c>
      <c r="Q88" s="54">
        <v>17.0</v>
      </c>
      <c r="R88" s="54">
        <v>31.0</v>
      </c>
      <c r="S88" s="54">
        <v>57.0</v>
      </c>
      <c r="T88" s="104">
        <v>13.0</v>
      </c>
      <c r="U88" s="122"/>
      <c r="V88" s="77">
        <v>425.0</v>
      </c>
      <c r="W88" s="121">
        <f t="shared" si="95"/>
        <v>0.29</v>
      </c>
      <c r="X88" s="73"/>
      <c r="Y88" s="54"/>
      <c r="Z88" s="42" t="s">
        <v>1669</v>
      </c>
      <c r="AA88" s="42">
        <v>910.0</v>
      </c>
      <c r="AB88" s="73"/>
      <c r="AC88" s="54"/>
      <c r="AD88" s="73"/>
      <c r="AE88" s="54"/>
      <c r="AF88" s="73"/>
      <c r="AG88" s="54"/>
      <c r="AH88" s="73"/>
      <c r="AI88" s="54"/>
      <c r="AJ88" s="73"/>
      <c r="AK88" s="73"/>
    </row>
    <row r="89" ht="16.5" customHeight="1">
      <c r="A89" s="54">
        <v>40036.0</v>
      </c>
      <c r="B89" s="35" t="s">
        <v>1794</v>
      </c>
      <c r="C89" s="54" t="s">
        <v>15</v>
      </c>
      <c r="D89" s="54" t="s">
        <v>1501</v>
      </c>
      <c r="E89" s="82" t="s">
        <v>1253</v>
      </c>
      <c r="F89" s="73" t="s">
        <v>1663</v>
      </c>
      <c r="G89" s="35">
        <v>67.0</v>
      </c>
      <c r="H89" s="54"/>
      <c r="I89" s="74">
        <v>110001.0</v>
      </c>
      <c r="J89" s="74">
        <v>400001.0</v>
      </c>
      <c r="K89" s="74">
        <v>410001.0</v>
      </c>
      <c r="L89" s="42">
        <v>2.0</v>
      </c>
      <c r="M89" s="54"/>
      <c r="N89" s="54">
        <v>730.0</v>
      </c>
      <c r="O89" s="54">
        <v>47.0</v>
      </c>
      <c r="P89" s="54">
        <v>8.0</v>
      </c>
      <c r="Q89" s="54">
        <v>40.0</v>
      </c>
      <c r="R89" s="54">
        <v>30.0</v>
      </c>
      <c r="S89" s="54">
        <v>57.0</v>
      </c>
      <c r="T89" s="54">
        <v>8.0</v>
      </c>
      <c r="U89" s="122"/>
      <c r="V89" s="77">
        <v>587.0</v>
      </c>
      <c r="W89" s="121">
        <f t="shared" si="95"/>
        <v>0.21</v>
      </c>
      <c r="X89" s="73"/>
      <c r="Y89" s="54"/>
      <c r="Z89" s="42" t="s">
        <v>1696</v>
      </c>
      <c r="AA89" s="42">
        <v>910.0</v>
      </c>
      <c r="AB89" s="73"/>
      <c r="AC89" s="54"/>
      <c r="AD89" s="73"/>
      <c r="AE89" s="54"/>
      <c r="AF89" s="73"/>
      <c r="AG89" s="54"/>
      <c r="AH89" s="73"/>
      <c r="AI89" s="54"/>
      <c r="AJ89" s="73"/>
      <c r="AK89" s="73"/>
    </row>
    <row r="90" ht="16.5" customHeight="1">
      <c r="A90" s="54">
        <v>40037.0</v>
      </c>
      <c r="B90" s="35" t="s">
        <v>1806</v>
      </c>
      <c r="C90" s="54" t="s">
        <v>15</v>
      </c>
      <c r="D90" s="54" t="s">
        <v>1501</v>
      </c>
      <c r="E90" s="82" t="s">
        <v>97</v>
      </c>
      <c r="F90" s="73" t="s">
        <v>1663</v>
      </c>
      <c r="G90" s="35">
        <v>68.0</v>
      </c>
      <c r="H90" s="54"/>
      <c r="I90" s="74">
        <v>110012.0</v>
      </c>
      <c r="J90" s="74">
        <v>400019.0</v>
      </c>
      <c r="K90" s="74">
        <v>410019.0</v>
      </c>
      <c r="L90" s="42">
        <v>3.0</v>
      </c>
      <c r="M90" s="54"/>
      <c r="N90" s="54">
        <v>440.0</v>
      </c>
      <c r="O90" s="54">
        <v>11.0</v>
      </c>
      <c r="P90" s="54">
        <v>49.0</v>
      </c>
      <c r="Q90" s="54">
        <v>17.0</v>
      </c>
      <c r="R90" s="54">
        <v>31.0</v>
      </c>
      <c r="S90" s="54">
        <v>57.0</v>
      </c>
      <c r="T90" s="104">
        <v>10.0</v>
      </c>
      <c r="U90" s="122"/>
      <c r="V90" s="77">
        <v>425.0</v>
      </c>
      <c r="W90" s="121">
        <f t="shared" si="95"/>
        <v>0.29</v>
      </c>
      <c r="X90" s="73"/>
      <c r="Y90" s="54"/>
      <c r="Z90" s="42" t="s">
        <v>1669</v>
      </c>
      <c r="AA90" s="42">
        <v>910.0</v>
      </c>
      <c r="AB90" s="73"/>
      <c r="AC90" s="54"/>
      <c r="AD90" s="73"/>
      <c r="AE90" s="54"/>
      <c r="AF90" s="73"/>
      <c r="AG90" s="54"/>
      <c r="AH90" s="73"/>
      <c r="AI90" s="54"/>
      <c r="AJ90" s="73"/>
      <c r="AK90" s="73"/>
    </row>
    <row r="91" ht="16.5" customHeight="1">
      <c r="A91" s="54">
        <v>40038.0</v>
      </c>
      <c r="B91" s="35" t="s">
        <v>1813</v>
      </c>
      <c r="C91" s="54" t="s">
        <v>15</v>
      </c>
      <c r="D91" s="54" t="s">
        <v>1501</v>
      </c>
      <c r="E91" s="82" t="s">
        <v>97</v>
      </c>
      <c r="F91" s="73" t="s">
        <v>1663</v>
      </c>
      <c r="G91" s="35">
        <v>68.0</v>
      </c>
      <c r="H91" s="54"/>
      <c r="I91" s="74">
        <v>110011.0</v>
      </c>
      <c r="J91" s="74">
        <v>400012.0</v>
      </c>
      <c r="K91" s="74">
        <v>410021.0</v>
      </c>
      <c r="L91" s="42">
        <v>2.0</v>
      </c>
      <c r="M91" s="54"/>
      <c r="N91" s="54">
        <v>500.0</v>
      </c>
      <c r="O91" s="54">
        <v>10.0</v>
      </c>
      <c r="P91" s="54">
        <v>53.0</v>
      </c>
      <c r="Q91" s="54">
        <v>19.0</v>
      </c>
      <c r="R91" s="54">
        <v>28.0</v>
      </c>
      <c r="S91" s="54">
        <v>57.0</v>
      </c>
      <c r="T91" s="54">
        <v>8.0</v>
      </c>
      <c r="U91" s="122"/>
      <c r="V91" s="77">
        <v>457.0</v>
      </c>
      <c r="W91" s="121">
        <f t="shared" si="95"/>
        <v>0.27</v>
      </c>
      <c r="X91" s="73"/>
      <c r="Y91" s="54"/>
      <c r="Z91" s="42" t="s">
        <v>1669</v>
      </c>
      <c r="AA91" s="42">
        <v>910.0</v>
      </c>
      <c r="AB91" s="73"/>
      <c r="AC91" s="54"/>
      <c r="AD91" s="73"/>
      <c r="AE91" s="54"/>
      <c r="AF91" s="73"/>
      <c r="AG91" s="54"/>
      <c r="AH91" s="73"/>
      <c r="AI91" s="54"/>
      <c r="AJ91" s="73"/>
      <c r="AK91" s="73"/>
    </row>
    <row r="92" ht="16.5" customHeight="1">
      <c r="A92" s="54">
        <v>40039.0</v>
      </c>
      <c r="B92" s="35" t="s">
        <v>1825</v>
      </c>
      <c r="C92" s="54" t="s">
        <v>15</v>
      </c>
      <c r="D92" s="54" t="s">
        <v>1501</v>
      </c>
      <c r="E92" s="82" t="s">
        <v>97</v>
      </c>
      <c r="F92" s="73" t="s">
        <v>1663</v>
      </c>
      <c r="G92" s="35">
        <v>64.0</v>
      </c>
      <c r="H92" s="54"/>
      <c r="I92" s="74">
        <v>110012.0</v>
      </c>
      <c r="J92" s="74">
        <v>400013.0</v>
      </c>
      <c r="K92" s="74">
        <v>410021.0</v>
      </c>
      <c r="L92" s="42">
        <v>2.0</v>
      </c>
      <c r="M92" s="54"/>
      <c r="N92" s="54">
        <v>480.0</v>
      </c>
      <c r="O92" s="54">
        <v>9.0</v>
      </c>
      <c r="P92" s="54">
        <v>50.0</v>
      </c>
      <c r="Q92" s="54">
        <v>18.0</v>
      </c>
      <c r="R92" s="54">
        <v>33.0</v>
      </c>
      <c r="S92" s="54">
        <v>57.0</v>
      </c>
      <c r="T92" s="104">
        <v>9.0</v>
      </c>
      <c r="U92" s="122"/>
      <c r="V92" s="77">
        <v>447.0</v>
      </c>
      <c r="W92" s="121">
        <f t="shared" si="95"/>
        <v>0.28</v>
      </c>
      <c r="X92" s="73"/>
      <c r="Y92" s="54"/>
      <c r="Z92" s="42" t="s">
        <v>1669</v>
      </c>
      <c r="AA92" s="42">
        <v>910.0</v>
      </c>
      <c r="AB92" s="73"/>
      <c r="AC92" s="54"/>
      <c r="AD92" s="73"/>
      <c r="AE92" s="54"/>
      <c r="AF92" s="73"/>
      <c r="AG92" s="54"/>
      <c r="AH92" s="73"/>
      <c r="AI92" s="54"/>
      <c r="AJ92" s="73"/>
      <c r="AK92" s="73"/>
    </row>
    <row r="93" ht="16.5" customHeight="1">
      <c r="A93" s="54">
        <v>40040.0</v>
      </c>
      <c r="B93" s="35" t="s">
        <v>1833</v>
      </c>
      <c r="C93" s="54" t="s">
        <v>11</v>
      </c>
      <c r="D93" s="54" t="s">
        <v>1501</v>
      </c>
      <c r="E93" s="82" t="s">
        <v>97</v>
      </c>
      <c r="F93" s="73" t="s">
        <v>1663</v>
      </c>
      <c r="G93" s="35">
        <v>67.0</v>
      </c>
      <c r="H93" s="54"/>
      <c r="I93" s="74">
        <v>110011.0</v>
      </c>
      <c r="J93" s="74">
        <v>400015.0</v>
      </c>
      <c r="K93" s="74">
        <v>410020.0</v>
      </c>
      <c r="L93" s="42">
        <v>3.0</v>
      </c>
      <c r="M93" s="54"/>
      <c r="N93" s="54">
        <v>980.0</v>
      </c>
      <c r="O93" s="54">
        <v>15.0</v>
      </c>
      <c r="P93" s="54">
        <v>65.0</v>
      </c>
      <c r="Q93" s="54">
        <v>45.0</v>
      </c>
      <c r="R93" s="54">
        <v>52.0</v>
      </c>
      <c r="S93" s="54">
        <v>75.0</v>
      </c>
      <c r="T93" s="104">
        <v>10.0</v>
      </c>
      <c r="U93" s="122"/>
      <c r="V93" s="77">
        <v>792.0</v>
      </c>
      <c r="W93" s="121">
        <f t="shared" si="95"/>
        <v>0.1</v>
      </c>
      <c r="X93" s="73"/>
      <c r="Y93" s="54"/>
      <c r="Z93" s="42" t="s">
        <v>1843</v>
      </c>
      <c r="AA93" s="42">
        <v>910.0</v>
      </c>
      <c r="AB93" s="73"/>
      <c r="AC93" s="54"/>
      <c r="AD93" s="73"/>
      <c r="AE93" s="54"/>
      <c r="AF93" s="73"/>
      <c r="AG93" s="54"/>
      <c r="AH93" s="73"/>
      <c r="AI93" s="54"/>
      <c r="AJ93" s="73"/>
      <c r="AK93" s="73"/>
    </row>
    <row r="94" ht="16.5" customHeight="1">
      <c r="A94" s="54">
        <v>40041.0</v>
      </c>
      <c r="B94" s="35" t="s">
        <v>1850</v>
      </c>
      <c r="C94" s="54" t="s">
        <v>11</v>
      </c>
      <c r="D94" s="54" t="s">
        <v>1501</v>
      </c>
      <c r="E94" s="82" t="s">
        <v>97</v>
      </c>
      <c r="F94" s="73" t="s">
        <v>1663</v>
      </c>
      <c r="G94" s="35">
        <v>68.0</v>
      </c>
      <c r="H94" s="54"/>
      <c r="I94" s="74">
        <v>110012.0</v>
      </c>
      <c r="J94" s="74">
        <v>400018.0</v>
      </c>
      <c r="K94" s="74">
        <v>410024.0</v>
      </c>
      <c r="L94" s="42">
        <v>1.0</v>
      </c>
      <c r="M94" s="54"/>
      <c r="N94" s="54">
        <v>720.0</v>
      </c>
      <c r="O94" s="54">
        <v>14.0</v>
      </c>
      <c r="P94" s="54">
        <v>78.0</v>
      </c>
      <c r="Q94" s="54">
        <v>26.0</v>
      </c>
      <c r="R94" s="54">
        <v>46.0</v>
      </c>
      <c r="S94" s="54">
        <v>75.0</v>
      </c>
      <c r="T94" s="104">
        <v>12.0</v>
      </c>
      <c r="U94" s="122"/>
      <c r="V94" s="77">
        <v>649.0</v>
      </c>
      <c r="W94" s="121">
        <f t="shared" si="95"/>
        <v>0.18</v>
      </c>
      <c r="X94" s="73"/>
      <c r="Y94" s="54"/>
      <c r="Z94" s="42" t="s">
        <v>1843</v>
      </c>
      <c r="AA94" s="42">
        <v>910.0</v>
      </c>
      <c r="AB94" s="73"/>
      <c r="AC94" s="54"/>
      <c r="AD94" s="73"/>
      <c r="AE94" s="54"/>
      <c r="AF94" s="73"/>
      <c r="AG94" s="54"/>
      <c r="AH94" s="73"/>
      <c r="AI94" s="54"/>
      <c r="AJ94" s="73"/>
      <c r="AK94" s="73"/>
    </row>
    <row r="95" ht="16.5" customHeight="1">
      <c r="A95" s="54">
        <v>40042.0</v>
      </c>
      <c r="B95" s="35" t="s">
        <v>1859</v>
      </c>
      <c r="C95" s="54" t="s">
        <v>11</v>
      </c>
      <c r="D95" s="54" t="s">
        <v>1501</v>
      </c>
      <c r="E95" s="82" t="s">
        <v>97</v>
      </c>
      <c r="F95" s="73" t="s">
        <v>1663</v>
      </c>
      <c r="G95" s="35">
        <v>64.0</v>
      </c>
      <c r="H95" s="54"/>
      <c r="I95" s="74">
        <v>110011.0</v>
      </c>
      <c r="J95" s="74">
        <v>400020.0</v>
      </c>
      <c r="K95" s="74">
        <v>410021.0</v>
      </c>
      <c r="L95" s="42">
        <v>3.0</v>
      </c>
      <c r="M95" s="54"/>
      <c r="N95" s="54">
        <v>680.0</v>
      </c>
      <c r="O95" s="54">
        <v>16.0</v>
      </c>
      <c r="P95" s="54">
        <v>74.0</v>
      </c>
      <c r="Q95" s="54">
        <v>24.0</v>
      </c>
      <c r="R95" s="54">
        <v>42.0</v>
      </c>
      <c r="S95" s="54">
        <v>75.0</v>
      </c>
      <c r="T95" s="104">
        <v>15.0</v>
      </c>
      <c r="U95" s="122"/>
      <c r="V95" s="77">
        <v>621.0</v>
      </c>
      <c r="W95" s="121">
        <f t="shared" si="95"/>
        <v>0.19</v>
      </c>
      <c r="X95" s="73"/>
      <c r="Y95" s="54"/>
      <c r="Z95" s="42" t="s">
        <v>1843</v>
      </c>
      <c r="AA95" s="42">
        <v>910.0</v>
      </c>
      <c r="AB95" s="73"/>
      <c r="AC95" s="54"/>
      <c r="AD95" s="73"/>
      <c r="AE95" s="54"/>
      <c r="AF95" s="73"/>
      <c r="AG95" s="54"/>
      <c r="AH95" s="73"/>
      <c r="AI95" s="54"/>
      <c r="AJ95" s="73"/>
      <c r="AK95" s="73"/>
    </row>
    <row r="96" ht="16.5" customHeight="1">
      <c r="A96" s="54">
        <v>40043.0</v>
      </c>
      <c r="B96" s="35" t="s">
        <v>1866</v>
      </c>
      <c r="C96" s="54" t="s">
        <v>11</v>
      </c>
      <c r="D96" s="54" t="s">
        <v>1501</v>
      </c>
      <c r="E96" s="82" t="s">
        <v>97</v>
      </c>
      <c r="F96" s="73" t="s">
        <v>1663</v>
      </c>
      <c r="G96" s="35">
        <v>65.0</v>
      </c>
      <c r="H96" s="54"/>
      <c r="I96" s="74">
        <v>110012.0</v>
      </c>
      <c r="J96" s="74">
        <v>400018.0</v>
      </c>
      <c r="K96" s="74">
        <v>410024.0</v>
      </c>
      <c r="L96" s="42">
        <v>3.0</v>
      </c>
      <c r="M96" s="54"/>
      <c r="N96" s="54">
        <v>650.0</v>
      </c>
      <c r="O96" s="54">
        <v>13.0</v>
      </c>
      <c r="P96" s="54">
        <v>76.0</v>
      </c>
      <c r="Q96" s="54">
        <v>22.0</v>
      </c>
      <c r="R96" s="54">
        <v>48.0</v>
      </c>
      <c r="S96" s="54">
        <v>75.0</v>
      </c>
      <c r="T96" s="54">
        <v>10.0</v>
      </c>
      <c r="U96" s="122"/>
      <c r="V96" s="77">
        <v>609.0</v>
      </c>
      <c r="W96" s="121">
        <f t="shared" si="95"/>
        <v>0.2</v>
      </c>
      <c r="X96" s="73"/>
      <c r="Y96" s="54"/>
      <c r="Z96" s="42" t="s">
        <v>1843</v>
      </c>
      <c r="AA96" s="42">
        <v>910.0</v>
      </c>
      <c r="AB96" s="73"/>
      <c r="AC96" s="54"/>
      <c r="AD96" s="73"/>
      <c r="AE96" s="54"/>
      <c r="AF96" s="73"/>
      <c r="AG96" s="54"/>
      <c r="AH96" s="73"/>
      <c r="AI96" s="54"/>
      <c r="AJ96" s="73"/>
      <c r="AK96" s="73"/>
    </row>
    <row r="97" ht="16.5" customHeight="1">
      <c r="A97" s="54">
        <v>40044.0</v>
      </c>
      <c r="B97" s="35" t="s">
        <v>1872</v>
      </c>
      <c r="C97" s="54" t="s">
        <v>11</v>
      </c>
      <c r="D97" s="54" t="s">
        <v>1501</v>
      </c>
      <c r="E97" s="82" t="s">
        <v>1253</v>
      </c>
      <c r="F97" s="73" t="s">
        <v>1663</v>
      </c>
      <c r="G97" s="35">
        <v>66.0</v>
      </c>
      <c r="H97" s="54"/>
      <c r="I97" s="74">
        <v>110001.0</v>
      </c>
      <c r="J97" s="74">
        <v>400023.0</v>
      </c>
      <c r="K97" s="74">
        <v>410025.0</v>
      </c>
      <c r="L97" s="42">
        <v>2.0</v>
      </c>
      <c r="M97" s="54"/>
      <c r="N97" s="54">
        <v>880.0</v>
      </c>
      <c r="O97" s="54">
        <v>72.0</v>
      </c>
      <c r="P97" s="54">
        <v>16.0</v>
      </c>
      <c r="Q97" s="54">
        <v>45.0</v>
      </c>
      <c r="R97" s="54">
        <v>38.0</v>
      </c>
      <c r="S97" s="54">
        <v>75.0</v>
      </c>
      <c r="T97" s="54">
        <v>10.0</v>
      </c>
      <c r="U97" s="122">
        <v>4.0</v>
      </c>
      <c r="V97" s="77">
        <v>736.0</v>
      </c>
      <c r="W97" s="121">
        <f t="shared" si="95"/>
        <v>0.13</v>
      </c>
      <c r="X97" s="73"/>
      <c r="Y97" s="54"/>
      <c r="Z97" s="42" t="s">
        <v>1879</v>
      </c>
      <c r="AA97" s="42">
        <v>910.0</v>
      </c>
      <c r="AB97" s="73"/>
      <c r="AC97" s="54"/>
      <c r="AD97" s="73"/>
      <c r="AE97" s="54"/>
      <c r="AF97" s="73"/>
      <c r="AG97" s="54"/>
      <c r="AH97" s="73"/>
      <c r="AI97" s="54"/>
      <c r="AJ97" s="73"/>
      <c r="AK97" s="73"/>
    </row>
    <row r="98" ht="16.5" customHeight="1">
      <c r="A98" s="54">
        <v>40045.0</v>
      </c>
      <c r="B98" s="2" t="s">
        <v>1883</v>
      </c>
      <c r="C98" s="54" t="s">
        <v>11</v>
      </c>
      <c r="D98" s="54" t="s">
        <v>1501</v>
      </c>
      <c r="E98" s="82" t="s">
        <v>1253</v>
      </c>
      <c r="F98" s="73" t="s">
        <v>1663</v>
      </c>
      <c r="G98" s="35">
        <v>68.0</v>
      </c>
      <c r="H98" s="54"/>
      <c r="I98" s="74">
        <v>110002.0</v>
      </c>
      <c r="J98" s="74">
        <v>400022.0</v>
      </c>
      <c r="K98" s="74">
        <v>410026.0</v>
      </c>
      <c r="L98" s="42">
        <v>2.0</v>
      </c>
      <c r="M98" s="54"/>
      <c r="N98" s="54">
        <v>920.0</v>
      </c>
      <c r="O98" s="54">
        <v>70.0</v>
      </c>
      <c r="P98" s="54">
        <v>12.0</v>
      </c>
      <c r="Q98" s="54">
        <v>52.0</v>
      </c>
      <c r="R98" s="54">
        <v>42.0</v>
      </c>
      <c r="S98" s="54">
        <v>75.0</v>
      </c>
      <c r="T98" s="54">
        <v>10.0</v>
      </c>
      <c r="U98" s="122"/>
      <c r="V98" s="77">
        <v>761.0</v>
      </c>
      <c r="W98" s="121">
        <f t="shared" si="95"/>
        <v>0.12</v>
      </c>
      <c r="X98" s="73"/>
      <c r="Y98" s="54"/>
      <c r="Z98" s="42" t="s">
        <v>1879</v>
      </c>
      <c r="AA98" s="42">
        <v>910.0</v>
      </c>
      <c r="AB98" s="73"/>
      <c r="AC98" s="54"/>
      <c r="AD98" s="73"/>
      <c r="AE98" s="54"/>
      <c r="AF98" s="73"/>
      <c r="AG98" s="54"/>
      <c r="AH98" s="73"/>
      <c r="AI98" s="54"/>
      <c r="AJ98" s="73"/>
      <c r="AK98" s="73"/>
    </row>
    <row r="99" ht="16.5" customHeight="1">
      <c r="A99" s="54">
        <v>40046.0</v>
      </c>
      <c r="B99" s="35" t="s">
        <v>1888</v>
      </c>
      <c r="C99" s="54" t="s">
        <v>11</v>
      </c>
      <c r="D99" s="54" t="s">
        <v>1501</v>
      </c>
      <c r="E99" s="82" t="s">
        <v>97</v>
      </c>
      <c r="F99" s="73" t="s">
        <v>1663</v>
      </c>
      <c r="G99" s="35">
        <v>68.0</v>
      </c>
      <c r="H99" s="54"/>
      <c r="I99" s="74">
        <v>110011.0</v>
      </c>
      <c r="J99" s="74">
        <v>400012.0</v>
      </c>
      <c r="K99" s="74">
        <v>410019.0</v>
      </c>
      <c r="L99" s="42">
        <v>3.0</v>
      </c>
      <c r="M99" s="54"/>
      <c r="N99" s="54">
        <v>690.0</v>
      </c>
      <c r="O99" s="54">
        <v>16.0</v>
      </c>
      <c r="P99" s="54">
        <v>73.0</v>
      </c>
      <c r="Q99" s="54">
        <v>25.0</v>
      </c>
      <c r="R99" s="54">
        <v>40.0</v>
      </c>
      <c r="S99" s="54">
        <v>75.0</v>
      </c>
      <c r="T99" s="54">
        <v>10.0</v>
      </c>
      <c r="U99" s="122"/>
      <c r="V99" s="77">
        <v>624.0</v>
      </c>
      <c r="W99" s="121">
        <f t="shared" si="95"/>
        <v>0.19</v>
      </c>
      <c r="X99" s="73"/>
      <c r="Y99" s="54"/>
      <c r="Z99" s="42" t="s">
        <v>1843</v>
      </c>
      <c r="AA99" s="42">
        <v>910.0</v>
      </c>
      <c r="AB99" s="73"/>
      <c r="AC99" s="54"/>
      <c r="AD99" s="73"/>
      <c r="AE99" s="54"/>
      <c r="AF99" s="73"/>
      <c r="AG99" s="54"/>
      <c r="AH99" s="73"/>
      <c r="AI99" s="54"/>
      <c r="AJ99" s="73"/>
      <c r="AK99" s="73"/>
    </row>
    <row r="100" ht="16.5" customHeight="1">
      <c r="A100" s="54">
        <v>40047.0</v>
      </c>
      <c r="B100" s="35" t="s">
        <v>1898</v>
      </c>
      <c r="C100" s="54" t="s">
        <v>11</v>
      </c>
      <c r="D100" s="54" t="s">
        <v>1501</v>
      </c>
      <c r="E100" s="82" t="s">
        <v>1253</v>
      </c>
      <c r="F100" s="73" t="s">
        <v>1663</v>
      </c>
      <c r="G100" s="35">
        <v>69.0</v>
      </c>
      <c r="H100" s="54"/>
      <c r="I100" s="74">
        <v>110001.0</v>
      </c>
      <c r="J100" s="74">
        <v>400002.0</v>
      </c>
      <c r="K100" s="74">
        <v>410013.0</v>
      </c>
      <c r="L100" s="42">
        <v>1.0</v>
      </c>
      <c r="M100" s="54"/>
      <c r="N100" s="54">
        <v>660.0</v>
      </c>
      <c r="O100" s="54">
        <v>79.0</v>
      </c>
      <c r="P100" s="54">
        <v>15.0</v>
      </c>
      <c r="Q100" s="54">
        <v>28.0</v>
      </c>
      <c r="R100" s="54">
        <v>30.0</v>
      </c>
      <c r="S100" s="54">
        <v>75.0</v>
      </c>
      <c r="T100" s="104">
        <v>15.0</v>
      </c>
      <c r="U100" s="122"/>
      <c r="V100" s="77">
        <v>607.0</v>
      </c>
      <c r="W100" s="121">
        <f t="shared" si="95"/>
        <v>0.2</v>
      </c>
      <c r="X100" s="73"/>
      <c r="Y100" s="54"/>
      <c r="Z100" s="42" t="s">
        <v>1879</v>
      </c>
      <c r="AA100" s="42">
        <v>910.0</v>
      </c>
      <c r="AB100" s="73"/>
      <c r="AC100" s="54"/>
      <c r="AD100" s="73"/>
      <c r="AE100" s="54"/>
      <c r="AF100" s="73"/>
      <c r="AG100" s="54"/>
      <c r="AH100" s="73"/>
      <c r="AI100" s="54"/>
      <c r="AJ100" s="73"/>
      <c r="AK100" s="73"/>
    </row>
    <row r="101" ht="16.5" customHeight="1">
      <c r="A101" s="54">
        <v>40048.0</v>
      </c>
      <c r="B101" s="35" t="s">
        <v>185</v>
      </c>
      <c r="C101" s="54" t="s">
        <v>11</v>
      </c>
      <c r="D101" s="54" t="s">
        <v>1501</v>
      </c>
      <c r="E101" s="82" t="s">
        <v>97</v>
      </c>
      <c r="F101" s="73" t="s">
        <v>1663</v>
      </c>
      <c r="G101" s="35">
        <v>69.0</v>
      </c>
      <c r="H101" s="54"/>
      <c r="I101" s="74">
        <v>110012.0</v>
      </c>
      <c r="J101" s="74">
        <v>400011.0</v>
      </c>
      <c r="K101" s="74">
        <v>410021.0</v>
      </c>
      <c r="L101" s="42">
        <v>3.0</v>
      </c>
      <c r="M101" s="54"/>
      <c r="N101" s="54">
        <v>1050.0</v>
      </c>
      <c r="O101" s="54">
        <v>18.0</v>
      </c>
      <c r="P101" s="54">
        <v>62.0</v>
      </c>
      <c r="Q101" s="54">
        <v>30.0</v>
      </c>
      <c r="R101" s="54">
        <v>32.0</v>
      </c>
      <c r="S101" s="54">
        <v>75.0</v>
      </c>
      <c r="T101" s="104">
        <v>14.0</v>
      </c>
      <c r="U101" s="122"/>
      <c r="V101" s="77">
        <v>792.0</v>
      </c>
      <c r="W101" s="121">
        <f t="shared" si="95"/>
        <v>0.1</v>
      </c>
      <c r="X101" s="73"/>
      <c r="Y101" s="54"/>
      <c r="Z101" s="42" t="s">
        <v>1843</v>
      </c>
      <c r="AA101" s="42">
        <v>910.0</v>
      </c>
      <c r="AB101" s="73"/>
      <c r="AC101" s="54"/>
      <c r="AD101" s="73"/>
      <c r="AE101" s="54"/>
      <c r="AF101" s="73"/>
      <c r="AG101" s="54"/>
      <c r="AH101" s="73"/>
      <c r="AI101" s="54"/>
      <c r="AJ101" s="73"/>
      <c r="AK101" s="73"/>
    </row>
    <row r="102" ht="16.5" customHeight="1">
      <c r="A102" s="54">
        <v>40049.0</v>
      </c>
      <c r="B102" s="35" t="s">
        <v>1912</v>
      </c>
      <c r="C102" s="54" t="s">
        <v>11</v>
      </c>
      <c r="D102" s="54" t="s">
        <v>1501</v>
      </c>
      <c r="E102" s="82" t="s">
        <v>1253</v>
      </c>
      <c r="F102" s="73" t="s">
        <v>1663</v>
      </c>
      <c r="G102" s="35">
        <v>69.0</v>
      </c>
      <c r="H102" s="54"/>
      <c r="I102" s="74">
        <v>110002.0</v>
      </c>
      <c r="J102" s="74">
        <v>400022.0</v>
      </c>
      <c r="K102" s="74">
        <v>410018.0</v>
      </c>
      <c r="L102" s="42">
        <v>3.0</v>
      </c>
      <c r="M102" s="54"/>
      <c r="N102" s="54">
        <v>750.0</v>
      </c>
      <c r="O102" s="54">
        <v>74.0</v>
      </c>
      <c r="P102" s="54">
        <v>13.0</v>
      </c>
      <c r="Q102" s="54">
        <v>36.0</v>
      </c>
      <c r="R102" s="54">
        <v>39.0</v>
      </c>
      <c r="S102" s="54">
        <v>75.0</v>
      </c>
      <c r="T102" s="104">
        <v>17.0</v>
      </c>
      <c r="U102" s="122"/>
      <c r="V102" s="77">
        <v>662.0</v>
      </c>
      <c r="W102" s="121">
        <f t="shared" si="95"/>
        <v>0.17</v>
      </c>
      <c r="X102" s="73"/>
      <c r="Y102" s="54"/>
      <c r="Z102" s="42" t="s">
        <v>1879</v>
      </c>
      <c r="AA102" s="42">
        <v>910.0</v>
      </c>
      <c r="AB102" s="73"/>
      <c r="AC102" s="54"/>
      <c r="AD102" s="73"/>
      <c r="AE102" s="54"/>
      <c r="AF102" s="73"/>
      <c r="AG102" s="54"/>
      <c r="AH102" s="73"/>
      <c r="AI102" s="54"/>
      <c r="AJ102" s="73"/>
      <c r="AK102" s="73"/>
    </row>
    <row r="103" ht="16.5" customHeight="1">
      <c r="A103" s="54">
        <v>40050.0</v>
      </c>
      <c r="B103" s="35" t="s">
        <v>1919</v>
      </c>
      <c r="C103" s="54" t="s">
        <v>11</v>
      </c>
      <c r="D103" s="54" t="s">
        <v>1501</v>
      </c>
      <c r="E103" s="82" t="s">
        <v>97</v>
      </c>
      <c r="F103" s="73" t="s">
        <v>1663</v>
      </c>
      <c r="G103" s="35">
        <v>65.0</v>
      </c>
      <c r="H103" s="54"/>
      <c r="I103" s="74">
        <v>110011.0</v>
      </c>
      <c r="J103" s="74">
        <v>400015.0</v>
      </c>
      <c r="K103" s="74">
        <v>410018.0</v>
      </c>
      <c r="L103" s="42">
        <v>1.0</v>
      </c>
      <c r="M103" s="54"/>
      <c r="N103" s="54">
        <v>950.0</v>
      </c>
      <c r="O103" s="54">
        <v>15.0</v>
      </c>
      <c r="P103" s="54">
        <v>64.0</v>
      </c>
      <c r="Q103" s="54">
        <v>42.0</v>
      </c>
      <c r="R103" s="54">
        <v>50.0</v>
      </c>
      <c r="S103" s="54">
        <v>75.0</v>
      </c>
      <c r="T103" s="54">
        <v>10.0</v>
      </c>
      <c r="U103" s="122"/>
      <c r="V103" s="77">
        <v>771.0</v>
      </c>
      <c r="W103" s="121">
        <f t="shared" si="95"/>
        <v>0.11</v>
      </c>
      <c r="X103" s="73"/>
      <c r="Y103" s="54"/>
      <c r="Z103" s="42" t="s">
        <v>1843</v>
      </c>
      <c r="AA103" s="42">
        <v>910.0</v>
      </c>
      <c r="AB103" s="73"/>
      <c r="AC103" s="54"/>
      <c r="AD103" s="73"/>
      <c r="AE103" s="54"/>
      <c r="AF103" s="73"/>
      <c r="AG103" s="54"/>
      <c r="AH103" s="73"/>
      <c r="AI103" s="54"/>
      <c r="AJ103" s="73"/>
      <c r="AK103" s="73"/>
    </row>
    <row r="104" ht="16.5" customHeight="1">
      <c r="A104" s="54">
        <v>40051.0</v>
      </c>
      <c r="B104" s="35" t="s">
        <v>1928</v>
      </c>
      <c r="C104" s="54" t="s">
        <v>11</v>
      </c>
      <c r="D104" s="54" t="s">
        <v>1501</v>
      </c>
      <c r="E104" s="82" t="s">
        <v>97</v>
      </c>
      <c r="F104" s="73" t="s">
        <v>1663</v>
      </c>
      <c r="G104" s="35">
        <v>62.0</v>
      </c>
      <c r="H104" s="54"/>
      <c r="I104" s="74">
        <v>110012.0</v>
      </c>
      <c r="J104" s="74">
        <v>400013.0</v>
      </c>
      <c r="K104" s="74">
        <v>410029.0</v>
      </c>
      <c r="L104" s="42">
        <v>3.0</v>
      </c>
      <c r="M104" s="54"/>
      <c r="N104" s="54">
        <v>710.0</v>
      </c>
      <c r="O104" s="54">
        <v>17.0</v>
      </c>
      <c r="P104" s="54">
        <v>80.0</v>
      </c>
      <c r="Q104" s="54">
        <v>25.0</v>
      </c>
      <c r="R104" s="54">
        <v>44.0</v>
      </c>
      <c r="S104" s="54">
        <v>75.0</v>
      </c>
      <c r="T104" s="104">
        <v>19.0</v>
      </c>
      <c r="U104" s="122"/>
      <c r="V104" s="77">
        <v>646.0</v>
      </c>
      <c r="W104" s="121">
        <f t="shared" si="95"/>
        <v>0.18</v>
      </c>
      <c r="X104" s="73"/>
      <c r="Y104" s="54"/>
      <c r="Z104" s="42" t="s">
        <v>1843</v>
      </c>
      <c r="AA104" s="42">
        <v>910.0</v>
      </c>
      <c r="AB104" s="73"/>
      <c r="AC104" s="54"/>
      <c r="AD104" s="73"/>
      <c r="AE104" s="54"/>
      <c r="AF104" s="73"/>
      <c r="AG104" s="54"/>
      <c r="AH104" s="73"/>
      <c r="AI104" s="54"/>
      <c r="AJ104" s="73"/>
      <c r="AK104" s="73"/>
    </row>
    <row r="105" ht="16.5" customHeight="1">
      <c r="A105" s="54">
        <v>40052.0</v>
      </c>
      <c r="B105" s="35" t="s">
        <v>1941</v>
      </c>
      <c r="C105" s="54" t="s">
        <v>11</v>
      </c>
      <c r="D105" s="54" t="s">
        <v>1501</v>
      </c>
      <c r="E105" s="82" t="s">
        <v>1253</v>
      </c>
      <c r="F105" s="73" t="s">
        <v>1663</v>
      </c>
      <c r="G105" s="35">
        <v>67.0</v>
      </c>
      <c r="H105" s="54"/>
      <c r="I105" s="74">
        <v>110001.0</v>
      </c>
      <c r="J105" s="74">
        <v>400029.0</v>
      </c>
      <c r="K105" s="74">
        <v>410026.0</v>
      </c>
      <c r="L105" s="42">
        <v>2.0</v>
      </c>
      <c r="M105" s="54"/>
      <c r="N105" s="54">
        <v>850.0</v>
      </c>
      <c r="O105" s="54">
        <v>71.0</v>
      </c>
      <c r="P105" s="54">
        <v>14.0</v>
      </c>
      <c r="Q105" s="54">
        <v>48.0</v>
      </c>
      <c r="R105" s="54">
        <v>34.0</v>
      </c>
      <c r="S105" s="54">
        <v>75.0</v>
      </c>
      <c r="T105" s="104">
        <v>15.0</v>
      </c>
      <c r="U105" s="122"/>
      <c r="V105" s="77">
        <v>717.0</v>
      </c>
      <c r="W105" s="121">
        <f t="shared" si="95"/>
        <v>0.14</v>
      </c>
      <c r="X105" s="73"/>
      <c r="Y105" s="54"/>
      <c r="Z105" s="42" t="s">
        <v>1879</v>
      </c>
      <c r="AA105" s="42">
        <v>910.0</v>
      </c>
      <c r="AB105" s="73"/>
      <c r="AC105" s="54"/>
      <c r="AD105" s="73"/>
      <c r="AE105" s="54"/>
      <c r="AF105" s="73"/>
      <c r="AG105" s="54"/>
      <c r="AH105" s="73"/>
      <c r="AI105" s="54"/>
      <c r="AJ105" s="73"/>
      <c r="AK105" s="73"/>
    </row>
    <row r="106" ht="16.5" customHeight="1">
      <c r="A106" s="54">
        <v>40053.0</v>
      </c>
      <c r="B106" s="35" t="s">
        <v>1949</v>
      </c>
      <c r="C106" s="54" t="s">
        <v>11</v>
      </c>
      <c r="D106" s="54" t="s">
        <v>1501</v>
      </c>
      <c r="E106" s="82" t="s">
        <v>97</v>
      </c>
      <c r="F106" s="73" t="s">
        <v>1663</v>
      </c>
      <c r="G106" s="35">
        <v>64.0</v>
      </c>
      <c r="H106" s="54"/>
      <c r="I106" s="74">
        <v>110011.0</v>
      </c>
      <c r="J106" s="74">
        <v>400009.0</v>
      </c>
      <c r="K106" s="74">
        <v>410027.0</v>
      </c>
      <c r="L106" s="42">
        <v>2.0</v>
      </c>
      <c r="M106" s="54"/>
      <c r="N106" s="54">
        <v>730.0</v>
      </c>
      <c r="O106" s="54">
        <v>14.0</v>
      </c>
      <c r="P106" s="54">
        <v>77.0</v>
      </c>
      <c r="Q106" s="54">
        <v>27.0</v>
      </c>
      <c r="R106" s="54">
        <v>45.0</v>
      </c>
      <c r="S106" s="54">
        <v>75.0</v>
      </c>
      <c r="T106" s="54">
        <v>10.0</v>
      </c>
      <c r="U106" s="122"/>
      <c r="V106" s="77">
        <v>653.0</v>
      </c>
      <c r="W106" s="121">
        <f t="shared" si="95"/>
        <v>0.17</v>
      </c>
      <c r="X106" s="73"/>
      <c r="Y106" s="54"/>
      <c r="Z106" s="42" t="s">
        <v>1843</v>
      </c>
      <c r="AA106" s="42">
        <v>910.0</v>
      </c>
      <c r="AB106" s="73"/>
      <c r="AC106" s="54"/>
      <c r="AD106" s="73"/>
      <c r="AE106" s="54"/>
      <c r="AF106" s="73"/>
      <c r="AG106" s="54"/>
      <c r="AH106" s="73"/>
      <c r="AI106" s="54"/>
      <c r="AJ106" s="73"/>
      <c r="AK106" s="73"/>
    </row>
    <row r="107" ht="16.5" customHeight="1">
      <c r="A107" s="54">
        <v>40054.0</v>
      </c>
      <c r="B107" s="35" t="s">
        <v>1959</v>
      </c>
      <c r="C107" s="54" t="s">
        <v>11</v>
      </c>
      <c r="D107" s="54" t="s">
        <v>1501</v>
      </c>
      <c r="E107" s="82" t="s">
        <v>1253</v>
      </c>
      <c r="F107" s="73" t="s">
        <v>1663</v>
      </c>
      <c r="G107" s="35">
        <v>65.0</v>
      </c>
      <c r="H107" s="54"/>
      <c r="I107" s="74">
        <v>110002.0</v>
      </c>
      <c r="J107" s="74">
        <v>400022.0</v>
      </c>
      <c r="K107" s="74">
        <v>410026.0</v>
      </c>
      <c r="L107" s="42">
        <v>3.0</v>
      </c>
      <c r="M107" s="54"/>
      <c r="N107" s="54">
        <v>940.0</v>
      </c>
      <c r="O107" s="54">
        <v>69.0</v>
      </c>
      <c r="P107" s="54">
        <v>15.0</v>
      </c>
      <c r="Q107" s="54">
        <v>55.0</v>
      </c>
      <c r="R107" s="54">
        <v>45.0</v>
      </c>
      <c r="S107" s="54">
        <v>75.0</v>
      </c>
      <c r="T107" s="104">
        <v>13.0</v>
      </c>
      <c r="U107" s="122"/>
      <c r="V107" s="77">
        <v>779.0</v>
      </c>
      <c r="W107" s="121">
        <f t="shared" si="95"/>
        <v>0.11</v>
      </c>
      <c r="X107" s="73"/>
      <c r="Y107" s="54"/>
      <c r="Z107" s="42" t="s">
        <v>1879</v>
      </c>
      <c r="AA107" s="42">
        <v>910.0</v>
      </c>
      <c r="AB107" s="73"/>
      <c r="AC107" s="54"/>
      <c r="AD107" s="73"/>
      <c r="AE107" s="54"/>
      <c r="AF107" s="73"/>
      <c r="AG107" s="54"/>
      <c r="AH107" s="73"/>
      <c r="AI107" s="54"/>
      <c r="AJ107" s="73"/>
      <c r="AK107" s="73"/>
    </row>
    <row r="108" ht="16.5" customHeight="1">
      <c r="A108" s="54">
        <v>40055.0</v>
      </c>
      <c r="B108" s="35" t="s">
        <v>1969</v>
      </c>
      <c r="C108" s="54" t="s">
        <v>11</v>
      </c>
      <c r="D108" s="54" t="s">
        <v>1501</v>
      </c>
      <c r="E108" s="82" t="s">
        <v>97</v>
      </c>
      <c r="F108" s="73" t="s">
        <v>1663</v>
      </c>
      <c r="G108" s="35">
        <v>65.0</v>
      </c>
      <c r="H108" s="54"/>
      <c r="I108" s="74">
        <v>110012.0</v>
      </c>
      <c r="J108" s="74">
        <v>400009.0</v>
      </c>
      <c r="K108" s="74">
        <v>410027.0</v>
      </c>
      <c r="L108" s="42">
        <v>2.0</v>
      </c>
      <c r="M108" s="54"/>
      <c r="N108" s="54">
        <v>820.0</v>
      </c>
      <c r="O108" s="54">
        <v>12.0</v>
      </c>
      <c r="P108" s="54">
        <v>75.0</v>
      </c>
      <c r="Q108" s="54">
        <v>44.0</v>
      </c>
      <c r="R108" s="54">
        <v>36.0</v>
      </c>
      <c r="S108" s="54">
        <v>75.0</v>
      </c>
      <c r="T108" s="54">
        <v>10.0</v>
      </c>
      <c r="U108" s="122"/>
      <c r="V108" s="77">
        <v>702.0</v>
      </c>
      <c r="W108" s="121">
        <f t="shared" si="95"/>
        <v>0.15</v>
      </c>
      <c r="X108" s="73"/>
      <c r="Y108" s="54"/>
      <c r="Z108" s="42" t="s">
        <v>1843</v>
      </c>
      <c r="AA108" s="42">
        <v>910.0</v>
      </c>
      <c r="AB108" s="73"/>
      <c r="AC108" s="54"/>
      <c r="AD108" s="73"/>
      <c r="AE108" s="54"/>
      <c r="AF108" s="73"/>
      <c r="AG108" s="54"/>
      <c r="AH108" s="73"/>
      <c r="AI108" s="54"/>
      <c r="AJ108" s="73"/>
      <c r="AK108" s="73"/>
    </row>
    <row r="109" ht="16.5" customHeight="1">
      <c r="A109" s="54">
        <v>40056.0</v>
      </c>
      <c r="B109" s="35" t="s">
        <v>1979</v>
      </c>
      <c r="C109" s="54" t="s">
        <v>11</v>
      </c>
      <c r="D109" s="54" t="s">
        <v>1501</v>
      </c>
      <c r="E109" s="82" t="s">
        <v>1253</v>
      </c>
      <c r="F109" s="73" t="s">
        <v>1663</v>
      </c>
      <c r="G109" s="35">
        <v>65.0</v>
      </c>
      <c r="H109" s="54"/>
      <c r="I109" s="74">
        <v>110001.0</v>
      </c>
      <c r="J109" s="74">
        <v>400016.0</v>
      </c>
      <c r="K109" s="74">
        <v>410006.0</v>
      </c>
      <c r="L109" s="42">
        <v>3.0</v>
      </c>
      <c r="M109" s="54"/>
      <c r="N109" s="54">
        <v>790.0</v>
      </c>
      <c r="O109" s="54">
        <v>77.0</v>
      </c>
      <c r="P109" s="54">
        <v>13.0</v>
      </c>
      <c r="Q109" s="54">
        <v>37.0</v>
      </c>
      <c r="R109" s="54">
        <v>34.0</v>
      </c>
      <c r="S109" s="54">
        <v>75.0</v>
      </c>
      <c r="T109" s="104">
        <v>11.0</v>
      </c>
      <c r="U109" s="122"/>
      <c r="V109" s="77">
        <v>681.0</v>
      </c>
      <c r="W109" s="121">
        <f t="shared" si="95"/>
        <v>0.16</v>
      </c>
      <c r="X109" s="73"/>
      <c r="Y109" s="54"/>
      <c r="Z109" s="42" t="s">
        <v>1879</v>
      </c>
      <c r="AA109" s="42">
        <v>910.0</v>
      </c>
      <c r="AB109" s="73"/>
      <c r="AC109" s="54"/>
      <c r="AD109" s="73"/>
      <c r="AE109" s="54"/>
      <c r="AF109" s="73"/>
      <c r="AG109" s="54"/>
      <c r="AH109" s="73"/>
      <c r="AI109" s="54"/>
      <c r="AJ109" s="73"/>
      <c r="AK109" s="73"/>
    </row>
    <row r="110" ht="16.5" customHeight="1">
      <c r="A110" s="54">
        <v>40057.0</v>
      </c>
      <c r="B110" s="2" t="s">
        <v>1988</v>
      </c>
      <c r="C110" s="54" t="s">
        <v>11</v>
      </c>
      <c r="D110" s="54" t="s">
        <v>1501</v>
      </c>
      <c r="E110" s="82" t="s">
        <v>97</v>
      </c>
      <c r="F110" s="73" t="s">
        <v>1663</v>
      </c>
      <c r="G110" s="35">
        <v>62.0</v>
      </c>
      <c r="H110" s="54"/>
      <c r="I110" s="74">
        <v>110011.0</v>
      </c>
      <c r="J110" s="74">
        <v>400018.0</v>
      </c>
      <c r="K110" s="74">
        <v>410019.0</v>
      </c>
      <c r="L110" s="42">
        <v>3.0</v>
      </c>
      <c r="M110" s="54"/>
      <c r="N110" s="54">
        <v>760.0</v>
      </c>
      <c r="O110" s="54">
        <v>15.0</v>
      </c>
      <c r="P110" s="54">
        <v>72.0</v>
      </c>
      <c r="Q110" s="54">
        <v>32.0</v>
      </c>
      <c r="R110" s="54">
        <v>41.0</v>
      </c>
      <c r="S110" s="54">
        <v>75.0</v>
      </c>
      <c r="T110" s="54">
        <v>10.0</v>
      </c>
      <c r="U110" s="122"/>
      <c r="V110" s="77">
        <v>665.0</v>
      </c>
      <c r="W110" s="121">
        <f t="shared" si="95"/>
        <v>0.17</v>
      </c>
      <c r="X110" s="73"/>
      <c r="Y110" s="54"/>
      <c r="Z110" s="42" t="s">
        <v>1843</v>
      </c>
      <c r="AA110" s="42">
        <v>910.0</v>
      </c>
      <c r="AB110" s="73"/>
      <c r="AC110" s="54"/>
      <c r="AD110" s="73"/>
      <c r="AE110" s="54"/>
      <c r="AF110" s="73"/>
      <c r="AG110" s="54"/>
      <c r="AH110" s="73"/>
      <c r="AI110" s="54"/>
      <c r="AJ110" s="73"/>
      <c r="AK110" s="73"/>
    </row>
    <row r="111" ht="16.5" customHeight="1">
      <c r="A111" s="54">
        <v>40058.0</v>
      </c>
      <c r="B111" s="35" t="s">
        <v>1996</v>
      </c>
      <c r="C111" s="54" t="s">
        <v>11</v>
      </c>
      <c r="D111" s="54" t="s">
        <v>1501</v>
      </c>
      <c r="E111" s="82" t="s">
        <v>1253</v>
      </c>
      <c r="F111" s="73" t="s">
        <v>1663</v>
      </c>
      <c r="G111" s="35">
        <v>67.0</v>
      </c>
      <c r="H111" s="54"/>
      <c r="I111" s="74">
        <v>110001.0</v>
      </c>
      <c r="J111" s="74">
        <v>400008.0</v>
      </c>
      <c r="K111" s="74">
        <v>410017.0</v>
      </c>
      <c r="L111" s="42">
        <v>2.0</v>
      </c>
      <c r="M111" s="54"/>
      <c r="N111" s="54">
        <v>670.0</v>
      </c>
      <c r="O111" s="54">
        <v>78.0</v>
      </c>
      <c r="P111" s="54">
        <v>16.0</v>
      </c>
      <c r="Q111" s="54">
        <v>31.0</v>
      </c>
      <c r="R111" s="54">
        <v>29.0</v>
      </c>
      <c r="S111" s="54">
        <v>75.0</v>
      </c>
      <c r="T111" s="54">
        <v>10.0</v>
      </c>
      <c r="U111" s="122">
        <v>3.0</v>
      </c>
      <c r="V111" s="77">
        <v>614.0</v>
      </c>
      <c r="W111" s="121">
        <f t="shared" si="95"/>
        <v>0.19</v>
      </c>
      <c r="X111" s="73"/>
      <c r="Y111" s="54"/>
      <c r="Z111" s="42" t="s">
        <v>1879</v>
      </c>
      <c r="AA111" s="42">
        <v>910.0</v>
      </c>
      <c r="AB111" s="73"/>
      <c r="AC111" s="54"/>
      <c r="AD111" s="73"/>
      <c r="AE111" s="54"/>
      <c r="AF111" s="73"/>
      <c r="AG111" s="54"/>
      <c r="AH111" s="73"/>
      <c r="AI111" s="54"/>
      <c r="AJ111" s="73"/>
      <c r="AK111" s="73"/>
    </row>
    <row r="112" ht="16.5" customHeight="1">
      <c r="A112" s="54">
        <v>40059.0</v>
      </c>
      <c r="B112" s="35" t="s">
        <v>2002</v>
      </c>
      <c r="C112" s="54" t="s">
        <v>11</v>
      </c>
      <c r="D112" s="54" t="s">
        <v>1501</v>
      </c>
      <c r="E112" s="82" t="s">
        <v>1253</v>
      </c>
      <c r="F112" s="73" t="s">
        <v>1663</v>
      </c>
      <c r="G112" s="35">
        <v>62.0</v>
      </c>
      <c r="H112" s="54"/>
      <c r="I112" s="74">
        <v>110002.0</v>
      </c>
      <c r="J112" s="74">
        <v>400002.0</v>
      </c>
      <c r="K112" s="74">
        <v>410009.0</v>
      </c>
      <c r="L112" s="42">
        <v>2.0</v>
      </c>
      <c r="M112" s="54"/>
      <c r="N112" s="54">
        <v>740.0</v>
      </c>
      <c r="O112" s="54">
        <v>81.0</v>
      </c>
      <c r="P112" s="54">
        <v>14.0</v>
      </c>
      <c r="Q112" s="54">
        <v>33.0</v>
      </c>
      <c r="R112" s="54">
        <v>28.0</v>
      </c>
      <c r="S112" s="54">
        <v>75.0</v>
      </c>
      <c r="T112" s="104">
        <v>15.0</v>
      </c>
      <c r="U112" s="122"/>
      <c r="V112" s="77">
        <v>651.0</v>
      </c>
      <c r="W112" s="121">
        <f t="shared" si="95"/>
        <v>0.17</v>
      </c>
      <c r="X112" s="73"/>
      <c r="Y112" s="54"/>
      <c r="Z112" s="42" t="s">
        <v>1879</v>
      </c>
      <c r="AA112" s="42">
        <v>910.0</v>
      </c>
      <c r="AB112" s="73"/>
      <c r="AC112" s="54"/>
      <c r="AD112" s="73"/>
      <c r="AE112" s="54"/>
      <c r="AF112" s="73"/>
      <c r="AG112" s="54"/>
      <c r="AH112" s="73"/>
      <c r="AI112" s="54"/>
      <c r="AJ112" s="73"/>
      <c r="AK112" s="73"/>
    </row>
    <row r="113" ht="16.5" customHeight="1">
      <c r="A113" s="54">
        <v>40060.0</v>
      </c>
      <c r="B113" s="35" t="s">
        <v>2006</v>
      </c>
      <c r="C113" s="54" t="s">
        <v>11</v>
      </c>
      <c r="D113" s="54" t="s">
        <v>1501</v>
      </c>
      <c r="E113" s="82" t="s">
        <v>97</v>
      </c>
      <c r="F113" s="73" t="s">
        <v>1663</v>
      </c>
      <c r="G113" s="35">
        <v>65.0</v>
      </c>
      <c r="H113" s="54"/>
      <c r="I113" s="74">
        <v>110011.0</v>
      </c>
      <c r="J113" s="74">
        <v>400009.0</v>
      </c>
      <c r="K113" s="74">
        <v>410024.0</v>
      </c>
      <c r="L113" s="42">
        <v>2.0</v>
      </c>
      <c r="M113" s="54"/>
      <c r="N113" s="54">
        <v>690.0</v>
      </c>
      <c r="O113" s="54">
        <v>13.0</v>
      </c>
      <c r="P113" s="54">
        <v>79.0</v>
      </c>
      <c r="Q113" s="54">
        <v>24.0</v>
      </c>
      <c r="R113" s="54">
        <v>43.0</v>
      </c>
      <c r="S113" s="54">
        <v>75.0</v>
      </c>
      <c r="T113" s="54">
        <v>10.0</v>
      </c>
      <c r="U113" s="122"/>
      <c r="V113" s="77">
        <v>629.0</v>
      </c>
      <c r="W113" s="121">
        <f t="shared" si="95"/>
        <v>0.19</v>
      </c>
      <c r="X113" s="73"/>
      <c r="Y113" s="54"/>
      <c r="Z113" s="42" t="s">
        <v>1843</v>
      </c>
      <c r="AA113" s="42">
        <v>910.0</v>
      </c>
      <c r="AB113" s="73"/>
      <c r="AC113" s="54"/>
      <c r="AD113" s="73"/>
      <c r="AE113" s="54"/>
      <c r="AF113" s="73"/>
      <c r="AG113" s="54"/>
      <c r="AH113" s="73"/>
      <c r="AI113" s="54"/>
      <c r="AJ113" s="73"/>
      <c r="AK113" s="73"/>
    </row>
    <row r="114" ht="16.5" customHeight="1">
      <c r="A114" s="54">
        <v>40061.0</v>
      </c>
      <c r="B114" s="35" t="s">
        <v>2014</v>
      </c>
      <c r="C114" s="54" t="s">
        <v>11</v>
      </c>
      <c r="D114" s="54" t="s">
        <v>1501</v>
      </c>
      <c r="E114" s="82" t="s">
        <v>1253</v>
      </c>
      <c r="F114" s="73" t="s">
        <v>1663</v>
      </c>
      <c r="G114" s="35">
        <v>62.0</v>
      </c>
      <c r="H114" s="54"/>
      <c r="I114" s="74">
        <v>110001.0</v>
      </c>
      <c r="J114" s="74">
        <v>400002.0</v>
      </c>
      <c r="K114" s="74">
        <v>410028.0</v>
      </c>
      <c r="L114" s="42">
        <v>3.0</v>
      </c>
      <c r="M114" s="54"/>
      <c r="N114" s="54">
        <v>800.0</v>
      </c>
      <c r="O114" s="54">
        <v>73.0</v>
      </c>
      <c r="P114" s="54">
        <v>12.0</v>
      </c>
      <c r="Q114" s="54">
        <v>46.0</v>
      </c>
      <c r="R114" s="54">
        <v>32.0</v>
      </c>
      <c r="S114" s="54">
        <v>75.0</v>
      </c>
      <c r="T114" s="54">
        <v>10.0</v>
      </c>
      <c r="U114" s="122"/>
      <c r="V114" s="77">
        <v>688.0</v>
      </c>
      <c r="W114" s="121">
        <f t="shared" si="95"/>
        <v>0.16</v>
      </c>
      <c r="X114" s="73"/>
      <c r="Y114" s="54"/>
      <c r="Z114" s="42" t="s">
        <v>1879</v>
      </c>
      <c r="AA114" s="42">
        <v>910.0</v>
      </c>
      <c r="AB114" s="73"/>
      <c r="AC114" s="54"/>
      <c r="AD114" s="73"/>
      <c r="AE114" s="54"/>
      <c r="AF114" s="73"/>
      <c r="AG114" s="54"/>
      <c r="AH114" s="73"/>
      <c r="AI114" s="54"/>
      <c r="AJ114" s="73"/>
      <c r="AK114" s="73"/>
    </row>
    <row r="115" ht="16.5" customHeight="1">
      <c r="A115" s="54">
        <v>40062.0</v>
      </c>
      <c r="B115" s="35" t="s">
        <v>2022</v>
      </c>
      <c r="C115" s="54" t="s">
        <v>11</v>
      </c>
      <c r="D115" s="54" t="s">
        <v>1501</v>
      </c>
      <c r="E115" s="82" t="s">
        <v>97</v>
      </c>
      <c r="F115" s="73" t="s">
        <v>1663</v>
      </c>
      <c r="G115" s="35">
        <v>64.0</v>
      </c>
      <c r="H115" s="54"/>
      <c r="I115" s="74">
        <v>110012.0</v>
      </c>
      <c r="J115" s="74">
        <v>400013.0</v>
      </c>
      <c r="K115" s="74">
        <v>410021.0</v>
      </c>
      <c r="L115" s="42">
        <v>3.0</v>
      </c>
      <c r="M115" s="54"/>
      <c r="N115" s="54">
        <v>620.0</v>
      </c>
      <c r="O115" s="54">
        <v>12.0</v>
      </c>
      <c r="P115" s="54">
        <v>75.0</v>
      </c>
      <c r="Q115" s="54">
        <v>20.0</v>
      </c>
      <c r="R115" s="54">
        <v>47.0</v>
      </c>
      <c r="S115" s="54">
        <v>75.0</v>
      </c>
      <c r="T115" s="54">
        <v>10.0</v>
      </c>
      <c r="U115" s="122"/>
      <c r="V115" s="77">
        <v>589.0</v>
      </c>
      <c r="W115" s="121">
        <f t="shared" si="95"/>
        <v>0.21</v>
      </c>
      <c r="X115" s="73"/>
      <c r="Y115" s="54"/>
      <c r="Z115" s="42" t="s">
        <v>1843</v>
      </c>
      <c r="AA115" s="42">
        <v>910.0</v>
      </c>
      <c r="AB115" s="73"/>
      <c r="AC115" s="54"/>
      <c r="AD115" s="73"/>
      <c r="AE115" s="54"/>
      <c r="AF115" s="73"/>
      <c r="AG115" s="54"/>
      <c r="AH115" s="73"/>
      <c r="AI115" s="54"/>
      <c r="AJ115" s="73"/>
      <c r="AK115" s="73"/>
    </row>
    <row r="116" ht="16.5" customHeight="1">
      <c r="A116" s="54">
        <v>40063.0</v>
      </c>
      <c r="B116" s="35" t="s">
        <v>2027</v>
      </c>
      <c r="C116" s="54" t="s">
        <v>11</v>
      </c>
      <c r="D116" s="54" t="s">
        <v>1501</v>
      </c>
      <c r="E116" s="82" t="s">
        <v>1253</v>
      </c>
      <c r="F116" s="73" t="s">
        <v>1663</v>
      </c>
      <c r="G116" s="35">
        <v>66.0</v>
      </c>
      <c r="H116" s="54"/>
      <c r="I116" s="74">
        <v>110001.0</v>
      </c>
      <c r="J116" s="74">
        <v>400001.0</v>
      </c>
      <c r="K116" s="74">
        <v>410017.0</v>
      </c>
      <c r="L116" s="42">
        <v>3.0</v>
      </c>
      <c r="M116" s="54"/>
      <c r="N116" s="54">
        <v>890.0</v>
      </c>
      <c r="O116" s="54">
        <v>76.0</v>
      </c>
      <c r="P116" s="54">
        <v>13.0</v>
      </c>
      <c r="Q116" s="54">
        <v>42.0</v>
      </c>
      <c r="R116" s="54">
        <v>36.0</v>
      </c>
      <c r="S116" s="54">
        <v>75.0</v>
      </c>
      <c r="T116" s="54">
        <v>10.0</v>
      </c>
      <c r="U116" s="122"/>
      <c r="V116" s="77">
        <v>737.0</v>
      </c>
      <c r="W116" s="121">
        <f t="shared" si="95"/>
        <v>0.13</v>
      </c>
      <c r="X116" s="73"/>
      <c r="Y116" s="54"/>
      <c r="Z116" s="42" t="s">
        <v>1879</v>
      </c>
      <c r="AA116" s="42">
        <v>910.0</v>
      </c>
      <c r="AB116" s="73"/>
      <c r="AC116" s="54"/>
      <c r="AD116" s="73"/>
      <c r="AE116" s="54"/>
      <c r="AF116" s="73"/>
      <c r="AG116" s="54"/>
      <c r="AH116" s="73"/>
      <c r="AI116" s="54"/>
      <c r="AJ116" s="73"/>
      <c r="AK116" s="73"/>
    </row>
    <row r="117" ht="16.5" customHeight="1">
      <c r="A117" s="54">
        <v>40064.0</v>
      </c>
      <c r="B117" s="35" t="s">
        <v>2032</v>
      </c>
      <c r="C117" s="54" t="s">
        <v>11</v>
      </c>
      <c r="D117" s="54" t="s">
        <v>1501</v>
      </c>
      <c r="E117" s="82" t="s">
        <v>1253</v>
      </c>
      <c r="F117" s="73" t="s">
        <v>1663</v>
      </c>
      <c r="G117" s="35">
        <v>62.0</v>
      </c>
      <c r="H117" s="54"/>
      <c r="I117" s="74">
        <v>110002.0</v>
      </c>
      <c r="J117" s="74">
        <v>400001.0</v>
      </c>
      <c r="K117" s="74">
        <v>410023.0</v>
      </c>
      <c r="L117" s="42">
        <v>3.0</v>
      </c>
      <c r="M117" s="54"/>
      <c r="N117" s="54">
        <v>680.0</v>
      </c>
      <c r="O117" s="54">
        <v>79.0</v>
      </c>
      <c r="P117" s="54">
        <v>15.0</v>
      </c>
      <c r="Q117" s="54">
        <v>29.0</v>
      </c>
      <c r="R117" s="54">
        <v>27.0</v>
      </c>
      <c r="S117" s="54">
        <v>75.0</v>
      </c>
      <c r="T117" s="54">
        <v>10.0</v>
      </c>
      <c r="U117" s="122"/>
      <c r="V117" s="77">
        <v>615.0</v>
      </c>
      <c r="W117" s="121">
        <f t="shared" si="95"/>
        <v>0.19</v>
      </c>
      <c r="X117" s="73"/>
      <c r="Y117" s="54"/>
      <c r="Z117" s="42" t="s">
        <v>1879</v>
      </c>
      <c r="AA117" s="42">
        <v>910.0</v>
      </c>
      <c r="AB117" s="73"/>
      <c r="AC117" s="54"/>
      <c r="AD117" s="73"/>
      <c r="AE117" s="54"/>
      <c r="AF117" s="73"/>
      <c r="AG117" s="54"/>
      <c r="AH117" s="73"/>
      <c r="AI117" s="54"/>
      <c r="AJ117" s="73"/>
      <c r="AK117" s="73"/>
    </row>
    <row r="118" ht="16.5" customHeight="1">
      <c r="A118" s="54">
        <v>40065.0</v>
      </c>
      <c r="B118" s="35" t="s">
        <v>2038</v>
      </c>
      <c r="C118" s="54" t="s">
        <v>11</v>
      </c>
      <c r="D118" s="54" t="s">
        <v>1501</v>
      </c>
      <c r="E118" s="82" t="s">
        <v>1253</v>
      </c>
      <c r="F118" s="73" t="s">
        <v>1663</v>
      </c>
      <c r="G118" s="35">
        <v>68.0</v>
      </c>
      <c r="H118" s="54"/>
      <c r="I118" s="74">
        <v>110001.0</v>
      </c>
      <c r="J118" s="74">
        <v>400034.0</v>
      </c>
      <c r="K118" s="74">
        <v>410031.0</v>
      </c>
      <c r="L118" s="42">
        <v>1.0</v>
      </c>
      <c r="M118" s="54"/>
      <c r="N118" s="54">
        <v>1020.0</v>
      </c>
      <c r="O118" s="54">
        <v>68.0</v>
      </c>
      <c r="P118" s="54">
        <v>17.0</v>
      </c>
      <c r="Q118" s="54">
        <v>56.0</v>
      </c>
      <c r="R118" s="54">
        <v>40.0</v>
      </c>
      <c r="S118" s="54">
        <v>75.0</v>
      </c>
      <c r="T118" s="104">
        <v>18.0</v>
      </c>
      <c r="U118" s="122"/>
      <c r="V118" s="77">
        <v>816.0</v>
      </c>
      <c r="W118" s="121">
        <f t="shared" si="95"/>
        <v>0.09</v>
      </c>
      <c r="X118" s="73"/>
      <c r="Y118" s="54"/>
      <c r="Z118" s="42" t="s">
        <v>1879</v>
      </c>
      <c r="AA118" s="42">
        <v>910.0</v>
      </c>
      <c r="AB118" s="73"/>
      <c r="AC118" s="54"/>
      <c r="AD118" s="73"/>
      <c r="AE118" s="54"/>
      <c r="AF118" s="73"/>
      <c r="AG118" s="54"/>
      <c r="AH118" s="73"/>
      <c r="AI118" s="54"/>
      <c r="AJ118" s="73"/>
      <c r="AK118" s="73"/>
    </row>
    <row r="119" ht="16.5" customHeight="1">
      <c r="A119" s="54">
        <v>40066.0</v>
      </c>
      <c r="B119" s="35" t="s">
        <v>2048</v>
      </c>
      <c r="C119" s="54" t="s">
        <v>11</v>
      </c>
      <c r="D119" s="54" t="s">
        <v>1501</v>
      </c>
      <c r="E119" s="82" t="s">
        <v>97</v>
      </c>
      <c r="F119" s="73" t="s">
        <v>1663</v>
      </c>
      <c r="G119" s="35">
        <v>65.0</v>
      </c>
      <c r="H119" s="54"/>
      <c r="I119" s="74">
        <v>110011.0</v>
      </c>
      <c r="J119" s="74">
        <v>400009.0</v>
      </c>
      <c r="K119" s="74">
        <v>410024.0</v>
      </c>
      <c r="L119" s="42">
        <v>1.0</v>
      </c>
      <c r="M119" s="54"/>
      <c r="N119" s="54">
        <v>640.0</v>
      </c>
      <c r="O119" s="54">
        <v>16.0</v>
      </c>
      <c r="P119" s="54">
        <v>71.0</v>
      </c>
      <c r="Q119" s="54">
        <v>22.0</v>
      </c>
      <c r="R119" s="54">
        <v>38.0</v>
      </c>
      <c r="S119" s="54">
        <v>75.0</v>
      </c>
      <c r="T119" s="104">
        <v>12.0</v>
      </c>
      <c r="U119" s="122"/>
      <c r="V119" s="77">
        <v>592.0</v>
      </c>
      <c r="W119" s="121">
        <f t="shared" si="95"/>
        <v>0.2</v>
      </c>
      <c r="X119" s="73"/>
      <c r="Y119" s="54"/>
      <c r="Z119" s="42" t="s">
        <v>1843</v>
      </c>
      <c r="AA119" s="42">
        <v>910.0</v>
      </c>
      <c r="AB119" s="73"/>
      <c r="AC119" s="54"/>
      <c r="AD119" s="73"/>
      <c r="AE119" s="54"/>
      <c r="AF119" s="73"/>
      <c r="AG119" s="54"/>
      <c r="AH119" s="73"/>
      <c r="AI119" s="54"/>
      <c r="AJ119" s="73"/>
      <c r="AK119" s="73"/>
    </row>
    <row r="120" ht="16.5" customHeight="1">
      <c r="A120" s="54">
        <v>40067.0</v>
      </c>
      <c r="B120" s="35" t="s">
        <v>2056</v>
      </c>
      <c r="C120" s="54" t="s">
        <v>11</v>
      </c>
      <c r="D120" s="54" t="s">
        <v>1501</v>
      </c>
      <c r="E120" s="82" t="s">
        <v>1253</v>
      </c>
      <c r="F120" s="73" t="s">
        <v>1663</v>
      </c>
      <c r="G120" s="35">
        <v>65.0</v>
      </c>
      <c r="H120" s="54"/>
      <c r="I120" s="74">
        <v>110002.0</v>
      </c>
      <c r="J120" s="74">
        <v>400036.0</v>
      </c>
      <c r="K120" s="74">
        <v>410020.0</v>
      </c>
      <c r="L120" s="42">
        <v>2.0</v>
      </c>
      <c r="M120" s="54"/>
      <c r="N120" s="54">
        <v>1080.0</v>
      </c>
      <c r="O120" s="54">
        <v>65.0</v>
      </c>
      <c r="P120" s="54">
        <v>11.0</v>
      </c>
      <c r="Q120" s="54">
        <v>60.0</v>
      </c>
      <c r="R120" s="54">
        <v>35.0</v>
      </c>
      <c r="S120" s="54">
        <v>75.0</v>
      </c>
      <c r="T120" s="104">
        <v>15.0</v>
      </c>
      <c r="U120" s="122"/>
      <c r="V120" s="77">
        <v>836.0</v>
      </c>
      <c r="W120" s="121">
        <f t="shared" si="95"/>
        <v>0.08</v>
      </c>
      <c r="X120" s="73"/>
      <c r="Y120" s="54"/>
      <c r="Z120" s="42" t="s">
        <v>1879</v>
      </c>
      <c r="AA120" s="42">
        <v>910.0</v>
      </c>
      <c r="AB120" s="73"/>
      <c r="AC120" s="54"/>
      <c r="AD120" s="73"/>
      <c r="AE120" s="54"/>
      <c r="AF120" s="73"/>
      <c r="AG120" s="54"/>
      <c r="AH120" s="73"/>
      <c r="AI120" s="54"/>
      <c r="AJ120" s="73"/>
      <c r="AK120" s="73"/>
    </row>
    <row r="121" ht="16.5" customHeight="1">
      <c r="A121" s="54">
        <v>40068.0</v>
      </c>
      <c r="B121" s="2" t="s">
        <v>2063</v>
      </c>
      <c r="C121" s="54" t="s">
        <v>11</v>
      </c>
      <c r="D121" s="54" t="s">
        <v>1501</v>
      </c>
      <c r="E121" s="82" t="s">
        <v>97</v>
      </c>
      <c r="F121" s="73" t="s">
        <v>1663</v>
      </c>
      <c r="G121" s="35">
        <v>66.0</v>
      </c>
      <c r="H121" s="54"/>
      <c r="I121" s="74">
        <v>110012.0</v>
      </c>
      <c r="J121" s="74">
        <v>400007.0</v>
      </c>
      <c r="K121" s="74">
        <v>410019.0</v>
      </c>
      <c r="L121" s="42">
        <v>1.0</v>
      </c>
      <c r="M121" s="54"/>
      <c r="N121" s="54">
        <v>670.0</v>
      </c>
      <c r="O121" s="54">
        <v>15.0</v>
      </c>
      <c r="P121" s="54">
        <v>76.0</v>
      </c>
      <c r="Q121" s="54">
        <v>23.0</v>
      </c>
      <c r="R121" s="54">
        <v>44.0</v>
      </c>
      <c r="S121" s="54">
        <v>75.0</v>
      </c>
      <c r="T121" s="54">
        <v>10.0</v>
      </c>
      <c r="U121" s="122"/>
      <c r="V121" s="77">
        <v>618.0</v>
      </c>
      <c r="W121" s="121">
        <f t="shared" si="95"/>
        <v>0.19</v>
      </c>
      <c r="X121" s="73"/>
      <c r="Y121" s="54"/>
      <c r="Z121" s="42" t="s">
        <v>1843</v>
      </c>
      <c r="AA121" s="42">
        <v>910.0</v>
      </c>
      <c r="AB121" s="73"/>
      <c r="AC121" s="54"/>
      <c r="AD121" s="73"/>
      <c r="AE121" s="54"/>
      <c r="AF121" s="73"/>
      <c r="AG121" s="54"/>
      <c r="AH121" s="73"/>
      <c r="AI121" s="54"/>
      <c r="AJ121" s="73"/>
      <c r="AK121" s="73"/>
    </row>
    <row r="122" ht="16.5" customHeight="1">
      <c r="A122" s="54">
        <v>40069.0</v>
      </c>
      <c r="B122" s="35" t="s">
        <v>2071</v>
      </c>
      <c r="C122" s="54" t="s">
        <v>11</v>
      </c>
      <c r="D122" s="54" t="s">
        <v>1501</v>
      </c>
      <c r="E122" s="82" t="s">
        <v>1253</v>
      </c>
      <c r="F122" s="73" t="s">
        <v>1663</v>
      </c>
      <c r="G122" s="35">
        <v>66.0</v>
      </c>
      <c r="H122" s="54"/>
      <c r="I122" s="74">
        <v>110001.0</v>
      </c>
      <c r="J122" s="74">
        <v>400008.0</v>
      </c>
      <c r="K122" s="74">
        <v>410025.0</v>
      </c>
      <c r="L122" s="42">
        <v>3.0</v>
      </c>
      <c r="M122" s="54"/>
      <c r="N122" s="54">
        <v>690.0</v>
      </c>
      <c r="O122" s="54">
        <v>77.0</v>
      </c>
      <c r="P122" s="54">
        <v>14.0</v>
      </c>
      <c r="Q122" s="54">
        <v>30.0</v>
      </c>
      <c r="R122" s="54">
        <v>28.0</v>
      </c>
      <c r="S122" s="54">
        <v>75.0</v>
      </c>
      <c r="T122" s="104">
        <v>17.0</v>
      </c>
      <c r="U122" s="122">
        <v>7.0</v>
      </c>
      <c r="V122" s="77">
        <v>619.0</v>
      </c>
      <c r="W122" s="121">
        <f t="shared" si="95"/>
        <v>0.19</v>
      </c>
      <c r="X122" s="73"/>
      <c r="Y122" s="54"/>
      <c r="Z122" s="42" t="s">
        <v>1879</v>
      </c>
      <c r="AA122" s="42">
        <v>910.0</v>
      </c>
      <c r="AB122" s="73"/>
      <c r="AC122" s="54"/>
      <c r="AD122" s="73"/>
      <c r="AE122" s="54"/>
      <c r="AF122" s="73"/>
      <c r="AG122" s="54"/>
      <c r="AH122" s="73"/>
      <c r="AI122" s="54"/>
      <c r="AJ122" s="73"/>
      <c r="AK122" s="73"/>
    </row>
    <row r="123" ht="16.5" customHeight="1">
      <c r="A123" s="54">
        <v>40070.0</v>
      </c>
      <c r="B123" s="35" t="s">
        <v>2077</v>
      </c>
      <c r="C123" s="54" t="s">
        <v>11</v>
      </c>
      <c r="D123" s="54" t="s">
        <v>1501</v>
      </c>
      <c r="E123" s="82" t="s">
        <v>1253</v>
      </c>
      <c r="F123" s="73" t="s">
        <v>1663</v>
      </c>
      <c r="G123" s="35">
        <v>66.0</v>
      </c>
      <c r="H123" s="54"/>
      <c r="I123" s="74">
        <v>110002.0</v>
      </c>
      <c r="J123" s="74">
        <v>400002.0</v>
      </c>
      <c r="K123" s="74">
        <v>410006.0</v>
      </c>
      <c r="L123" s="42">
        <v>1.0</v>
      </c>
      <c r="M123" s="54"/>
      <c r="N123" s="54">
        <v>960.0</v>
      </c>
      <c r="O123" s="54">
        <v>71.0</v>
      </c>
      <c r="P123" s="54">
        <v>13.0</v>
      </c>
      <c r="Q123" s="54">
        <v>54.0</v>
      </c>
      <c r="R123" s="54">
        <v>41.0</v>
      </c>
      <c r="S123" s="54">
        <v>75.0</v>
      </c>
      <c r="T123" s="104">
        <v>13.0</v>
      </c>
      <c r="U123" s="122"/>
      <c r="V123" s="77">
        <v>784.0</v>
      </c>
      <c r="W123" s="121">
        <f t="shared" si="95"/>
        <v>0.11</v>
      </c>
      <c r="X123" s="73"/>
      <c r="Y123" s="54"/>
      <c r="Z123" s="42" t="s">
        <v>1879</v>
      </c>
      <c r="AA123" s="42">
        <v>910.0</v>
      </c>
      <c r="AB123" s="73"/>
      <c r="AC123" s="54"/>
      <c r="AD123" s="73"/>
      <c r="AE123" s="54"/>
      <c r="AF123" s="73"/>
      <c r="AG123" s="54"/>
      <c r="AH123" s="73"/>
      <c r="AI123" s="54"/>
      <c r="AJ123" s="73"/>
      <c r="AK123" s="73"/>
    </row>
    <row r="124" ht="16.5" customHeight="1">
      <c r="A124" s="54">
        <v>40071.0</v>
      </c>
      <c r="B124" s="35" t="s">
        <v>2085</v>
      </c>
      <c r="C124" s="54" t="s">
        <v>11</v>
      </c>
      <c r="D124" s="54" t="s">
        <v>1501</v>
      </c>
      <c r="E124" s="82" t="s">
        <v>97</v>
      </c>
      <c r="F124" s="73" t="s">
        <v>1663</v>
      </c>
      <c r="G124" s="35">
        <v>66.0</v>
      </c>
      <c r="H124" s="54"/>
      <c r="I124" s="74">
        <v>110011.0</v>
      </c>
      <c r="J124" s="74">
        <v>400019.0</v>
      </c>
      <c r="K124" s="74">
        <v>410022.0</v>
      </c>
      <c r="L124" s="42">
        <v>1.0</v>
      </c>
      <c r="M124" s="54"/>
      <c r="N124" s="54">
        <v>660.0</v>
      </c>
      <c r="O124" s="54">
        <v>12.0</v>
      </c>
      <c r="P124" s="54">
        <v>74.0</v>
      </c>
      <c r="Q124" s="54">
        <v>21.0</v>
      </c>
      <c r="R124" s="54">
        <v>46.0</v>
      </c>
      <c r="S124" s="54">
        <v>75.0</v>
      </c>
      <c r="T124" s="54">
        <v>10.0</v>
      </c>
      <c r="U124" s="122"/>
      <c r="V124" s="77">
        <v>608.0</v>
      </c>
      <c r="W124" s="121">
        <f t="shared" si="95"/>
        <v>0.2</v>
      </c>
      <c r="X124" s="73"/>
      <c r="Y124" s="54"/>
      <c r="Z124" s="42" t="s">
        <v>1843</v>
      </c>
      <c r="AA124" s="42">
        <v>910.0</v>
      </c>
      <c r="AB124" s="73"/>
      <c r="AC124" s="54"/>
      <c r="AD124" s="73"/>
      <c r="AE124" s="54"/>
      <c r="AF124" s="73"/>
      <c r="AG124" s="54"/>
      <c r="AH124" s="73"/>
      <c r="AI124" s="54"/>
      <c r="AJ124" s="73"/>
      <c r="AK124" s="73"/>
    </row>
    <row r="125" ht="16.5" customHeight="1">
      <c r="A125" s="54">
        <v>40072.0</v>
      </c>
      <c r="B125" s="35" t="s">
        <v>2098</v>
      </c>
      <c r="C125" s="54" t="s">
        <v>11</v>
      </c>
      <c r="D125" s="54" t="s">
        <v>1501</v>
      </c>
      <c r="E125" s="82" t="s">
        <v>1253</v>
      </c>
      <c r="F125" s="73" t="s">
        <v>1663</v>
      </c>
      <c r="G125" s="35">
        <v>66.0</v>
      </c>
      <c r="H125" s="54"/>
      <c r="I125" s="74">
        <v>110001.0</v>
      </c>
      <c r="J125" s="74">
        <v>400023.0</v>
      </c>
      <c r="K125" s="74">
        <v>410017.0</v>
      </c>
      <c r="L125" s="42">
        <v>1.0</v>
      </c>
      <c r="M125" s="54"/>
      <c r="N125" s="54">
        <v>1040.0</v>
      </c>
      <c r="O125" s="54">
        <v>67.0</v>
      </c>
      <c r="P125" s="54">
        <v>14.0</v>
      </c>
      <c r="Q125" s="54">
        <v>55.0</v>
      </c>
      <c r="R125" s="54">
        <v>38.0</v>
      </c>
      <c r="S125" s="54">
        <v>75.0</v>
      </c>
      <c r="T125" s="104">
        <v>13.0</v>
      </c>
      <c r="U125" s="122"/>
      <c r="V125" s="77">
        <v>819.0</v>
      </c>
      <c r="W125" s="121">
        <f t="shared" si="95"/>
        <v>0.09</v>
      </c>
      <c r="X125" s="73"/>
      <c r="Y125" s="54"/>
      <c r="Z125" s="42" t="s">
        <v>1879</v>
      </c>
      <c r="AA125" s="42">
        <v>910.0</v>
      </c>
      <c r="AB125" s="73"/>
      <c r="AC125" s="54"/>
      <c r="AD125" s="73"/>
      <c r="AE125" s="54"/>
      <c r="AF125" s="73"/>
      <c r="AG125" s="54"/>
      <c r="AH125" s="73"/>
      <c r="AI125" s="54"/>
      <c r="AJ125" s="73"/>
      <c r="AK125" s="73"/>
    </row>
    <row r="126" ht="16.5" customHeight="1">
      <c r="A126" s="54">
        <v>40073.0</v>
      </c>
      <c r="B126" s="35" t="s">
        <v>2107</v>
      </c>
      <c r="C126" s="54" t="s">
        <v>11</v>
      </c>
      <c r="D126" s="54" t="s">
        <v>1501</v>
      </c>
      <c r="E126" s="82" t="s">
        <v>97</v>
      </c>
      <c r="F126" s="73" t="s">
        <v>1663</v>
      </c>
      <c r="G126" s="35">
        <v>66.0</v>
      </c>
      <c r="H126" s="54"/>
      <c r="I126" s="74">
        <v>110011.0</v>
      </c>
      <c r="J126" s="74">
        <v>400021.0</v>
      </c>
      <c r="K126" s="74">
        <v>410022.0</v>
      </c>
      <c r="L126" s="42">
        <v>1.0</v>
      </c>
      <c r="M126" s="54"/>
      <c r="N126" s="54">
        <v>700.0</v>
      </c>
      <c r="O126" s="54">
        <v>14.0</v>
      </c>
      <c r="P126" s="54">
        <v>78.0</v>
      </c>
      <c r="Q126" s="54">
        <v>26.0</v>
      </c>
      <c r="R126" s="54">
        <v>48.0</v>
      </c>
      <c r="S126" s="54">
        <v>75.0</v>
      </c>
      <c r="T126" s="54">
        <v>10.0</v>
      </c>
      <c r="U126" s="122">
        <v>3.0</v>
      </c>
      <c r="V126" s="77">
        <v>641.0</v>
      </c>
      <c r="W126" s="121">
        <f t="shared" si="95"/>
        <v>0.18</v>
      </c>
      <c r="X126" s="73"/>
      <c r="Y126" s="54"/>
      <c r="Z126" s="42" t="s">
        <v>1843</v>
      </c>
      <c r="AA126" s="42">
        <v>910.0</v>
      </c>
      <c r="AB126" s="73"/>
      <c r="AC126" s="54"/>
      <c r="AD126" s="73"/>
      <c r="AE126" s="54"/>
      <c r="AF126" s="73"/>
      <c r="AG126" s="54"/>
      <c r="AH126" s="73"/>
      <c r="AI126" s="54"/>
      <c r="AJ126" s="73"/>
    </row>
    <row r="127" ht="16.5" customHeight="1">
      <c r="A127" s="54">
        <v>40074.0</v>
      </c>
      <c r="B127" s="35" t="s">
        <v>2113</v>
      </c>
      <c r="C127" s="54" t="s">
        <v>11</v>
      </c>
      <c r="D127" s="54" t="s">
        <v>1501</v>
      </c>
      <c r="E127" s="82" t="s">
        <v>97</v>
      </c>
      <c r="F127" s="73" t="s">
        <v>1663</v>
      </c>
      <c r="G127" s="35">
        <v>63.0</v>
      </c>
      <c r="H127" s="54"/>
      <c r="I127" s="74">
        <v>110012.0</v>
      </c>
      <c r="J127" s="74">
        <v>400024.0</v>
      </c>
      <c r="K127" s="74">
        <v>410027.0</v>
      </c>
      <c r="L127" s="42">
        <v>1.0</v>
      </c>
      <c r="M127" s="54"/>
      <c r="N127" s="54">
        <v>780.0</v>
      </c>
      <c r="O127" s="54">
        <v>15.0</v>
      </c>
      <c r="P127" s="54">
        <v>74.0</v>
      </c>
      <c r="Q127" s="54">
        <v>30.0</v>
      </c>
      <c r="R127" s="54">
        <v>44.0</v>
      </c>
      <c r="S127" s="54">
        <v>75.0</v>
      </c>
      <c r="T127" s="54">
        <v>10.0</v>
      </c>
      <c r="U127" s="122"/>
      <c r="V127" s="77">
        <v>678.0</v>
      </c>
      <c r="W127" s="121">
        <f t="shared" si="95"/>
        <v>0.16</v>
      </c>
      <c r="X127" s="73"/>
      <c r="Y127" s="54"/>
      <c r="Z127" s="42" t="s">
        <v>1843</v>
      </c>
      <c r="AA127" s="42">
        <v>910.0</v>
      </c>
      <c r="AB127" s="73"/>
      <c r="AC127" s="54"/>
      <c r="AD127" s="73"/>
      <c r="AE127" s="54"/>
      <c r="AF127" s="73"/>
      <c r="AG127" s="54"/>
      <c r="AH127" s="73"/>
      <c r="AI127" s="54"/>
      <c r="AJ127" s="73"/>
    </row>
    <row r="128" ht="16.5" customHeight="1">
      <c r="A128" s="54">
        <v>40075.0</v>
      </c>
      <c r="B128" s="35" t="s">
        <v>2122</v>
      </c>
      <c r="C128" s="54" t="s">
        <v>11</v>
      </c>
      <c r="D128" s="54" t="s">
        <v>1501</v>
      </c>
      <c r="E128" s="82" t="s">
        <v>97</v>
      </c>
      <c r="F128" s="73" t="s">
        <v>1663</v>
      </c>
      <c r="G128" s="35">
        <v>67.0</v>
      </c>
      <c r="H128" s="54"/>
      <c r="I128" s="74">
        <v>110011.0</v>
      </c>
      <c r="J128" s="74">
        <v>400012.0</v>
      </c>
      <c r="K128" s="74">
        <v>410018.0</v>
      </c>
      <c r="L128" s="42">
        <v>1.0</v>
      </c>
      <c r="M128" s="54"/>
      <c r="N128" s="54">
        <v>850.0</v>
      </c>
      <c r="O128" s="54">
        <v>13.0</v>
      </c>
      <c r="P128" s="54">
        <v>68.0</v>
      </c>
      <c r="Q128" s="54">
        <v>35.0</v>
      </c>
      <c r="R128" s="54">
        <v>50.0</v>
      </c>
      <c r="S128" s="54">
        <v>75.0</v>
      </c>
      <c r="T128" s="104">
        <v>9.0</v>
      </c>
      <c r="U128" s="122">
        <v>3.0</v>
      </c>
      <c r="V128" s="77">
        <v>716.0</v>
      </c>
      <c r="W128" s="121">
        <f t="shared" si="95"/>
        <v>0.14</v>
      </c>
      <c r="X128" s="73"/>
      <c r="Y128" s="54"/>
      <c r="Z128" s="42" t="s">
        <v>1843</v>
      </c>
      <c r="AA128" s="42">
        <v>910.0</v>
      </c>
      <c r="AB128" s="73"/>
      <c r="AC128" s="54"/>
      <c r="AD128" s="73"/>
      <c r="AE128" s="54"/>
      <c r="AF128" s="73"/>
      <c r="AG128" s="54"/>
      <c r="AH128" s="73"/>
      <c r="AI128" s="54"/>
      <c r="AJ128" s="73"/>
    </row>
    <row r="129" ht="16.5" customHeight="1">
      <c r="A129" s="54">
        <v>40076.0</v>
      </c>
      <c r="B129" s="35" t="s">
        <v>2128</v>
      </c>
      <c r="C129" s="54" t="s">
        <v>11</v>
      </c>
      <c r="D129" s="54" t="s">
        <v>1501</v>
      </c>
      <c r="E129" s="82" t="s">
        <v>97</v>
      </c>
      <c r="F129" s="73" t="s">
        <v>1663</v>
      </c>
      <c r="G129" s="35">
        <v>65.0</v>
      </c>
      <c r="H129" s="54"/>
      <c r="I129" s="74">
        <v>110012.0</v>
      </c>
      <c r="J129" s="74">
        <v>400028.0</v>
      </c>
      <c r="K129" s="74">
        <v>410029.0</v>
      </c>
      <c r="L129" s="42">
        <v>1.0</v>
      </c>
      <c r="M129" s="54"/>
      <c r="N129" s="54">
        <v>900.0</v>
      </c>
      <c r="O129" s="54">
        <v>18.0</v>
      </c>
      <c r="P129" s="54">
        <v>85.0</v>
      </c>
      <c r="Q129" s="54">
        <v>40.0</v>
      </c>
      <c r="R129" s="54">
        <v>48.0</v>
      </c>
      <c r="S129" s="54">
        <v>75.0</v>
      </c>
      <c r="T129" s="54">
        <v>10.0</v>
      </c>
      <c r="U129" s="122"/>
      <c r="V129" s="77">
        <v>766.0</v>
      </c>
      <c r="W129" s="121">
        <f t="shared" si="95"/>
        <v>0.12</v>
      </c>
      <c r="X129" s="73"/>
      <c r="Y129" s="54"/>
      <c r="Z129" s="42" t="s">
        <v>1843</v>
      </c>
      <c r="AA129" s="42">
        <v>910.0</v>
      </c>
      <c r="AB129" s="73"/>
      <c r="AC129" s="54"/>
      <c r="AD129" s="73"/>
      <c r="AE129" s="54"/>
      <c r="AF129" s="73"/>
      <c r="AG129" s="54"/>
      <c r="AH129" s="73"/>
      <c r="AI129" s="54"/>
      <c r="AJ129" s="73"/>
    </row>
    <row r="130" ht="16.5" customHeight="1">
      <c r="A130" s="54">
        <v>40077.0</v>
      </c>
      <c r="B130" s="35" t="s">
        <v>2134</v>
      </c>
      <c r="C130" s="54" t="s">
        <v>11</v>
      </c>
      <c r="D130" s="54" t="s">
        <v>1501</v>
      </c>
      <c r="E130" s="82" t="s">
        <v>1253</v>
      </c>
      <c r="F130" s="73" t="s">
        <v>1663</v>
      </c>
      <c r="G130" s="35">
        <v>69.0</v>
      </c>
      <c r="H130" s="54"/>
      <c r="I130" s="74">
        <v>110001.0</v>
      </c>
      <c r="J130" s="74">
        <v>400002.0</v>
      </c>
      <c r="K130" s="74">
        <v>410013.0</v>
      </c>
      <c r="L130" s="42">
        <v>1.0</v>
      </c>
      <c r="M130" s="54"/>
      <c r="N130" s="54">
        <v>960.0</v>
      </c>
      <c r="O130" s="54">
        <v>74.0</v>
      </c>
      <c r="P130" s="54">
        <v>15.0</v>
      </c>
      <c r="Q130" s="54">
        <v>52.0</v>
      </c>
      <c r="R130" s="54">
        <v>38.0</v>
      </c>
      <c r="S130" s="54">
        <v>75.0</v>
      </c>
      <c r="T130" s="54">
        <v>10.0</v>
      </c>
      <c r="U130" s="122"/>
      <c r="V130" s="77">
        <v>784.0</v>
      </c>
      <c r="W130" s="121">
        <f t="shared" si="95"/>
        <v>0.11</v>
      </c>
      <c r="X130" s="73"/>
      <c r="Y130" s="54"/>
      <c r="Z130" s="42" t="s">
        <v>1879</v>
      </c>
      <c r="AA130" s="42">
        <v>910.0</v>
      </c>
      <c r="AB130" s="73"/>
      <c r="AC130" s="54"/>
      <c r="AD130" s="73"/>
      <c r="AE130" s="54"/>
      <c r="AF130" s="73"/>
      <c r="AG130" s="54"/>
      <c r="AH130" s="73"/>
      <c r="AI130" s="54"/>
      <c r="AJ130" s="73"/>
    </row>
    <row r="131" ht="16.5" customHeight="1">
      <c r="A131" s="54">
        <v>40078.0</v>
      </c>
      <c r="B131" s="35" t="s">
        <v>2141</v>
      </c>
      <c r="C131" s="54" t="s">
        <v>11</v>
      </c>
      <c r="D131" s="54" t="s">
        <v>1501</v>
      </c>
      <c r="E131" s="82" t="s">
        <v>1253</v>
      </c>
      <c r="F131" s="73" t="s">
        <v>1663</v>
      </c>
      <c r="G131" s="35">
        <v>62.0</v>
      </c>
      <c r="H131" s="54"/>
      <c r="I131" s="74">
        <v>110002.0</v>
      </c>
      <c r="J131" s="74">
        <v>400004.0</v>
      </c>
      <c r="K131" s="74">
        <v>410006.0</v>
      </c>
      <c r="L131" s="42">
        <v>1.0</v>
      </c>
      <c r="M131" s="54"/>
      <c r="N131" s="54">
        <v>700.0</v>
      </c>
      <c r="O131" s="54">
        <v>80.0</v>
      </c>
      <c r="P131" s="54">
        <v>12.0</v>
      </c>
      <c r="Q131" s="54">
        <v>30.0</v>
      </c>
      <c r="R131" s="54">
        <v>26.0</v>
      </c>
      <c r="S131" s="54">
        <v>75.0</v>
      </c>
      <c r="T131" s="104">
        <v>17.0</v>
      </c>
      <c r="U131" s="122"/>
      <c r="V131" s="77">
        <v>623.0</v>
      </c>
      <c r="W131" s="121">
        <f t="shared" si="95"/>
        <v>0.19</v>
      </c>
      <c r="X131" s="73"/>
      <c r="Y131" s="54"/>
      <c r="Z131" s="42" t="s">
        <v>1879</v>
      </c>
      <c r="AA131" s="42">
        <v>910.0</v>
      </c>
      <c r="AB131" s="73"/>
      <c r="AC131" s="54"/>
      <c r="AD131" s="73"/>
      <c r="AE131" s="54"/>
      <c r="AF131" s="73"/>
      <c r="AG131" s="54"/>
      <c r="AH131" s="73"/>
      <c r="AI131" s="54"/>
      <c r="AJ131" s="73"/>
    </row>
    <row r="132" ht="16.5" customHeight="1">
      <c r="A132" s="54">
        <v>40079.0</v>
      </c>
      <c r="B132" s="35" t="s">
        <v>2152</v>
      </c>
      <c r="C132" s="54" t="s">
        <v>11</v>
      </c>
      <c r="D132" s="54" t="s">
        <v>1501</v>
      </c>
      <c r="E132" s="82" t="s">
        <v>97</v>
      </c>
      <c r="F132" s="73" t="s">
        <v>1663</v>
      </c>
      <c r="G132" s="35">
        <v>64.0</v>
      </c>
      <c r="H132" s="54"/>
      <c r="I132" s="74">
        <v>110011.0</v>
      </c>
      <c r="J132" s="74">
        <v>400009.0</v>
      </c>
      <c r="K132" s="74">
        <v>410027.0</v>
      </c>
      <c r="L132" s="42">
        <v>2.0</v>
      </c>
      <c r="M132" s="54"/>
      <c r="N132" s="54">
        <v>680.0</v>
      </c>
      <c r="O132" s="54">
        <v>13.0</v>
      </c>
      <c r="P132" s="54">
        <v>79.0</v>
      </c>
      <c r="Q132" s="54">
        <v>24.0</v>
      </c>
      <c r="R132" s="54">
        <v>46.0</v>
      </c>
      <c r="S132" s="54">
        <v>75.0</v>
      </c>
      <c r="T132" s="54">
        <v>10.0</v>
      </c>
      <c r="U132" s="122"/>
      <c r="V132" s="77">
        <v>627.0</v>
      </c>
      <c r="W132" s="121">
        <f t="shared" si="95"/>
        <v>0.19</v>
      </c>
      <c r="X132" s="73"/>
      <c r="Y132" s="54"/>
      <c r="Z132" s="42" t="s">
        <v>1843</v>
      </c>
      <c r="AA132" s="42">
        <v>910.0</v>
      </c>
      <c r="AB132" s="73"/>
      <c r="AC132" s="54"/>
      <c r="AD132" s="73"/>
      <c r="AE132" s="54"/>
      <c r="AF132" s="73"/>
      <c r="AG132" s="54"/>
      <c r="AH132" s="73"/>
      <c r="AI132" s="54"/>
      <c r="AJ132" s="73"/>
    </row>
    <row r="133" ht="16.5" customHeight="1">
      <c r="A133" s="54">
        <v>40080.0</v>
      </c>
      <c r="B133" s="35" t="s">
        <v>2160</v>
      </c>
      <c r="C133" s="54" t="s">
        <v>11</v>
      </c>
      <c r="D133" s="54" t="s">
        <v>1501</v>
      </c>
      <c r="E133" s="82" t="s">
        <v>1253</v>
      </c>
      <c r="F133" s="73" t="s">
        <v>1663</v>
      </c>
      <c r="G133" s="35">
        <v>65.0</v>
      </c>
      <c r="H133" s="54"/>
      <c r="I133" s="74">
        <v>110001.0</v>
      </c>
      <c r="J133" s="74">
        <v>400016.0</v>
      </c>
      <c r="K133" s="74">
        <v>410023.0</v>
      </c>
      <c r="L133" s="42">
        <v>1.0</v>
      </c>
      <c r="M133" s="54"/>
      <c r="N133" s="54">
        <v>880.0</v>
      </c>
      <c r="O133" s="54">
        <v>72.0</v>
      </c>
      <c r="P133" s="54">
        <v>13.0</v>
      </c>
      <c r="Q133" s="54">
        <v>48.0</v>
      </c>
      <c r="R133" s="54">
        <v>32.0</v>
      </c>
      <c r="S133" s="54">
        <v>75.0</v>
      </c>
      <c r="T133" s="104">
        <v>19.0</v>
      </c>
      <c r="U133" s="122">
        <v>5.0</v>
      </c>
      <c r="V133" s="77">
        <v>730.0</v>
      </c>
      <c r="W133" s="121">
        <f t="shared" si="95"/>
        <v>0.14</v>
      </c>
      <c r="X133" s="73"/>
      <c r="Y133" s="54"/>
      <c r="Z133" s="42" t="s">
        <v>1879</v>
      </c>
      <c r="AA133" s="42">
        <v>910.0</v>
      </c>
      <c r="AB133" s="73"/>
      <c r="AC133" s="54"/>
      <c r="AD133" s="73"/>
      <c r="AE133" s="54"/>
      <c r="AF133" s="73"/>
      <c r="AG133" s="54"/>
      <c r="AH133" s="73"/>
      <c r="AI133" s="54"/>
      <c r="AJ133" s="73"/>
    </row>
    <row r="134" ht="16.5" customHeight="1">
      <c r="A134" s="54">
        <v>40081.0</v>
      </c>
      <c r="B134" s="35" t="s">
        <v>2169</v>
      </c>
      <c r="C134" s="54" t="s">
        <v>11</v>
      </c>
      <c r="D134" s="54" t="s">
        <v>1501</v>
      </c>
      <c r="E134" s="82" t="s">
        <v>1253</v>
      </c>
      <c r="F134" s="73" t="s">
        <v>1663</v>
      </c>
      <c r="G134" s="35">
        <v>62.0</v>
      </c>
      <c r="H134" s="54"/>
      <c r="I134" s="74">
        <v>110001.0</v>
      </c>
      <c r="J134" s="74">
        <v>400034.0</v>
      </c>
      <c r="K134" s="74">
        <v>410011.0</v>
      </c>
      <c r="L134" s="42">
        <v>1.0</v>
      </c>
      <c r="M134" s="54"/>
      <c r="N134" s="54">
        <v>1080.0</v>
      </c>
      <c r="O134" s="54">
        <v>78.0</v>
      </c>
      <c r="P134" s="54">
        <v>14.0</v>
      </c>
      <c r="Q134" s="54">
        <v>58.0</v>
      </c>
      <c r="R134" s="54">
        <v>34.0</v>
      </c>
      <c r="S134" s="54">
        <v>75.0</v>
      </c>
      <c r="T134" s="54">
        <v>10.0</v>
      </c>
      <c r="U134" s="122"/>
      <c r="V134" s="77">
        <v>849.0</v>
      </c>
      <c r="W134" s="121">
        <f t="shared" si="95"/>
        <v>0.08</v>
      </c>
      <c r="X134" s="73"/>
      <c r="Y134" s="54"/>
      <c r="Z134" s="42" t="s">
        <v>1879</v>
      </c>
      <c r="AA134" s="42">
        <v>910.0</v>
      </c>
      <c r="AB134" s="73"/>
      <c r="AC134" s="54"/>
      <c r="AD134" s="73"/>
      <c r="AE134" s="54"/>
      <c r="AF134" s="73"/>
      <c r="AG134" s="54"/>
      <c r="AH134" s="73"/>
      <c r="AI134" s="54"/>
      <c r="AJ134" s="73"/>
    </row>
    <row r="135" ht="16.5" customHeight="1">
      <c r="A135" s="54">
        <v>40082.0</v>
      </c>
      <c r="B135" s="35" t="s">
        <v>2179</v>
      </c>
      <c r="C135" s="54" t="s">
        <v>11</v>
      </c>
      <c r="D135" s="54" t="s">
        <v>1501</v>
      </c>
      <c r="E135" s="82" t="s">
        <v>1253</v>
      </c>
      <c r="F135" s="73" t="s">
        <v>1663</v>
      </c>
      <c r="G135" s="35">
        <v>62.0</v>
      </c>
      <c r="H135" s="54"/>
      <c r="I135" s="74">
        <v>110002.0</v>
      </c>
      <c r="J135" s="74">
        <v>400002.0</v>
      </c>
      <c r="K135" s="74">
        <v>410028.0</v>
      </c>
      <c r="L135" s="42">
        <v>2.0</v>
      </c>
      <c r="M135" s="54"/>
      <c r="N135" s="54">
        <v>720.0</v>
      </c>
      <c r="O135" s="54">
        <v>82.0</v>
      </c>
      <c r="P135" s="54">
        <v>13.0</v>
      </c>
      <c r="Q135" s="54">
        <v>33.0</v>
      </c>
      <c r="R135" s="54">
        <v>27.0</v>
      </c>
      <c r="S135" s="54">
        <v>75.0</v>
      </c>
      <c r="T135" s="54">
        <v>10.0</v>
      </c>
      <c r="U135" s="122"/>
      <c r="V135" s="77">
        <v>640.0</v>
      </c>
      <c r="W135" s="121">
        <f t="shared" si="95"/>
        <v>0.18</v>
      </c>
      <c r="X135" s="73"/>
      <c r="Y135" s="54"/>
      <c r="Z135" s="42" t="s">
        <v>1879</v>
      </c>
      <c r="AA135" s="42">
        <v>910.0</v>
      </c>
      <c r="AB135" s="73"/>
      <c r="AC135" s="54"/>
      <c r="AD135" s="73"/>
      <c r="AE135" s="54"/>
      <c r="AF135" s="73"/>
      <c r="AG135" s="54"/>
      <c r="AH135" s="73"/>
      <c r="AI135" s="54"/>
      <c r="AJ135" s="73"/>
    </row>
    <row r="136" ht="16.5" customHeight="1">
      <c r="A136" s="54">
        <v>40083.0</v>
      </c>
      <c r="B136" s="35" t="s">
        <v>2187</v>
      </c>
      <c r="C136" s="54" t="s">
        <v>11</v>
      </c>
      <c r="D136" s="54" t="s">
        <v>1501</v>
      </c>
      <c r="E136" s="82" t="s">
        <v>1253</v>
      </c>
      <c r="F136" s="73" t="s">
        <v>1663</v>
      </c>
      <c r="G136" s="35">
        <v>67.0</v>
      </c>
      <c r="H136" s="54"/>
      <c r="I136" s="74">
        <v>110001.0</v>
      </c>
      <c r="J136" s="74">
        <v>400031.0</v>
      </c>
      <c r="K136" s="74">
        <v>410009.0</v>
      </c>
      <c r="L136" s="42">
        <v>2.0</v>
      </c>
      <c r="M136" s="54"/>
      <c r="N136" s="54">
        <v>1050.0</v>
      </c>
      <c r="O136" s="54">
        <v>70.0</v>
      </c>
      <c r="P136" s="54">
        <v>14.0</v>
      </c>
      <c r="Q136" s="54">
        <v>58.0</v>
      </c>
      <c r="R136" s="54">
        <v>40.0</v>
      </c>
      <c r="S136" s="54">
        <v>75.0</v>
      </c>
      <c r="T136" s="54">
        <v>10.0</v>
      </c>
      <c r="U136" s="122">
        <v>3.0</v>
      </c>
      <c r="V136" s="77">
        <v>832.0</v>
      </c>
      <c r="W136" s="121">
        <f t="shared" si="95"/>
        <v>0.08</v>
      </c>
      <c r="X136" s="73"/>
      <c r="Y136" s="54"/>
      <c r="Z136" s="42" t="s">
        <v>1879</v>
      </c>
      <c r="AA136" s="42">
        <v>910.0</v>
      </c>
      <c r="AB136" s="73"/>
      <c r="AC136" s="54"/>
      <c r="AD136" s="73"/>
      <c r="AE136" s="54"/>
      <c r="AF136" s="73"/>
      <c r="AG136" s="54"/>
      <c r="AH136" s="73"/>
      <c r="AI136" s="54"/>
      <c r="AJ136" s="73"/>
    </row>
    <row r="137" ht="16.5" customHeight="1">
      <c r="A137" s="54">
        <v>40084.0</v>
      </c>
      <c r="B137" s="35" t="s">
        <v>2197</v>
      </c>
      <c r="C137" s="54" t="s">
        <v>11</v>
      </c>
      <c r="D137" s="54" t="s">
        <v>1501</v>
      </c>
      <c r="E137" s="82" t="s">
        <v>1253</v>
      </c>
      <c r="F137" s="73" t="s">
        <v>1663</v>
      </c>
      <c r="G137" s="35">
        <v>62.0</v>
      </c>
      <c r="H137" s="54"/>
      <c r="I137" s="74">
        <v>110002.0</v>
      </c>
      <c r="J137" s="74">
        <v>400002.0</v>
      </c>
      <c r="K137" s="74">
        <v>410004.0</v>
      </c>
      <c r="L137" s="42">
        <v>3.0</v>
      </c>
      <c r="M137" s="54"/>
      <c r="N137" s="54">
        <v>690.0</v>
      </c>
      <c r="O137" s="54">
        <v>80.0</v>
      </c>
      <c r="P137" s="54">
        <v>13.0</v>
      </c>
      <c r="Q137" s="54">
        <v>28.0</v>
      </c>
      <c r="R137" s="54">
        <v>33.0</v>
      </c>
      <c r="S137" s="54">
        <v>75.0</v>
      </c>
      <c r="T137" s="54">
        <v>10.0</v>
      </c>
      <c r="U137" s="122"/>
      <c r="V137" s="77">
        <v>624.0</v>
      </c>
      <c r="W137" s="121">
        <f t="shared" si="95"/>
        <v>0.19</v>
      </c>
      <c r="X137" s="73"/>
      <c r="Y137" s="54"/>
      <c r="Z137" s="42" t="s">
        <v>1879</v>
      </c>
      <c r="AA137" s="42">
        <v>910.0</v>
      </c>
      <c r="AB137" s="73"/>
      <c r="AC137" s="54"/>
      <c r="AD137" s="73"/>
      <c r="AE137" s="54"/>
      <c r="AF137" s="73"/>
      <c r="AG137" s="54"/>
      <c r="AH137" s="73"/>
      <c r="AI137" s="54"/>
      <c r="AJ137" s="73"/>
    </row>
    <row r="138" ht="16.5" customHeight="1">
      <c r="A138" s="54">
        <v>40085.0</v>
      </c>
      <c r="B138" s="35" t="s">
        <v>2205</v>
      </c>
      <c r="C138" s="54" t="s">
        <v>11</v>
      </c>
      <c r="D138" s="54" t="s">
        <v>1501</v>
      </c>
      <c r="E138" s="82" t="s">
        <v>1253</v>
      </c>
      <c r="F138" s="73" t="s">
        <v>1663</v>
      </c>
      <c r="G138" s="35">
        <v>65.0</v>
      </c>
      <c r="H138" s="54"/>
      <c r="I138" s="74">
        <v>110001.0</v>
      </c>
      <c r="J138" s="74">
        <v>400026.0</v>
      </c>
      <c r="K138" s="74">
        <v>410025.0</v>
      </c>
      <c r="L138" s="42">
        <v>1.0</v>
      </c>
      <c r="M138" s="54"/>
      <c r="N138" s="54">
        <v>1000.0</v>
      </c>
      <c r="O138" s="54">
        <v>68.0</v>
      </c>
      <c r="P138" s="54">
        <v>16.0</v>
      </c>
      <c r="Q138" s="54">
        <v>60.0</v>
      </c>
      <c r="R138" s="54">
        <v>42.0</v>
      </c>
      <c r="S138" s="54">
        <v>75.0</v>
      </c>
      <c r="T138" s="104">
        <v>12.0</v>
      </c>
      <c r="U138" s="122"/>
      <c r="V138" s="77">
        <v>811.0</v>
      </c>
      <c r="W138" s="121">
        <f t="shared" si="95"/>
        <v>0.09</v>
      </c>
      <c r="X138" s="73"/>
      <c r="Y138" s="54"/>
      <c r="Z138" s="42" t="s">
        <v>1879</v>
      </c>
      <c r="AA138" s="42">
        <v>910.0</v>
      </c>
      <c r="AB138" s="73"/>
      <c r="AC138" s="54"/>
      <c r="AD138" s="73"/>
      <c r="AE138" s="54"/>
      <c r="AF138" s="73"/>
      <c r="AG138" s="54"/>
      <c r="AH138" s="73"/>
      <c r="AI138" s="54"/>
      <c r="AJ138" s="73"/>
    </row>
    <row r="139" ht="16.5" customHeight="1">
      <c r="A139" s="54">
        <v>40086.0</v>
      </c>
      <c r="B139" s="35" t="s">
        <v>2211</v>
      </c>
      <c r="C139" s="54" t="s">
        <v>11</v>
      </c>
      <c r="D139" s="54" t="s">
        <v>1501</v>
      </c>
      <c r="E139" s="82" t="s">
        <v>97</v>
      </c>
      <c r="F139" s="73" t="s">
        <v>1663</v>
      </c>
      <c r="G139" s="35">
        <v>65.0</v>
      </c>
      <c r="H139" s="54"/>
      <c r="I139" s="74">
        <v>110011.0</v>
      </c>
      <c r="J139" s="74">
        <v>400007.0</v>
      </c>
      <c r="K139" s="74">
        <v>410021.0</v>
      </c>
      <c r="L139" s="42">
        <v>1.0</v>
      </c>
      <c r="M139" s="54"/>
      <c r="N139" s="54">
        <v>780.0</v>
      </c>
      <c r="O139" s="54">
        <v>15.0</v>
      </c>
      <c r="P139" s="54">
        <v>82.0</v>
      </c>
      <c r="Q139" s="54">
        <v>32.0</v>
      </c>
      <c r="R139" s="54">
        <v>52.0</v>
      </c>
      <c r="S139" s="54">
        <v>75.0</v>
      </c>
      <c r="T139" s="54">
        <v>10.0</v>
      </c>
      <c r="U139" s="122"/>
      <c r="V139" s="77">
        <v>696.0</v>
      </c>
      <c r="W139" s="121">
        <f t="shared" si="95"/>
        <v>0.15</v>
      </c>
      <c r="X139" s="73"/>
      <c r="Y139" s="54"/>
      <c r="Z139" s="42" t="s">
        <v>1843</v>
      </c>
      <c r="AA139" s="42">
        <v>910.0</v>
      </c>
      <c r="AB139" s="73"/>
      <c r="AC139" s="54"/>
      <c r="AD139" s="73"/>
      <c r="AE139" s="54"/>
      <c r="AF139" s="73"/>
      <c r="AG139" s="54"/>
      <c r="AH139" s="73"/>
      <c r="AI139" s="54"/>
      <c r="AJ139" s="73"/>
    </row>
    <row r="140" ht="16.5" customHeight="1">
      <c r="A140" s="54">
        <v>40087.0</v>
      </c>
      <c r="B140" s="35" t="s">
        <v>2219</v>
      </c>
      <c r="C140" s="54" t="s">
        <v>11</v>
      </c>
      <c r="D140" s="54" t="s">
        <v>1501</v>
      </c>
      <c r="E140" s="82" t="s">
        <v>1253</v>
      </c>
      <c r="F140" s="73" t="s">
        <v>1663</v>
      </c>
      <c r="G140" s="35">
        <v>62.0</v>
      </c>
      <c r="H140" s="54"/>
      <c r="I140" s="74">
        <v>110002.0</v>
      </c>
      <c r="J140" s="74">
        <v>400036.0</v>
      </c>
      <c r="K140" s="74">
        <v>410031.0</v>
      </c>
      <c r="L140" s="42">
        <v>2.0</v>
      </c>
      <c r="M140" s="54"/>
      <c r="N140" s="54">
        <v>760.0</v>
      </c>
      <c r="O140" s="54">
        <v>85.0</v>
      </c>
      <c r="P140" s="54">
        <v>14.0</v>
      </c>
      <c r="Q140" s="54">
        <v>34.0</v>
      </c>
      <c r="R140" s="54">
        <v>30.0</v>
      </c>
      <c r="S140" s="54">
        <v>75.0</v>
      </c>
      <c r="T140" s="104">
        <v>18.0</v>
      </c>
      <c r="U140" s="122"/>
      <c r="V140" s="77">
        <v>668.0</v>
      </c>
      <c r="W140" s="121">
        <f t="shared" si="95"/>
        <v>0.17</v>
      </c>
      <c r="X140" s="73"/>
      <c r="Y140" s="54"/>
      <c r="Z140" s="42" t="s">
        <v>1879</v>
      </c>
      <c r="AA140" s="42">
        <v>910.0</v>
      </c>
      <c r="AB140" s="73"/>
      <c r="AC140" s="54"/>
      <c r="AD140" s="73"/>
      <c r="AE140" s="54"/>
      <c r="AF140" s="73"/>
      <c r="AG140" s="54"/>
      <c r="AH140" s="73"/>
      <c r="AI140" s="54"/>
      <c r="AJ140" s="73"/>
    </row>
    <row r="141" ht="16.5" customHeight="1">
      <c r="A141" s="49"/>
      <c r="B141" s="38"/>
      <c r="C141" s="49"/>
      <c r="D141" s="49"/>
      <c r="E141" s="88"/>
      <c r="F141" s="102"/>
      <c r="G141" s="38"/>
      <c r="H141" s="49"/>
      <c r="I141" s="125"/>
      <c r="J141" s="125"/>
      <c r="K141" s="125"/>
      <c r="L141" s="47"/>
      <c r="M141" s="49"/>
      <c r="N141" s="49"/>
      <c r="O141" s="49"/>
      <c r="P141" s="49"/>
      <c r="Q141" s="49"/>
      <c r="R141" s="49"/>
      <c r="S141" s="49"/>
      <c r="T141" s="49"/>
      <c r="U141" s="126"/>
      <c r="V141" s="127"/>
      <c r="W141" s="47"/>
      <c r="X141" s="102"/>
      <c r="Y141" s="49"/>
      <c r="Z141" s="47"/>
      <c r="AA141" s="47"/>
      <c r="AB141" s="102"/>
      <c r="AC141" s="49"/>
      <c r="AD141" s="102"/>
      <c r="AE141" s="49"/>
      <c r="AF141" s="102"/>
      <c r="AG141" s="49"/>
      <c r="AH141" s="102"/>
      <c r="AI141" s="49"/>
      <c r="AJ141" s="102"/>
      <c r="AK141" s="102"/>
    </row>
    <row r="142" ht="16.5" customHeight="1">
      <c r="A142" s="49"/>
      <c r="B142" s="38"/>
      <c r="C142" s="49"/>
      <c r="D142" s="49"/>
      <c r="E142" s="88"/>
      <c r="F142" s="102"/>
      <c r="G142" s="38"/>
      <c r="H142" s="49"/>
      <c r="I142" s="125"/>
      <c r="J142" s="125"/>
      <c r="K142" s="125"/>
      <c r="L142" s="47"/>
      <c r="M142" s="49"/>
      <c r="N142" s="49"/>
      <c r="O142" s="49"/>
      <c r="P142" s="49"/>
      <c r="Q142" s="49"/>
      <c r="R142" s="49"/>
      <c r="S142" s="49"/>
      <c r="T142" s="49"/>
      <c r="U142" s="126"/>
      <c r="V142" s="127"/>
      <c r="W142" s="47"/>
      <c r="X142" s="102"/>
      <c r="Y142" s="49"/>
      <c r="Z142" s="47"/>
      <c r="AA142" s="47"/>
      <c r="AB142" s="102"/>
      <c r="AC142" s="49"/>
      <c r="AD142" s="102"/>
      <c r="AE142" s="49"/>
      <c r="AF142" s="102"/>
      <c r="AG142" s="49"/>
      <c r="AH142" s="102"/>
      <c r="AI142" s="49"/>
      <c r="AJ142" s="102"/>
      <c r="AK142" s="102"/>
    </row>
    <row r="143" ht="16.5" customHeight="1">
      <c r="A143" s="49"/>
      <c r="B143" s="38"/>
      <c r="C143" s="49"/>
      <c r="D143" s="49"/>
      <c r="E143" s="88"/>
      <c r="F143" s="102"/>
      <c r="G143" s="38"/>
      <c r="H143" s="49"/>
      <c r="I143" s="125"/>
      <c r="J143" s="125"/>
      <c r="K143" s="125"/>
      <c r="L143" s="47"/>
      <c r="M143" s="49"/>
      <c r="N143" s="49"/>
      <c r="O143" s="49"/>
      <c r="P143" s="49"/>
      <c r="Q143" s="49"/>
      <c r="R143" s="49"/>
      <c r="S143" s="49"/>
      <c r="T143" s="49"/>
      <c r="U143" s="126"/>
      <c r="V143" s="127"/>
      <c r="W143" s="47"/>
      <c r="X143" s="102"/>
      <c r="Y143" s="49"/>
      <c r="Z143" s="47"/>
      <c r="AA143" s="47"/>
      <c r="AB143" s="102"/>
      <c r="AC143" s="49"/>
      <c r="AD143" s="102"/>
      <c r="AE143" s="49"/>
      <c r="AF143" s="102"/>
      <c r="AG143" s="49"/>
      <c r="AH143" s="102"/>
      <c r="AI143" s="49"/>
      <c r="AJ143" s="102"/>
      <c r="AK143" s="102"/>
    </row>
    <row r="144" ht="14.25" customHeight="1">
      <c r="A144" s="50" t="s">
        <v>712</v>
      </c>
      <c r="B144" s="50" t="s">
        <v>714</v>
      </c>
      <c r="C144" s="40" t="s">
        <v>716</v>
      </c>
      <c r="D144" s="40" t="s">
        <v>507</v>
      </c>
      <c r="E144" s="50" t="s">
        <v>720</v>
      </c>
      <c r="F144" s="52" t="s">
        <v>721</v>
      </c>
      <c r="G144" s="40" t="s">
        <v>637</v>
      </c>
      <c r="H144" s="40" t="s">
        <v>724</v>
      </c>
      <c r="I144" s="69" t="s">
        <v>726</v>
      </c>
      <c r="J144" s="69" t="s">
        <v>727</v>
      </c>
      <c r="K144" s="69" t="s">
        <v>729</v>
      </c>
      <c r="L144" s="40" t="s">
        <v>638</v>
      </c>
      <c r="M144" s="40" t="s">
        <v>731</v>
      </c>
      <c r="N144" s="40" t="s">
        <v>732</v>
      </c>
      <c r="O144" s="40" t="s">
        <v>733</v>
      </c>
      <c r="P144" s="40" t="s">
        <v>735</v>
      </c>
      <c r="Q144" s="40" t="s">
        <v>739</v>
      </c>
      <c r="R144" s="40" t="s">
        <v>741</v>
      </c>
      <c r="S144" s="40" t="s">
        <v>743</v>
      </c>
      <c r="T144" s="40" t="s">
        <v>112</v>
      </c>
      <c r="U144" s="70" t="s">
        <v>746</v>
      </c>
      <c r="V144" s="42" t="s">
        <v>747</v>
      </c>
      <c r="W144" s="40" t="s">
        <v>748</v>
      </c>
      <c r="X144" s="40" t="s">
        <v>749</v>
      </c>
      <c r="Y144" s="71" t="s">
        <v>752</v>
      </c>
      <c r="Z144" s="42" t="s">
        <v>758</v>
      </c>
      <c r="AA144" s="42" t="s">
        <v>760</v>
      </c>
      <c r="AB144" s="42" t="s">
        <v>762</v>
      </c>
      <c r="AC144" s="42" t="s">
        <v>763</v>
      </c>
      <c r="AD144" s="42" t="s">
        <v>764</v>
      </c>
      <c r="AE144" s="42" t="s">
        <v>765</v>
      </c>
      <c r="AF144" s="42" t="s">
        <v>766</v>
      </c>
      <c r="AG144" s="42" t="s">
        <v>767</v>
      </c>
      <c r="AH144" s="42" t="s">
        <v>768</v>
      </c>
      <c r="AI144" s="42" t="s">
        <v>770</v>
      </c>
      <c r="AJ144" s="42" t="s">
        <v>771</v>
      </c>
      <c r="AK144" s="42" t="s">
        <v>772</v>
      </c>
    </row>
    <row r="145" ht="15.0" customHeight="1">
      <c r="A145" s="54">
        <v>50000.0</v>
      </c>
      <c r="B145" s="128" t="s">
        <v>2249</v>
      </c>
      <c r="C145" s="54" t="s">
        <v>8</v>
      </c>
      <c r="D145" s="54" t="s">
        <v>1501</v>
      </c>
      <c r="E145" s="82" t="s">
        <v>97</v>
      </c>
      <c r="F145" s="54"/>
      <c r="G145" s="54">
        <v>66.0</v>
      </c>
      <c r="H145" s="39" t="s">
        <v>2252</v>
      </c>
      <c r="I145" s="74">
        <v>110011.0</v>
      </c>
      <c r="J145" s="129" t="s">
        <v>2254</v>
      </c>
      <c r="K145" s="78">
        <v>410030.0</v>
      </c>
      <c r="L145" s="42">
        <v>1.0</v>
      </c>
      <c r="M145" s="54"/>
      <c r="N145" s="54">
        <v>660.0</v>
      </c>
      <c r="O145" s="54">
        <v>14.0</v>
      </c>
      <c r="P145" s="54">
        <v>97.0</v>
      </c>
      <c r="Q145" s="54">
        <v>32.0</v>
      </c>
      <c r="R145" s="54">
        <v>55.0</v>
      </c>
      <c r="S145" s="54">
        <v>900.0</v>
      </c>
      <c r="T145" s="54">
        <v>19.0</v>
      </c>
      <c r="U145" s="76"/>
      <c r="V145" s="77">
        <v>3450.0</v>
      </c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</row>
    <row r="146" ht="14.25" customHeight="1">
      <c r="A146" s="54">
        <v>50001.0</v>
      </c>
      <c r="B146" s="4" t="s">
        <v>2261</v>
      </c>
      <c r="C146" s="54" t="s">
        <v>11</v>
      </c>
      <c r="D146" s="54" t="s">
        <v>1501</v>
      </c>
      <c r="E146" s="54" t="str">
        <f t="shared" ref="E146:E147" si="97">IF(O146&gt;P146,"物攻","魔攻")</f>
        <v>物攻</v>
      </c>
      <c r="F146" s="54"/>
      <c r="G146" s="54">
        <v>62.0</v>
      </c>
      <c r="H146" s="35" t="str">
        <f t="shared" ref="H146:H147" si="98">"2001,2002,2003,2004,2005,2006,2007,2008,2009,2010,2011,2012,5001,5002,5003,5004,5005,5006"</f>
        <v>2001,2002,2003,2004,2005,2006,2007,2008,2009,2010,2011,2012,5001,5002,5003,5004,5005,5006</v>
      </c>
      <c r="I146" s="74">
        <v>110001.0</v>
      </c>
      <c r="J146" s="129" t="s">
        <v>2269</v>
      </c>
      <c r="K146" s="78">
        <v>410013.0</v>
      </c>
      <c r="L146" s="42">
        <v>3.0</v>
      </c>
      <c r="M146" s="54"/>
      <c r="N146" s="54">
        <v>1050.0</v>
      </c>
      <c r="O146" s="54">
        <v>77.0</v>
      </c>
      <c r="P146" s="54">
        <v>11.0</v>
      </c>
      <c r="Q146" s="54">
        <v>55.0</v>
      </c>
      <c r="R146" s="54">
        <v>37.0</v>
      </c>
      <c r="S146" s="54">
        <v>300.0</v>
      </c>
      <c r="T146" s="54">
        <v>15.0</v>
      </c>
      <c r="U146" s="76"/>
      <c r="V146" s="77">
        <f t="shared" ref="V146:V147" si="99">N146*0.5+O146+P146+Q146+R146+S146+T146*5</f>
        <v>1080</v>
      </c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</row>
    <row r="147" ht="14.25" customHeight="1">
      <c r="A147" s="54">
        <v>50002.0</v>
      </c>
      <c r="B147" s="4" t="s">
        <v>2280</v>
      </c>
      <c r="C147" s="54" t="s">
        <v>11</v>
      </c>
      <c r="D147" s="54" t="s">
        <v>1501</v>
      </c>
      <c r="E147" s="54" t="str">
        <f t="shared" si="97"/>
        <v>魔攻</v>
      </c>
      <c r="F147" s="54"/>
      <c r="G147" s="54">
        <v>63.0</v>
      </c>
      <c r="H147" s="35" t="str">
        <f t="shared" si="98"/>
        <v>2001,2002,2003,2004,2005,2006,2007,2008,2009,2010,2011,2012,5001,5002,5003,5004,5005,5006</v>
      </c>
      <c r="I147" s="74">
        <v>110001.0</v>
      </c>
      <c r="J147" s="78">
        <v>400017.0</v>
      </c>
      <c r="K147" s="78">
        <v>410014.0</v>
      </c>
      <c r="L147" s="42">
        <v>1.0</v>
      </c>
      <c r="M147" s="54"/>
      <c r="N147" s="54">
        <v>2200.0</v>
      </c>
      <c r="O147" s="54">
        <v>10.0</v>
      </c>
      <c r="P147" s="54">
        <v>85.0</v>
      </c>
      <c r="Q147" s="54">
        <v>85.0</v>
      </c>
      <c r="R147" s="54">
        <v>55.0</v>
      </c>
      <c r="S147" s="54">
        <v>400.0</v>
      </c>
      <c r="T147" s="54">
        <v>10.0</v>
      </c>
      <c r="U147" s="76"/>
      <c r="V147" s="77">
        <f t="shared" si="99"/>
        <v>1785</v>
      </c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</row>
    <row r="148" ht="14.25" customHeight="1">
      <c r="A148" s="54">
        <v>50003.0</v>
      </c>
      <c r="B148" s="4" t="s">
        <v>2289</v>
      </c>
      <c r="C148" s="54" t="s">
        <v>11</v>
      </c>
      <c r="D148" s="54" t="s">
        <v>1501</v>
      </c>
      <c r="E148" s="82" t="s">
        <v>1253</v>
      </c>
      <c r="F148" s="54"/>
      <c r="G148" s="54">
        <v>64.0</v>
      </c>
      <c r="H148" s="39" t="s">
        <v>2252</v>
      </c>
      <c r="I148" s="74">
        <v>110001.0</v>
      </c>
      <c r="J148" s="78">
        <v>400031.0</v>
      </c>
      <c r="K148" s="78">
        <v>410009.0</v>
      </c>
      <c r="L148" s="42">
        <v>2.0</v>
      </c>
      <c r="M148" s="54"/>
      <c r="N148" s="54">
        <v>1950.0</v>
      </c>
      <c r="O148" s="54">
        <v>105.0</v>
      </c>
      <c r="P148" s="54">
        <v>11.0</v>
      </c>
      <c r="Q148" s="54">
        <v>65.0</v>
      </c>
      <c r="R148" s="54">
        <v>75.0</v>
      </c>
      <c r="S148" s="54">
        <v>500.0</v>
      </c>
      <c r="T148" s="54">
        <v>19.0</v>
      </c>
      <c r="U148" s="76"/>
      <c r="V148" s="77">
        <v>1826.0</v>
      </c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</row>
    <row r="149" ht="14.25" customHeight="1">
      <c r="A149" s="54">
        <v>50004.0</v>
      </c>
      <c r="B149" s="4" t="s">
        <v>2295</v>
      </c>
      <c r="C149" s="54" t="s">
        <v>11</v>
      </c>
      <c r="D149" s="54" t="s">
        <v>1501</v>
      </c>
      <c r="E149" s="82" t="s">
        <v>1253</v>
      </c>
      <c r="F149" s="54"/>
      <c r="G149" s="54">
        <v>68.0</v>
      </c>
      <c r="H149" s="39" t="s">
        <v>2252</v>
      </c>
      <c r="I149" s="74">
        <v>110001.0</v>
      </c>
      <c r="J149" s="78">
        <v>400026.0</v>
      </c>
      <c r="K149" s="78">
        <v>410002.0</v>
      </c>
      <c r="L149" s="42">
        <v>3.0</v>
      </c>
      <c r="M149" s="54"/>
      <c r="N149" s="54">
        <v>1500.0</v>
      </c>
      <c r="O149" s="54">
        <v>140.0</v>
      </c>
      <c r="P149" s="54">
        <v>15.0</v>
      </c>
      <c r="Q149" s="54">
        <v>45.0</v>
      </c>
      <c r="R149" s="54">
        <v>50.0</v>
      </c>
      <c r="S149" s="54">
        <v>420.0</v>
      </c>
      <c r="T149" s="54">
        <v>34.0</v>
      </c>
      <c r="U149" s="76"/>
      <c r="V149" s="77">
        <v>1590.0</v>
      </c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</row>
    <row r="150" ht="14.25" customHeight="1">
      <c r="A150" s="54">
        <v>50005.0</v>
      </c>
      <c r="B150" s="4" t="s">
        <v>2301</v>
      </c>
      <c r="C150" s="54" t="s">
        <v>11</v>
      </c>
      <c r="D150" s="54" t="s">
        <v>1501</v>
      </c>
      <c r="E150" s="82" t="s">
        <v>1253</v>
      </c>
      <c r="F150" s="54"/>
      <c r="G150" s="54">
        <v>66.0</v>
      </c>
      <c r="H150" s="39" t="s">
        <v>2252</v>
      </c>
      <c r="I150" s="74">
        <v>110001.0</v>
      </c>
      <c r="J150" s="78">
        <v>400027.0</v>
      </c>
      <c r="K150" s="78">
        <v>410006.0</v>
      </c>
      <c r="L150" s="42">
        <v>3.0</v>
      </c>
      <c r="M150" s="54"/>
      <c r="N150" s="54">
        <v>1850.0</v>
      </c>
      <c r="O150" s="54">
        <v>115.0</v>
      </c>
      <c r="P150" s="54">
        <v>18.0</v>
      </c>
      <c r="Q150" s="54">
        <v>70.0</v>
      </c>
      <c r="R150" s="54">
        <v>60.0</v>
      </c>
      <c r="S150" s="54">
        <v>460.0</v>
      </c>
      <c r="T150" s="54">
        <v>20.0</v>
      </c>
      <c r="U150" s="76"/>
      <c r="V150" s="77">
        <v>1748.0</v>
      </c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</row>
    <row r="151" ht="14.25" customHeight="1">
      <c r="A151" s="54">
        <v>50006.0</v>
      </c>
      <c r="B151" s="4" t="s">
        <v>2305</v>
      </c>
      <c r="C151" s="54" t="s">
        <v>11</v>
      </c>
      <c r="D151" s="54" t="s">
        <v>1501</v>
      </c>
      <c r="E151" s="82" t="s">
        <v>97</v>
      </c>
      <c r="F151" s="54"/>
      <c r="G151" s="54">
        <v>64.0</v>
      </c>
      <c r="H151" s="39" t="s">
        <v>2252</v>
      </c>
      <c r="I151" s="74">
        <v>110011.0</v>
      </c>
      <c r="J151" s="78">
        <v>400007.0</v>
      </c>
      <c r="K151" s="78">
        <v>410010.0</v>
      </c>
      <c r="L151" s="42">
        <v>1.0</v>
      </c>
      <c r="M151" s="54"/>
      <c r="N151" s="54">
        <v>2600.0</v>
      </c>
      <c r="O151" s="54">
        <v>20.0</v>
      </c>
      <c r="P151" s="54">
        <v>95.0</v>
      </c>
      <c r="Q151" s="54">
        <v>100.0</v>
      </c>
      <c r="R151" s="54">
        <v>95.0</v>
      </c>
      <c r="S151" s="54">
        <v>480.0</v>
      </c>
      <c r="T151" s="54">
        <v>12.0</v>
      </c>
      <c r="U151" s="76"/>
      <c r="V151" s="77">
        <v>2150.0</v>
      </c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</row>
    <row r="152" ht="14.25" customHeight="1">
      <c r="A152" s="54">
        <v>50007.0</v>
      </c>
      <c r="B152" s="4" t="s">
        <v>2310</v>
      </c>
      <c r="C152" s="54" t="s">
        <v>11</v>
      </c>
      <c r="D152" s="54" t="s">
        <v>1501</v>
      </c>
      <c r="E152" s="82" t="s">
        <v>97</v>
      </c>
      <c r="F152" s="54"/>
      <c r="G152" s="54">
        <v>68.0</v>
      </c>
      <c r="H152" s="39" t="s">
        <v>2252</v>
      </c>
      <c r="I152" s="74">
        <v>110011.0</v>
      </c>
      <c r="J152" s="78">
        <v>400028.0</v>
      </c>
      <c r="K152" s="78">
        <v>410021.0</v>
      </c>
      <c r="L152" s="42">
        <v>3.0</v>
      </c>
      <c r="M152" s="54"/>
      <c r="N152" s="54">
        <v>1600.0</v>
      </c>
      <c r="O152" s="54">
        <v>15.0</v>
      </c>
      <c r="P152" s="54">
        <v>145.0</v>
      </c>
      <c r="Q152" s="54">
        <v>55.0</v>
      </c>
      <c r="R152" s="54">
        <v>90.0</v>
      </c>
      <c r="S152" s="54">
        <v>600.0</v>
      </c>
      <c r="T152" s="54">
        <v>18.0</v>
      </c>
      <c r="U152" s="76"/>
      <c r="V152" s="77">
        <v>1795.0</v>
      </c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</row>
    <row r="153" ht="14.25" customHeight="1">
      <c r="A153" s="54">
        <v>50008.0</v>
      </c>
      <c r="B153" s="4" t="s">
        <v>2316</v>
      </c>
      <c r="C153" s="54" t="s">
        <v>11</v>
      </c>
      <c r="D153" s="54" t="s">
        <v>1501</v>
      </c>
      <c r="E153" s="82" t="s">
        <v>97</v>
      </c>
      <c r="F153" s="54"/>
      <c r="G153" s="54">
        <v>68.0</v>
      </c>
      <c r="H153" s="39" t="s">
        <v>2252</v>
      </c>
      <c r="I153" s="74">
        <v>110012.0</v>
      </c>
      <c r="J153" s="78">
        <v>400030.0</v>
      </c>
      <c r="K153" s="78">
        <v>410024.0</v>
      </c>
      <c r="L153" s="42">
        <v>2.0</v>
      </c>
      <c r="M153" s="54"/>
      <c r="N153" s="54">
        <v>1900.0</v>
      </c>
      <c r="O153" s="54">
        <v>18.0</v>
      </c>
      <c r="P153" s="54">
        <v>130.0</v>
      </c>
      <c r="Q153" s="54">
        <v>65.0</v>
      </c>
      <c r="R153" s="54">
        <v>85.0</v>
      </c>
      <c r="S153" s="54">
        <v>620.0</v>
      </c>
      <c r="T153" s="54">
        <v>16.0</v>
      </c>
      <c r="U153" s="76"/>
      <c r="V153" s="77">
        <v>1948.0</v>
      </c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</row>
    <row r="154" ht="14.25" customHeight="1">
      <c r="A154" s="54">
        <v>50009.0</v>
      </c>
      <c r="B154" s="4" t="s">
        <v>2324</v>
      </c>
      <c r="C154" s="54" t="s">
        <v>11</v>
      </c>
      <c r="D154" s="54" t="s">
        <v>1501</v>
      </c>
      <c r="E154" s="82" t="s">
        <v>1253</v>
      </c>
      <c r="F154" s="54"/>
      <c r="G154" s="54">
        <v>69.0</v>
      </c>
      <c r="H154" s="39" t="s">
        <v>2252</v>
      </c>
      <c r="I154" s="74">
        <v>110001.0</v>
      </c>
      <c r="J154" s="78">
        <v>400029.0</v>
      </c>
      <c r="K154" s="78">
        <v>410026.0</v>
      </c>
      <c r="L154" s="42">
        <v>2.0</v>
      </c>
      <c r="M154" s="54"/>
      <c r="N154" s="54">
        <v>2100.0</v>
      </c>
      <c r="O154" s="54">
        <v>110.0</v>
      </c>
      <c r="P154" s="54">
        <v>20.0</v>
      </c>
      <c r="Q154" s="54">
        <v>95.0</v>
      </c>
      <c r="R154" s="54">
        <v>80.0</v>
      </c>
      <c r="S154" s="54">
        <v>420.0</v>
      </c>
      <c r="T154" s="54">
        <v>17.0</v>
      </c>
      <c r="U154" s="76"/>
      <c r="V154" s="77">
        <v>1860.0</v>
      </c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</row>
    <row r="155" ht="14.25" customHeight="1">
      <c r="A155" s="54">
        <v>50010.0</v>
      </c>
      <c r="B155" s="4" t="s">
        <v>2333</v>
      </c>
      <c r="C155" s="54" t="s">
        <v>11</v>
      </c>
      <c r="D155" s="54" t="s">
        <v>1501</v>
      </c>
      <c r="E155" s="82" t="s">
        <v>97</v>
      </c>
      <c r="F155" s="54"/>
      <c r="G155" s="54">
        <v>69.0</v>
      </c>
      <c r="H155" s="39" t="s">
        <v>2252</v>
      </c>
      <c r="I155" s="74">
        <v>110011.0</v>
      </c>
      <c r="J155" s="78">
        <v>400040.0</v>
      </c>
      <c r="K155" s="78">
        <v>410029.0</v>
      </c>
      <c r="L155" s="42">
        <v>3.0</v>
      </c>
      <c r="M155" s="54"/>
      <c r="N155" s="54">
        <v>1800.0</v>
      </c>
      <c r="O155" s="54">
        <v>20.0</v>
      </c>
      <c r="P155" s="54">
        <v>125.0</v>
      </c>
      <c r="Q155" s="54">
        <v>60.0</v>
      </c>
      <c r="R155" s="54">
        <v>88.0</v>
      </c>
      <c r="S155" s="54">
        <v>560.0</v>
      </c>
      <c r="T155" s="54">
        <v>18.0</v>
      </c>
      <c r="U155" s="76"/>
      <c r="V155" s="77">
        <v>1843.0</v>
      </c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</row>
    <row r="156" ht="14.25" customHeight="1">
      <c r="A156" s="54">
        <v>50011.0</v>
      </c>
      <c r="B156" s="4" t="s">
        <v>2340</v>
      </c>
      <c r="C156" s="54" t="s">
        <v>8</v>
      </c>
      <c r="D156" s="54" t="s">
        <v>1501</v>
      </c>
      <c r="E156" s="82" t="s">
        <v>1253</v>
      </c>
      <c r="F156" s="54"/>
      <c r="G156" s="54">
        <v>69.0</v>
      </c>
      <c r="H156" s="39" t="s">
        <v>2252</v>
      </c>
      <c r="I156" s="74">
        <v>110001.0</v>
      </c>
      <c r="J156" s="78">
        <v>400029.0</v>
      </c>
      <c r="K156" s="78">
        <v>410031.0</v>
      </c>
      <c r="L156" s="42">
        <v>2.0</v>
      </c>
      <c r="M156" s="54"/>
      <c r="N156" s="54">
        <v>2800.0</v>
      </c>
      <c r="O156" s="54">
        <v>150.0</v>
      </c>
      <c r="P156" s="54">
        <v>25.0</v>
      </c>
      <c r="Q156" s="54">
        <v>120.0</v>
      </c>
      <c r="R156" s="54">
        <v>100.0</v>
      </c>
      <c r="S156" s="54">
        <v>550.0</v>
      </c>
      <c r="T156" s="54">
        <v>22.0</v>
      </c>
      <c r="U156" s="76"/>
      <c r="V156" s="77">
        <v>2455.0</v>
      </c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</row>
    <row r="157" ht="14.25" customHeight="1">
      <c r="A157" s="54">
        <v>50012.0</v>
      </c>
      <c r="B157" s="4" t="s">
        <v>2348</v>
      </c>
      <c r="C157" s="54" t="s">
        <v>8</v>
      </c>
      <c r="D157" s="54" t="s">
        <v>1501</v>
      </c>
      <c r="E157" s="82" t="s">
        <v>1253</v>
      </c>
      <c r="F157" s="54"/>
      <c r="G157" s="54">
        <v>68.0</v>
      </c>
      <c r="H157" s="39" t="s">
        <v>2252</v>
      </c>
      <c r="I157" s="74">
        <v>110001.0</v>
      </c>
      <c r="J157" s="78">
        <v>400034.0</v>
      </c>
      <c r="K157" s="78">
        <v>410008.0</v>
      </c>
      <c r="L157" s="42">
        <v>3.0</v>
      </c>
      <c r="M157" s="54"/>
      <c r="N157" s="54">
        <v>2400.0</v>
      </c>
      <c r="O157" s="54">
        <v>175.0</v>
      </c>
      <c r="P157" s="54">
        <v>20.0</v>
      </c>
      <c r="Q157" s="54">
        <v>85.0</v>
      </c>
      <c r="R157" s="54">
        <v>75.0</v>
      </c>
      <c r="S157" s="54">
        <v>500.0</v>
      </c>
      <c r="T157" s="54">
        <v>30.0</v>
      </c>
      <c r="U157" s="76"/>
      <c r="V157" s="77">
        <v>2205.0</v>
      </c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</row>
    <row r="158" ht="14.25" customHeight="1">
      <c r="A158" s="54">
        <v>50013.0</v>
      </c>
      <c r="B158" s="4" t="s">
        <v>2359</v>
      </c>
      <c r="C158" s="54" t="s">
        <v>8</v>
      </c>
      <c r="D158" s="54" t="s">
        <v>1501</v>
      </c>
      <c r="E158" s="82" t="s">
        <v>97</v>
      </c>
      <c r="F158" s="54"/>
      <c r="G158" s="54">
        <v>66.0</v>
      </c>
      <c r="H158" s="39" t="s">
        <v>2252</v>
      </c>
      <c r="I158" s="74">
        <v>110011.0</v>
      </c>
      <c r="J158" s="78">
        <v>400037.0</v>
      </c>
      <c r="K158" s="78">
        <v>410014.0</v>
      </c>
      <c r="L158" s="42">
        <v>2.0</v>
      </c>
      <c r="M158" s="54"/>
      <c r="N158" s="54">
        <v>2600.0</v>
      </c>
      <c r="O158" s="54">
        <v>35.0</v>
      </c>
      <c r="P158" s="54">
        <v>180.0</v>
      </c>
      <c r="Q158" s="54">
        <v>90.0</v>
      </c>
      <c r="R158" s="54">
        <v>110.0</v>
      </c>
      <c r="S158" s="54">
        <v>650.0</v>
      </c>
      <c r="T158" s="54">
        <v>24.0</v>
      </c>
      <c r="U158" s="76"/>
      <c r="V158" s="77">
        <v>2485.0</v>
      </c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</row>
    <row r="159" ht="14.25" customHeight="1">
      <c r="A159" s="54">
        <v>50014.0</v>
      </c>
      <c r="B159" s="4" t="s">
        <v>2370</v>
      </c>
      <c r="C159" s="54" t="s">
        <v>8</v>
      </c>
      <c r="D159" s="54" t="s">
        <v>1501</v>
      </c>
      <c r="E159" s="82" t="s">
        <v>97</v>
      </c>
      <c r="F159" s="54"/>
      <c r="G159" s="54">
        <v>69.0</v>
      </c>
      <c r="H159" s="39" t="s">
        <v>2252</v>
      </c>
      <c r="I159" s="74">
        <v>110012.0</v>
      </c>
      <c r="J159" s="78">
        <v>400013.0</v>
      </c>
      <c r="K159" s="78">
        <v>410023.0</v>
      </c>
      <c r="L159" s="42">
        <v>3.0</v>
      </c>
      <c r="M159" s="54"/>
      <c r="N159" s="54">
        <v>2500.0</v>
      </c>
      <c r="O159" s="54">
        <v>90.0</v>
      </c>
      <c r="P159" s="54">
        <v>150.0</v>
      </c>
      <c r="Q159" s="54">
        <v>105.0</v>
      </c>
      <c r="R159" s="54">
        <v>120.0</v>
      </c>
      <c r="S159" s="54">
        <v>600.0</v>
      </c>
      <c r="T159" s="54">
        <v>20.0</v>
      </c>
      <c r="U159" s="76"/>
      <c r="V159" s="77">
        <v>2415.0</v>
      </c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</row>
    <row r="160" ht="14.25" customHeight="1">
      <c r="A160" s="54">
        <v>50015.0</v>
      </c>
      <c r="B160" s="4" t="s">
        <v>2384</v>
      </c>
      <c r="C160" s="54" t="s">
        <v>8</v>
      </c>
      <c r="D160" s="54" t="s">
        <v>1501</v>
      </c>
      <c r="E160" s="95" t="s">
        <v>97</v>
      </c>
      <c r="G160" s="86">
        <v>65.0</v>
      </c>
      <c r="H160" s="39" t="s">
        <v>2252</v>
      </c>
      <c r="I160" s="74">
        <v>110011.0</v>
      </c>
      <c r="J160" s="78">
        <v>400028.0</v>
      </c>
      <c r="K160" s="78">
        <v>410030.0</v>
      </c>
      <c r="L160" s="42">
        <v>1.0</v>
      </c>
      <c r="M160" s="54"/>
      <c r="N160" s="54">
        <v>3200.0</v>
      </c>
      <c r="O160" s="54">
        <v>60.0</v>
      </c>
      <c r="P160" s="54">
        <v>210.0</v>
      </c>
      <c r="Q160" s="54">
        <v>110.0</v>
      </c>
      <c r="R160" s="54">
        <v>130.0</v>
      </c>
      <c r="S160" s="54">
        <v>750.0</v>
      </c>
      <c r="T160" s="54">
        <v>28.0</v>
      </c>
      <c r="U160" s="76"/>
      <c r="V160" s="77">
        <v>3000.0</v>
      </c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</row>
    <row r="161" ht="14.25" customHeight="1">
      <c r="A161" s="54">
        <v>50016.0</v>
      </c>
      <c r="B161" s="4" t="s">
        <v>2399</v>
      </c>
      <c r="C161" s="54" t="s">
        <v>8</v>
      </c>
      <c r="D161" s="54" t="s">
        <v>1501</v>
      </c>
      <c r="E161" s="82" t="s">
        <v>97</v>
      </c>
      <c r="F161" s="54"/>
      <c r="G161" s="54">
        <v>66.0</v>
      </c>
      <c r="H161" s="39" t="s">
        <v>2252</v>
      </c>
      <c r="I161" s="74">
        <v>110011.0</v>
      </c>
      <c r="J161" s="78">
        <v>400017.0</v>
      </c>
      <c r="K161" s="78">
        <v>410030.0</v>
      </c>
      <c r="L161" s="42">
        <v>1.0</v>
      </c>
      <c r="M161" s="54"/>
      <c r="N161" s="54">
        <v>3600.0</v>
      </c>
      <c r="O161" s="54">
        <v>70.0</v>
      </c>
      <c r="P161" s="54">
        <v>240.0</v>
      </c>
      <c r="Q161" s="54">
        <v>130.0</v>
      </c>
      <c r="R161" s="54">
        <v>150.0</v>
      </c>
      <c r="S161" s="54">
        <v>900.0</v>
      </c>
      <c r="T161" s="54">
        <v>32.0</v>
      </c>
      <c r="U161" s="76"/>
      <c r="V161" s="77">
        <v>3450.0</v>
      </c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</row>
    <row r="162" ht="12.75" customHeight="1">
      <c r="I162" s="67"/>
      <c r="J162" s="67"/>
      <c r="K162" s="67"/>
      <c r="U162" s="68"/>
    </row>
    <row r="163" ht="14.25" customHeight="1">
      <c r="A163" s="50" t="s">
        <v>712</v>
      </c>
      <c r="B163" s="50" t="s">
        <v>714</v>
      </c>
      <c r="C163" s="40" t="s">
        <v>716</v>
      </c>
      <c r="D163" s="40" t="s">
        <v>507</v>
      </c>
      <c r="E163" s="50" t="s">
        <v>720</v>
      </c>
      <c r="F163" s="52" t="s">
        <v>721</v>
      </c>
      <c r="G163" s="40" t="s">
        <v>637</v>
      </c>
      <c r="H163" s="40" t="s">
        <v>724</v>
      </c>
      <c r="I163" s="69" t="s">
        <v>726</v>
      </c>
      <c r="J163" s="69" t="s">
        <v>727</v>
      </c>
      <c r="K163" s="69" t="s">
        <v>729</v>
      </c>
      <c r="L163" s="40" t="s">
        <v>638</v>
      </c>
      <c r="M163" s="40" t="s">
        <v>731</v>
      </c>
      <c r="N163" s="40" t="s">
        <v>732</v>
      </c>
      <c r="O163" s="40" t="s">
        <v>733</v>
      </c>
      <c r="P163" s="40" t="s">
        <v>735</v>
      </c>
      <c r="Q163" s="40" t="s">
        <v>739</v>
      </c>
      <c r="R163" s="40" t="s">
        <v>741</v>
      </c>
      <c r="S163" s="40" t="s">
        <v>743</v>
      </c>
      <c r="T163" s="40" t="s">
        <v>112</v>
      </c>
      <c r="U163" s="70" t="s">
        <v>746</v>
      </c>
      <c r="V163" s="42" t="s">
        <v>747</v>
      </c>
      <c r="W163" s="40" t="s">
        <v>748</v>
      </c>
      <c r="X163" s="40" t="s">
        <v>749</v>
      </c>
      <c r="Y163" s="71" t="s">
        <v>752</v>
      </c>
      <c r="Z163" s="42" t="s">
        <v>758</v>
      </c>
      <c r="AA163" s="42" t="s">
        <v>760</v>
      </c>
      <c r="AB163" s="42" t="s">
        <v>762</v>
      </c>
      <c r="AC163" s="42" t="s">
        <v>763</v>
      </c>
      <c r="AD163" s="42" t="s">
        <v>764</v>
      </c>
      <c r="AE163" s="42" t="s">
        <v>765</v>
      </c>
      <c r="AF163" s="42" t="s">
        <v>766</v>
      </c>
      <c r="AG163" s="42" t="s">
        <v>767</v>
      </c>
      <c r="AH163" s="42" t="s">
        <v>768</v>
      </c>
      <c r="AI163" s="42" t="s">
        <v>770</v>
      </c>
      <c r="AJ163" s="42" t="s">
        <v>771</v>
      </c>
      <c r="AK163" s="42" t="s">
        <v>772</v>
      </c>
    </row>
    <row r="164" ht="14.25" customHeight="1">
      <c r="A164" s="8">
        <v>60001.0</v>
      </c>
      <c r="B164" s="8"/>
      <c r="C164" s="8"/>
      <c r="D164" s="54" t="s">
        <v>2425</v>
      </c>
      <c r="E164" s="8">
        <v>20.0</v>
      </c>
      <c r="F164" s="8"/>
      <c r="G164" s="8"/>
      <c r="H164" s="8"/>
      <c r="I164" s="139"/>
      <c r="J164" s="139"/>
      <c r="K164" s="139"/>
      <c r="L164" s="8"/>
      <c r="M164" s="8"/>
      <c r="N164" s="8">
        <v>1000.0</v>
      </c>
      <c r="O164" s="8">
        <v>50.0</v>
      </c>
      <c r="P164" s="8">
        <v>50.0</v>
      </c>
      <c r="Q164" s="8">
        <v>50.0</v>
      </c>
      <c r="R164" s="8">
        <v>50.0</v>
      </c>
      <c r="S164" s="8">
        <v>100.0</v>
      </c>
      <c r="T164" s="8"/>
      <c r="U164" s="76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</row>
    <row r="165" ht="14.25" customHeight="1">
      <c r="A165" s="8">
        <v>60002.0</v>
      </c>
      <c r="B165" s="8"/>
      <c r="C165" s="8"/>
      <c r="D165" s="54" t="s">
        <v>2425</v>
      </c>
      <c r="E165" s="8">
        <f t="shared" ref="E165:E175" si="101">E164+10</f>
        <v>30</v>
      </c>
      <c r="F165" s="8"/>
      <c r="G165" s="8"/>
      <c r="H165" s="8"/>
      <c r="I165" s="139"/>
      <c r="J165" s="139"/>
      <c r="K165" s="139"/>
      <c r="L165" s="8"/>
      <c r="M165" s="8"/>
      <c r="N165" s="8">
        <f t="shared" ref="N165:N175" si="102">ROUND(N164*1.4,0)</f>
        <v>1400</v>
      </c>
      <c r="O165" s="8">
        <f t="shared" ref="O165:O175" si="103">ROUND(O164*1.15,0)</f>
        <v>58</v>
      </c>
      <c r="P165" s="8">
        <f t="shared" ref="P165:P175" si="104">ROUND(P164*1.2,0)</f>
        <v>60</v>
      </c>
      <c r="Q165" s="8">
        <f t="shared" ref="Q165:R165" si="100">ROUND(Q164*1.25,0)</f>
        <v>63</v>
      </c>
      <c r="R165" s="8">
        <f t="shared" si="100"/>
        <v>63</v>
      </c>
      <c r="S165" s="8">
        <f t="shared" ref="S165:S175" si="106">ROUND(S164*1.1,0)</f>
        <v>110</v>
      </c>
      <c r="T165" s="8"/>
      <c r="U165" s="76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</row>
    <row r="166" ht="14.25" customHeight="1">
      <c r="A166" s="8">
        <v>60003.0</v>
      </c>
      <c r="B166" s="8"/>
      <c r="C166" s="8"/>
      <c r="D166" s="54" t="s">
        <v>2425</v>
      </c>
      <c r="E166" s="8">
        <f t="shared" si="101"/>
        <v>40</v>
      </c>
      <c r="F166" s="8"/>
      <c r="G166" s="8"/>
      <c r="H166" s="8"/>
      <c r="I166" s="139"/>
      <c r="J166" s="139"/>
      <c r="K166" s="139"/>
      <c r="L166" s="8"/>
      <c r="M166" s="8"/>
      <c r="N166" s="8">
        <f t="shared" si="102"/>
        <v>1960</v>
      </c>
      <c r="O166" s="8">
        <f t="shared" si="103"/>
        <v>67</v>
      </c>
      <c r="P166" s="8">
        <f t="shared" si="104"/>
        <v>72</v>
      </c>
      <c r="Q166" s="8">
        <f t="shared" ref="Q166:R166" si="105">ROUND(Q165*1.25,0)</f>
        <v>79</v>
      </c>
      <c r="R166" s="8">
        <f t="shared" si="105"/>
        <v>79</v>
      </c>
      <c r="S166" s="8">
        <f t="shared" si="106"/>
        <v>121</v>
      </c>
      <c r="T166" s="8"/>
      <c r="U166" s="76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</row>
    <row r="167" ht="14.25" customHeight="1">
      <c r="A167" s="8">
        <v>60004.0</v>
      </c>
      <c r="B167" s="8"/>
      <c r="C167" s="8"/>
      <c r="D167" s="54" t="s">
        <v>2425</v>
      </c>
      <c r="E167" s="8">
        <f t="shared" si="101"/>
        <v>50</v>
      </c>
      <c r="F167" s="8"/>
      <c r="G167" s="8"/>
      <c r="H167" s="8"/>
      <c r="I167" s="139"/>
      <c r="J167" s="139"/>
      <c r="K167" s="139"/>
      <c r="L167" s="8"/>
      <c r="M167" s="8"/>
      <c r="N167" s="8">
        <f t="shared" si="102"/>
        <v>2744</v>
      </c>
      <c r="O167" s="8">
        <f t="shared" si="103"/>
        <v>77</v>
      </c>
      <c r="P167" s="8">
        <f t="shared" si="104"/>
        <v>86</v>
      </c>
      <c r="Q167" s="8">
        <f t="shared" ref="Q167:R167" si="107">ROUND(Q166*1.25,0)</f>
        <v>99</v>
      </c>
      <c r="R167" s="8">
        <f t="shared" si="107"/>
        <v>99</v>
      </c>
      <c r="S167" s="8">
        <f t="shared" si="106"/>
        <v>133</v>
      </c>
      <c r="T167" s="8"/>
      <c r="U167" s="76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</row>
    <row r="168" ht="14.25" customHeight="1">
      <c r="A168" s="8">
        <v>60005.0</v>
      </c>
      <c r="B168" s="8"/>
      <c r="C168" s="8"/>
      <c r="D168" s="54" t="s">
        <v>2425</v>
      </c>
      <c r="E168" s="8">
        <f t="shared" si="101"/>
        <v>60</v>
      </c>
      <c r="F168" s="8"/>
      <c r="G168" s="8"/>
      <c r="H168" s="8"/>
      <c r="I168" s="139"/>
      <c r="J168" s="139"/>
      <c r="K168" s="139"/>
      <c r="L168" s="8"/>
      <c r="M168" s="8"/>
      <c r="N168" s="8">
        <f t="shared" si="102"/>
        <v>3842</v>
      </c>
      <c r="O168" s="8">
        <f t="shared" si="103"/>
        <v>89</v>
      </c>
      <c r="P168" s="8">
        <f t="shared" si="104"/>
        <v>103</v>
      </c>
      <c r="Q168" s="8">
        <f t="shared" ref="Q168:R168" si="108">ROUND(Q167*1.25,0)</f>
        <v>124</v>
      </c>
      <c r="R168" s="8">
        <f t="shared" si="108"/>
        <v>124</v>
      </c>
      <c r="S168" s="8">
        <f t="shared" si="106"/>
        <v>146</v>
      </c>
      <c r="T168" s="8"/>
      <c r="U168" s="76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</row>
    <row r="169" ht="14.25" customHeight="1">
      <c r="A169" s="8">
        <v>60006.0</v>
      </c>
      <c r="B169" s="8"/>
      <c r="C169" s="8"/>
      <c r="D169" s="54" t="s">
        <v>2425</v>
      </c>
      <c r="E169" s="8">
        <f t="shared" si="101"/>
        <v>70</v>
      </c>
      <c r="F169" s="8"/>
      <c r="G169" s="8"/>
      <c r="H169" s="8"/>
      <c r="I169" s="139"/>
      <c r="J169" s="139"/>
      <c r="K169" s="139"/>
      <c r="L169" s="8"/>
      <c r="M169" s="8"/>
      <c r="N169" s="8">
        <f t="shared" si="102"/>
        <v>5379</v>
      </c>
      <c r="O169" s="8">
        <f t="shared" si="103"/>
        <v>102</v>
      </c>
      <c r="P169" s="8">
        <f t="shared" si="104"/>
        <v>124</v>
      </c>
      <c r="Q169" s="8">
        <f t="shared" ref="Q169:R169" si="109">ROUND(Q168*1.25,0)</f>
        <v>155</v>
      </c>
      <c r="R169" s="8">
        <f t="shared" si="109"/>
        <v>155</v>
      </c>
      <c r="S169" s="8">
        <f t="shared" si="106"/>
        <v>161</v>
      </c>
      <c r="T169" s="8"/>
      <c r="U169" s="76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</row>
    <row r="170" ht="14.25" customHeight="1">
      <c r="A170" s="8">
        <v>60007.0</v>
      </c>
      <c r="B170" s="8"/>
      <c r="C170" s="8"/>
      <c r="D170" s="54" t="s">
        <v>2425</v>
      </c>
      <c r="E170" s="8">
        <f t="shared" si="101"/>
        <v>80</v>
      </c>
      <c r="F170" s="8"/>
      <c r="G170" s="8"/>
      <c r="H170" s="8"/>
      <c r="I170" s="139"/>
      <c r="J170" s="139"/>
      <c r="K170" s="139"/>
      <c r="L170" s="8"/>
      <c r="M170" s="8"/>
      <c r="N170" s="8">
        <f t="shared" si="102"/>
        <v>7531</v>
      </c>
      <c r="O170" s="8">
        <f t="shared" si="103"/>
        <v>117</v>
      </c>
      <c r="P170" s="8">
        <f t="shared" si="104"/>
        <v>149</v>
      </c>
      <c r="Q170" s="8">
        <f t="shared" ref="Q170:R170" si="110">ROUND(Q169*1.25,0)</f>
        <v>194</v>
      </c>
      <c r="R170" s="8">
        <f t="shared" si="110"/>
        <v>194</v>
      </c>
      <c r="S170" s="8">
        <f t="shared" si="106"/>
        <v>177</v>
      </c>
      <c r="T170" s="8"/>
      <c r="U170" s="76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</row>
    <row r="171" ht="14.25" customHeight="1">
      <c r="A171" s="8">
        <v>60008.0</v>
      </c>
      <c r="B171" s="8"/>
      <c r="C171" s="8"/>
      <c r="D171" s="54" t="s">
        <v>2425</v>
      </c>
      <c r="E171" s="8">
        <f t="shared" si="101"/>
        <v>90</v>
      </c>
      <c r="F171" s="8"/>
      <c r="G171" s="8"/>
      <c r="H171" s="8"/>
      <c r="I171" s="139"/>
      <c r="J171" s="139"/>
      <c r="K171" s="139"/>
      <c r="L171" s="8"/>
      <c r="M171" s="8"/>
      <c r="N171" s="8">
        <f t="shared" si="102"/>
        <v>10543</v>
      </c>
      <c r="O171" s="8">
        <f t="shared" si="103"/>
        <v>135</v>
      </c>
      <c r="P171" s="8">
        <f t="shared" si="104"/>
        <v>179</v>
      </c>
      <c r="Q171" s="8">
        <f t="shared" ref="Q171:R171" si="111">ROUND(Q170*1.25,0)</f>
        <v>243</v>
      </c>
      <c r="R171" s="8">
        <f t="shared" si="111"/>
        <v>243</v>
      </c>
      <c r="S171" s="8">
        <f t="shared" si="106"/>
        <v>195</v>
      </c>
      <c r="T171" s="8"/>
      <c r="U171" s="76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</row>
    <row r="172" ht="14.25" customHeight="1">
      <c r="A172" s="8">
        <v>60009.0</v>
      </c>
      <c r="B172" s="8"/>
      <c r="C172" s="8"/>
      <c r="D172" s="54" t="s">
        <v>2425</v>
      </c>
      <c r="E172" s="8">
        <f t="shared" si="101"/>
        <v>100</v>
      </c>
      <c r="F172" s="8"/>
      <c r="G172" s="8"/>
      <c r="H172" s="8"/>
      <c r="I172" s="139"/>
      <c r="J172" s="139"/>
      <c r="K172" s="139"/>
      <c r="L172" s="8"/>
      <c r="M172" s="8"/>
      <c r="N172" s="8">
        <f t="shared" si="102"/>
        <v>14760</v>
      </c>
      <c r="O172" s="8">
        <f t="shared" si="103"/>
        <v>155</v>
      </c>
      <c r="P172" s="8">
        <f t="shared" si="104"/>
        <v>215</v>
      </c>
      <c r="Q172" s="8">
        <f t="shared" ref="Q172:R172" si="112">ROUND(Q171*1.25,0)</f>
        <v>304</v>
      </c>
      <c r="R172" s="8">
        <f t="shared" si="112"/>
        <v>304</v>
      </c>
      <c r="S172" s="8">
        <f t="shared" si="106"/>
        <v>215</v>
      </c>
      <c r="T172" s="8"/>
      <c r="U172" s="76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</row>
    <row r="173" ht="14.25" customHeight="1">
      <c r="A173" s="8">
        <v>60010.0</v>
      </c>
      <c r="B173" s="8"/>
      <c r="C173" s="8"/>
      <c r="D173" s="54" t="s">
        <v>2425</v>
      </c>
      <c r="E173" s="8">
        <f t="shared" si="101"/>
        <v>110</v>
      </c>
      <c r="F173" s="8"/>
      <c r="G173" s="8"/>
      <c r="H173" s="8"/>
      <c r="I173" s="139"/>
      <c r="J173" s="139"/>
      <c r="K173" s="139"/>
      <c r="L173" s="8"/>
      <c r="M173" s="8"/>
      <c r="N173" s="8">
        <f t="shared" si="102"/>
        <v>20664</v>
      </c>
      <c r="O173" s="8">
        <f t="shared" si="103"/>
        <v>178</v>
      </c>
      <c r="P173" s="8">
        <f t="shared" si="104"/>
        <v>258</v>
      </c>
      <c r="Q173" s="8">
        <f t="shared" ref="Q173:R173" si="113">ROUND(Q172*1.25,0)</f>
        <v>380</v>
      </c>
      <c r="R173" s="8">
        <f t="shared" si="113"/>
        <v>380</v>
      </c>
      <c r="S173" s="8">
        <f t="shared" si="106"/>
        <v>237</v>
      </c>
      <c r="T173" s="8"/>
      <c r="U173" s="76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</row>
    <row r="174" ht="14.25" customHeight="1">
      <c r="A174" s="8">
        <v>60011.0</v>
      </c>
      <c r="B174" s="8"/>
      <c r="C174" s="8"/>
      <c r="D174" s="54" t="s">
        <v>2425</v>
      </c>
      <c r="E174" s="8">
        <f t="shared" si="101"/>
        <v>120</v>
      </c>
      <c r="F174" s="8"/>
      <c r="G174" s="8"/>
      <c r="H174" s="8"/>
      <c r="I174" s="139"/>
      <c r="J174" s="139"/>
      <c r="K174" s="139"/>
      <c r="L174" s="8"/>
      <c r="M174" s="8"/>
      <c r="N174" s="8">
        <f t="shared" si="102"/>
        <v>28930</v>
      </c>
      <c r="O174" s="8">
        <f t="shared" si="103"/>
        <v>205</v>
      </c>
      <c r="P174" s="8">
        <f t="shared" si="104"/>
        <v>310</v>
      </c>
      <c r="Q174" s="8">
        <f t="shared" ref="Q174:R174" si="114">ROUND(Q173*1.25,0)</f>
        <v>475</v>
      </c>
      <c r="R174" s="8">
        <f t="shared" si="114"/>
        <v>475</v>
      </c>
      <c r="S174" s="8">
        <f t="shared" si="106"/>
        <v>261</v>
      </c>
      <c r="T174" s="8"/>
      <c r="U174" s="76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</row>
    <row r="175" ht="14.25" customHeight="1">
      <c r="A175" s="8">
        <v>60012.0</v>
      </c>
      <c r="B175" s="8"/>
      <c r="C175" s="8"/>
      <c r="D175" s="54" t="s">
        <v>2425</v>
      </c>
      <c r="E175" s="8">
        <f t="shared" si="101"/>
        <v>130</v>
      </c>
      <c r="F175" s="8"/>
      <c r="G175" s="8"/>
      <c r="H175" s="8"/>
      <c r="I175" s="139"/>
      <c r="J175" s="139"/>
      <c r="K175" s="139"/>
      <c r="L175" s="8"/>
      <c r="M175" s="8"/>
      <c r="N175" s="8">
        <f t="shared" si="102"/>
        <v>40502</v>
      </c>
      <c r="O175" s="8">
        <f t="shared" si="103"/>
        <v>236</v>
      </c>
      <c r="P175" s="8">
        <f t="shared" si="104"/>
        <v>372</v>
      </c>
      <c r="Q175" s="8">
        <f t="shared" ref="Q175:R175" si="115">ROUND(Q174*1.25,0)</f>
        <v>594</v>
      </c>
      <c r="R175" s="8">
        <f t="shared" si="115"/>
        <v>594</v>
      </c>
      <c r="S175" s="8">
        <f t="shared" si="106"/>
        <v>287</v>
      </c>
      <c r="T175" s="8"/>
      <c r="U175" s="76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</row>
    <row r="176" ht="12.75" customHeight="1">
      <c r="A176" s="8">
        <v>60013.0</v>
      </c>
      <c r="B176" s="8"/>
      <c r="C176" s="8"/>
      <c r="D176" s="54" t="s">
        <v>2425</v>
      </c>
      <c r="E176" s="8">
        <v>140.0</v>
      </c>
      <c r="F176" s="8"/>
      <c r="G176" s="8"/>
      <c r="H176" s="8"/>
      <c r="I176" s="139"/>
      <c r="J176" s="139"/>
      <c r="K176" s="139"/>
      <c r="L176" s="8"/>
      <c r="M176" s="8"/>
      <c r="N176" s="8">
        <v>56703.0</v>
      </c>
      <c r="O176" s="8">
        <v>266.0</v>
      </c>
      <c r="P176" s="8">
        <v>446.0</v>
      </c>
      <c r="Q176" s="8">
        <v>743.0</v>
      </c>
      <c r="R176" s="8">
        <v>743.0</v>
      </c>
      <c r="S176" s="8">
        <v>316.0</v>
      </c>
    </row>
    <row r="177" ht="12.75" customHeight="1">
      <c r="A177" s="8">
        <v>60014.0</v>
      </c>
      <c r="B177" s="8"/>
      <c r="C177" s="8"/>
      <c r="D177" s="54" t="s">
        <v>2425</v>
      </c>
      <c r="E177" s="8">
        <v>150.0</v>
      </c>
      <c r="F177" s="8"/>
      <c r="G177" s="8"/>
      <c r="H177" s="8"/>
      <c r="I177" s="139"/>
      <c r="J177" s="139"/>
      <c r="K177" s="139"/>
      <c r="L177" s="8"/>
      <c r="M177" s="8"/>
      <c r="N177" s="8">
        <v>79384.0</v>
      </c>
      <c r="O177" s="8">
        <v>306.0</v>
      </c>
      <c r="P177" s="8">
        <v>535.0</v>
      </c>
      <c r="Q177" s="8">
        <v>929.0</v>
      </c>
      <c r="R177" s="8">
        <v>929.0</v>
      </c>
      <c r="S177" s="8">
        <v>348.0</v>
      </c>
    </row>
    <row r="178" ht="12.75" customHeight="1">
      <c r="A178" s="8">
        <v>60015.0</v>
      </c>
      <c r="B178" s="8"/>
      <c r="C178" s="8"/>
      <c r="D178" s="54" t="s">
        <v>2425</v>
      </c>
      <c r="E178" s="8">
        <v>160.0</v>
      </c>
      <c r="F178" s="8"/>
      <c r="G178" s="8"/>
      <c r="H178" s="8"/>
      <c r="I178" s="139"/>
      <c r="J178" s="139"/>
      <c r="K178" s="139"/>
      <c r="L178" s="8"/>
      <c r="M178" s="8"/>
      <c r="N178" s="8">
        <v>111138.0</v>
      </c>
      <c r="O178" s="8">
        <v>352.0</v>
      </c>
      <c r="P178" s="8">
        <v>642.0</v>
      </c>
      <c r="Q178" s="8">
        <v>1161.0</v>
      </c>
      <c r="R178" s="8">
        <v>1161.0</v>
      </c>
      <c r="S178" s="8">
        <v>383.0</v>
      </c>
    </row>
    <row r="179" ht="12.75" customHeight="1">
      <c r="A179" s="8">
        <v>60016.0</v>
      </c>
      <c r="B179" s="8"/>
      <c r="C179" s="8"/>
      <c r="D179" s="54" t="s">
        <v>2425</v>
      </c>
      <c r="E179" s="8">
        <v>170.0</v>
      </c>
      <c r="F179" s="8"/>
      <c r="G179" s="8"/>
      <c r="H179" s="8"/>
      <c r="I179" s="139"/>
      <c r="J179" s="139"/>
      <c r="K179" s="139"/>
      <c r="L179" s="8"/>
      <c r="M179" s="8"/>
      <c r="N179" s="8">
        <v>155593.0</v>
      </c>
      <c r="O179" s="8">
        <v>405.0</v>
      </c>
      <c r="P179" s="8">
        <v>770.0</v>
      </c>
      <c r="Q179" s="8">
        <v>1451.0</v>
      </c>
      <c r="R179" s="8">
        <v>1451.0</v>
      </c>
      <c r="S179" s="8">
        <v>421.0</v>
      </c>
    </row>
    <row r="180" ht="12.75" customHeight="1">
      <c r="A180" s="8">
        <v>60017.0</v>
      </c>
      <c r="B180" s="8"/>
      <c r="C180" s="8"/>
      <c r="D180" s="54" t="s">
        <v>2425</v>
      </c>
      <c r="E180" s="8">
        <v>180.0</v>
      </c>
      <c r="F180" s="8"/>
      <c r="G180" s="8"/>
      <c r="H180" s="8"/>
      <c r="I180" s="139"/>
      <c r="J180" s="139"/>
      <c r="K180" s="139"/>
      <c r="L180" s="8"/>
      <c r="M180" s="8"/>
      <c r="N180" s="8">
        <v>217830.0</v>
      </c>
      <c r="O180" s="8">
        <v>466.0</v>
      </c>
      <c r="P180" s="8">
        <v>924.0</v>
      </c>
      <c r="Q180" s="8">
        <v>1814.0</v>
      </c>
      <c r="R180" s="8">
        <v>1814.0</v>
      </c>
      <c r="S180" s="8">
        <v>463.0</v>
      </c>
    </row>
    <row r="181" ht="12.75" customHeight="1">
      <c r="A181" s="8">
        <v>60018.0</v>
      </c>
      <c r="B181" s="8"/>
      <c r="C181" s="8"/>
      <c r="D181" s="54" t="s">
        <v>2425</v>
      </c>
      <c r="E181" s="8">
        <v>190.0</v>
      </c>
      <c r="F181" s="8"/>
      <c r="G181" s="8"/>
      <c r="H181" s="8"/>
      <c r="I181" s="139"/>
      <c r="J181" s="139"/>
      <c r="K181" s="139"/>
      <c r="L181" s="8"/>
      <c r="M181" s="8"/>
      <c r="N181" s="8">
        <v>304962.0</v>
      </c>
      <c r="O181" s="8">
        <v>536.0</v>
      </c>
      <c r="P181" s="8">
        <v>1109.0</v>
      </c>
      <c r="Q181" s="8">
        <v>2268.0</v>
      </c>
      <c r="R181" s="8">
        <v>2268.0</v>
      </c>
      <c r="S181" s="8">
        <v>509.0</v>
      </c>
    </row>
    <row r="182" ht="12.75" customHeight="1">
      <c r="A182" s="8">
        <v>60019.0</v>
      </c>
      <c r="B182" s="8"/>
      <c r="C182" s="8"/>
      <c r="D182" s="54" t="s">
        <v>2425</v>
      </c>
      <c r="E182" s="8">
        <v>200.0</v>
      </c>
      <c r="F182" s="8"/>
      <c r="G182" s="8"/>
      <c r="H182" s="8"/>
      <c r="I182" s="139"/>
      <c r="J182" s="139"/>
      <c r="K182" s="139"/>
      <c r="L182" s="8"/>
      <c r="M182" s="8"/>
      <c r="N182" s="8">
        <v>426947.0</v>
      </c>
      <c r="O182" s="8">
        <v>616.0</v>
      </c>
      <c r="P182" s="8">
        <v>1331.0</v>
      </c>
      <c r="Q182" s="8">
        <v>2835.0</v>
      </c>
      <c r="R182" s="8">
        <v>2835.0</v>
      </c>
      <c r="S182" s="8">
        <v>560.0</v>
      </c>
    </row>
    <row r="183" ht="12.75" customHeight="1">
      <c r="A183" s="8">
        <v>60020.0</v>
      </c>
      <c r="B183" s="8"/>
      <c r="C183" s="8"/>
      <c r="D183" s="54" t="s">
        <v>2425</v>
      </c>
      <c r="E183" s="8">
        <v>210.0</v>
      </c>
      <c r="F183" s="8"/>
      <c r="G183" s="8"/>
      <c r="H183" s="8"/>
      <c r="I183" s="139"/>
      <c r="J183" s="139"/>
      <c r="K183" s="139"/>
      <c r="L183" s="8"/>
      <c r="M183" s="8"/>
      <c r="N183" s="8">
        <v>597726.0</v>
      </c>
      <c r="O183" s="8">
        <v>708.0</v>
      </c>
      <c r="P183" s="8">
        <v>1597.0</v>
      </c>
      <c r="Q183" s="8">
        <v>3544.0</v>
      </c>
      <c r="R183" s="8">
        <v>3544.0</v>
      </c>
      <c r="S183" s="8">
        <v>616.0</v>
      </c>
    </row>
    <row r="184" ht="12.75" customHeight="1">
      <c r="I184" s="67"/>
      <c r="J184" s="67"/>
      <c r="K184" s="67"/>
    </row>
    <row r="185" ht="12.75" customHeight="1">
      <c r="I185" s="67"/>
      <c r="J185" s="67"/>
      <c r="K185" s="67"/>
    </row>
    <row r="186" ht="12.75" customHeight="1">
      <c r="I186" s="67"/>
      <c r="J186" s="67"/>
      <c r="K186" s="67"/>
    </row>
    <row r="187" ht="12.75" customHeight="1">
      <c r="I187" s="67"/>
      <c r="J187" s="67"/>
      <c r="K187" s="67"/>
    </row>
    <row r="188" ht="12.75" customHeight="1">
      <c r="I188" s="67"/>
      <c r="J188" s="67"/>
      <c r="K188" s="67"/>
    </row>
    <row r="189" ht="12.75" customHeight="1">
      <c r="I189" s="67"/>
      <c r="J189" s="67"/>
      <c r="K189" s="67"/>
    </row>
    <row r="190" ht="12.75" customHeight="1">
      <c r="I190" s="67"/>
      <c r="J190" s="67"/>
      <c r="K190" s="67"/>
    </row>
    <row r="199" ht="12.75" customHeight="1">
      <c r="I199" s="67"/>
      <c r="J199" s="67"/>
      <c r="K199" s="67"/>
    </row>
    <row r="200" ht="12.75" customHeight="1">
      <c r="I200" s="67"/>
      <c r="J200" s="67"/>
      <c r="K200" s="67"/>
    </row>
    <row r="201" ht="12.75" customHeight="1">
      <c r="I201" s="67"/>
      <c r="J201" s="67"/>
      <c r="K201" s="67"/>
    </row>
    <row r="202" ht="12.75" customHeight="1">
      <c r="I202" s="67"/>
      <c r="J202" s="67"/>
      <c r="K202" s="67"/>
    </row>
    <row r="203" ht="12.75" customHeight="1">
      <c r="I203" s="67"/>
      <c r="J203" s="67"/>
      <c r="K203" s="67"/>
    </row>
    <row r="204" ht="12.75" customHeight="1">
      <c r="I204" s="67"/>
      <c r="J204" s="67"/>
      <c r="K204" s="67"/>
    </row>
    <row r="205" ht="12.75" customHeight="1">
      <c r="I205" s="67"/>
      <c r="J205" s="67"/>
      <c r="K205" s="67"/>
    </row>
    <row r="206" ht="12.75" customHeight="1">
      <c r="I206" s="67"/>
      <c r="J206" s="67"/>
      <c r="K206" s="67"/>
    </row>
    <row r="207" ht="12.75" customHeight="1">
      <c r="I207" s="67"/>
      <c r="J207" s="67"/>
      <c r="K207" s="67"/>
    </row>
    <row r="208" ht="12.75" customHeight="1">
      <c r="I208" s="67"/>
      <c r="J208" s="67"/>
      <c r="K208" s="67"/>
    </row>
    <row r="209" ht="12.75" customHeight="1">
      <c r="I209" s="67"/>
      <c r="J209" s="67"/>
      <c r="K209" s="67"/>
    </row>
    <row r="210" ht="12.75" customHeight="1">
      <c r="I210" s="67"/>
      <c r="J210" s="67"/>
      <c r="K210" s="67"/>
    </row>
    <row r="211" ht="12.75" customHeight="1">
      <c r="I211" s="67"/>
      <c r="J211" s="67"/>
      <c r="K211" s="67"/>
    </row>
    <row r="212" ht="12.75" customHeight="1">
      <c r="I212" s="67"/>
      <c r="J212" s="67"/>
      <c r="K212" s="67"/>
    </row>
    <row r="213" ht="12.75" customHeight="1">
      <c r="I213" s="67"/>
      <c r="J213" s="67"/>
      <c r="K213" s="67"/>
    </row>
    <row r="214" ht="12.75" customHeight="1">
      <c r="I214" s="67"/>
      <c r="J214" s="67"/>
      <c r="K214" s="67"/>
    </row>
    <row r="215" ht="12.75" customHeight="1">
      <c r="I215" s="67"/>
      <c r="J215" s="67"/>
      <c r="K215" s="67"/>
    </row>
    <row r="216" ht="12.75" customHeight="1">
      <c r="I216" s="67"/>
      <c r="J216" s="67"/>
      <c r="K216" s="67"/>
    </row>
    <row r="217" ht="12.75" customHeight="1">
      <c r="I217" s="67"/>
      <c r="J217" s="67"/>
      <c r="K217" s="67"/>
    </row>
    <row r="218" ht="12.75" customHeight="1">
      <c r="I218" s="67"/>
      <c r="J218" s="67"/>
      <c r="K218" s="67"/>
    </row>
    <row r="219" ht="12.75" customHeight="1">
      <c r="I219" s="67"/>
      <c r="J219" s="67"/>
      <c r="K219" s="67"/>
    </row>
    <row r="220" ht="12.75" customHeight="1">
      <c r="I220" s="67"/>
      <c r="J220" s="67"/>
      <c r="K220" s="67"/>
    </row>
    <row r="221" ht="12.75" customHeight="1">
      <c r="I221" s="67"/>
      <c r="J221" s="67"/>
      <c r="K221" s="67"/>
    </row>
    <row r="222" ht="12.75" customHeight="1">
      <c r="I222" s="67"/>
      <c r="J222" s="67"/>
      <c r="K222" s="67"/>
    </row>
    <row r="223" ht="12.75" customHeight="1">
      <c r="I223" s="67"/>
      <c r="J223" s="67"/>
      <c r="K223" s="67"/>
    </row>
    <row r="224" ht="12.75" customHeight="1">
      <c r="I224" s="67"/>
      <c r="J224" s="67"/>
      <c r="K224" s="67"/>
    </row>
    <row r="225" ht="12.75" customHeight="1">
      <c r="I225" s="67"/>
      <c r="J225" s="67"/>
      <c r="K225" s="67"/>
    </row>
    <row r="226" ht="12.75" customHeight="1">
      <c r="I226" s="67"/>
      <c r="J226" s="67"/>
      <c r="K226" s="67"/>
    </row>
    <row r="227" ht="12.75" customHeight="1">
      <c r="I227" s="67"/>
      <c r="J227" s="67"/>
      <c r="K227" s="67"/>
    </row>
    <row r="228" ht="12.75" customHeight="1">
      <c r="I228" s="67"/>
      <c r="J228" s="67"/>
      <c r="K228" s="67"/>
    </row>
    <row r="229" ht="12.75" customHeight="1">
      <c r="I229" s="67"/>
      <c r="J229" s="67"/>
      <c r="K229" s="67"/>
    </row>
    <row r="230" ht="12.75" customHeight="1">
      <c r="I230" s="67"/>
      <c r="J230" s="67"/>
      <c r="K230" s="67"/>
    </row>
    <row r="231" ht="12.75" customHeight="1">
      <c r="I231" s="67"/>
      <c r="J231" s="67"/>
      <c r="K231" s="67"/>
    </row>
    <row r="232" ht="12.75" customHeight="1">
      <c r="I232" s="67"/>
      <c r="J232" s="67"/>
      <c r="K232" s="67"/>
    </row>
    <row r="233" ht="12.75" customHeight="1">
      <c r="I233" s="67"/>
      <c r="J233" s="67"/>
      <c r="K233" s="67"/>
    </row>
    <row r="234" ht="12.75" customHeight="1">
      <c r="I234" s="67"/>
      <c r="J234" s="67"/>
      <c r="K234" s="67"/>
    </row>
    <row r="235" ht="12.75" customHeight="1">
      <c r="I235" s="67"/>
      <c r="J235" s="67"/>
      <c r="K235" s="67"/>
    </row>
    <row r="236" ht="12.75" customHeight="1">
      <c r="I236" s="67"/>
      <c r="J236" s="67"/>
      <c r="K236" s="67"/>
    </row>
    <row r="237" ht="12.75" customHeight="1">
      <c r="I237" s="67"/>
      <c r="J237" s="67"/>
      <c r="K237" s="67"/>
    </row>
    <row r="238" ht="12.75" customHeight="1">
      <c r="I238" s="67"/>
      <c r="J238" s="67"/>
      <c r="K238" s="67"/>
    </row>
    <row r="239" ht="12.75" customHeight="1">
      <c r="I239" s="67"/>
      <c r="J239" s="67"/>
      <c r="K239" s="67"/>
    </row>
    <row r="240" ht="12.75" customHeight="1">
      <c r="I240" s="67"/>
      <c r="J240" s="67"/>
      <c r="K240" s="67"/>
    </row>
    <row r="241" ht="12.75" customHeight="1">
      <c r="I241" s="67"/>
      <c r="J241" s="67"/>
      <c r="K241" s="67"/>
    </row>
    <row r="242" ht="12.75" customHeight="1">
      <c r="I242" s="67"/>
      <c r="J242" s="67"/>
      <c r="K242" s="67"/>
    </row>
    <row r="243" ht="12.75" customHeight="1">
      <c r="I243" s="67"/>
      <c r="J243" s="67"/>
      <c r="K243" s="67"/>
    </row>
    <row r="244" ht="12.75" customHeight="1">
      <c r="I244" s="67"/>
      <c r="J244" s="67"/>
      <c r="K244" s="67"/>
    </row>
    <row r="245" ht="12.75" customHeight="1">
      <c r="I245" s="67"/>
      <c r="J245" s="67"/>
      <c r="K245" s="67"/>
    </row>
    <row r="246" ht="12.75" customHeight="1">
      <c r="I246" s="67"/>
      <c r="J246" s="67"/>
      <c r="K246" s="67"/>
    </row>
    <row r="247" ht="12.75" customHeight="1">
      <c r="I247" s="67"/>
      <c r="J247" s="67"/>
      <c r="K247" s="67"/>
    </row>
    <row r="248" ht="12.75" customHeight="1">
      <c r="I248" s="67"/>
      <c r="J248" s="67"/>
      <c r="K248" s="67"/>
    </row>
    <row r="249" ht="12.75" customHeight="1">
      <c r="I249" s="67"/>
      <c r="J249" s="67"/>
      <c r="K249" s="67"/>
    </row>
    <row r="250" ht="12.75" customHeight="1">
      <c r="I250" s="67"/>
      <c r="J250" s="67"/>
      <c r="K250" s="67"/>
    </row>
    <row r="251" ht="12.75" customHeight="1">
      <c r="I251" s="67"/>
      <c r="J251" s="67"/>
      <c r="K251" s="67"/>
    </row>
    <row r="252" ht="12.75" customHeight="1">
      <c r="I252" s="67"/>
      <c r="J252" s="67"/>
      <c r="K252" s="67"/>
    </row>
    <row r="253" ht="12.75" customHeight="1">
      <c r="I253" s="67"/>
      <c r="J253" s="67"/>
      <c r="K253" s="67"/>
    </row>
    <row r="254" ht="12.75" customHeight="1">
      <c r="I254" s="67"/>
      <c r="J254" s="67"/>
      <c r="K254" s="67"/>
    </row>
    <row r="255" ht="12.75" customHeight="1">
      <c r="I255" s="67"/>
      <c r="J255" s="67"/>
      <c r="K255" s="67"/>
    </row>
    <row r="256" ht="12.75" customHeight="1">
      <c r="I256" s="67"/>
      <c r="J256" s="67"/>
      <c r="K256" s="67"/>
    </row>
    <row r="257" ht="12.75" customHeight="1">
      <c r="I257" s="67"/>
      <c r="J257" s="67"/>
      <c r="K257" s="67"/>
    </row>
    <row r="258" ht="12.75" customHeight="1">
      <c r="I258" s="67"/>
      <c r="J258" s="67"/>
      <c r="K258" s="67"/>
    </row>
    <row r="259" ht="12.75" customHeight="1">
      <c r="I259" s="67"/>
      <c r="J259" s="67"/>
      <c r="K259" s="67"/>
    </row>
    <row r="260" ht="12.75" customHeight="1">
      <c r="I260" s="67"/>
      <c r="J260" s="67"/>
      <c r="K260" s="67"/>
    </row>
    <row r="261" ht="12.75" customHeight="1">
      <c r="I261" s="67"/>
      <c r="J261" s="67"/>
      <c r="K261" s="67"/>
    </row>
    <row r="262" ht="12.75" customHeight="1">
      <c r="I262" s="67"/>
      <c r="J262" s="67"/>
      <c r="K262" s="67"/>
    </row>
    <row r="263" ht="12.75" customHeight="1">
      <c r="I263" s="67"/>
      <c r="J263" s="67"/>
      <c r="K263" s="67"/>
    </row>
    <row r="264" ht="12.75" customHeight="1">
      <c r="I264" s="67"/>
      <c r="J264" s="67"/>
      <c r="K264" s="67"/>
    </row>
    <row r="265" ht="12.75" customHeight="1">
      <c r="I265" s="67"/>
      <c r="J265" s="67"/>
      <c r="K265" s="67"/>
    </row>
    <row r="266" ht="12.75" customHeight="1">
      <c r="I266" s="67"/>
      <c r="J266" s="67"/>
      <c r="K266" s="67"/>
    </row>
    <row r="267" ht="12.75" customHeight="1">
      <c r="I267" s="67"/>
      <c r="J267" s="67"/>
      <c r="K267" s="67"/>
    </row>
    <row r="268" ht="12.75" customHeight="1">
      <c r="I268" s="67"/>
      <c r="J268" s="67"/>
      <c r="K268" s="67"/>
    </row>
    <row r="269" ht="12.75" customHeight="1">
      <c r="I269" s="67"/>
      <c r="J269" s="67"/>
      <c r="K269" s="67"/>
    </row>
    <row r="270" ht="12.75" customHeight="1">
      <c r="I270" s="67"/>
      <c r="J270" s="67"/>
      <c r="K270" s="67"/>
    </row>
    <row r="271" ht="12.75" customHeight="1">
      <c r="I271" s="67"/>
      <c r="J271" s="67"/>
      <c r="K271" s="67"/>
    </row>
    <row r="272" ht="12.75" customHeight="1">
      <c r="I272" s="67"/>
      <c r="J272" s="67"/>
      <c r="K272" s="67"/>
    </row>
    <row r="273" ht="12.75" customHeight="1">
      <c r="I273" s="67"/>
      <c r="J273" s="67"/>
      <c r="K273" s="67"/>
    </row>
    <row r="274" ht="12.75" customHeight="1">
      <c r="I274" s="67"/>
      <c r="J274" s="67"/>
      <c r="K274" s="67"/>
    </row>
    <row r="275" ht="12.75" customHeight="1">
      <c r="I275" s="67"/>
      <c r="J275" s="67"/>
      <c r="K275" s="67"/>
    </row>
    <row r="276" ht="12.75" customHeight="1">
      <c r="I276" s="67"/>
      <c r="J276" s="67"/>
      <c r="K276" s="67"/>
    </row>
    <row r="277" ht="12.75" customHeight="1">
      <c r="I277" s="67"/>
      <c r="J277" s="67"/>
      <c r="K277" s="67"/>
    </row>
    <row r="278" ht="12.75" customHeight="1">
      <c r="I278" s="67"/>
      <c r="J278" s="67"/>
      <c r="K278" s="67"/>
    </row>
    <row r="279" ht="12.75" customHeight="1">
      <c r="I279" s="67"/>
      <c r="J279" s="67"/>
      <c r="K279" s="67"/>
    </row>
    <row r="280" ht="12.75" customHeight="1">
      <c r="I280" s="67"/>
      <c r="J280" s="67"/>
      <c r="K280" s="67"/>
    </row>
    <row r="281" ht="12.75" customHeight="1">
      <c r="I281" s="67"/>
      <c r="J281" s="67"/>
      <c r="K281" s="67"/>
    </row>
    <row r="282" ht="12.75" customHeight="1">
      <c r="I282" s="67"/>
      <c r="J282" s="67"/>
      <c r="K282" s="67"/>
    </row>
    <row r="283" ht="12.75" customHeight="1">
      <c r="I283" s="67"/>
      <c r="J283" s="67"/>
      <c r="K283" s="67"/>
    </row>
    <row r="284" ht="12.75" customHeight="1">
      <c r="I284" s="67"/>
      <c r="J284" s="67"/>
      <c r="K284" s="67"/>
    </row>
    <row r="285" ht="12.75" customHeight="1">
      <c r="I285" s="67"/>
      <c r="J285" s="67"/>
      <c r="K285" s="67"/>
    </row>
    <row r="286" ht="12.75" customHeight="1">
      <c r="I286" s="67"/>
      <c r="J286" s="67"/>
      <c r="K286" s="67"/>
    </row>
    <row r="287" ht="12.75" customHeight="1">
      <c r="I287" s="67"/>
      <c r="J287" s="67"/>
      <c r="K287" s="67"/>
    </row>
    <row r="288" ht="12.75" customHeight="1">
      <c r="I288" s="67"/>
      <c r="J288" s="67"/>
      <c r="K288" s="67"/>
    </row>
    <row r="289" ht="12.75" customHeight="1">
      <c r="I289" s="67"/>
      <c r="J289" s="67"/>
      <c r="K289" s="67"/>
    </row>
    <row r="290" ht="12.75" customHeight="1">
      <c r="I290" s="67"/>
      <c r="J290" s="67"/>
      <c r="K290" s="67"/>
    </row>
    <row r="291" ht="12.75" customHeight="1">
      <c r="I291" s="67"/>
      <c r="J291" s="67"/>
      <c r="K291" s="67"/>
    </row>
    <row r="292" ht="12.75" customHeight="1">
      <c r="I292" s="67"/>
      <c r="J292" s="67"/>
      <c r="K292" s="67"/>
    </row>
    <row r="293" ht="12.75" customHeight="1">
      <c r="I293" s="67"/>
      <c r="J293" s="67"/>
      <c r="K293" s="67"/>
    </row>
    <row r="294" ht="12.75" customHeight="1">
      <c r="I294" s="67"/>
      <c r="J294" s="67"/>
      <c r="K294" s="67"/>
    </row>
    <row r="295" ht="12.75" customHeight="1">
      <c r="I295" s="67"/>
      <c r="J295" s="67"/>
      <c r="K295" s="67"/>
    </row>
    <row r="296" ht="12.75" customHeight="1">
      <c r="I296" s="67"/>
      <c r="J296" s="67"/>
      <c r="K296" s="67"/>
    </row>
    <row r="297" ht="12.75" customHeight="1">
      <c r="I297" s="67"/>
      <c r="J297" s="67"/>
      <c r="K297" s="67"/>
    </row>
    <row r="298" ht="12.75" customHeight="1">
      <c r="I298" s="67"/>
      <c r="J298" s="67"/>
      <c r="K298" s="67"/>
    </row>
    <row r="299" ht="12.75" customHeight="1">
      <c r="I299" s="67"/>
      <c r="J299" s="67"/>
      <c r="K299" s="67"/>
    </row>
    <row r="300" ht="12.75" customHeight="1">
      <c r="I300" s="67"/>
      <c r="J300" s="67"/>
      <c r="K300" s="67"/>
    </row>
    <row r="301" ht="12.75" customHeight="1">
      <c r="I301" s="67"/>
      <c r="J301" s="67"/>
      <c r="K301" s="67"/>
    </row>
    <row r="302" ht="12.75" customHeight="1">
      <c r="I302" s="67"/>
      <c r="J302" s="67"/>
      <c r="K302" s="67"/>
    </row>
    <row r="303" ht="12.75" customHeight="1">
      <c r="I303" s="67"/>
      <c r="J303" s="67"/>
      <c r="K303" s="67"/>
    </row>
    <row r="304" ht="12.75" customHeight="1">
      <c r="I304" s="67"/>
      <c r="J304" s="67"/>
      <c r="K304" s="67"/>
    </row>
    <row r="305" ht="12.75" customHeight="1">
      <c r="I305" s="67"/>
      <c r="J305" s="67"/>
      <c r="K305" s="67"/>
    </row>
    <row r="306" ht="12.75" customHeight="1">
      <c r="I306" s="67"/>
      <c r="J306" s="67"/>
      <c r="K306" s="67"/>
    </row>
    <row r="307" ht="12.75" customHeight="1">
      <c r="I307" s="67"/>
      <c r="J307" s="67"/>
      <c r="K307" s="67"/>
    </row>
    <row r="308" ht="12.75" customHeight="1">
      <c r="I308" s="67"/>
      <c r="J308" s="67"/>
      <c r="K308" s="67"/>
    </row>
    <row r="309" ht="12.75" customHeight="1">
      <c r="I309" s="67"/>
      <c r="J309" s="67"/>
      <c r="K309" s="67"/>
    </row>
    <row r="310" ht="12.75" customHeight="1">
      <c r="I310" s="67"/>
      <c r="J310" s="67"/>
      <c r="K310" s="67"/>
    </row>
    <row r="311" ht="12.75" customHeight="1">
      <c r="I311" s="67"/>
      <c r="J311" s="67"/>
      <c r="K311" s="67"/>
    </row>
    <row r="312" ht="12.75" customHeight="1">
      <c r="I312" s="67"/>
      <c r="J312" s="67"/>
      <c r="K312" s="67"/>
    </row>
    <row r="313" ht="12.75" customHeight="1">
      <c r="I313" s="67"/>
      <c r="J313" s="67"/>
      <c r="K313" s="67"/>
    </row>
    <row r="314" ht="12.75" customHeight="1">
      <c r="I314" s="67"/>
      <c r="J314" s="67"/>
      <c r="K314" s="67"/>
    </row>
    <row r="315" ht="12.75" customHeight="1">
      <c r="I315" s="67"/>
      <c r="J315" s="67"/>
      <c r="K315" s="67"/>
    </row>
    <row r="316" ht="12.75" customHeight="1">
      <c r="I316" s="67"/>
      <c r="J316" s="67"/>
      <c r="K316" s="67"/>
    </row>
    <row r="317" ht="12.75" customHeight="1">
      <c r="I317" s="67"/>
      <c r="J317" s="67"/>
      <c r="K317" s="67"/>
    </row>
    <row r="318" ht="12.75" customHeight="1">
      <c r="I318" s="67"/>
      <c r="J318" s="67"/>
      <c r="K318" s="67"/>
    </row>
    <row r="319" ht="12.75" customHeight="1">
      <c r="I319" s="67"/>
      <c r="J319" s="67"/>
      <c r="K319" s="67"/>
    </row>
    <row r="320" ht="12.75" customHeight="1">
      <c r="I320" s="67"/>
      <c r="J320" s="67"/>
      <c r="K320" s="67"/>
    </row>
    <row r="321" ht="12.75" customHeight="1">
      <c r="I321" s="67"/>
      <c r="J321" s="67"/>
      <c r="K321" s="67"/>
    </row>
    <row r="322" ht="12.75" customHeight="1">
      <c r="I322" s="67"/>
      <c r="J322" s="67"/>
      <c r="K322" s="67"/>
    </row>
    <row r="323" ht="12.75" customHeight="1">
      <c r="I323" s="67"/>
      <c r="J323" s="67"/>
      <c r="K323" s="67"/>
    </row>
    <row r="324" ht="12.75" customHeight="1">
      <c r="I324" s="67"/>
      <c r="J324" s="67"/>
      <c r="K324" s="67"/>
    </row>
    <row r="325" ht="12.75" customHeight="1">
      <c r="I325" s="67"/>
      <c r="J325" s="67"/>
      <c r="K325" s="67"/>
    </row>
    <row r="326" ht="12.75" customHeight="1">
      <c r="I326" s="67"/>
      <c r="J326" s="67"/>
      <c r="K326" s="67"/>
    </row>
    <row r="327" ht="12.75" customHeight="1">
      <c r="I327" s="67"/>
      <c r="J327" s="67"/>
      <c r="K327" s="67"/>
    </row>
    <row r="328" ht="12.75" customHeight="1">
      <c r="I328" s="67"/>
      <c r="J328" s="67"/>
      <c r="K328" s="67"/>
    </row>
    <row r="329" ht="12.75" customHeight="1">
      <c r="I329" s="67"/>
      <c r="J329" s="67"/>
      <c r="K329" s="67"/>
    </row>
    <row r="330" ht="12.75" customHeight="1">
      <c r="I330" s="67"/>
      <c r="J330" s="67"/>
      <c r="K330" s="67"/>
    </row>
    <row r="331" ht="12.75" customHeight="1">
      <c r="I331" s="67"/>
      <c r="J331" s="67"/>
      <c r="K331" s="67"/>
    </row>
    <row r="332" ht="12.75" customHeight="1">
      <c r="I332" s="67"/>
      <c r="J332" s="67"/>
      <c r="K332" s="67"/>
    </row>
    <row r="333" ht="12.75" customHeight="1">
      <c r="I333" s="67"/>
      <c r="J333" s="67"/>
      <c r="K333" s="67"/>
    </row>
    <row r="334" ht="12.75" customHeight="1">
      <c r="I334" s="67"/>
      <c r="J334" s="67"/>
      <c r="K334" s="67"/>
    </row>
    <row r="335" ht="12.75" customHeight="1">
      <c r="I335" s="67"/>
      <c r="J335" s="67"/>
      <c r="K335" s="67"/>
    </row>
    <row r="336" ht="12.75" customHeight="1">
      <c r="I336" s="67"/>
      <c r="J336" s="67"/>
      <c r="K336" s="67"/>
    </row>
    <row r="337" ht="12.75" customHeight="1">
      <c r="I337" s="67"/>
      <c r="J337" s="67"/>
      <c r="K337" s="67"/>
    </row>
    <row r="338" ht="12.75" customHeight="1">
      <c r="I338" s="67"/>
      <c r="J338" s="67"/>
      <c r="K338" s="67"/>
    </row>
    <row r="339" ht="12.75" customHeight="1">
      <c r="I339" s="67"/>
      <c r="J339" s="67"/>
      <c r="K339" s="67"/>
    </row>
    <row r="340" ht="12.75" customHeight="1">
      <c r="I340" s="67"/>
      <c r="J340" s="67"/>
      <c r="K340" s="67"/>
    </row>
    <row r="341" ht="12.75" customHeight="1">
      <c r="I341" s="67"/>
      <c r="J341" s="67"/>
      <c r="K341" s="67"/>
    </row>
    <row r="342" ht="12.75" customHeight="1">
      <c r="I342" s="67"/>
      <c r="J342" s="67"/>
      <c r="K342" s="67"/>
    </row>
    <row r="343" ht="12.75" customHeight="1">
      <c r="I343" s="67"/>
      <c r="J343" s="67"/>
      <c r="K343" s="67"/>
    </row>
    <row r="344" ht="12.75" customHeight="1">
      <c r="I344" s="67"/>
      <c r="J344" s="67"/>
      <c r="K344" s="67"/>
    </row>
    <row r="345" ht="12.75" customHeight="1">
      <c r="I345" s="67"/>
      <c r="J345" s="67"/>
      <c r="K345" s="67"/>
    </row>
    <row r="346" ht="12.75" customHeight="1">
      <c r="I346" s="67"/>
      <c r="J346" s="67"/>
      <c r="K346" s="67"/>
    </row>
    <row r="347" ht="12.75" customHeight="1">
      <c r="I347" s="67"/>
      <c r="J347" s="67"/>
      <c r="K347" s="67"/>
    </row>
    <row r="348" ht="12.75" customHeight="1">
      <c r="I348" s="67"/>
      <c r="J348" s="67"/>
      <c r="K348" s="67"/>
    </row>
    <row r="349" ht="12.75" customHeight="1">
      <c r="I349" s="67"/>
      <c r="J349" s="67"/>
      <c r="K349" s="67"/>
    </row>
    <row r="350" ht="12.75" customHeight="1">
      <c r="I350" s="67"/>
      <c r="J350" s="67"/>
      <c r="K350" s="67"/>
    </row>
    <row r="351" ht="12.75" customHeight="1">
      <c r="I351" s="67"/>
      <c r="J351" s="67"/>
      <c r="K351" s="67"/>
    </row>
    <row r="352" ht="12.75" customHeight="1">
      <c r="I352" s="67"/>
      <c r="J352" s="67"/>
      <c r="K352" s="67"/>
    </row>
    <row r="353" ht="12.75" customHeight="1">
      <c r="I353" s="67"/>
      <c r="J353" s="67"/>
      <c r="K353" s="67"/>
    </row>
    <row r="354" ht="12.75" customHeight="1">
      <c r="I354" s="67"/>
      <c r="J354" s="67"/>
      <c r="K354" s="67"/>
    </row>
    <row r="355" ht="12.75" customHeight="1">
      <c r="I355" s="67"/>
      <c r="J355" s="67"/>
      <c r="K355" s="67"/>
    </row>
    <row r="356" ht="12.75" customHeight="1">
      <c r="I356" s="67"/>
      <c r="J356" s="67"/>
      <c r="K356" s="67"/>
    </row>
    <row r="357" ht="12.75" customHeight="1">
      <c r="I357" s="67"/>
      <c r="J357" s="67"/>
      <c r="K357" s="67"/>
    </row>
    <row r="358" ht="12.75" customHeight="1">
      <c r="I358" s="67"/>
      <c r="J358" s="67"/>
      <c r="K358" s="67"/>
    </row>
    <row r="359" ht="12.75" customHeight="1">
      <c r="I359" s="67"/>
      <c r="J359" s="67"/>
      <c r="K359" s="67"/>
    </row>
    <row r="360" ht="12.75" customHeight="1">
      <c r="I360" s="67"/>
      <c r="J360" s="67"/>
      <c r="K360" s="67"/>
    </row>
    <row r="361" ht="12.75" customHeight="1">
      <c r="I361" s="67"/>
      <c r="J361" s="67"/>
      <c r="K361" s="67"/>
    </row>
    <row r="362" ht="12.75" customHeight="1">
      <c r="I362" s="67"/>
      <c r="J362" s="67"/>
      <c r="K362" s="67"/>
    </row>
    <row r="363" ht="12.75" customHeight="1">
      <c r="I363" s="67"/>
      <c r="J363" s="67"/>
      <c r="K363" s="67"/>
    </row>
    <row r="364" ht="12.75" customHeight="1">
      <c r="I364" s="67"/>
      <c r="J364" s="67"/>
      <c r="K364" s="67"/>
    </row>
    <row r="365" ht="12.75" customHeight="1">
      <c r="I365" s="67"/>
      <c r="J365" s="67"/>
      <c r="K365" s="67"/>
    </row>
    <row r="366" ht="12.75" customHeight="1">
      <c r="I366" s="67"/>
      <c r="J366" s="67"/>
      <c r="K366" s="67"/>
    </row>
    <row r="367" ht="12.75" customHeight="1">
      <c r="I367" s="67"/>
      <c r="J367" s="67"/>
      <c r="K367" s="67"/>
    </row>
    <row r="368" ht="12.75" customHeight="1">
      <c r="I368" s="67"/>
      <c r="J368" s="67"/>
      <c r="K368" s="67"/>
    </row>
    <row r="369" ht="12.75" customHeight="1">
      <c r="I369" s="67"/>
      <c r="J369" s="67"/>
      <c r="K369" s="67"/>
    </row>
    <row r="370" ht="12.75" customHeight="1">
      <c r="I370" s="67"/>
      <c r="J370" s="67"/>
      <c r="K370" s="67"/>
    </row>
    <row r="371" ht="12.75" customHeight="1">
      <c r="I371" s="67"/>
      <c r="J371" s="67"/>
      <c r="K371" s="67"/>
    </row>
    <row r="372" ht="12.75" customHeight="1">
      <c r="I372" s="67"/>
      <c r="J372" s="67"/>
      <c r="K372" s="67"/>
    </row>
    <row r="373" ht="12.75" customHeight="1">
      <c r="I373" s="67"/>
      <c r="J373" s="67"/>
      <c r="K373" s="67"/>
    </row>
    <row r="374" ht="12.75" customHeight="1">
      <c r="I374" s="67"/>
      <c r="J374" s="67"/>
      <c r="K374" s="67"/>
    </row>
    <row r="375" ht="12.75" customHeight="1">
      <c r="I375" s="67"/>
      <c r="J375" s="67"/>
      <c r="K375" s="67"/>
    </row>
    <row r="376" ht="12.75" customHeight="1">
      <c r="I376" s="67"/>
      <c r="J376" s="67"/>
      <c r="K376" s="67"/>
    </row>
    <row r="377" ht="12.75" customHeight="1">
      <c r="I377" s="67"/>
      <c r="J377" s="67"/>
      <c r="K377" s="67"/>
    </row>
    <row r="378" ht="12.75" customHeight="1">
      <c r="I378" s="67"/>
      <c r="J378" s="67"/>
      <c r="K378" s="67"/>
    </row>
    <row r="379" ht="12.75" customHeight="1">
      <c r="I379" s="67"/>
      <c r="J379" s="67"/>
      <c r="K379" s="67"/>
    </row>
    <row r="380" ht="12.75" customHeight="1">
      <c r="I380" s="67"/>
      <c r="J380" s="67"/>
      <c r="K380" s="67"/>
    </row>
    <row r="381" ht="12.75" customHeight="1">
      <c r="I381" s="67"/>
      <c r="J381" s="67"/>
      <c r="K381" s="67"/>
    </row>
    <row r="382" ht="12.75" customHeight="1">
      <c r="I382" s="67"/>
      <c r="J382" s="67"/>
      <c r="K382" s="67"/>
    </row>
    <row r="383" ht="12.75" customHeight="1">
      <c r="I383" s="67"/>
      <c r="J383" s="67"/>
      <c r="K383" s="67"/>
    </row>
    <row r="384" ht="12.75" customHeight="1">
      <c r="I384" s="67"/>
      <c r="J384" s="67"/>
      <c r="K384" s="67"/>
    </row>
    <row r="385" ht="12.75" customHeight="1">
      <c r="I385" s="67"/>
      <c r="J385" s="67"/>
      <c r="K385" s="67"/>
    </row>
    <row r="386" ht="12.75" customHeight="1">
      <c r="I386" s="67"/>
      <c r="J386" s="67"/>
      <c r="K386" s="67"/>
    </row>
    <row r="387" ht="12.75" customHeight="1">
      <c r="I387" s="67"/>
      <c r="J387" s="67"/>
      <c r="K387" s="67"/>
    </row>
    <row r="388" ht="12.75" customHeight="1">
      <c r="I388" s="67"/>
      <c r="J388" s="67"/>
      <c r="K388" s="67"/>
    </row>
    <row r="389" ht="12.75" customHeight="1">
      <c r="I389" s="67"/>
      <c r="J389" s="67"/>
      <c r="K389" s="67"/>
    </row>
    <row r="390" ht="12.75" customHeight="1">
      <c r="I390" s="67"/>
      <c r="J390" s="67"/>
      <c r="K390" s="67"/>
    </row>
    <row r="391" ht="12.75" customHeight="1">
      <c r="I391" s="67"/>
      <c r="J391" s="67"/>
      <c r="K391" s="67"/>
    </row>
    <row r="392" ht="12.75" customHeight="1">
      <c r="I392" s="67"/>
      <c r="J392" s="67"/>
      <c r="K392" s="67"/>
    </row>
    <row r="393" ht="12.75" customHeight="1">
      <c r="I393" s="67"/>
      <c r="J393" s="67"/>
      <c r="K393" s="67"/>
    </row>
    <row r="394" ht="12.75" customHeight="1">
      <c r="I394" s="67"/>
      <c r="J394" s="67"/>
      <c r="K394" s="67"/>
    </row>
    <row r="395" ht="12.75" customHeight="1">
      <c r="I395" s="67"/>
      <c r="J395" s="67"/>
      <c r="K395" s="67"/>
    </row>
    <row r="396" ht="12.75" customHeight="1">
      <c r="I396" s="67"/>
      <c r="J396" s="67"/>
      <c r="K396" s="67"/>
    </row>
    <row r="397" ht="12.75" customHeight="1">
      <c r="I397" s="67"/>
      <c r="J397" s="67"/>
      <c r="K397" s="67"/>
    </row>
    <row r="398" ht="12.75" customHeight="1">
      <c r="I398" s="67"/>
      <c r="J398" s="67"/>
      <c r="K398" s="67"/>
    </row>
    <row r="399" ht="12.75" customHeight="1">
      <c r="I399" s="67"/>
      <c r="J399" s="67"/>
      <c r="K399" s="67"/>
    </row>
    <row r="400" ht="12.75" customHeight="1">
      <c r="I400" s="67"/>
      <c r="J400" s="67"/>
      <c r="K400" s="67"/>
    </row>
    <row r="401" ht="12.75" customHeight="1">
      <c r="I401" s="67"/>
      <c r="J401" s="67"/>
      <c r="K401" s="67"/>
    </row>
    <row r="402" ht="12.75" customHeight="1">
      <c r="I402" s="67"/>
      <c r="J402" s="67"/>
      <c r="K402" s="67"/>
    </row>
    <row r="403" ht="12.75" customHeight="1">
      <c r="I403" s="67"/>
      <c r="J403" s="67"/>
      <c r="K403" s="67"/>
    </row>
    <row r="404" ht="12.75" customHeight="1">
      <c r="I404" s="67"/>
      <c r="J404" s="67"/>
      <c r="K404" s="67"/>
    </row>
    <row r="405" ht="12.75" customHeight="1">
      <c r="I405" s="67"/>
      <c r="J405" s="67"/>
      <c r="K405" s="67"/>
    </row>
    <row r="406" ht="12.75" customHeight="1">
      <c r="I406" s="67"/>
      <c r="J406" s="67"/>
      <c r="K406" s="67"/>
    </row>
    <row r="407" ht="12.75" customHeight="1">
      <c r="I407" s="67"/>
      <c r="J407" s="67"/>
      <c r="K407" s="67"/>
    </row>
    <row r="408" ht="12.75" customHeight="1">
      <c r="I408" s="67"/>
      <c r="J408" s="67"/>
      <c r="K408" s="67"/>
    </row>
    <row r="409" ht="12.75" customHeight="1">
      <c r="I409" s="67"/>
      <c r="J409" s="67"/>
      <c r="K409" s="67"/>
    </row>
    <row r="410" ht="12.75" customHeight="1">
      <c r="I410" s="67"/>
      <c r="J410" s="67"/>
      <c r="K410" s="67"/>
    </row>
    <row r="411" ht="12.75" customHeight="1">
      <c r="I411" s="67"/>
      <c r="J411" s="67"/>
      <c r="K411" s="67"/>
    </row>
    <row r="412" ht="12.75" customHeight="1">
      <c r="I412" s="67"/>
      <c r="J412" s="67"/>
      <c r="K412" s="67"/>
    </row>
    <row r="413" ht="12.75" customHeight="1">
      <c r="I413" s="67"/>
      <c r="J413" s="67"/>
      <c r="K413" s="67"/>
    </row>
    <row r="414" ht="12.75" customHeight="1">
      <c r="I414" s="67"/>
      <c r="J414" s="67"/>
      <c r="K414" s="67"/>
    </row>
    <row r="415" ht="12.75" customHeight="1">
      <c r="I415" s="67"/>
      <c r="J415" s="67"/>
      <c r="K415" s="67"/>
    </row>
    <row r="416" ht="12.75" customHeight="1">
      <c r="I416" s="67"/>
      <c r="J416" s="67"/>
      <c r="K416" s="67"/>
    </row>
    <row r="417" ht="12.75" customHeight="1">
      <c r="I417" s="67"/>
      <c r="J417" s="67"/>
      <c r="K417" s="67"/>
    </row>
    <row r="418" ht="12.75" customHeight="1">
      <c r="I418" s="67"/>
      <c r="J418" s="67"/>
      <c r="K418" s="67"/>
    </row>
    <row r="419" ht="12.75" customHeight="1">
      <c r="I419" s="67"/>
      <c r="J419" s="67"/>
      <c r="K419" s="67"/>
    </row>
    <row r="420" ht="12.75" customHeight="1">
      <c r="I420" s="67"/>
      <c r="J420" s="67"/>
      <c r="K420" s="67"/>
    </row>
    <row r="421" ht="12.75" customHeight="1">
      <c r="I421" s="67"/>
      <c r="J421" s="67"/>
      <c r="K421" s="67"/>
    </row>
    <row r="422" ht="12.75" customHeight="1">
      <c r="I422" s="67"/>
      <c r="J422" s="67"/>
      <c r="K422" s="67"/>
    </row>
    <row r="423" ht="12.75" customHeight="1">
      <c r="I423" s="67"/>
      <c r="J423" s="67"/>
      <c r="K423" s="67"/>
    </row>
    <row r="424" ht="12.75" customHeight="1">
      <c r="I424" s="67"/>
      <c r="J424" s="67"/>
      <c r="K424" s="67"/>
    </row>
    <row r="425" ht="12.75" customHeight="1">
      <c r="I425" s="67"/>
      <c r="J425" s="67"/>
      <c r="K425" s="67"/>
    </row>
    <row r="426" ht="12.75" customHeight="1">
      <c r="I426" s="67"/>
      <c r="J426" s="67"/>
      <c r="K426" s="67"/>
    </row>
    <row r="427" ht="12.75" customHeight="1">
      <c r="I427" s="67"/>
      <c r="J427" s="67"/>
      <c r="K427" s="67"/>
    </row>
    <row r="428" ht="12.75" customHeight="1">
      <c r="I428" s="67"/>
      <c r="J428" s="67"/>
      <c r="K428" s="67"/>
    </row>
    <row r="429" ht="12.75" customHeight="1">
      <c r="I429" s="67"/>
      <c r="J429" s="67"/>
      <c r="K429" s="67"/>
    </row>
    <row r="430" ht="12.75" customHeight="1">
      <c r="I430" s="67"/>
      <c r="J430" s="67"/>
      <c r="K430" s="67"/>
    </row>
    <row r="431" ht="12.75" customHeight="1">
      <c r="I431" s="67"/>
      <c r="J431" s="67"/>
      <c r="K431" s="67"/>
    </row>
    <row r="432" ht="12.75" customHeight="1">
      <c r="I432" s="67"/>
      <c r="J432" s="67"/>
      <c r="K432" s="67"/>
    </row>
    <row r="433" ht="12.75" customHeight="1">
      <c r="I433" s="67"/>
      <c r="J433" s="67"/>
      <c r="K433" s="67"/>
    </row>
    <row r="434" ht="12.75" customHeight="1">
      <c r="I434" s="67"/>
      <c r="J434" s="67"/>
      <c r="K434" s="67"/>
    </row>
    <row r="435" ht="12.75" customHeight="1">
      <c r="I435" s="67"/>
      <c r="J435" s="67"/>
      <c r="K435" s="67"/>
    </row>
    <row r="436" ht="12.75" customHeight="1">
      <c r="I436" s="67"/>
      <c r="J436" s="67"/>
      <c r="K436" s="67"/>
    </row>
    <row r="437" ht="12.75" customHeight="1">
      <c r="I437" s="67"/>
      <c r="J437" s="67"/>
      <c r="K437" s="67"/>
    </row>
    <row r="438" ht="12.75" customHeight="1">
      <c r="I438" s="67"/>
      <c r="J438" s="67"/>
      <c r="K438" s="67"/>
    </row>
    <row r="439" ht="12.75" customHeight="1">
      <c r="I439" s="67"/>
      <c r="J439" s="67"/>
      <c r="K439" s="67"/>
    </row>
    <row r="440" ht="12.75" customHeight="1">
      <c r="I440" s="67"/>
      <c r="J440" s="67"/>
      <c r="K440" s="67"/>
    </row>
    <row r="441" ht="12.75" customHeight="1">
      <c r="I441" s="67"/>
      <c r="J441" s="67"/>
      <c r="K441" s="67"/>
    </row>
    <row r="442" ht="12.75" customHeight="1">
      <c r="I442" s="67"/>
      <c r="J442" s="67"/>
      <c r="K442" s="67"/>
    </row>
    <row r="443" ht="12.75" customHeight="1">
      <c r="I443" s="67"/>
      <c r="J443" s="67"/>
      <c r="K443" s="67"/>
    </row>
    <row r="444" ht="12.75" customHeight="1">
      <c r="I444" s="67"/>
      <c r="J444" s="67"/>
      <c r="K444" s="67"/>
    </row>
    <row r="445" ht="12.75" customHeight="1">
      <c r="I445" s="67"/>
      <c r="J445" s="67"/>
      <c r="K445" s="67"/>
    </row>
    <row r="446" ht="12.75" customHeight="1">
      <c r="I446" s="67"/>
      <c r="J446" s="67"/>
      <c r="K446" s="67"/>
    </row>
    <row r="447" ht="12.75" customHeight="1">
      <c r="I447" s="67"/>
      <c r="J447" s="67"/>
      <c r="K447" s="67"/>
    </row>
    <row r="448" ht="12.75" customHeight="1">
      <c r="I448" s="67"/>
      <c r="J448" s="67"/>
      <c r="K448" s="67"/>
    </row>
    <row r="449" ht="12.75" customHeight="1">
      <c r="I449" s="67"/>
      <c r="J449" s="67"/>
      <c r="K449" s="67"/>
    </row>
    <row r="450" ht="12.75" customHeight="1">
      <c r="I450" s="67"/>
      <c r="J450" s="67"/>
      <c r="K450" s="67"/>
    </row>
    <row r="451" ht="12.75" customHeight="1">
      <c r="I451" s="67"/>
      <c r="J451" s="67"/>
      <c r="K451" s="67"/>
    </row>
    <row r="452" ht="12.75" customHeight="1">
      <c r="I452" s="67"/>
      <c r="J452" s="67"/>
      <c r="K452" s="67"/>
    </row>
    <row r="453" ht="12.75" customHeight="1">
      <c r="I453" s="67"/>
      <c r="J453" s="67"/>
      <c r="K453" s="67"/>
    </row>
    <row r="454" ht="12.75" customHeight="1">
      <c r="I454" s="67"/>
      <c r="J454" s="67"/>
      <c r="K454" s="67"/>
    </row>
    <row r="455" ht="12.75" customHeight="1">
      <c r="I455" s="67"/>
      <c r="J455" s="67"/>
      <c r="K455" s="67"/>
    </row>
    <row r="456" ht="12.75" customHeight="1">
      <c r="I456" s="67"/>
      <c r="J456" s="67"/>
      <c r="K456" s="67"/>
    </row>
    <row r="457" ht="12.75" customHeight="1">
      <c r="I457" s="67"/>
      <c r="J457" s="67"/>
      <c r="K457" s="67"/>
    </row>
    <row r="458" ht="12.75" customHeight="1">
      <c r="I458" s="67"/>
      <c r="J458" s="67"/>
      <c r="K458" s="67"/>
    </row>
    <row r="459" ht="12.75" customHeight="1">
      <c r="I459" s="67"/>
      <c r="J459" s="67"/>
      <c r="K459" s="67"/>
    </row>
    <row r="460" ht="12.75" customHeight="1">
      <c r="I460" s="67"/>
      <c r="J460" s="67"/>
      <c r="K460" s="67"/>
    </row>
    <row r="461" ht="12.75" customHeight="1">
      <c r="I461" s="67"/>
      <c r="J461" s="67"/>
      <c r="K461" s="67"/>
    </row>
    <row r="462" ht="12.75" customHeight="1">
      <c r="I462" s="67"/>
      <c r="J462" s="67"/>
      <c r="K462" s="67"/>
    </row>
    <row r="463" ht="12.75" customHeight="1">
      <c r="I463" s="67"/>
      <c r="J463" s="67"/>
      <c r="K463" s="67"/>
    </row>
    <row r="464" ht="12.75" customHeight="1">
      <c r="I464" s="67"/>
      <c r="J464" s="67"/>
      <c r="K464" s="67"/>
    </row>
    <row r="465" ht="12.75" customHeight="1">
      <c r="I465" s="67"/>
      <c r="J465" s="67"/>
      <c r="K465" s="67"/>
    </row>
    <row r="466" ht="12.75" customHeight="1">
      <c r="I466" s="67"/>
      <c r="J466" s="67"/>
      <c r="K466" s="67"/>
    </row>
    <row r="467" ht="12.75" customHeight="1">
      <c r="I467" s="67"/>
      <c r="J467" s="67"/>
      <c r="K467" s="67"/>
    </row>
    <row r="468" ht="12.75" customHeight="1">
      <c r="I468" s="67"/>
      <c r="J468" s="67"/>
      <c r="K468" s="67"/>
    </row>
    <row r="469" ht="12.75" customHeight="1">
      <c r="I469" s="67"/>
      <c r="J469" s="67"/>
      <c r="K469" s="67"/>
    </row>
    <row r="470" ht="12.75" customHeight="1">
      <c r="I470" s="67"/>
      <c r="J470" s="67"/>
      <c r="K470" s="67"/>
    </row>
    <row r="471" ht="12.75" customHeight="1">
      <c r="I471" s="67"/>
      <c r="J471" s="67"/>
      <c r="K471" s="67"/>
    </row>
    <row r="472" ht="12.75" customHeight="1">
      <c r="I472" s="67"/>
      <c r="J472" s="67"/>
      <c r="K472" s="67"/>
    </row>
    <row r="473" ht="12.75" customHeight="1">
      <c r="I473" s="67"/>
      <c r="J473" s="67"/>
      <c r="K473" s="67"/>
    </row>
    <row r="474" ht="12.75" customHeight="1">
      <c r="I474" s="67"/>
      <c r="J474" s="67"/>
      <c r="K474" s="67"/>
    </row>
    <row r="475" ht="12.75" customHeight="1">
      <c r="I475" s="67"/>
      <c r="J475" s="67"/>
      <c r="K475" s="67"/>
    </row>
    <row r="476" ht="12.75" customHeight="1">
      <c r="I476" s="67"/>
      <c r="J476" s="67"/>
      <c r="K476" s="67"/>
    </row>
    <row r="477" ht="12.75" customHeight="1">
      <c r="I477" s="67"/>
      <c r="J477" s="67"/>
      <c r="K477" s="67"/>
    </row>
    <row r="478" ht="12.75" customHeight="1">
      <c r="I478" s="67"/>
      <c r="J478" s="67"/>
      <c r="K478" s="67"/>
    </row>
    <row r="479" ht="12.75" customHeight="1">
      <c r="I479" s="67"/>
      <c r="J479" s="67"/>
      <c r="K479" s="67"/>
    </row>
    <row r="480" ht="12.75" customHeight="1">
      <c r="I480" s="67"/>
      <c r="J480" s="67"/>
      <c r="K480" s="67"/>
    </row>
    <row r="481" ht="12.75" customHeight="1">
      <c r="I481" s="67"/>
      <c r="J481" s="67"/>
      <c r="K481" s="67"/>
    </row>
    <row r="482" ht="12.75" customHeight="1">
      <c r="I482" s="67"/>
      <c r="J482" s="67"/>
      <c r="K482" s="67"/>
    </row>
    <row r="483" ht="12.75" customHeight="1">
      <c r="I483" s="67"/>
      <c r="J483" s="67"/>
      <c r="K483" s="67"/>
    </row>
    <row r="484" ht="12.75" customHeight="1">
      <c r="I484" s="67"/>
      <c r="J484" s="67"/>
      <c r="K484" s="67"/>
    </row>
    <row r="485" ht="12.75" customHeight="1">
      <c r="I485" s="67"/>
      <c r="J485" s="67"/>
      <c r="K485" s="67"/>
    </row>
    <row r="486" ht="12.75" customHeight="1">
      <c r="I486" s="67"/>
      <c r="J486" s="67"/>
      <c r="K486" s="67"/>
    </row>
    <row r="487" ht="12.75" customHeight="1">
      <c r="I487" s="67"/>
      <c r="J487" s="67"/>
      <c r="K487" s="67"/>
    </row>
    <row r="488" ht="12.75" customHeight="1">
      <c r="I488" s="67"/>
      <c r="J488" s="67"/>
      <c r="K488" s="67"/>
    </row>
    <row r="489" ht="12.75" customHeight="1">
      <c r="I489" s="67"/>
      <c r="J489" s="67"/>
      <c r="K489" s="67"/>
    </row>
    <row r="490" ht="12.75" customHeight="1">
      <c r="I490" s="67"/>
      <c r="J490" s="67"/>
      <c r="K490" s="67"/>
    </row>
    <row r="491" ht="12.75" customHeight="1">
      <c r="I491" s="67"/>
      <c r="J491" s="67"/>
      <c r="K491" s="67"/>
    </row>
    <row r="492" ht="12.75" customHeight="1">
      <c r="I492" s="67"/>
      <c r="J492" s="67"/>
      <c r="K492" s="67"/>
    </row>
    <row r="493" ht="12.75" customHeight="1">
      <c r="I493" s="67"/>
      <c r="J493" s="67"/>
      <c r="K493" s="67"/>
    </row>
    <row r="494" ht="12.75" customHeight="1">
      <c r="I494" s="67"/>
      <c r="J494" s="67"/>
      <c r="K494" s="67"/>
    </row>
    <row r="495" ht="12.75" customHeight="1">
      <c r="I495" s="67"/>
      <c r="J495" s="67"/>
      <c r="K495" s="67"/>
    </row>
    <row r="496" ht="12.75" customHeight="1">
      <c r="I496" s="67"/>
      <c r="J496" s="67"/>
      <c r="K496" s="67"/>
    </row>
    <row r="497" ht="12.75" customHeight="1">
      <c r="I497" s="67"/>
      <c r="J497" s="67"/>
      <c r="K497" s="67"/>
    </row>
    <row r="498" ht="12.75" customHeight="1">
      <c r="I498" s="67"/>
      <c r="J498" s="67"/>
      <c r="K498" s="67"/>
    </row>
    <row r="499" ht="12.75" customHeight="1">
      <c r="I499" s="67"/>
      <c r="J499" s="67"/>
      <c r="K499" s="67"/>
    </row>
    <row r="500" ht="12.75" customHeight="1">
      <c r="I500" s="67"/>
      <c r="J500" s="67"/>
      <c r="K500" s="67"/>
    </row>
    <row r="501" ht="12.75" customHeight="1">
      <c r="I501" s="67"/>
      <c r="J501" s="67"/>
      <c r="K501" s="67"/>
    </row>
    <row r="502" ht="12.75" customHeight="1">
      <c r="I502" s="67"/>
      <c r="J502" s="67"/>
      <c r="K502" s="67"/>
    </row>
    <row r="503" ht="12.75" customHeight="1">
      <c r="I503" s="67"/>
      <c r="J503" s="67"/>
      <c r="K503" s="67"/>
    </row>
    <row r="504" ht="12.75" customHeight="1">
      <c r="I504" s="67"/>
      <c r="J504" s="67"/>
      <c r="K504" s="67"/>
    </row>
    <row r="505" ht="12.75" customHeight="1">
      <c r="I505" s="67"/>
      <c r="J505" s="67"/>
      <c r="K505" s="67"/>
    </row>
    <row r="506" ht="12.75" customHeight="1">
      <c r="I506" s="67"/>
      <c r="J506" s="67"/>
      <c r="K506" s="67"/>
    </row>
    <row r="507" ht="12.75" customHeight="1">
      <c r="I507" s="67"/>
      <c r="J507" s="67"/>
      <c r="K507" s="67"/>
    </row>
    <row r="508" ht="12.75" customHeight="1">
      <c r="I508" s="67"/>
      <c r="J508" s="67"/>
      <c r="K508" s="67"/>
    </row>
    <row r="509" ht="12.75" customHeight="1">
      <c r="I509" s="67"/>
      <c r="J509" s="67"/>
      <c r="K509" s="67"/>
    </row>
    <row r="510" ht="12.75" customHeight="1">
      <c r="I510" s="67"/>
      <c r="J510" s="67"/>
      <c r="K510" s="67"/>
    </row>
    <row r="511" ht="12.75" customHeight="1">
      <c r="I511" s="67"/>
      <c r="J511" s="67"/>
      <c r="K511" s="67"/>
    </row>
    <row r="512" ht="12.75" customHeight="1">
      <c r="I512" s="67"/>
      <c r="J512" s="67"/>
      <c r="K512" s="67"/>
    </row>
    <row r="513" ht="12.75" customHeight="1">
      <c r="I513" s="67"/>
      <c r="J513" s="67"/>
      <c r="K513" s="67"/>
    </row>
    <row r="514" ht="12.75" customHeight="1">
      <c r="I514" s="67"/>
      <c r="J514" s="67"/>
      <c r="K514" s="67"/>
    </row>
    <row r="515" ht="12.75" customHeight="1">
      <c r="I515" s="67"/>
      <c r="J515" s="67"/>
      <c r="K515" s="67"/>
    </row>
    <row r="516" ht="12.75" customHeight="1">
      <c r="I516" s="67"/>
      <c r="J516" s="67"/>
      <c r="K516" s="67"/>
    </row>
    <row r="517" ht="12.75" customHeight="1">
      <c r="I517" s="67"/>
      <c r="J517" s="67"/>
      <c r="K517" s="67"/>
    </row>
    <row r="518" ht="12.75" customHeight="1">
      <c r="I518" s="67"/>
      <c r="J518" s="67"/>
      <c r="K518" s="67"/>
    </row>
    <row r="519" ht="12.75" customHeight="1">
      <c r="I519" s="67"/>
      <c r="J519" s="67"/>
      <c r="K519" s="67"/>
    </row>
    <row r="520" ht="12.75" customHeight="1">
      <c r="I520" s="67"/>
      <c r="J520" s="67"/>
      <c r="K520" s="67"/>
    </row>
    <row r="521" ht="12.75" customHeight="1">
      <c r="I521" s="67"/>
      <c r="J521" s="67"/>
      <c r="K521" s="67"/>
    </row>
    <row r="522" ht="12.75" customHeight="1">
      <c r="I522" s="67"/>
      <c r="J522" s="67"/>
      <c r="K522" s="67"/>
    </row>
    <row r="523" ht="12.75" customHeight="1">
      <c r="I523" s="67"/>
      <c r="J523" s="67"/>
      <c r="K523" s="67"/>
    </row>
    <row r="524" ht="12.75" customHeight="1">
      <c r="I524" s="67"/>
      <c r="J524" s="67"/>
      <c r="K524" s="67"/>
    </row>
    <row r="525" ht="12.75" customHeight="1">
      <c r="I525" s="67"/>
      <c r="J525" s="67"/>
      <c r="K525" s="67"/>
    </row>
    <row r="526" ht="12.75" customHeight="1">
      <c r="I526" s="67"/>
      <c r="J526" s="67"/>
      <c r="K526" s="67"/>
    </row>
    <row r="527" ht="12.75" customHeight="1">
      <c r="I527" s="67"/>
      <c r="J527" s="67"/>
      <c r="K527" s="67"/>
    </row>
    <row r="528" ht="12.75" customHeight="1">
      <c r="I528" s="67"/>
      <c r="J528" s="67"/>
      <c r="K528" s="67"/>
    </row>
    <row r="529" ht="12.75" customHeight="1">
      <c r="I529" s="67"/>
      <c r="J529" s="67"/>
      <c r="K529" s="67"/>
    </row>
    <row r="530" ht="12.75" customHeight="1">
      <c r="I530" s="67"/>
      <c r="J530" s="67"/>
      <c r="K530" s="67"/>
    </row>
    <row r="531" ht="12.75" customHeight="1">
      <c r="I531" s="67"/>
      <c r="J531" s="67"/>
      <c r="K531" s="67"/>
    </row>
    <row r="532" ht="12.75" customHeight="1">
      <c r="I532" s="67"/>
      <c r="J532" s="67"/>
      <c r="K532" s="67"/>
    </row>
    <row r="533" ht="12.75" customHeight="1">
      <c r="I533" s="67"/>
      <c r="J533" s="67"/>
      <c r="K533" s="67"/>
    </row>
    <row r="534" ht="12.75" customHeight="1">
      <c r="I534" s="67"/>
      <c r="J534" s="67"/>
      <c r="K534" s="67"/>
    </row>
    <row r="535" ht="12.75" customHeight="1">
      <c r="I535" s="67"/>
      <c r="J535" s="67"/>
      <c r="K535" s="67"/>
    </row>
    <row r="536" ht="12.75" customHeight="1">
      <c r="I536" s="67"/>
      <c r="J536" s="67"/>
      <c r="K536" s="67"/>
    </row>
    <row r="537" ht="12.75" customHeight="1">
      <c r="I537" s="67"/>
      <c r="J537" s="67"/>
      <c r="K537" s="67"/>
    </row>
    <row r="538" ht="12.75" customHeight="1">
      <c r="I538" s="67"/>
      <c r="J538" s="67"/>
      <c r="K538" s="67"/>
    </row>
    <row r="539" ht="12.75" customHeight="1">
      <c r="I539" s="67"/>
      <c r="J539" s="67"/>
      <c r="K539" s="67"/>
    </row>
    <row r="540" ht="12.75" customHeight="1">
      <c r="I540" s="67"/>
      <c r="J540" s="67"/>
      <c r="K540" s="67"/>
    </row>
    <row r="541" ht="12.75" customHeight="1">
      <c r="I541" s="67"/>
      <c r="J541" s="67"/>
      <c r="K541" s="67"/>
    </row>
    <row r="542" ht="12.75" customHeight="1">
      <c r="I542" s="67"/>
      <c r="J542" s="67"/>
      <c r="K542" s="67"/>
    </row>
    <row r="543" ht="12.75" customHeight="1">
      <c r="I543" s="67"/>
      <c r="J543" s="67"/>
      <c r="K543" s="67"/>
    </row>
    <row r="544" ht="12.75" customHeight="1">
      <c r="I544" s="67"/>
      <c r="J544" s="67"/>
      <c r="K544" s="67"/>
    </row>
    <row r="545" ht="12.75" customHeight="1">
      <c r="I545" s="67"/>
      <c r="J545" s="67"/>
      <c r="K545" s="67"/>
    </row>
    <row r="546" ht="12.75" customHeight="1">
      <c r="I546" s="67"/>
      <c r="J546" s="67"/>
      <c r="K546" s="67"/>
    </row>
    <row r="547" ht="12.75" customHeight="1">
      <c r="I547" s="67"/>
      <c r="J547" s="67"/>
      <c r="K547" s="67"/>
    </row>
    <row r="548" ht="12.75" customHeight="1">
      <c r="I548" s="67"/>
      <c r="J548" s="67"/>
      <c r="K548" s="67"/>
    </row>
    <row r="549" ht="12.75" customHeight="1">
      <c r="I549" s="67"/>
      <c r="J549" s="67"/>
      <c r="K549" s="67"/>
    </row>
    <row r="550" ht="12.75" customHeight="1">
      <c r="I550" s="67"/>
      <c r="J550" s="67"/>
      <c r="K550" s="67"/>
    </row>
    <row r="551" ht="12.75" customHeight="1">
      <c r="I551" s="67"/>
      <c r="J551" s="67"/>
      <c r="K551" s="67"/>
    </row>
    <row r="552" ht="12.75" customHeight="1">
      <c r="I552" s="67"/>
      <c r="J552" s="67"/>
      <c r="K552" s="67"/>
    </row>
    <row r="553" ht="12.75" customHeight="1">
      <c r="I553" s="67"/>
      <c r="J553" s="67"/>
      <c r="K553" s="67"/>
    </row>
    <row r="554" ht="12.75" customHeight="1">
      <c r="I554" s="67"/>
      <c r="J554" s="67"/>
      <c r="K554" s="67"/>
    </row>
    <row r="555" ht="12.75" customHeight="1">
      <c r="I555" s="67"/>
      <c r="J555" s="67"/>
      <c r="K555" s="67"/>
    </row>
    <row r="556" ht="12.75" customHeight="1">
      <c r="I556" s="67"/>
      <c r="J556" s="67"/>
      <c r="K556" s="67"/>
    </row>
    <row r="557" ht="12.75" customHeight="1">
      <c r="I557" s="67"/>
      <c r="J557" s="67"/>
      <c r="K557" s="67"/>
    </row>
    <row r="558" ht="12.75" customHeight="1">
      <c r="I558" s="67"/>
      <c r="J558" s="67"/>
      <c r="K558" s="67"/>
    </row>
    <row r="559" ht="12.75" customHeight="1">
      <c r="I559" s="67"/>
      <c r="J559" s="67"/>
      <c r="K559" s="67"/>
    </row>
    <row r="560" ht="12.75" customHeight="1">
      <c r="I560" s="67"/>
      <c r="J560" s="67"/>
      <c r="K560" s="67"/>
    </row>
    <row r="561" ht="12.75" customHeight="1">
      <c r="I561" s="67"/>
      <c r="J561" s="67"/>
      <c r="K561" s="67"/>
    </row>
    <row r="562" ht="12.75" customHeight="1">
      <c r="I562" s="67"/>
      <c r="J562" s="67"/>
      <c r="K562" s="67"/>
    </row>
    <row r="563" ht="12.75" customHeight="1">
      <c r="I563" s="67"/>
      <c r="J563" s="67"/>
      <c r="K563" s="67"/>
    </row>
    <row r="564" ht="12.75" customHeight="1">
      <c r="I564" s="67"/>
      <c r="J564" s="67"/>
      <c r="K564" s="67"/>
    </row>
    <row r="565" ht="12.75" customHeight="1">
      <c r="I565" s="67"/>
      <c r="J565" s="67"/>
      <c r="K565" s="67"/>
    </row>
    <row r="566" ht="12.75" customHeight="1">
      <c r="I566" s="67"/>
      <c r="J566" s="67"/>
      <c r="K566" s="67"/>
    </row>
    <row r="567" ht="12.75" customHeight="1">
      <c r="I567" s="67"/>
      <c r="J567" s="67"/>
      <c r="K567" s="67"/>
    </row>
    <row r="568" ht="12.75" customHeight="1">
      <c r="I568" s="67"/>
      <c r="J568" s="67"/>
      <c r="K568" s="67"/>
    </row>
    <row r="569" ht="12.75" customHeight="1">
      <c r="I569" s="67"/>
      <c r="J569" s="67"/>
      <c r="K569" s="67"/>
    </row>
    <row r="570" ht="12.75" customHeight="1">
      <c r="I570" s="67"/>
      <c r="J570" s="67"/>
      <c r="K570" s="67"/>
    </row>
    <row r="571" ht="12.75" customHeight="1">
      <c r="I571" s="67"/>
      <c r="J571" s="67"/>
      <c r="K571" s="67"/>
    </row>
    <row r="572" ht="12.75" customHeight="1">
      <c r="I572" s="67"/>
      <c r="J572" s="67"/>
      <c r="K572" s="67"/>
    </row>
    <row r="573" ht="12.75" customHeight="1">
      <c r="I573" s="67"/>
      <c r="J573" s="67"/>
      <c r="K573" s="67"/>
    </row>
    <row r="574" ht="12.75" customHeight="1">
      <c r="I574" s="67"/>
      <c r="J574" s="67"/>
      <c r="K574" s="67"/>
    </row>
    <row r="575" ht="12.75" customHeight="1">
      <c r="I575" s="67"/>
      <c r="J575" s="67"/>
      <c r="K575" s="67"/>
    </row>
    <row r="576" ht="12.75" customHeight="1">
      <c r="I576" s="67"/>
      <c r="J576" s="67"/>
      <c r="K576" s="67"/>
    </row>
    <row r="577" ht="12.75" customHeight="1">
      <c r="I577" s="67"/>
      <c r="J577" s="67"/>
      <c r="K577" s="67"/>
    </row>
    <row r="578" ht="12.75" customHeight="1">
      <c r="I578" s="67"/>
      <c r="J578" s="67"/>
      <c r="K578" s="67"/>
    </row>
    <row r="579" ht="12.75" customHeight="1">
      <c r="I579" s="67"/>
      <c r="J579" s="67"/>
      <c r="K579" s="67"/>
    </row>
    <row r="580" ht="12.75" customHeight="1">
      <c r="I580" s="67"/>
      <c r="J580" s="67"/>
      <c r="K580" s="67"/>
    </row>
    <row r="581" ht="12.75" customHeight="1">
      <c r="I581" s="67"/>
      <c r="J581" s="67"/>
      <c r="K581" s="67"/>
    </row>
    <row r="582" ht="12.75" customHeight="1">
      <c r="I582" s="67"/>
      <c r="J582" s="67"/>
      <c r="K582" s="67"/>
    </row>
    <row r="583" ht="12.75" customHeight="1">
      <c r="I583" s="67"/>
      <c r="J583" s="67"/>
      <c r="K583" s="67"/>
    </row>
    <row r="584" ht="12.75" customHeight="1">
      <c r="I584" s="67"/>
      <c r="J584" s="67"/>
      <c r="K584" s="67"/>
    </row>
    <row r="585" ht="12.75" customHeight="1">
      <c r="I585" s="67"/>
      <c r="J585" s="67"/>
      <c r="K585" s="67"/>
    </row>
    <row r="586" ht="12.75" customHeight="1">
      <c r="I586" s="67"/>
      <c r="J586" s="67"/>
      <c r="K586" s="67"/>
    </row>
    <row r="587" ht="12.75" customHeight="1">
      <c r="I587" s="67"/>
      <c r="J587" s="67"/>
      <c r="K587" s="67"/>
    </row>
    <row r="588" ht="12.75" customHeight="1">
      <c r="I588" s="67"/>
      <c r="J588" s="67"/>
      <c r="K588" s="67"/>
    </row>
    <row r="589" ht="12.75" customHeight="1">
      <c r="I589" s="67"/>
      <c r="J589" s="67"/>
      <c r="K589" s="67"/>
    </row>
    <row r="590" ht="12.75" customHeight="1">
      <c r="I590" s="67"/>
      <c r="J590" s="67"/>
      <c r="K590" s="67"/>
    </row>
    <row r="591" ht="12.75" customHeight="1">
      <c r="I591" s="67"/>
      <c r="J591" s="67"/>
      <c r="K591" s="67"/>
    </row>
    <row r="592" ht="12.75" customHeight="1">
      <c r="I592" s="67"/>
      <c r="J592" s="67"/>
      <c r="K592" s="67"/>
    </row>
    <row r="593" ht="12.75" customHeight="1">
      <c r="I593" s="67"/>
      <c r="J593" s="67"/>
      <c r="K593" s="67"/>
    </row>
    <row r="594" ht="12.75" customHeight="1">
      <c r="I594" s="67"/>
      <c r="J594" s="67"/>
      <c r="K594" s="67"/>
    </row>
    <row r="595" ht="12.75" customHeight="1">
      <c r="I595" s="67"/>
      <c r="J595" s="67"/>
      <c r="K595" s="67"/>
    </row>
    <row r="596" ht="12.75" customHeight="1">
      <c r="I596" s="67"/>
      <c r="J596" s="67"/>
      <c r="K596" s="67"/>
    </row>
    <row r="597" ht="12.75" customHeight="1">
      <c r="I597" s="67"/>
      <c r="J597" s="67"/>
      <c r="K597" s="67"/>
    </row>
    <row r="598" ht="12.75" customHeight="1">
      <c r="I598" s="67"/>
      <c r="J598" s="67"/>
      <c r="K598" s="67"/>
    </row>
    <row r="599" ht="12.75" customHeight="1">
      <c r="I599" s="67"/>
      <c r="J599" s="67"/>
      <c r="K599" s="67"/>
    </row>
    <row r="600" ht="12.75" customHeight="1">
      <c r="I600" s="67"/>
      <c r="J600" s="67"/>
      <c r="K600" s="67"/>
    </row>
    <row r="601" ht="12.75" customHeight="1">
      <c r="I601" s="67"/>
      <c r="J601" s="67"/>
      <c r="K601" s="67"/>
    </row>
    <row r="602" ht="12.75" customHeight="1">
      <c r="I602" s="67"/>
      <c r="J602" s="67"/>
      <c r="K602" s="67"/>
    </row>
    <row r="603" ht="12.75" customHeight="1">
      <c r="I603" s="67"/>
      <c r="J603" s="67"/>
      <c r="K603" s="67"/>
    </row>
    <row r="604" ht="12.75" customHeight="1">
      <c r="I604" s="67"/>
      <c r="J604" s="67"/>
      <c r="K604" s="67"/>
    </row>
    <row r="605" ht="12.75" customHeight="1">
      <c r="I605" s="67"/>
      <c r="J605" s="67"/>
      <c r="K605" s="67"/>
    </row>
    <row r="606" ht="12.75" customHeight="1">
      <c r="I606" s="67"/>
      <c r="J606" s="67"/>
      <c r="K606" s="67"/>
    </row>
    <row r="607" ht="12.75" customHeight="1">
      <c r="I607" s="67"/>
      <c r="J607" s="67"/>
      <c r="K607" s="67"/>
    </row>
    <row r="608" ht="12.75" customHeight="1">
      <c r="I608" s="67"/>
      <c r="J608" s="67"/>
      <c r="K608" s="67"/>
    </row>
    <row r="609" ht="12.75" customHeight="1">
      <c r="I609" s="67"/>
      <c r="J609" s="67"/>
      <c r="K609" s="67"/>
    </row>
    <row r="610" ht="12.75" customHeight="1">
      <c r="I610" s="67"/>
      <c r="J610" s="67"/>
      <c r="K610" s="67"/>
    </row>
    <row r="611" ht="12.75" customHeight="1">
      <c r="I611" s="67"/>
      <c r="J611" s="67"/>
      <c r="K611" s="67"/>
    </row>
    <row r="612" ht="12.75" customHeight="1">
      <c r="I612" s="67"/>
      <c r="J612" s="67"/>
      <c r="K612" s="67"/>
    </row>
    <row r="613" ht="12.75" customHeight="1">
      <c r="I613" s="67"/>
      <c r="J613" s="67"/>
      <c r="K613" s="67"/>
    </row>
    <row r="614" ht="12.75" customHeight="1">
      <c r="I614" s="67"/>
      <c r="J614" s="67"/>
      <c r="K614" s="67"/>
    </row>
    <row r="615" ht="12.75" customHeight="1">
      <c r="I615" s="67"/>
      <c r="J615" s="67"/>
      <c r="K615" s="67"/>
    </row>
    <row r="616" ht="12.75" customHeight="1">
      <c r="I616" s="67"/>
      <c r="J616" s="67"/>
      <c r="K616" s="67"/>
    </row>
    <row r="617" ht="12.75" customHeight="1">
      <c r="I617" s="67"/>
      <c r="J617" s="67"/>
      <c r="K617" s="67"/>
    </row>
    <row r="618" ht="12.75" customHeight="1">
      <c r="I618" s="67"/>
      <c r="J618" s="67"/>
      <c r="K618" s="67"/>
    </row>
    <row r="619" ht="12.75" customHeight="1">
      <c r="I619" s="67"/>
      <c r="J619" s="67"/>
      <c r="K619" s="67"/>
    </row>
    <row r="620" ht="12.75" customHeight="1">
      <c r="I620" s="67"/>
      <c r="J620" s="67"/>
      <c r="K620" s="67"/>
    </row>
    <row r="621" ht="12.75" customHeight="1">
      <c r="I621" s="67"/>
      <c r="J621" s="67"/>
      <c r="K621" s="67"/>
    </row>
    <row r="622" ht="12.75" customHeight="1">
      <c r="I622" s="67"/>
      <c r="J622" s="67"/>
      <c r="K622" s="67"/>
    </row>
    <row r="623" ht="12.75" customHeight="1">
      <c r="I623" s="67"/>
      <c r="J623" s="67"/>
      <c r="K623" s="67"/>
    </row>
    <row r="624" ht="12.75" customHeight="1">
      <c r="I624" s="67"/>
      <c r="J624" s="67"/>
      <c r="K624" s="67"/>
    </row>
    <row r="625" ht="12.75" customHeight="1">
      <c r="I625" s="67"/>
      <c r="J625" s="67"/>
      <c r="K625" s="67"/>
    </row>
    <row r="626" ht="12.75" customHeight="1">
      <c r="I626" s="67"/>
      <c r="J626" s="67"/>
      <c r="K626" s="67"/>
    </row>
    <row r="627" ht="12.75" customHeight="1">
      <c r="I627" s="67"/>
      <c r="J627" s="67"/>
      <c r="K627" s="67"/>
    </row>
    <row r="628" ht="12.75" customHeight="1">
      <c r="I628" s="67"/>
      <c r="J628" s="67"/>
      <c r="K628" s="67"/>
    </row>
    <row r="629" ht="12.75" customHeight="1">
      <c r="I629" s="67"/>
      <c r="J629" s="67"/>
      <c r="K629" s="67"/>
    </row>
    <row r="630" ht="12.75" customHeight="1">
      <c r="I630" s="67"/>
      <c r="J630" s="67"/>
      <c r="K630" s="67"/>
    </row>
    <row r="631" ht="12.75" customHeight="1">
      <c r="I631" s="67"/>
      <c r="J631" s="67"/>
      <c r="K631" s="67"/>
    </row>
    <row r="632" ht="12.75" customHeight="1">
      <c r="I632" s="67"/>
      <c r="J632" s="67"/>
      <c r="K632" s="67"/>
    </row>
    <row r="633" ht="12.75" customHeight="1">
      <c r="I633" s="67"/>
      <c r="J633" s="67"/>
      <c r="K633" s="67"/>
    </row>
    <row r="634" ht="12.75" customHeight="1">
      <c r="I634" s="67"/>
      <c r="J634" s="67"/>
      <c r="K634" s="67"/>
    </row>
    <row r="635" ht="12.75" customHeight="1">
      <c r="I635" s="67"/>
      <c r="J635" s="67"/>
      <c r="K635" s="67"/>
    </row>
    <row r="636" ht="12.75" customHeight="1">
      <c r="I636" s="67"/>
      <c r="J636" s="67"/>
      <c r="K636" s="67"/>
    </row>
    <row r="637" ht="12.75" customHeight="1">
      <c r="I637" s="67"/>
      <c r="J637" s="67"/>
      <c r="K637" s="67"/>
    </row>
    <row r="638" ht="12.75" customHeight="1">
      <c r="I638" s="67"/>
      <c r="J638" s="67"/>
      <c r="K638" s="67"/>
    </row>
    <row r="639" ht="12.75" customHeight="1">
      <c r="I639" s="67"/>
      <c r="J639" s="67"/>
      <c r="K639" s="67"/>
    </row>
    <row r="640" ht="12.75" customHeight="1">
      <c r="I640" s="67"/>
      <c r="J640" s="67"/>
      <c r="K640" s="67"/>
    </row>
    <row r="641" ht="12.75" customHeight="1">
      <c r="I641" s="67"/>
      <c r="J641" s="67"/>
      <c r="K641" s="67"/>
    </row>
    <row r="642" ht="12.75" customHeight="1">
      <c r="I642" s="67"/>
      <c r="J642" s="67"/>
      <c r="K642" s="67"/>
    </row>
    <row r="643" ht="12.75" customHeight="1">
      <c r="I643" s="67"/>
      <c r="J643" s="67"/>
      <c r="K643" s="67"/>
    </row>
    <row r="644" ht="12.75" customHeight="1">
      <c r="I644" s="67"/>
      <c r="J644" s="67"/>
      <c r="K644" s="67"/>
    </row>
    <row r="645" ht="12.75" customHeight="1">
      <c r="I645" s="67"/>
      <c r="J645" s="67"/>
      <c r="K645" s="67"/>
    </row>
    <row r="646" ht="12.75" customHeight="1">
      <c r="I646" s="67"/>
      <c r="J646" s="67"/>
      <c r="K646" s="67"/>
    </row>
    <row r="647" ht="12.75" customHeight="1">
      <c r="I647" s="67"/>
      <c r="J647" s="67"/>
      <c r="K647" s="67"/>
    </row>
    <row r="648" ht="12.75" customHeight="1">
      <c r="I648" s="67"/>
      <c r="J648" s="67"/>
      <c r="K648" s="67"/>
    </row>
    <row r="649" ht="12.75" customHeight="1">
      <c r="I649" s="67"/>
      <c r="J649" s="67"/>
      <c r="K649" s="67"/>
    </row>
    <row r="650" ht="12.75" customHeight="1">
      <c r="I650" s="67"/>
      <c r="J650" s="67"/>
      <c r="K650" s="67"/>
    </row>
    <row r="651" ht="12.75" customHeight="1">
      <c r="I651" s="67"/>
      <c r="J651" s="67"/>
      <c r="K651" s="67"/>
    </row>
    <row r="652" ht="12.75" customHeight="1">
      <c r="I652" s="67"/>
      <c r="J652" s="67"/>
      <c r="K652" s="67"/>
    </row>
    <row r="653" ht="12.75" customHeight="1">
      <c r="I653" s="67"/>
      <c r="J653" s="67"/>
      <c r="K653" s="67"/>
    </row>
    <row r="654" ht="12.75" customHeight="1">
      <c r="I654" s="67"/>
      <c r="J654" s="67"/>
      <c r="K654" s="67"/>
    </row>
    <row r="655" ht="12.75" customHeight="1">
      <c r="I655" s="67"/>
      <c r="J655" s="67"/>
      <c r="K655" s="67"/>
    </row>
    <row r="656" ht="12.75" customHeight="1">
      <c r="I656" s="67"/>
      <c r="J656" s="67"/>
      <c r="K656" s="67"/>
    </row>
    <row r="657" ht="12.75" customHeight="1">
      <c r="I657" s="67"/>
      <c r="J657" s="67"/>
      <c r="K657" s="67"/>
    </row>
    <row r="658" ht="12.75" customHeight="1">
      <c r="I658" s="67"/>
      <c r="J658" s="67"/>
      <c r="K658" s="67"/>
    </row>
    <row r="659" ht="12.75" customHeight="1">
      <c r="I659" s="67"/>
      <c r="J659" s="67"/>
      <c r="K659" s="67"/>
    </row>
    <row r="660" ht="12.75" customHeight="1">
      <c r="I660" s="67"/>
      <c r="J660" s="67"/>
      <c r="K660" s="67"/>
    </row>
    <row r="661" ht="12.75" customHeight="1">
      <c r="I661" s="67"/>
      <c r="J661" s="67"/>
      <c r="K661" s="67"/>
    </row>
    <row r="662" ht="12.75" customHeight="1">
      <c r="I662" s="67"/>
      <c r="J662" s="67"/>
      <c r="K662" s="67"/>
    </row>
    <row r="663" ht="12.75" customHeight="1">
      <c r="I663" s="67"/>
      <c r="J663" s="67"/>
      <c r="K663" s="67"/>
    </row>
    <row r="664" ht="12.75" customHeight="1">
      <c r="I664" s="67"/>
      <c r="J664" s="67"/>
      <c r="K664" s="67"/>
    </row>
    <row r="665" ht="12.75" customHeight="1">
      <c r="I665" s="67"/>
      <c r="J665" s="67"/>
      <c r="K665" s="67"/>
    </row>
    <row r="666" ht="12.75" customHeight="1">
      <c r="I666" s="67"/>
      <c r="J666" s="67"/>
      <c r="K666" s="67"/>
    </row>
    <row r="667" ht="12.75" customHeight="1">
      <c r="I667" s="67"/>
      <c r="J667" s="67"/>
      <c r="K667" s="67"/>
    </row>
    <row r="668" ht="12.75" customHeight="1">
      <c r="I668" s="67"/>
      <c r="J668" s="67"/>
      <c r="K668" s="67"/>
    </row>
    <row r="669" ht="12.75" customHeight="1">
      <c r="I669" s="67"/>
      <c r="J669" s="67"/>
      <c r="K669" s="67"/>
    </row>
    <row r="670" ht="12.75" customHeight="1">
      <c r="I670" s="67"/>
      <c r="J670" s="67"/>
      <c r="K670" s="67"/>
    </row>
    <row r="671" ht="12.75" customHeight="1">
      <c r="I671" s="67"/>
      <c r="J671" s="67"/>
      <c r="K671" s="67"/>
    </row>
    <row r="672" ht="12.75" customHeight="1">
      <c r="I672" s="67"/>
      <c r="J672" s="67"/>
      <c r="K672" s="67"/>
    </row>
    <row r="673" ht="12.75" customHeight="1">
      <c r="I673" s="67"/>
      <c r="J673" s="67"/>
      <c r="K673" s="67"/>
    </row>
    <row r="674" ht="12.75" customHeight="1">
      <c r="I674" s="67"/>
      <c r="J674" s="67"/>
      <c r="K674" s="67"/>
    </row>
    <row r="675" ht="12.75" customHeight="1">
      <c r="I675" s="67"/>
      <c r="J675" s="67"/>
      <c r="K675" s="67"/>
    </row>
    <row r="676" ht="12.75" customHeight="1">
      <c r="I676" s="67"/>
      <c r="J676" s="67"/>
      <c r="K676" s="67"/>
    </row>
    <row r="677" ht="12.75" customHeight="1">
      <c r="I677" s="67"/>
      <c r="J677" s="67"/>
      <c r="K677" s="67"/>
    </row>
    <row r="678" ht="12.75" customHeight="1">
      <c r="I678" s="67"/>
      <c r="J678" s="67"/>
      <c r="K678" s="67"/>
    </row>
    <row r="679" ht="12.75" customHeight="1">
      <c r="I679" s="67"/>
      <c r="J679" s="67"/>
      <c r="K679" s="67"/>
    </row>
    <row r="680" ht="12.75" customHeight="1">
      <c r="I680" s="67"/>
      <c r="J680" s="67"/>
      <c r="K680" s="67"/>
    </row>
    <row r="681" ht="12.75" customHeight="1">
      <c r="I681" s="67"/>
      <c r="J681" s="67"/>
      <c r="K681" s="67"/>
    </row>
    <row r="682" ht="12.75" customHeight="1">
      <c r="I682" s="67"/>
      <c r="J682" s="67"/>
      <c r="K682" s="67"/>
    </row>
    <row r="683" ht="12.75" customHeight="1">
      <c r="I683" s="67"/>
      <c r="J683" s="67"/>
      <c r="K683" s="67"/>
    </row>
    <row r="684" ht="12.75" customHeight="1">
      <c r="I684" s="67"/>
      <c r="J684" s="67"/>
      <c r="K684" s="67"/>
    </row>
    <row r="685" ht="12.75" customHeight="1">
      <c r="I685" s="67"/>
      <c r="J685" s="67"/>
      <c r="K685" s="67"/>
    </row>
    <row r="686" ht="12.75" customHeight="1">
      <c r="I686" s="67"/>
      <c r="J686" s="67"/>
      <c r="K686" s="67"/>
    </row>
    <row r="687" ht="12.75" customHeight="1">
      <c r="I687" s="67"/>
      <c r="J687" s="67"/>
      <c r="K687" s="67"/>
    </row>
    <row r="688" ht="12.75" customHeight="1">
      <c r="I688" s="67"/>
      <c r="J688" s="67"/>
      <c r="K688" s="67"/>
    </row>
    <row r="689" ht="12.75" customHeight="1">
      <c r="I689" s="67"/>
      <c r="J689" s="67"/>
      <c r="K689" s="67"/>
    </row>
    <row r="690" ht="12.75" customHeight="1">
      <c r="I690" s="67"/>
      <c r="J690" s="67"/>
      <c r="K690" s="67"/>
    </row>
    <row r="691" ht="12.75" customHeight="1">
      <c r="I691" s="67"/>
      <c r="J691" s="67"/>
      <c r="K691" s="67"/>
    </row>
    <row r="692" ht="12.75" customHeight="1">
      <c r="I692" s="67"/>
      <c r="J692" s="67"/>
      <c r="K692" s="67"/>
    </row>
    <row r="693" ht="12.75" customHeight="1">
      <c r="I693" s="67"/>
      <c r="J693" s="67"/>
      <c r="K693" s="67"/>
    </row>
    <row r="694" ht="12.75" customHeight="1">
      <c r="I694" s="67"/>
      <c r="J694" s="67"/>
      <c r="K694" s="67"/>
    </row>
    <row r="695" ht="12.75" customHeight="1">
      <c r="I695" s="67"/>
      <c r="J695" s="67"/>
      <c r="K695" s="67"/>
    </row>
    <row r="696" ht="12.75" customHeight="1">
      <c r="I696" s="67"/>
      <c r="J696" s="67"/>
      <c r="K696" s="67"/>
    </row>
    <row r="697" ht="12.75" customHeight="1">
      <c r="I697" s="67"/>
      <c r="J697" s="67"/>
      <c r="K697" s="67"/>
    </row>
    <row r="698" ht="12.75" customHeight="1">
      <c r="I698" s="67"/>
      <c r="J698" s="67"/>
      <c r="K698" s="67"/>
    </row>
    <row r="699" ht="12.75" customHeight="1">
      <c r="I699" s="67"/>
      <c r="J699" s="67"/>
      <c r="K699" s="67"/>
    </row>
    <row r="700" ht="12.75" customHeight="1">
      <c r="I700" s="67"/>
      <c r="J700" s="67"/>
      <c r="K700" s="67"/>
    </row>
    <row r="701" ht="12.75" customHeight="1">
      <c r="I701" s="67"/>
      <c r="J701" s="67"/>
      <c r="K701" s="67"/>
    </row>
    <row r="702" ht="12.75" customHeight="1">
      <c r="I702" s="67"/>
      <c r="J702" s="67"/>
      <c r="K702" s="67"/>
    </row>
    <row r="703" ht="12.75" customHeight="1">
      <c r="I703" s="67"/>
      <c r="J703" s="67"/>
      <c r="K703" s="67"/>
    </row>
    <row r="704" ht="12.75" customHeight="1">
      <c r="I704" s="67"/>
      <c r="J704" s="67"/>
      <c r="K704" s="67"/>
    </row>
    <row r="705" ht="12.75" customHeight="1">
      <c r="I705" s="67"/>
      <c r="J705" s="67"/>
      <c r="K705" s="67"/>
    </row>
    <row r="706" ht="12.75" customHeight="1">
      <c r="I706" s="67"/>
      <c r="J706" s="67"/>
      <c r="K706" s="67"/>
    </row>
    <row r="707" ht="12.75" customHeight="1">
      <c r="I707" s="67"/>
      <c r="J707" s="67"/>
      <c r="K707" s="67"/>
    </row>
    <row r="708" ht="12.75" customHeight="1">
      <c r="I708" s="67"/>
      <c r="J708" s="67"/>
      <c r="K708" s="67"/>
    </row>
    <row r="709" ht="12.75" customHeight="1">
      <c r="I709" s="67"/>
      <c r="J709" s="67"/>
      <c r="K709" s="67"/>
    </row>
    <row r="710" ht="12.75" customHeight="1">
      <c r="I710" s="67"/>
      <c r="J710" s="67"/>
      <c r="K710" s="67"/>
    </row>
    <row r="711" ht="12.75" customHeight="1">
      <c r="I711" s="67"/>
      <c r="J711" s="67"/>
      <c r="K711" s="67"/>
    </row>
    <row r="712" ht="12.75" customHeight="1">
      <c r="I712" s="67"/>
      <c r="J712" s="67"/>
      <c r="K712" s="67"/>
    </row>
    <row r="713" ht="12.75" customHeight="1">
      <c r="I713" s="67"/>
      <c r="J713" s="67"/>
      <c r="K713" s="67"/>
    </row>
    <row r="714" ht="12.75" customHeight="1">
      <c r="I714" s="67"/>
      <c r="J714" s="67"/>
      <c r="K714" s="67"/>
    </row>
    <row r="715" ht="12.75" customHeight="1">
      <c r="I715" s="67"/>
      <c r="J715" s="67"/>
      <c r="K715" s="67"/>
    </row>
    <row r="716" ht="12.75" customHeight="1">
      <c r="I716" s="67"/>
      <c r="J716" s="67"/>
      <c r="K716" s="67"/>
    </row>
    <row r="717" ht="12.75" customHeight="1">
      <c r="I717" s="67"/>
      <c r="J717" s="67"/>
      <c r="K717" s="67"/>
    </row>
    <row r="718" ht="12.75" customHeight="1">
      <c r="I718" s="67"/>
      <c r="J718" s="67"/>
      <c r="K718" s="67"/>
    </row>
    <row r="719" ht="12.75" customHeight="1">
      <c r="I719" s="67"/>
      <c r="J719" s="67"/>
      <c r="K719" s="67"/>
    </row>
    <row r="720" ht="12.75" customHeight="1">
      <c r="I720" s="67"/>
      <c r="J720" s="67"/>
      <c r="K720" s="67"/>
    </row>
    <row r="721" ht="12.75" customHeight="1">
      <c r="I721" s="67"/>
      <c r="J721" s="67"/>
      <c r="K721" s="67"/>
    </row>
    <row r="722" ht="12.75" customHeight="1">
      <c r="I722" s="67"/>
      <c r="J722" s="67"/>
      <c r="K722" s="67"/>
    </row>
    <row r="723" ht="12.75" customHeight="1">
      <c r="I723" s="67"/>
      <c r="J723" s="67"/>
      <c r="K723" s="67"/>
    </row>
    <row r="724" ht="12.75" customHeight="1">
      <c r="I724" s="67"/>
      <c r="J724" s="67"/>
      <c r="K724" s="67"/>
    </row>
    <row r="725" ht="12.75" customHeight="1">
      <c r="I725" s="67"/>
      <c r="J725" s="67"/>
      <c r="K725" s="67"/>
    </row>
    <row r="726" ht="12.75" customHeight="1">
      <c r="I726" s="67"/>
      <c r="J726" s="67"/>
      <c r="K726" s="67"/>
    </row>
    <row r="727" ht="12.75" customHeight="1">
      <c r="I727" s="67"/>
      <c r="J727" s="67"/>
      <c r="K727" s="67"/>
    </row>
    <row r="728" ht="12.75" customHeight="1">
      <c r="I728" s="67"/>
      <c r="J728" s="67"/>
      <c r="K728" s="67"/>
    </row>
    <row r="729" ht="12.75" customHeight="1">
      <c r="I729" s="67"/>
      <c r="J729" s="67"/>
      <c r="K729" s="67"/>
    </row>
    <row r="730" ht="12.75" customHeight="1">
      <c r="I730" s="67"/>
      <c r="J730" s="67"/>
      <c r="K730" s="67"/>
    </row>
    <row r="731" ht="12.75" customHeight="1">
      <c r="I731" s="67"/>
      <c r="J731" s="67"/>
      <c r="K731" s="67"/>
    </row>
    <row r="732" ht="12.75" customHeight="1">
      <c r="I732" s="67"/>
      <c r="J732" s="67"/>
      <c r="K732" s="67"/>
    </row>
    <row r="733" ht="12.75" customHeight="1">
      <c r="I733" s="67"/>
      <c r="J733" s="67"/>
      <c r="K733" s="67"/>
    </row>
    <row r="734" ht="12.75" customHeight="1">
      <c r="I734" s="67"/>
      <c r="J734" s="67"/>
      <c r="K734" s="67"/>
    </row>
    <row r="735" ht="12.75" customHeight="1">
      <c r="I735" s="67"/>
      <c r="J735" s="67"/>
      <c r="K735" s="67"/>
    </row>
    <row r="736" ht="12.75" customHeight="1">
      <c r="I736" s="67"/>
      <c r="J736" s="67"/>
      <c r="K736" s="67"/>
    </row>
    <row r="737" ht="12.75" customHeight="1">
      <c r="I737" s="67"/>
      <c r="J737" s="67"/>
      <c r="K737" s="67"/>
    </row>
    <row r="738" ht="12.75" customHeight="1">
      <c r="I738" s="67"/>
      <c r="J738" s="67"/>
      <c r="K738" s="67"/>
    </row>
    <row r="739" ht="12.75" customHeight="1">
      <c r="I739" s="67"/>
      <c r="J739" s="67"/>
      <c r="K739" s="67"/>
    </row>
    <row r="740" ht="12.75" customHeight="1">
      <c r="I740" s="67"/>
      <c r="J740" s="67"/>
      <c r="K740" s="67"/>
    </row>
    <row r="741" ht="12.75" customHeight="1">
      <c r="I741" s="67"/>
      <c r="J741" s="67"/>
      <c r="K741" s="67"/>
    </row>
    <row r="742" ht="12.75" customHeight="1">
      <c r="I742" s="67"/>
      <c r="J742" s="67"/>
      <c r="K742" s="67"/>
    </row>
    <row r="743" ht="12.75" customHeight="1">
      <c r="I743" s="67"/>
      <c r="J743" s="67"/>
      <c r="K743" s="67"/>
    </row>
    <row r="744" ht="12.75" customHeight="1">
      <c r="I744" s="67"/>
      <c r="J744" s="67"/>
      <c r="K744" s="67"/>
    </row>
    <row r="745" ht="12.75" customHeight="1">
      <c r="I745" s="67"/>
      <c r="J745" s="67"/>
      <c r="K745" s="67"/>
    </row>
    <row r="746" ht="12.75" customHeight="1">
      <c r="I746" s="67"/>
      <c r="J746" s="67"/>
      <c r="K746" s="67"/>
    </row>
    <row r="747" ht="12.75" customHeight="1">
      <c r="I747" s="67"/>
      <c r="J747" s="67"/>
      <c r="K747" s="67"/>
    </row>
    <row r="748" ht="12.75" customHeight="1">
      <c r="I748" s="67"/>
      <c r="J748" s="67"/>
      <c r="K748" s="67"/>
    </row>
    <row r="749" ht="12.75" customHeight="1">
      <c r="I749" s="67"/>
      <c r="J749" s="67"/>
      <c r="K749" s="67"/>
    </row>
    <row r="750" ht="12.75" customHeight="1">
      <c r="I750" s="67"/>
      <c r="J750" s="67"/>
      <c r="K750" s="67"/>
    </row>
    <row r="751" ht="12.75" customHeight="1">
      <c r="I751" s="67"/>
      <c r="J751" s="67"/>
      <c r="K751" s="67"/>
    </row>
    <row r="752" ht="12.75" customHeight="1">
      <c r="I752" s="67"/>
      <c r="J752" s="67"/>
      <c r="K752" s="67"/>
    </row>
    <row r="753" ht="12.75" customHeight="1">
      <c r="I753" s="67"/>
      <c r="J753" s="67"/>
      <c r="K753" s="67"/>
    </row>
    <row r="754" ht="12.75" customHeight="1">
      <c r="I754" s="67"/>
      <c r="J754" s="67"/>
      <c r="K754" s="67"/>
    </row>
    <row r="755" ht="12.75" customHeight="1">
      <c r="I755" s="67"/>
      <c r="J755" s="67"/>
      <c r="K755" s="67"/>
    </row>
    <row r="756" ht="12.75" customHeight="1">
      <c r="I756" s="67"/>
      <c r="J756" s="67"/>
      <c r="K756" s="67"/>
    </row>
    <row r="757" ht="12.75" customHeight="1">
      <c r="I757" s="67"/>
      <c r="J757" s="67"/>
      <c r="K757" s="67"/>
    </row>
    <row r="758" ht="12.75" customHeight="1">
      <c r="I758" s="67"/>
      <c r="J758" s="67"/>
      <c r="K758" s="67"/>
    </row>
    <row r="759" ht="12.75" customHeight="1">
      <c r="I759" s="67"/>
      <c r="J759" s="67"/>
      <c r="K759" s="67"/>
    </row>
    <row r="760" ht="12.75" customHeight="1">
      <c r="I760" s="67"/>
      <c r="J760" s="67"/>
      <c r="K760" s="67"/>
    </row>
    <row r="761" ht="12.75" customHeight="1">
      <c r="I761" s="67"/>
      <c r="J761" s="67"/>
      <c r="K761" s="67"/>
    </row>
    <row r="762" ht="12.75" customHeight="1">
      <c r="I762" s="67"/>
      <c r="J762" s="67"/>
      <c r="K762" s="67"/>
    </row>
    <row r="763" ht="12.75" customHeight="1">
      <c r="I763" s="67"/>
      <c r="J763" s="67"/>
      <c r="K763" s="67"/>
    </row>
    <row r="764" ht="12.75" customHeight="1">
      <c r="I764" s="67"/>
      <c r="J764" s="67"/>
      <c r="K764" s="67"/>
    </row>
    <row r="765" ht="12.75" customHeight="1">
      <c r="I765" s="67"/>
      <c r="J765" s="67"/>
      <c r="K765" s="67"/>
    </row>
    <row r="766" ht="12.75" customHeight="1">
      <c r="I766" s="67"/>
      <c r="J766" s="67"/>
      <c r="K766" s="67"/>
    </row>
    <row r="767" ht="12.75" customHeight="1">
      <c r="I767" s="67"/>
      <c r="J767" s="67"/>
      <c r="K767" s="67"/>
    </row>
    <row r="768" ht="12.75" customHeight="1">
      <c r="I768" s="67"/>
      <c r="J768" s="67"/>
      <c r="K768" s="67"/>
    </row>
    <row r="769" ht="12.75" customHeight="1">
      <c r="I769" s="67"/>
      <c r="J769" s="67"/>
      <c r="K769" s="67"/>
    </row>
    <row r="770" ht="12.75" customHeight="1">
      <c r="I770" s="67"/>
      <c r="J770" s="67"/>
      <c r="K770" s="67"/>
    </row>
    <row r="771" ht="12.75" customHeight="1">
      <c r="I771" s="67"/>
      <c r="J771" s="67"/>
      <c r="K771" s="67"/>
    </row>
    <row r="772" ht="12.75" customHeight="1">
      <c r="I772" s="67"/>
      <c r="J772" s="67"/>
      <c r="K772" s="67"/>
    </row>
    <row r="773" ht="12.75" customHeight="1">
      <c r="I773" s="67"/>
      <c r="J773" s="67"/>
      <c r="K773" s="67"/>
    </row>
    <row r="774" ht="12.75" customHeight="1">
      <c r="I774" s="67"/>
      <c r="J774" s="67"/>
      <c r="K774" s="67"/>
    </row>
    <row r="775" ht="12.75" customHeight="1">
      <c r="I775" s="67"/>
      <c r="J775" s="67"/>
      <c r="K775" s="67"/>
    </row>
    <row r="776" ht="12.75" customHeight="1">
      <c r="I776" s="67"/>
      <c r="J776" s="67"/>
      <c r="K776" s="67"/>
    </row>
    <row r="777" ht="12.75" customHeight="1">
      <c r="I777" s="67"/>
      <c r="J777" s="67"/>
      <c r="K777" s="67"/>
    </row>
    <row r="778" ht="12.75" customHeight="1">
      <c r="I778" s="67"/>
      <c r="J778" s="67"/>
      <c r="K778" s="67"/>
    </row>
    <row r="779" ht="12.75" customHeight="1">
      <c r="I779" s="67"/>
      <c r="J779" s="67"/>
      <c r="K779" s="67"/>
    </row>
    <row r="780" ht="12.75" customHeight="1">
      <c r="I780" s="67"/>
      <c r="J780" s="67"/>
      <c r="K780" s="67"/>
    </row>
    <row r="781" ht="12.75" customHeight="1">
      <c r="I781" s="67"/>
      <c r="J781" s="67"/>
      <c r="K781" s="67"/>
    </row>
    <row r="782" ht="12.75" customHeight="1">
      <c r="I782" s="67"/>
      <c r="J782" s="67"/>
      <c r="K782" s="67"/>
    </row>
    <row r="783" ht="12.75" customHeight="1">
      <c r="I783" s="67"/>
      <c r="J783" s="67"/>
      <c r="K783" s="67"/>
    </row>
    <row r="784" ht="12.75" customHeight="1">
      <c r="I784" s="67"/>
      <c r="J784" s="67"/>
      <c r="K784" s="67"/>
    </row>
    <row r="785" ht="12.75" customHeight="1">
      <c r="I785" s="67"/>
      <c r="J785" s="67"/>
      <c r="K785" s="67"/>
    </row>
    <row r="786" ht="12.75" customHeight="1">
      <c r="I786" s="67"/>
      <c r="J786" s="67"/>
      <c r="K786" s="67"/>
    </row>
    <row r="787" ht="12.75" customHeight="1">
      <c r="I787" s="67"/>
      <c r="J787" s="67"/>
      <c r="K787" s="67"/>
    </row>
    <row r="788" ht="12.75" customHeight="1">
      <c r="I788" s="67"/>
      <c r="J788" s="67"/>
      <c r="K788" s="67"/>
    </row>
    <row r="789" ht="12.75" customHeight="1">
      <c r="I789" s="67"/>
      <c r="J789" s="67"/>
      <c r="K789" s="67"/>
    </row>
    <row r="790" ht="12.75" customHeight="1">
      <c r="I790" s="67"/>
      <c r="J790" s="67"/>
      <c r="K790" s="67"/>
    </row>
    <row r="791" ht="12.75" customHeight="1">
      <c r="I791" s="67"/>
      <c r="J791" s="67"/>
      <c r="K791" s="67"/>
    </row>
    <row r="792" ht="12.75" customHeight="1">
      <c r="I792" s="67"/>
      <c r="J792" s="67"/>
      <c r="K792" s="67"/>
    </row>
    <row r="793" ht="12.75" customHeight="1">
      <c r="I793" s="67"/>
      <c r="J793" s="67"/>
      <c r="K793" s="67"/>
    </row>
    <row r="794" ht="12.75" customHeight="1">
      <c r="I794" s="67"/>
      <c r="J794" s="67"/>
      <c r="K794" s="67"/>
    </row>
    <row r="795" ht="12.75" customHeight="1">
      <c r="I795" s="67"/>
      <c r="J795" s="67"/>
      <c r="K795" s="67"/>
    </row>
    <row r="796" ht="12.75" customHeight="1">
      <c r="I796" s="67"/>
      <c r="J796" s="67"/>
      <c r="K796" s="67"/>
    </row>
    <row r="797" ht="12.75" customHeight="1">
      <c r="I797" s="67"/>
      <c r="J797" s="67"/>
      <c r="K797" s="67"/>
    </row>
    <row r="798" ht="12.75" customHeight="1">
      <c r="I798" s="67"/>
      <c r="J798" s="67"/>
      <c r="K798" s="67"/>
    </row>
    <row r="799" ht="12.75" customHeight="1">
      <c r="I799" s="67"/>
      <c r="J799" s="67"/>
      <c r="K799" s="67"/>
    </row>
    <row r="800" ht="12.75" customHeight="1">
      <c r="I800" s="67"/>
      <c r="J800" s="67"/>
      <c r="K800" s="67"/>
    </row>
    <row r="801" ht="12.75" customHeight="1">
      <c r="I801" s="67"/>
      <c r="J801" s="67"/>
      <c r="K801" s="67"/>
    </row>
    <row r="802" ht="12.75" customHeight="1">
      <c r="I802" s="67"/>
      <c r="J802" s="67"/>
      <c r="K802" s="67"/>
    </row>
    <row r="803" ht="12.75" customHeight="1">
      <c r="I803" s="67"/>
      <c r="J803" s="67"/>
      <c r="K803" s="67"/>
    </row>
    <row r="804" ht="12.75" customHeight="1">
      <c r="I804" s="67"/>
      <c r="J804" s="67"/>
      <c r="K804" s="67"/>
    </row>
    <row r="805" ht="12.75" customHeight="1">
      <c r="I805" s="67"/>
      <c r="J805" s="67"/>
      <c r="K805" s="67"/>
    </row>
    <row r="806" ht="12.75" customHeight="1">
      <c r="I806" s="67"/>
      <c r="J806" s="67"/>
      <c r="K806" s="67"/>
    </row>
    <row r="807" ht="12.75" customHeight="1">
      <c r="I807" s="67"/>
      <c r="J807" s="67"/>
      <c r="K807" s="67"/>
    </row>
    <row r="808" ht="12.75" customHeight="1">
      <c r="I808" s="67"/>
      <c r="J808" s="67"/>
      <c r="K808" s="67"/>
    </row>
    <row r="809" ht="12.75" customHeight="1">
      <c r="I809" s="67"/>
      <c r="J809" s="67"/>
      <c r="K809" s="67"/>
    </row>
    <row r="810" ht="12.75" customHeight="1">
      <c r="I810" s="67"/>
      <c r="J810" s="67"/>
      <c r="K810" s="67"/>
    </row>
    <row r="811" ht="12.75" customHeight="1">
      <c r="I811" s="67"/>
      <c r="J811" s="67"/>
      <c r="K811" s="67"/>
    </row>
    <row r="812" ht="12.75" customHeight="1">
      <c r="I812" s="67"/>
      <c r="J812" s="67"/>
      <c r="K812" s="67"/>
    </row>
    <row r="813" ht="12.75" customHeight="1">
      <c r="I813" s="67"/>
      <c r="J813" s="67"/>
      <c r="K813" s="67"/>
    </row>
    <row r="814" ht="12.75" customHeight="1">
      <c r="I814" s="67"/>
      <c r="J814" s="67"/>
      <c r="K814" s="67"/>
    </row>
    <row r="815" ht="12.75" customHeight="1">
      <c r="I815" s="67"/>
      <c r="J815" s="67"/>
      <c r="K815" s="67"/>
    </row>
    <row r="816" ht="12.75" customHeight="1">
      <c r="I816" s="67"/>
      <c r="J816" s="67"/>
      <c r="K816" s="67"/>
    </row>
    <row r="817" ht="12.75" customHeight="1">
      <c r="I817" s="67"/>
      <c r="J817" s="67"/>
      <c r="K817" s="67"/>
    </row>
    <row r="818" ht="12.75" customHeight="1">
      <c r="I818" s="67"/>
      <c r="J818" s="67"/>
      <c r="K818" s="67"/>
    </row>
    <row r="819" ht="12.75" customHeight="1">
      <c r="I819" s="67"/>
      <c r="J819" s="67"/>
      <c r="K819" s="67"/>
    </row>
    <row r="820" ht="12.75" customHeight="1">
      <c r="I820" s="67"/>
      <c r="J820" s="67"/>
      <c r="K820" s="67"/>
    </row>
    <row r="821" ht="12.75" customHeight="1">
      <c r="I821" s="67"/>
      <c r="J821" s="67"/>
      <c r="K821" s="67"/>
    </row>
    <row r="822" ht="12.75" customHeight="1">
      <c r="I822" s="67"/>
      <c r="J822" s="67"/>
      <c r="K822" s="67"/>
    </row>
    <row r="823" ht="12.75" customHeight="1">
      <c r="I823" s="67"/>
      <c r="J823" s="67"/>
      <c r="K823" s="67"/>
    </row>
    <row r="824" ht="12.75" customHeight="1">
      <c r="I824" s="67"/>
      <c r="J824" s="67"/>
      <c r="K824" s="67"/>
    </row>
    <row r="825" ht="12.75" customHeight="1">
      <c r="I825" s="67"/>
      <c r="J825" s="67"/>
      <c r="K825" s="67"/>
    </row>
    <row r="826" ht="12.75" customHeight="1">
      <c r="I826" s="67"/>
      <c r="J826" s="67"/>
      <c r="K826" s="67"/>
    </row>
    <row r="827" ht="12.75" customHeight="1">
      <c r="I827" s="67"/>
      <c r="J827" s="67"/>
      <c r="K827" s="67"/>
    </row>
    <row r="828" ht="12.75" customHeight="1">
      <c r="I828" s="67"/>
      <c r="J828" s="67"/>
      <c r="K828" s="67"/>
    </row>
    <row r="829" ht="12.75" customHeight="1">
      <c r="I829" s="67"/>
      <c r="J829" s="67"/>
      <c r="K829" s="67"/>
    </row>
    <row r="830" ht="12.75" customHeight="1">
      <c r="I830" s="67"/>
      <c r="J830" s="67"/>
      <c r="K830" s="67"/>
    </row>
    <row r="831" ht="12.75" customHeight="1">
      <c r="I831" s="67"/>
      <c r="J831" s="67"/>
      <c r="K831" s="67"/>
    </row>
    <row r="832" ht="12.75" customHeight="1">
      <c r="I832" s="67"/>
      <c r="J832" s="67"/>
      <c r="K832" s="67"/>
    </row>
    <row r="833" ht="12.75" customHeight="1">
      <c r="I833" s="67"/>
      <c r="J833" s="67"/>
      <c r="K833" s="67"/>
    </row>
    <row r="834" ht="12.75" customHeight="1">
      <c r="I834" s="67"/>
      <c r="J834" s="67"/>
      <c r="K834" s="67"/>
    </row>
    <row r="835" ht="12.75" customHeight="1">
      <c r="I835" s="67"/>
      <c r="J835" s="67"/>
      <c r="K835" s="67"/>
    </row>
    <row r="836" ht="12.75" customHeight="1">
      <c r="I836" s="67"/>
      <c r="J836" s="67"/>
      <c r="K836" s="67"/>
    </row>
    <row r="837" ht="12.75" customHeight="1">
      <c r="I837" s="67"/>
      <c r="J837" s="67"/>
      <c r="K837" s="67"/>
    </row>
    <row r="838" ht="12.75" customHeight="1">
      <c r="I838" s="67"/>
      <c r="J838" s="67"/>
      <c r="K838" s="67"/>
    </row>
    <row r="839" ht="12.75" customHeight="1">
      <c r="I839" s="67"/>
      <c r="J839" s="67"/>
      <c r="K839" s="67"/>
    </row>
    <row r="840" ht="12.75" customHeight="1">
      <c r="I840" s="67"/>
      <c r="J840" s="67"/>
      <c r="K840" s="67"/>
    </row>
    <row r="841" ht="12.75" customHeight="1">
      <c r="I841" s="67"/>
      <c r="J841" s="67"/>
      <c r="K841" s="67"/>
    </row>
    <row r="842" ht="12.75" customHeight="1">
      <c r="I842" s="67"/>
      <c r="J842" s="67"/>
      <c r="K842" s="67"/>
    </row>
    <row r="843" ht="12.75" customHeight="1">
      <c r="I843" s="67"/>
      <c r="J843" s="67"/>
      <c r="K843" s="67"/>
    </row>
    <row r="844" ht="12.75" customHeight="1">
      <c r="I844" s="67"/>
      <c r="J844" s="67"/>
      <c r="K844" s="67"/>
    </row>
    <row r="845" ht="12.75" customHeight="1">
      <c r="I845" s="67"/>
      <c r="J845" s="67"/>
      <c r="K845" s="67"/>
    </row>
    <row r="846" ht="12.75" customHeight="1">
      <c r="I846" s="67"/>
      <c r="J846" s="67"/>
      <c r="K846" s="67"/>
    </row>
    <row r="847" ht="12.75" customHeight="1">
      <c r="I847" s="67"/>
      <c r="J847" s="67"/>
      <c r="K847" s="67"/>
    </row>
    <row r="848" ht="12.75" customHeight="1">
      <c r="I848" s="67"/>
      <c r="J848" s="67"/>
      <c r="K848" s="67"/>
    </row>
    <row r="849" ht="12.75" customHeight="1">
      <c r="I849" s="67"/>
      <c r="J849" s="67"/>
      <c r="K849" s="67"/>
    </row>
    <row r="850" ht="12.75" customHeight="1">
      <c r="I850" s="67"/>
      <c r="J850" s="67"/>
      <c r="K850" s="67"/>
    </row>
    <row r="851" ht="12.75" customHeight="1">
      <c r="I851" s="67"/>
      <c r="J851" s="67"/>
      <c r="K851" s="67"/>
    </row>
    <row r="852" ht="12.75" customHeight="1">
      <c r="I852" s="67"/>
      <c r="J852" s="67"/>
      <c r="K852" s="67"/>
    </row>
    <row r="853" ht="12.75" customHeight="1">
      <c r="I853" s="67"/>
      <c r="J853" s="67"/>
      <c r="K853" s="67"/>
    </row>
    <row r="854" ht="12.75" customHeight="1">
      <c r="I854" s="67"/>
      <c r="J854" s="67"/>
      <c r="K854" s="67"/>
    </row>
    <row r="855" ht="12.75" customHeight="1">
      <c r="I855" s="67"/>
      <c r="J855" s="67"/>
      <c r="K855" s="67"/>
    </row>
    <row r="856" ht="12.75" customHeight="1">
      <c r="I856" s="67"/>
      <c r="J856" s="67"/>
      <c r="K856" s="67"/>
    </row>
    <row r="857" ht="12.75" customHeight="1">
      <c r="I857" s="67"/>
      <c r="J857" s="67"/>
      <c r="K857" s="67"/>
    </row>
    <row r="858" ht="12.75" customHeight="1">
      <c r="I858" s="67"/>
      <c r="J858" s="67"/>
      <c r="K858" s="67"/>
    </row>
    <row r="859" ht="12.75" customHeight="1">
      <c r="I859" s="67"/>
      <c r="J859" s="67"/>
      <c r="K859" s="67"/>
    </row>
    <row r="860" ht="12.75" customHeight="1">
      <c r="I860" s="67"/>
      <c r="J860" s="67"/>
      <c r="K860" s="67"/>
    </row>
    <row r="861" ht="12.75" customHeight="1">
      <c r="I861" s="67"/>
      <c r="J861" s="67"/>
      <c r="K861" s="67"/>
    </row>
    <row r="862" ht="12.75" customHeight="1">
      <c r="I862" s="67"/>
      <c r="J862" s="67"/>
      <c r="K862" s="67"/>
    </row>
    <row r="863" ht="12.75" customHeight="1">
      <c r="I863" s="67"/>
      <c r="J863" s="67"/>
      <c r="K863" s="67"/>
    </row>
    <row r="864" ht="12.75" customHeight="1">
      <c r="I864" s="67"/>
      <c r="J864" s="67"/>
      <c r="K864" s="67"/>
    </row>
    <row r="865" ht="12.75" customHeight="1">
      <c r="I865" s="67"/>
      <c r="J865" s="67"/>
      <c r="K865" s="67"/>
    </row>
    <row r="866" ht="12.75" customHeight="1">
      <c r="I866" s="67"/>
      <c r="J866" s="67"/>
      <c r="K866" s="67"/>
    </row>
    <row r="867" ht="12.75" customHeight="1">
      <c r="I867" s="67"/>
      <c r="J867" s="67"/>
      <c r="K867" s="67"/>
    </row>
    <row r="868" ht="12.75" customHeight="1">
      <c r="I868" s="67"/>
      <c r="J868" s="67"/>
      <c r="K868" s="67"/>
    </row>
    <row r="869" ht="12.75" customHeight="1">
      <c r="I869" s="67"/>
      <c r="J869" s="67"/>
      <c r="K869" s="67"/>
    </row>
    <row r="870" ht="12.75" customHeight="1">
      <c r="I870" s="67"/>
      <c r="J870" s="67"/>
      <c r="K870" s="67"/>
    </row>
    <row r="871" ht="12.75" customHeight="1">
      <c r="I871" s="67"/>
      <c r="J871" s="67"/>
      <c r="K871" s="67"/>
    </row>
    <row r="872" ht="12.75" customHeight="1">
      <c r="I872" s="67"/>
      <c r="J872" s="67"/>
      <c r="K872" s="67"/>
    </row>
    <row r="873" ht="12.75" customHeight="1">
      <c r="I873" s="67"/>
      <c r="J873" s="67"/>
      <c r="K873" s="67"/>
    </row>
    <row r="874" ht="12.75" customHeight="1">
      <c r="I874" s="67"/>
      <c r="J874" s="67"/>
      <c r="K874" s="67"/>
    </row>
    <row r="875" ht="12.75" customHeight="1">
      <c r="I875" s="67"/>
      <c r="J875" s="67"/>
      <c r="K875" s="67"/>
    </row>
    <row r="876" ht="12.75" customHeight="1">
      <c r="I876" s="67"/>
      <c r="J876" s="67"/>
      <c r="K876" s="67"/>
    </row>
    <row r="877" ht="12.75" customHeight="1">
      <c r="I877" s="67"/>
      <c r="J877" s="67"/>
      <c r="K877" s="67"/>
    </row>
    <row r="878" ht="12.75" customHeight="1">
      <c r="I878" s="67"/>
      <c r="J878" s="67"/>
      <c r="K878" s="67"/>
    </row>
    <row r="879" ht="12.75" customHeight="1">
      <c r="I879" s="67"/>
      <c r="J879" s="67"/>
      <c r="K879" s="67"/>
    </row>
    <row r="880" ht="12.75" customHeight="1">
      <c r="I880" s="67"/>
      <c r="J880" s="67"/>
      <c r="K880" s="67"/>
    </row>
    <row r="881" ht="12.75" customHeight="1">
      <c r="I881" s="67"/>
      <c r="J881" s="67"/>
      <c r="K881" s="67"/>
    </row>
    <row r="882" ht="12.75" customHeight="1">
      <c r="I882" s="67"/>
      <c r="J882" s="67"/>
      <c r="K882" s="67"/>
    </row>
    <row r="883" ht="12.75" customHeight="1">
      <c r="I883" s="67"/>
      <c r="J883" s="67"/>
      <c r="K883" s="67"/>
    </row>
    <row r="884" ht="12.75" customHeight="1">
      <c r="I884" s="67"/>
      <c r="J884" s="67"/>
      <c r="K884" s="67"/>
    </row>
    <row r="885" ht="12.75" customHeight="1">
      <c r="I885" s="67"/>
      <c r="J885" s="67"/>
      <c r="K885" s="67"/>
    </row>
    <row r="886" ht="12.75" customHeight="1">
      <c r="I886" s="67"/>
      <c r="J886" s="67"/>
      <c r="K886" s="67"/>
    </row>
    <row r="887" ht="12.75" customHeight="1">
      <c r="I887" s="67"/>
      <c r="J887" s="67"/>
      <c r="K887" s="67"/>
    </row>
    <row r="888" ht="12.75" customHeight="1">
      <c r="I888" s="67"/>
      <c r="J888" s="67"/>
      <c r="K888" s="67"/>
    </row>
    <row r="889" ht="12.75" customHeight="1">
      <c r="I889" s="67"/>
      <c r="J889" s="67"/>
      <c r="K889" s="67"/>
    </row>
    <row r="890" ht="12.75" customHeight="1">
      <c r="I890" s="67"/>
      <c r="J890" s="67"/>
      <c r="K890" s="67"/>
    </row>
    <row r="891" ht="12.75" customHeight="1">
      <c r="I891" s="67"/>
      <c r="J891" s="67"/>
      <c r="K891" s="67"/>
    </row>
    <row r="892" ht="12.75" customHeight="1">
      <c r="I892" s="67"/>
      <c r="J892" s="67"/>
      <c r="K892" s="67"/>
    </row>
    <row r="893" ht="12.75" customHeight="1">
      <c r="I893" s="67"/>
      <c r="J893" s="67"/>
      <c r="K893" s="67"/>
    </row>
    <row r="894" ht="12.75" customHeight="1">
      <c r="I894" s="67"/>
      <c r="J894" s="67"/>
      <c r="K894" s="67"/>
    </row>
    <row r="895" ht="12.75" customHeight="1">
      <c r="I895" s="67"/>
      <c r="J895" s="67"/>
      <c r="K895" s="67"/>
    </row>
    <row r="896" ht="12.75" customHeight="1">
      <c r="I896" s="67"/>
      <c r="J896" s="67"/>
      <c r="K896" s="67"/>
    </row>
    <row r="897" ht="12.75" customHeight="1">
      <c r="I897" s="67"/>
      <c r="J897" s="67"/>
      <c r="K897" s="67"/>
    </row>
    <row r="898" ht="12.75" customHeight="1">
      <c r="I898" s="67"/>
      <c r="J898" s="67"/>
      <c r="K898" s="67"/>
    </row>
    <row r="899" ht="12.75" customHeight="1">
      <c r="I899" s="67"/>
      <c r="J899" s="67"/>
      <c r="K899" s="67"/>
    </row>
    <row r="900" ht="12.75" customHeight="1">
      <c r="I900" s="67"/>
      <c r="J900" s="67"/>
      <c r="K900" s="67"/>
    </row>
    <row r="901" ht="12.75" customHeight="1">
      <c r="I901" s="67"/>
      <c r="J901" s="67"/>
      <c r="K901" s="67"/>
    </row>
    <row r="902" ht="12.75" customHeight="1">
      <c r="I902" s="67"/>
      <c r="J902" s="67"/>
      <c r="K902" s="67"/>
    </row>
    <row r="903" ht="12.75" customHeight="1">
      <c r="I903" s="67"/>
      <c r="J903" s="67"/>
      <c r="K903" s="67"/>
    </row>
    <row r="904" ht="12.75" customHeight="1">
      <c r="I904" s="67"/>
      <c r="J904" s="67"/>
      <c r="K904" s="67"/>
    </row>
    <row r="905" ht="12.75" customHeight="1">
      <c r="I905" s="67"/>
      <c r="J905" s="67"/>
      <c r="K905" s="67"/>
    </row>
    <row r="906" ht="12.75" customHeight="1">
      <c r="I906" s="67"/>
      <c r="J906" s="67"/>
      <c r="K906" s="67"/>
    </row>
    <row r="907" ht="12.75" customHeight="1">
      <c r="I907" s="67"/>
      <c r="J907" s="67"/>
      <c r="K907" s="67"/>
    </row>
    <row r="908" ht="12.75" customHeight="1">
      <c r="I908" s="67"/>
      <c r="J908" s="67"/>
      <c r="K908" s="67"/>
    </row>
    <row r="909" ht="12.75" customHeight="1">
      <c r="I909" s="67"/>
      <c r="J909" s="67"/>
      <c r="K909" s="67"/>
    </row>
    <row r="910" ht="12.75" customHeight="1">
      <c r="I910" s="67"/>
      <c r="J910" s="67"/>
      <c r="K910" s="67"/>
    </row>
    <row r="911" ht="12.75" customHeight="1">
      <c r="I911" s="67"/>
      <c r="J911" s="67"/>
      <c r="K911" s="67"/>
    </row>
    <row r="912" ht="12.75" customHeight="1">
      <c r="I912" s="67"/>
      <c r="J912" s="67"/>
      <c r="K912" s="67"/>
    </row>
    <row r="913" ht="12.75" customHeight="1">
      <c r="I913" s="67"/>
      <c r="J913" s="67"/>
      <c r="K913" s="67"/>
    </row>
    <row r="914" ht="12.75" customHeight="1">
      <c r="I914" s="67"/>
      <c r="J914" s="67"/>
      <c r="K914" s="67"/>
    </row>
    <row r="915" ht="12.75" customHeight="1">
      <c r="I915" s="67"/>
      <c r="J915" s="67"/>
      <c r="K915" s="67"/>
    </row>
    <row r="916" ht="12.75" customHeight="1">
      <c r="I916" s="67"/>
      <c r="J916" s="67"/>
      <c r="K916" s="67"/>
    </row>
    <row r="917" ht="12.75" customHeight="1">
      <c r="I917" s="67"/>
      <c r="J917" s="67"/>
      <c r="K917" s="67"/>
    </row>
    <row r="918" ht="12.75" customHeight="1">
      <c r="I918" s="67"/>
      <c r="J918" s="67"/>
      <c r="K918" s="67"/>
    </row>
    <row r="919" ht="12.75" customHeight="1">
      <c r="I919" s="67"/>
      <c r="J919" s="67"/>
      <c r="K919" s="67"/>
    </row>
    <row r="920" ht="12.75" customHeight="1">
      <c r="I920" s="67"/>
      <c r="J920" s="67"/>
      <c r="K920" s="67"/>
    </row>
    <row r="921" ht="12.75" customHeight="1">
      <c r="I921" s="67"/>
      <c r="J921" s="67"/>
      <c r="K921" s="67"/>
    </row>
    <row r="922" ht="12.75" customHeight="1">
      <c r="I922" s="67"/>
      <c r="J922" s="67"/>
      <c r="K922" s="67"/>
    </row>
    <row r="923" ht="12.75" customHeight="1">
      <c r="I923" s="67"/>
      <c r="J923" s="67"/>
      <c r="K923" s="67"/>
    </row>
    <row r="924" ht="12.75" customHeight="1">
      <c r="I924" s="67"/>
      <c r="J924" s="67"/>
      <c r="K924" s="67"/>
    </row>
    <row r="925" ht="12.75" customHeight="1">
      <c r="I925" s="67"/>
      <c r="J925" s="67"/>
      <c r="K925" s="67"/>
    </row>
    <row r="926" ht="12.75" customHeight="1">
      <c r="I926" s="67"/>
      <c r="J926" s="67"/>
      <c r="K926" s="67"/>
    </row>
    <row r="927" ht="12.75" customHeight="1">
      <c r="I927" s="67"/>
      <c r="J927" s="67"/>
      <c r="K927" s="67"/>
    </row>
    <row r="928" ht="12.75" customHeight="1">
      <c r="I928" s="67"/>
      <c r="J928" s="67"/>
      <c r="K928" s="67"/>
    </row>
    <row r="929" ht="12.75" customHeight="1">
      <c r="I929" s="67"/>
      <c r="J929" s="67"/>
      <c r="K929" s="67"/>
    </row>
    <row r="930" ht="12.75" customHeight="1">
      <c r="I930" s="67"/>
      <c r="J930" s="67"/>
      <c r="K930" s="67"/>
    </row>
    <row r="931" ht="12.75" customHeight="1">
      <c r="I931" s="67"/>
      <c r="J931" s="67"/>
      <c r="K931" s="67"/>
    </row>
    <row r="932" ht="12.75" customHeight="1">
      <c r="I932" s="67"/>
      <c r="J932" s="67"/>
      <c r="K932" s="67"/>
    </row>
    <row r="933" ht="12.75" customHeight="1">
      <c r="I933" s="67"/>
      <c r="J933" s="67"/>
      <c r="K933" s="67"/>
    </row>
    <row r="934" ht="12.75" customHeight="1">
      <c r="I934" s="67"/>
      <c r="J934" s="67"/>
      <c r="K934" s="67"/>
    </row>
    <row r="935" ht="12.75" customHeight="1">
      <c r="I935" s="67"/>
      <c r="J935" s="67"/>
      <c r="K935" s="67"/>
    </row>
    <row r="936" ht="12.75" customHeight="1">
      <c r="I936" s="67"/>
      <c r="J936" s="67"/>
      <c r="K936" s="67"/>
    </row>
    <row r="937" ht="12.75" customHeight="1">
      <c r="I937" s="67"/>
      <c r="J937" s="67"/>
      <c r="K937" s="67"/>
    </row>
    <row r="938" ht="12.75" customHeight="1">
      <c r="I938" s="67"/>
      <c r="J938" s="67"/>
      <c r="K938" s="67"/>
    </row>
    <row r="939" ht="12.75" customHeight="1">
      <c r="I939" s="67"/>
      <c r="J939" s="67"/>
      <c r="K939" s="67"/>
    </row>
    <row r="940" ht="12.75" customHeight="1">
      <c r="I940" s="67"/>
      <c r="J940" s="67"/>
      <c r="K940" s="67"/>
    </row>
    <row r="941" ht="12.75" customHeight="1">
      <c r="I941" s="67"/>
      <c r="J941" s="67"/>
      <c r="K941" s="67"/>
    </row>
    <row r="942" ht="12.75" customHeight="1">
      <c r="I942" s="67"/>
      <c r="J942" s="67"/>
      <c r="K942" s="67"/>
    </row>
    <row r="943" ht="12.75" customHeight="1">
      <c r="I943" s="67"/>
      <c r="J943" s="67"/>
      <c r="K943" s="67"/>
    </row>
    <row r="944" ht="12.75" customHeight="1">
      <c r="I944" s="67"/>
      <c r="J944" s="67"/>
      <c r="K944" s="67"/>
    </row>
    <row r="945" ht="12.75" customHeight="1">
      <c r="I945" s="67"/>
      <c r="J945" s="67"/>
      <c r="K945" s="67"/>
    </row>
    <row r="946" ht="12.75" customHeight="1">
      <c r="I946" s="67"/>
      <c r="J946" s="67"/>
      <c r="K946" s="67"/>
    </row>
    <row r="947" ht="12.75" customHeight="1">
      <c r="I947" s="67"/>
      <c r="J947" s="67"/>
      <c r="K947" s="67"/>
    </row>
    <row r="948" ht="12.75" customHeight="1">
      <c r="I948" s="67"/>
      <c r="J948" s="67"/>
      <c r="K948" s="67"/>
    </row>
    <row r="949" ht="12.75" customHeight="1">
      <c r="I949" s="67"/>
      <c r="J949" s="67"/>
      <c r="K949" s="67"/>
    </row>
    <row r="950" ht="12.75" customHeight="1">
      <c r="I950" s="67"/>
      <c r="J950" s="67"/>
      <c r="K950" s="67"/>
    </row>
    <row r="951" ht="12.75" customHeight="1">
      <c r="I951" s="67"/>
      <c r="J951" s="67"/>
      <c r="K951" s="67"/>
    </row>
    <row r="952" ht="12.75" customHeight="1">
      <c r="I952" s="67"/>
      <c r="J952" s="67"/>
      <c r="K952" s="67"/>
    </row>
    <row r="953" ht="12.75" customHeight="1">
      <c r="I953" s="67"/>
      <c r="J953" s="67"/>
      <c r="K953" s="67"/>
    </row>
    <row r="954" ht="12.75" customHeight="1">
      <c r="I954" s="67"/>
      <c r="J954" s="67"/>
      <c r="K954" s="67"/>
    </row>
    <row r="955" ht="12.75" customHeight="1">
      <c r="I955" s="67"/>
      <c r="J955" s="67"/>
      <c r="K955" s="67"/>
    </row>
    <row r="956" ht="12.75" customHeight="1">
      <c r="I956" s="67"/>
      <c r="J956" s="67"/>
      <c r="K956" s="67"/>
    </row>
    <row r="957" ht="12.75" customHeight="1">
      <c r="I957" s="67"/>
      <c r="J957" s="67"/>
      <c r="K957" s="67"/>
    </row>
    <row r="958" ht="12.75" customHeight="1">
      <c r="I958" s="67"/>
      <c r="J958" s="67"/>
      <c r="K958" s="67"/>
    </row>
    <row r="959" ht="12.75" customHeight="1">
      <c r="I959" s="67"/>
      <c r="J959" s="67"/>
      <c r="K959" s="67"/>
    </row>
    <row r="960" ht="12.75" customHeight="1">
      <c r="I960" s="67"/>
      <c r="J960" s="67"/>
      <c r="K960" s="67"/>
    </row>
    <row r="961" ht="12.75" customHeight="1">
      <c r="I961" s="67"/>
      <c r="J961" s="67"/>
      <c r="K961" s="67"/>
    </row>
    <row r="962" ht="12.75" customHeight="1">
      <c r="I962" s="67"/>
      <c r="J962" s="67"/>
      <c r="K962" s="67"/>
    </row>
    <row r="963" ht="12.75" customHeight="1">
      <c r="I963" s="67"/>
      <c r="J963" s="67"/>
      <c r="K963" s="67"/>
    </row>
    <row r="964" ht="12.75" customHeight="1">
      <c r="I964" s="67"/>
      <c r="J964" s="67"/>
      <c r="K964" s="67"/>
    </row>
    <row r="965" ht="12.75" customHeight="1">
      <c r="I965" s="67"/>
      <c r="J965" s="67"/>
      <c r="K965" s="67"/>
    </row>
    <row r="966" ht="12.75" customHeight="1">
      <c r="I966" s="67"/>
      <c r="J966" s="67"/>
      <c r="K966" s="67"/>
    </row>
    <row r="967" ht="12.75" customHeight="1">
      <c r="I967" s="67"/>
      <c r="J967" s="67"/>
      <c r="K967" s="67"/>
    </row>
    <row r="968" ht="12.75" customHeight="1">
      <c r="I968" s="67"/>
      <c r="J968" s="67"/>
      <c r="K968" s="67"/>
    </row>
    <row r="969" ht="12.75" customHeight="1">
      <c r="I969" s="67"/>
      <c r="J969" s="67"/>
      <c r="K969" s="67"/>
    </row>
    <row r="970" ht="12.75" customHeight="1">
      <c r="I970" s="67"/>
      <c r="J970" s="67"/>
      <c r="K970" s="67"/>
    </row>
    <row r="971" ht="12.75" customHeight="1">
      <c r="I971" s="67"/>
      <c r="J971" s="67"/>
      <c r="K971" s="67"/>
    </row>
    <row r="972" ht="12.75" customHeight="1">
      <c r="I972" s="67"/>
      <c r="J972" s="67"/>
      <c r="K972" s="67"/>
    </row>
    <row r="973" ht="12.75" customHeight="1">
      <c r="I973" s="67"/>
      <c r="J973" s="67"/>
      <c r="K973" s="67"/>
    </row>
    <row r="974" ht="12.75" customHeight="1">
      <c r="I974" s="67"/>
      <c r="J974" s="67"/>
      <c r="K974" s="67"/>
    </row>
    <row r="975" ht="12.75" customHeight="1">
      <c r="I975" s="67"/>
      <c r="J975" s="67"/>
      <c r="K975" s="67"/>
    </row>
    <row r="976" ht="12.75" customHeight="1">
      <c r="I976" s="67"/>
      <c r="J976" s="67"/>
      <c r="K976" s="67"/>
    </row>
    <row r="977" ht="12.75" customHeight="1">
      <c r="I977" s="67"/>
      <c r="J977" s="67"/>
      <c r="K977" s="67"/>
    </row>
    <row r="978" ht="12.75" customHeight="1">
      <c r="I978" s="67"/>
      <c r="J978" s="67"/>
      <c r="K978" s="67"/>
    </row>
    <row r="979" ht="12.75" customHeight="1">
      <c r="I979" s="67"/>
      <c r="J979" s="67"/>
      <c r="K979" s="67"/>
    </row>
    <row r="980" ht="12.75" customHeight="1">
      <c r="I980" s="67"/>
      <c r="J980" s="67"/>
      <c r="K980" s="67"/>
    </row>
    <row r="981" ht="12.75" customHeight="1">
      <c r="I981" s="67"/>
      <c r="J981" s="67"/>
      <c r="K981" s="67"/>
    </row>
    <row r="982" ht="12.75" customHeight="1">
      <c r="I982" s="67"/>
      <c r="J982" s="67"/>
      <c r="K982" s="67"/>
    </row>
    <row r="983" ht="12.75" customHeight="1">
      <c r="I983" s="67"/>
      <c r="J983" s="67"/>
      <c r="K983" s="67"/>
    </row>
    <row r="984" ht="12.75" customHeight="1">
      <c r="I984" s="67"/>
      <c r="J984" s="67"/>
      <c r="K984" s="67"/>
    </row>
    <row r="985" ht="12.75" customHeight="1">
      <c r="I985" s="67"/>
      <c r="J985" s="67"/>
      <c r="K985" s="67"/>
    </row>
    <row r="986" ht="12.75" customHeight="1">
      <c r="I986" s="67"/>
      <c r="J986" s="67"/>
      <c r="K986" s="67"/>
    </row>
    <row r="987" ht="12.75" customHeight="1">
      <c r="I987" s="67"/>
      <c r="J987" s="67"/>
      <c r="K987" s="67"/>
    </row>
    <row r="988" ht="12.75" customHeight="1">
      <c r="I988" s="67"/>
      <c r="J988" s="67"/>
      <c r="K988" s="67"/>
    </row>
    <row r="989" ht="12.75" customHeight="1">
      <c r="I989" s="67"/>
      <c r="J989" s="67"/>
      <c r="K989" s="67"/>
    </row>
    <row r="990" ht="12.75" customHeight="1">
      <c r="I990" s="67"/>
      <c r="J990" s="67"/>
      <c r="K990" s="67"/>
    </row>
    <row r="991" ht="12.75" customHeight="1">
      <c r="I991" s="67"/>
      <c r="J991" s="67"/>
      <c r="K991" s="67"/>
    </row>
    <row r="992" ht="12.75" customHeight="1">
      <c r="I992" s="67"/>
      <c r="J992" s="67"/>
      <c r="K992" s="67"/>
    </row>
    <row r="993" ht="12.75" customHeight="1">
      <c r="I993" s="67"/>
      <c r="J993" s="67"/>
      <c r="K993" s="67"/>
    </row>
    <row r="994" ht="12.75" customHeight="1">
      <c r="I994" s="67"/>
      <c r="J994" s="67"/>
      <c r="K994" s="67"/>
    </row>
    <row r="995" ht="12.75" customHeight="1">
      <c r="I995" s="67"/>
      <c r="J995" s="67"/>
      <c r="K995" s="67"/>
    </row>
    <row r="996" ht="12.75" customHeight="1">
      <c r="I996" s="67"/>
      <c r="J996" s="67"/>
      <c r="K996" s="67"/>
    </row>
    <row r="997" ht="12.75" customHeight="1">
      <c r="I997" s="67"/>
      <c r="J997" s="67"/>
      <c r="K997" s="67"/>
    </row>
    <row r="998" ht="12.75" customHeight="1">
      <c r="I998" s="67"/>
      <c r="J998" s="67"/>
      <c r="K998" s="67"/>
    </row>
    <row r="999" ht="12.75" customHeight="1">
      <c r="I999" s="67"/>
      <c r="J999" s="67"/>
      <c r="K999" s="67"/>
    </row>
    <row r="1000" ht="12.75" customHeight="1">
      <c r="I1000" s="67"/>
      <c r="J1000" s="67"/>
      <c r="K1000" s="67"/>
    </row>
  </sheetData>
  <dataValidations>
    <dataValidation type="list" allowBlank="1" showErrorMessage="1" sqref="C3:C33 C36:C48 C54:C143 C145:C161">
      <formula1>"SSR,SR,R"</formula1>
    </dataValidation>
    <dataValidation type="list" allowBlank="1" showErrorMessage="1" sqref="D3:D33 D36:D48 D54:D143 D145:D161 D164:D175">
      <formula1>"weapon,role,monster,state"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2.75" customHeight="1"/>
    <row r="2" ht="14.25" customHeight="1">
      <c r="A2" s="8" t="s">
        <v>507</v>
      </c>
      <c r="B2" s="8" t="s">
        <v>943</v>
      </c>
      <c r="C2" s="40" t="s">
        <v>944</v>
      </c>
      <c r="D2" s="40" t="s">
        <v>945</v>
      </c>
      <c r="E2" s="8" t="s">
        <v>946</v>
      </c>
    </row>
    <row r="3" ht="14.25" customHeight="1">
      <c r="A3" s="8"/>
      <c r="B3" s="4" t="s">
        <v>16</v>
      </c>
      <c r="C3" s="84">
        <v>46245.99930555555</v>
      </c>
      <c r="D3" s="84">
        <v>46610.99930555555</v>
      </c>
      <c r="E3" s="8" t="s">
        <v>949</v>
      </c>
    </row>
    <row r="4" ht="14.25" customHeight="1">
      <c r="A4" s="8" t="s">
        <v>951</v>
      </c>
      <c r="B4" s="4" t="s">
        <v>40</v>
      </c>
      <c r="C4" s="84">
        <v>46245.99930555555</v>
      </c>
      <c r="D4" s="84">
        <v>46610.99930555555</v>
      </c>
      <c r="E4" s="8"/>
    </row>
    <row r="5" ht="14.25" customHeight="1">
      <c r="A5" s="8"/>
      <c r="B5" s="4" t="s">
        <v>52</v>
      </c>
      <c r="C5" s="84">
        <v>46245.99930555555</v>
      </c>
      <c r="D5" s="84">
        <v>46610.99930555555</v>
      </c>
      <c r="E5" s="8" t="s">
        <v>949</v>
      </c>
    </row>
    <row r="6" ht="14.25" customHeight="1">
      <c r="A6" s="8" t="s">
        <v>955</v>
      </c>
      <c r="B6" s="4" t="s">
        <v>68</v>
      </c>
      <c r="C6" s="84">
        <v>46245.99930555555</v>
      </c>
      <c r="D6" s="84">
        <v>46610.99930555555</v>
      </c>
      <c r="E6" s="8"/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A4 A6">
      <formula1>"tower,annihilation"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1.0"/>
    <col customWidth="1" min="2" max="2" width="14.38"/>
    <col customWidth="1" min="3" max="3" width="11.0"/>
    <col customWidth="1" min="4" max="4" width="19.25"/>
    <col customWidth="1" min="5" max="5" width="6.5"/>
    <col customWidth="1" min="6" max="6" width="17.13"/>
    <col customWidth="1" min="7" max="7" width="59.75"/>
    <col customWidth="1" min="8" max="10" width="11.0"/>
    <col customWidth="1" min="11" max="12" width="14.13"/>
    <col customWidth="1" min="13" max="13" width="14.75"/>
    <col customWidth="1" min="14" max="16" width="11.0"/>
    <col customWidth="1" min="17" max="17" width="14.13"/>
    <col customWidth="1" min="18" max="28" width="11.0"/>
    <col customWidth="1" min="29" max="29" width="14.13"/>
    <col customWidth="1" min="30" max="36" width="11.0"/>
  </cols>
  <sheetData>
    <row r="1" ht="14.25" customHeight="1">
      <c r="A1" s="1" t="s">
        <v>1016</v>
      </c>
      <c r="B1" s="1" t="s">
        <v>507</v>
      </c>
      <c r="C1" s="1" t="s">
        <v>1017</v>
      </c>
      <c r="D1" s="1" t="s">
        <v>1018</v>
      </c>
      <c r="E1" s="1" t="s">
        <v>207</v>
      </c>
      <c r="F1" s="1" t="s">
        <v>1019</v>
      </c>
      <c r="G1" s="1" t="s">
        <v>1021</v>
      </c>
      <c r="H1" s="1" t="s">
        <v>1025</v>
      </c>
      <c r="I1" s="1" t="s">
        <v>1026</v>
      </c>
      <c r="J1" s="1" t="s">
        <v>1027</v>
      </c>
      <c r="K1" s="1" t="s">
        <v>1028</v>
      </c>
      <c r="L1" s="1" t="s">
        <v>1029</v>
      </c>
      <c r="M1" s="1" t="s">
        <v>1030</v>
      </c>
      <c r="N1" s="1" t="s">
        <v>1032</v>
      </c>
      <c r="O1" s="1" t="s">
        <v>1033</v>
      </c>
      <c r="P1" s="1" t="s">
        <v>1034</v>
      </c>
      <c r="Q1" s="1" t="s">
        <v>1035</v>
      </c>
      <c r="R1" s="1" t="s">
        <v>1037</v>
      </c>
      <c r="S1" s="1" t="s">
        <v>1038</v>
      </c>
      <c r="T1" s="1" t="s">
        <v>1041</v>
      </c>
      <c r="U1" s="1" t="s">
        <v>1042</v>
      </c>
      <c r="V1" s="1" t="s">
        <v>1043</v>
      </c>
      <c r="W1" s="1" t="s">
        <v>1044</v>
      </c>
      <c r="X1" s="1" t="s">
        <v>1045</v>
      </c>
      <c r="Y1" s="1" t="s">
        <v>1046</v>
      </c>
      <c r="Z1" s="1" t="s">
        <v>1047</v>
      </c>
      <c r="AA1" s="1" t="s">
        <v>1048</v>
      </c>
      <c r="AB1" s="86" t="s">
        <v>1049</v>
      </c>
      <c r="AC1" s="86" t="s">
        <v>1051</v>
      </c>
      <c r="AD1" s="86" t="s">
        <v>1053</v>
      </c>
      <c r="AE1" s="86" t="s">
        <v>1055</v>
      </c>
      <c r="AF1" s="86" t="s">
        <v>1056</v>
      </c>
      <c r="AG1" s="86" t="s">
        <v>1057</v>
      </c>
    </row>
    <row r="2" ht="12.75" customHeight="1"/>
    <row r="3" ht="42.75" customHeight="1">
      <c r="A3" s="1">
        <v>101.0</v>
      </c>
      <c r="B3" s="1" t="s">
        <v>951</v>
      </c>
      <c r="C3" s="1"/>
      <c r="D3" s="2" t="s">
        <v>1059</v>
      </c>
      <c r="E3" s="1">
        <v>2.0</v>
      </c>
      <c r="F3" s="1"/>
      <c r="G3" s="87" t="s">
        <v>1060</v>
      </c>
      <c r="H3" s="49">
        <v>1.0</v>
      </c>
      <c r="J3" s="88" t="s">
        <v>1063</v>
      </c>
      <c r="K3" s="49" t="s">
        <v>1065</v>
      </c>
      <c r="L3" s="49" t="s">
        <v>1066</v>
      </c>
      <c r="M3" s="49" t="s">
        <v>1067</v>
      </c>
      <c r="N3" s="49">
        <v>1.0</v>
      </c>
      <c r="O3" s="49">
        <v>1.0</v>
      </c>
      <c r="P3" s="88" t="s">
        <v>1068</v>
      </c>
      <c r="Q3" s="49" t="s">
        <v>658</v>
      </c>
      <c r="R3" s="49">
        <v>2004.0</v>
      </c>
      <c r="S3" s="49" t="s">
        <v>1071</v>
      </c>
      <c r="T3" s="49">
        <v>0.0</v>
      </c>
      <c r="U3" s="49">
        <v>1.0</v>
      </c>
      <c r="V3" s="1">
        <v>70001.0</v>
      </c>
      <c r="W3" s="1">
        <v>1.0</v>
      </c>
      <c r="X3" s="1">
        <v>1.0</v>
      </c>
      <c r="Y3" s="47">
        <v>8000.0</v>
      </c>
      <c r="Z3" s="1">
        <v>101.0</v>
      </c>
      <c r="AA3" s="1">
        <v>1.0</v>
      </c>
      <c r="AB3" s="86">
        <v>1001.0</v>
      </c>
      <c r="AC3" s="86">
        <v>100.0</v>
      </c>
      <c r="AD3" s="86">
        <v>1.0</v>
      </c>
    </row>
    <row r="4" ht="48.75" customHeight="1">
      <c r="A4" s="89">
        <v>102.0</v>
      </c>
      <c r="B4" s="1" t="s">
        <v>951</v>
      </c>
      <c r="C4" s="90"/>
      <c r="D4" s="2" t="s">
        <v>1074</v>
      </c>
      <c r="E4" s="1">
        <v>4.0</v>
      </c>
      <c r="F4" s="90"/>
      <c r="G4" s="91" t="s">
        <v>1076</v>
      </c>
      <c r="H4" s="49">
        <v>1.0</v>
      </c>
      <c r="I4" s="49"/>
      <c r="J4" s="88" t="s">
        <v>1080</v>
      </c>
      <c r="K4" s="49" t="s">
        <v>647</v>
      </c>
      <c r="L4" s="49">
        <v>1005.0</v>
      </c>
      <c r="M4" s="49" t="s">
        <v>1081</v>
      </c>
      <c r="N4" s="49"/>
      <c r="O4" s="49">
        <v>1.0</v>
      </c>
      <c r="P4" s="88" t="s">
        <v>1082</v>
      </c>
      <c r="Q4" s="49" t="s">
        <v>658</v>
      </c>
      <c r="R4" s="49">
        <v>2005.0</v>
      </c>
      <c r="S4" s="49" t="s">
        <v>1083</v>
      </c>
      <c r="T4" s="49">
        <v>0.0</v>
      </c>
      <c r="U4" s="49">
        <v>1.0</v>
      </c>
      <c r="V4" s="1">
        <v>70001.0</v>
      </c>
      <c r="W4" s="1">
        <v>1.0</v>
      </c>
      <c r="X4" s="1">
        <v>1.0</v>
      </c>
      <c r="Y4" s="47">
        <v>8000.0</v>
      </c>
      <c r="Z4" s="1">
        <v>102.0</v>
      </c>
      <c r="AA4" s="1">
        <v>1.0</v>
      </c>
      <c r="AB4" s="86">
        <v>1001.0</v>
      </c>
      <c r="AC4" s="86">
        <v>100.0</v>
      </c>
      <c r="AD4" s="86">
        <v>1.0</v>
      </c>
    </row>
    <row r="5" ht="48.75" customHeight="1">
      <c r="A5" s="89">
        <v>103.0</v>
      </c>
      <c r="B5" s="1" t="s">
        <v>951</v>
      </c>
      <c r="C5" s="90"/>
      <c r="D5" s="2" t="s">
        <v>1087</v>
      </c>
      <c r="E5" s="1">
        <v>6.0</v>
      </c>
      <c r="F5" s="90"/>
      <c r="G5" s="91" t="s">
        <v>1088</v>
      </c>
      <c r="H5" s="49">
        <v>1.0</v>
      </c>
      <c r="I5" s="49"/>
      <c r="J5" s="88" t="s">
        <v>1063</v>
      </c>
      <c r="K5" s="49" t="s">
        <v>1065</v>
      </c>
      <c r="L5" s="49" t="s">
        <v>1066</v>
      </c>
      <c r="M5" s="49" t="s">
        <v>1089</v>
      </c>
      <c r="N5" s="49">
        <v>1.0</v>
      </c>
      <c r="O5" s="49">
        <v>1.0</v>
      </c>
      <c r="P5" s="88" t="s">
        <v>1090</v>
      </c>
      <c r="Q5" s="49" t="s">
        <v>658</v>
      </c>
      <c r="R5" s="49">
        <v>2002.0</v>
      </c>
      <c r="S5" s="49" t="s">
        <v>1091</v>
      </c>
      <c r="T5" s="49">
        <v>0.0</v>
      </c>
      <c r="U5" s="49">
        <v>1.0</v>
      </c>
      <c r="V5" s="1">
        <v>70001.0</v>
      </c>
      <c r="W5" s="1">
        <v>1.0</v>
      </c>
      <c r="X5" s="1">
        <v>1.0</v>
      </c>
      <c r="Y5" s="47">
        <v>8000.0</v>
      </c>
      <c r="Z5" s="1">
        <v>103.0</v>
      </c>
      <c r="AA5" s="1">
        <v>1.0</v>
      </c>
      <c r="AB5" s="86">
        <v>1001.0</v>
      </c>
      <c r="AC5" s="86">
        <v>100.0</v>
      </c>
      <c r="AD5" s="86">
        <v>1.0</v>
      </c>
    </row>
    <row r="6" ht="48.75" customHeight="1">
      <c r="A6" s="89">
        <v>104.0</v>
      </c>
      <c r="B6" s="1" t="s">
        <v>951</v>
      </c>
      <c r="C6" s="90"/>
      <c r="D6" s="2" t="s">
        <v>1093</v>
      </c>
      <c r="E6" s="1">
        <v>8.0</v>
      </c>
      <c r="F6" s="90"/>
      <c r="G6" s="91" t="s">
        <v>1094</v>
      </c>
      <c r="H6" s="49">
        <v>1.0</v>
      </c>
      <c r="I6" s="49"/>
      <c r="J6" s="88" t="s">
        <v>1095</v>
      </c>
      <c r="K6" s="49" t="s">
        <v>647</v>
      </c>
      <c r="L6" s="49">
        <v>1003.0</v>
      </c>
      <c r="M6" s="49" t="s">
        <v>1081</v>
      </c>
      <c r="N6" s="49"/>
      <c r="O6" s="49">
        <v>1.0</v>
      </c>
      <c r="P6" s="88" t="s">
        <v>1068</v>
      </c>
      <c r="Q6" s="49" t="s">
        <v>658</v>
      </c>
      <c r="R6" s="49">
        <v>2004.0</v>
      </c>
      <c r="S6" s="49" t="s">
        <v>1096</v>
      </c>
      <c r="T6" s="49">
        <v>0.0</v>
      </c>
      <c r="U6" s="49">
        <v>1.0</v>
      </c>
      <c r="V6" s="1">
        <v>70001.0</v>
      </c>
      <c r="W6" s="1">
        <v>1.0</v>
      </c>
      <c r="X6" s="1">
        <v>1.0</v>
      </c>
      <c r="Y6" s="47">
        <v>8000.0</v>
      </c>
      <c r="Z6" s="1">
        <v>104.0</v>
      </c>
      <c r="AA6" s="1">
        <v>1.0</v>
      </c>
      <c r="AB6" s="86">
        <v>1001.0</v>
      </c>
      <c r="AC6" s="86">
        <v>100.0</v>
      </c>
      <c r="AD6" s="86">
        <v>1.0</v>
      </c>
    </row>
    <row r="7" ht="48.75" customHeight="1">
      <c r="A7" s="89">
        <v>105.0</v>
      </c>
      <c r="B7" s="1" t="s">
        <v>951</v>
      </c>
      <c r="C7" s="90"/>
      <c r="D7" s="2" t="s">
        <v>1098</v>
      </c>
      <c r="E7" s="1">
        <v>10.0</v>
      </c>
      <c r="F7" s="90"/>
      <c r="G7" s="91" t="s">
        <v>1099</v>
      </c>
      <c r="H7" s="49">
        <v>1.0</v>
      </c>
      <c r="I7" s="49"/>
      <c r="J7" s="88" t="s">
        <v>1063</v>
      </c>
      <c r="K7" s="49" t="s">
        <v>1065</v>
      </c>
      <c r="L7" s="49" t="s">
        <v>1066</v>
      </c>
      <c r="M7" s="49" t="s">
        <v>1100</v>
      </c>
      <c r="N7" s="49">
        <v>1.0</v>
      </c>
      <c r="O7" s="49">
        <v>1.0</v>
      </c>
      <c r="P7" s="88" t="s">
        <v>1082</v>
      </c>
      <c r="Q7" s="49" t="s">
        <v>658</v>
      </c>
      <c r="R7" s="49">
        <v>2005.0</v>
      </c>
      <c r="S7" s="49" t="s">
        <v>1102</v>
      </c>
      <c r="T7" s="49">
        <v>0.0</v>
      </c>
      <c r="U7" s="49">
        <v>1.0</v>
      </c>
      <c r="V7" s="1">
        <v>70001.0</v>
      </c>
      <c r="W7" s="1">
        <v>1.0</v>
      </c>
      <c r="X7" s="1">
        <v>1.0</v>
      </c>
      <c r="Y7" s="47">
        <v>8000.0</v>
      </c>
      <c r="Z7" s="1">
        <v>105.0</v>
      </c>
      <c r="AA7" s="1">
        <v>1.0</v>
      </c>
      <c r="AB7" s="86">
        <v>1001.0</v>
      </c>
      <c r="AC7" s="86">
        <v>100.0</v>
      </c>
      <c r="AD7" s="86">
        <v>1.0</v>
      </c>
    </row>
    <row r="8" ht="48.75" customHeight="1">
      <c r="A8" s="89">
        <v>106.0</v>
      </c>
      <c r="B8" s="1" t="s">
        <v>951</v>
      </c>
      <c r="C8" s="90"/>
      <c r="D8" s="2" t="s">
        <v>1104</v>
      </c>
      <c r="E8" s="1">
        <v>12.0</v>
      </c>
      <c r="F8" s="90"/>
      <c r="G8" s="91" t="s">
        <v>1105</v>
      </c>
      <c r="H8" s="49">
        <v>1.0</v>
      </c>
      <c r="I8" s="49"/>
      <c r="J8" s="88" t="s">
        <v>1106</v>
      </c>
      <c r="K8" s="49" t="s">
        <v>647</v>
      </c>
      <c r="L8" s="49">
        <v>1001.0</v>
      </c>
      <c r="M8" s="49" t="s">
        <v>1107</v>
      </c>
      <c r="N8" s="49"/>
      <c r="O8" s="49">
        <v>1.0</v>
      </c>
      <c r="P8" s="88" t="s">
        <v>1090</v>
      </c>
      <c r="Q8" s="49" t="s">
        <v>658</v>
      </c>
      <c r="R8" s="49">
        <v>2002.0</v>
      </c>
      <c r="S8" s="49" t="s">
        <v>1109</v>
      </c>
      <c r="T8" s="49">
        <v>0.0</v>
      </c>
      <c r="U8" s="49">
        <v>1.0</v>
      </c>
      <c r="V8" s="1">
        <v>70001.0</v>
      </c>
      <c r="W8" s="1">
        <v>1.0</v>
      </c>
      <c r="X8" s="1">
        <v>1.0</v>
      </c>
      <c r="Y8" s="47">
        <v>8000.0</v>
      </c>
      <c r="Z8" s="1">
        <v>106.0</v>
      </c>
      <c r="AA8" s="1">
        <v>1.0</v>
      </c>
      <c r="AB8" s="86">
        <v>1001.0</v>
      </c>
      <c r="AC8" s="86">
        <v>100.0</v>
      </c>
      <c r="AD8" s="86">
        <v>1.0</v>
      </c>
    </row>
    <row r="9" ht="48.75" customHeight="1">
      <c r="A9" s="89">
        <v>107.0</v>
      </c>
      <c r="B9" s="1" t="s">
        <v>951</v>
      </c>
      <c r="C9" s="90"/>
      <c r="D9" s="2" t="s">
        <v>1111</v>
      </c>
      <c r="E9" s="1">
        <v>14.0</v>
      </c>
      <c r="F9" s="90"/>
      <c r="G9" s="91" t="s">
        <v>1112</v>
      </c>
      <c r="H9" s="49">
        <v>1.0</v>
      </c>
      <c r="I9" s="49"/>
      <c r="J9" s="88" t="s">
        <v>1063</v>
      </c>
      <c r="K9" s="49" t="s">
        <v>1065</v>
      </c>
      <c r="L9" s="49" t="s">
        <v>1066</v>
      </c>
      <c r="M9" s="49" t="s">
        <v>1113</v>
      </c>
      <c r="N9" s="49">
        <v>1.0</v>
      </c>
      <c r="O9" s="49">
        <v>1.0</v>
      </c>
      <c r="P9" s="88" t="s">
        <v>1068</v>
      </c>
      <c r="Q9" s="49" t="s">
        <v>658</v>
      </c>
      <c r="R9" s="49">
        <v>2004.0</v>
      </c>
      <c r="S9" s="49" t="s">
        <v>1114</v>
      </c>
      <c r="T9" s="49">
        <v>0.0</v>
      </c>
      <c r="U9" s="49">
        <v>1.0</v>
      </c>
      <c r="V9" s="1">
        <v>70001.0</v>
      </c>
      <c r="W9" s="1">
        <v>1.0</v>
      </c>
      <c r="X9" s="1">
        <v>1.0</v>
      </c>
      <c r="Y9" s="47">
        <v>8000.0</v>
      </c>
      <c r="Z9" s="1">
        <v>107.0</v>
      </c>
      <c r="AA9" s="1">
        <v>1.0</v>
      </c>
      <c r="AB9" s="86">
        <v>1001.0</v>
      </c>
      <c r="AC9" s="86">
        <v>100.0</v>
      </c>
      <c r="AD9" s="86">
        <v>1.0</v>
      </c>
    </row>
    <row r="10" ht="48.75" customHeight="1">
      <c r="A10" s="89">
        <v>108.0</v>
      </c>
      <c r="B10" s="1" t="s">
        <v>951</v>
      </c>
      <c r="C10" s="90"/>
      <c r="D10" s="2" t="s">
        <v>1117</v>
      </c>
      <c r="E10" s="1">
        <v>16.0</v>
      </c>
      <c r="F10" s="90"/>
      <c r="G10" s="91" t="s">
        <v>1118</v>
      </c>
      <c r="H10" s="49">
        <v>1.0</v>
      </c>
      <c r="I10" s="49"/>
      <c r="J10" s="88" t="s">
        <v>1080</v>
      </c>
      <c r="K10" s="49" t="s">
        <v>647</v>
      </c>
      <c r="L10" s="49">
        <v>1005.0</v>
      </c>
      <c r="M10" s="49" t="s">
        <v>1119</v>
      </c>
      <c r="N10" s="49"/>
      <c r="O10" s="49">
        <v>1.0</v>
      </c>
      <c r="P10" s="88" t="s">
        <v>1082</v>
      </c>
      <c r="Q10" s="49" t="s">
        <v>658</v>
      </c>
      <c r="R10" s="49">
        <v>2005.0</v>
      </c>
      <c r="S10" s="49" t="s">
        <v>1121</v>
      </c>
      <c r="T10" s="49">
        <v>0.0</v>
      </c>
      <c r="U10" s="49">
        <v>1.0</v>
      </c>
      <c r="V10" s="1">
        <v>70001.0</v>
      </c>
      <c r="W10" s="1">
        <v>1.0</v>
      </c>
      <c r="X10" s="1">
        <v>1.0</v>
      </c>
      <c r="Y10" s="47">
        <v>8000.0</v>
      </c>
      <c r="Z10" s="1">
        <v>108.0</v>
      </c>
      <c r="AA10" s="1">
        <v>1.0</v>
      </c>
      <c r="AB10" s="86">
        <v>1001.0</v>
      </c>
      <c r="AC10" s="86">
        <v>100.0</v>
      </c>
      <c r="AD10" s="86">
        <v>1.0</v>
      </c>
    </row>
    <row r="11" ht="48.75" customHeight="1">
      <c r="A11" s="89">
        <v>109.0</v>
      </c>
      <c r="B11" s="1" t="s">
        <v>951</v>
      </c>
      <c r="C11" s="90"/>
      <c r="D11" s="2" t="s">
        <v>1122</v>
      </c>
      <c r="E11" s="90">
        <v>18.0</v>
      </c>
      <c r="F11" s="92"/>
      <c r="G11" s="93" t="s">
        <v>1124</v>
      </c>
      <c r="H11" s="49">
        <v>1.0</v>
      </c>
      <c r="I11" s="49"/>
      <c r="J11" s="88" t="s">
        <v>1063</v>
      </c>
      <c r="K11" s="49" t="s">
        <v>1065</v>
      </c>
      <c r="L11" s="49" t="s">
        <v>1066</v>
      </c>
      <c r="M11" s="49" t="s">
        <v>1126</v>
      </c>
      <c r="N11" s="49">
        <v>1.0</v>
      </c>
      <c r="O11" s="49">
        <v>1.0</v>
      </c>
      <c r="P11" s="88" t="s">
        <v>1090</v>
      </c>
      <c r="Q11" s="49" t="s">
        <v>658</v>
      </c>
      <c r="R11" s="49">
        <v>2002.0</v>
      </c>
      <c r="S11" s="49" t="s">
        <v>1128</v>
      </c>
      <c r="T11" s="49">
        <v>0.0</v>
      </c>
      <c r="U11" s="49">
        <v>1.0</v>
      </c>
      <c r="V11" s="1">
        <v>70001.0</v>
      </c>
      <c r="W11" s="1">
        <v>1.0</v>
      </c>
      <c r="X11" s="1">
        <v>1.0</v>
      </c>
      <c r="Y11" s="47">
        <v>8000.0</v>
      </c>
      <c r="Z11" s="1">
        <v>109.0</v>
      </c>
      <c r="AA11" s="1">
        <v>1.0</v>
      </c>
      <c r="AB11" s="86">
        <v>1001.0</v>
      </c>
      <c r="AC11" s="86">
        <v>100.0</v>
      </c>
      <c r="AD11" s="86">
        <v>1.0</v>
      </c>
    </row>
    <row r="12" ht="48.75" customHeight="1">
      <c r="A12" s="89">
        <v>110.0</v>
      </c>
      <c r="B12" s="1" t="s">
        <v>951</v>
      </c>
      <c r="C12" s="90"/>
      <c r="D12" s="2" t="s">
        <v>1129</v>
      </c>
      <c r="E12" s="90">
        <v>20.0</v>
      </c>
      <c r="F12" s="92"/>
      <c r="G12" s="93" t="s">
        <v>1130</v>
      </c>
      <c r="H12" s="49">
        <v>1.0</v>
      </c>
      <c r="I12" s="49"/>
      <c r="J12" s="88" t="s">
        <v>1095</v>
      </c>
      <c r="K12" s="49" t="s">
        <v>647</v>
      </c>
      <c r="L12" s="49">
        <v>1003.0</v>
      </c>
      <c r="M12" s="49" t="s">
        <v>1132</v>
      </c>
      <c r="N12" s="49"/>
      <c r="O12" s="49">
        <v>1.0</v>
      </c>
      <c r="P12" s="88" t="s">
        <v>1068</v>
      </c>
      <c r="Q12" s="49" t="s">
        <v>658</v>
      </c>
      <c r="R12" s="49">
        <v>2004.0</v>
      </c>
      <c r="S12" s="49" t="s">
        <v>1133</v>
      </c>
      <c r="T12" s="49">
        <v>0.0</v>
      </c>
      <c r="U12" s="49">
        <v>1.0</v>
      </c>
      <c r="V12" s="1">
        <v>70001.0</v>
      </c>
      <c r="W12" s="1">
        <v>1.0</v>
      </c>
      <c r="X12" s="1">
        <v>1.0</v>
      </c>
      <c r="Y12" s="47">
        <v>8000.0</v>
      </c>
      <c r="Z12" s="1">
        <v>110.0</v>
      </c>
      <c r="AA12" s="1">
        <v>1.0</v>
      </c>
      <c r="AB12" s="86">
        <v>1001.0</v>
      </c>
      <c r="AC12" s="86">
        <v>1000.0</v>
      </c>
      <c r="AD12" s="86">
        <v>1.0</v>
      </c>
    </row>
    <row r="13" ht="48.75" customHeight="1">
      <c r="A13" s="89">
        <v>111.0</v>
      </c>
      <c r="B13" s="1" t="s">
        <v>951</v>
      </c>
      <c r="C13" s="90"/>
      <c r="D13" s="2" t="s">
        <v>1134</v>
      </c>
      <c r="E13" s="90">
        <v>22.0</v>
      </c>
      <c r="F13" s="92"/>
      <c r="G13" s="93" t="s">
        <v>1137</v>
      </c>
      <c r="H13" s="49">
        <v>1.0</v>
      </c>
      <c r="I13" s="49"/>
      <c r="J13" s="88" t="s">
        <v>1063</v>
      </c>
      <c r="K13" s="49" t="s">
        <v>1065</v>
      </c>
      <c r="L13" s="49" t="s">
        <v>1066</v>
      </c>
      <c r="M13" s="49" t="s">
        <v>1138</v>
      </c>
      <c r="N13" s="49">
        <v>1.0</v>
      </c>
      <c r="O13" s="49">
        <v>1.0</v>
      </c>
      <c r="P13" s="88" t="s">
        <v>1082</v>
      </c>
      <c r="Q13" s="49" t="s">
        <v>658</v>
      </c>
      <c r="R13" s="49">
        <v>2005.0</v>
      </c>
      <c r="S13" s="49" t="s">
        <v>1081</v>
      </c>
      <c r="T13" s="49">
        <v>0.0</v>
      </c>
      <c r="U13" s="49">
        <v>1.0</v>
      </c>
      <c r="V13" s="1">
        <v>70001.0</v>
      </c>
      <c r="W13" s="1">
        <v>1.0</v>
      </c>
      <c r="X13" s="1">
        <v>1.0</v>
      </c>
      <c r="Y13" s="47">
        <v>8000.0</v>
      </c>
      <c r="Z13" s="1">
        <v>111.0</v>
      </c>
      <c r="AA13" s="1">
        <v>1.0</v>
      </c>
      <c r="AB13" s="86">
        <v>1001.0</v>
      </c>
      <c r="AC13" s="86">
        <v>100.0</v>
      </c>
      <c r="AD13" s="86">
        <v>1.0</v>
      </c>
    </row>
    <row r="14" ht="48.75" customHeight="1">
      <c r="A14" s="89">
        <v>112.0</v>
      </c>
      <c r="B14" s="1" t="s">
        <v>951</v>
      </c>
      <c r="C14" s="90"/>
      <c r="D14" s="2" t="s">
        <v>1140</v>
      </c>
      <c r="E14" s="90">
        <v>24.0</v>
      </c>
      <c r="F14" s="92"/>
      <c r="G14" s="93" t="s">
        <v>1141</v>
      </c>
      <c r="H14" s="49">
        <v>1.0</v>
      </c>
      <c r="I14" s="49"/>
      <c r="J14" s="88" t="s">
        <v>1106</v>
      </c>
      <c r="K14" s="49" t="s">
        <v>647</v>
      </c>
      <c r="L14" s="49">
        <v>1001.0</v>
      </c>
      <c r="M14" s="49" t="s">
        <v>1143</v>
      </c>
      <c r="N14" s="49"/>
      <c r="O14" s="49">
        <v>1.0</v>
      </c>
      <c r="P14" s="88" t="s">
        <v>1090</v>
      </c>
      <c r="Q14" s="49" t="s">
        <v>658</v>
      </c>
      <c r="R14" s="49">
        <v>2002.0</v>
      </c>
      <c r="S14" s="49" t="s">
        <v>1083</v>
      </c>
      <c r="T14" s="49">
        <v>0.0</v>
      </c>
      <c r="U14" s="49">
        <v>1.0</v>
      </c>
      <c r="V14" s="1">
        <v>70001.0</v>
      </c>
      <c r="W14" s="1">
        <v>1.0</v>
      </c>
      <c r="X14" s="1">
        <v>1.0</v>
      </c>
      <c r="Y14" s="47">
        <v>8000.0</v>
      </c>
      <c r="Z14" s="1">
        <v>112.0</v>
      </c>
      <c r="AA14" s="1">
        <v>1.0</v>
      </c>
      <c r="AB14" s="86">
        <v>1001.0</v>
      </c>
      <c r="AC14" s="86">
        <v>100.0</v>
      </c>
      <c r="AD14" s="86">
        <v>1.0</v>
      </c>
    </row>
    <row r="15" ht="48.75" customHeight="1">
      <c r="A15" s="89">
        <v>113.0</v>
      </c>
      <c r="B15" s="1" t="s">
        <v>951</v>
      </c>
      <c r="C15" s="90"/>
      <c r="D15" s="2" t="s">
        <v>1146</v>
      </c>
      <c r="E15" s="90">
        <v>26.0</v>
      </c>
      <c r="F15" s="92"/>
      <c r="G15" s="93" t="s">
        <v>1147</v>
      </c>
      <c r="H15" s="49">
        <v>1.0</v>
      </c>
      <c r="I15" s="49"/>
      <c r="J15" s="88" t="s">
        <v>1063</v>
      </c>
      <c r="K15" s="49" t="s">
        <v>1065</v>
      </c>
      <c r="L15" s="94" t="s">
        <v>1066</v>
      </c>
      <c r="M15" s="49" t="s">
        <v>1150</v>
      </c>
      <c r="N15" s="49">
        <v>1.0</v>
      </c>
      <c r="O15" s="49">
        <v>1.0</v>
      </c>
      <c r="P15" s="88" t="s">
        <v>1068</v>
      </c>
      <c r="Q15" s="49" t="s">
        <v>658</v>
      </c>
      <c r="R15" s="49">
        <v>2004.0</v>
      </c>
      <c r="S15" s="49" t="s">
        <v>1151</v>
      </c>
      <c r="T15" s="49">
        <v>0.0</v>
      </c>
      <c r="U15" s="49">
        <v>1.0</v>
      </c>
      <c r="V15" s="1">
        <v>70001.0</v>
      </c>
      <c r="W15" s="1">
        <v>1.0</v>
      </c>
      <c r="X15" s="1">
        <v>1.0</v>
      </c>
      <c r="Y15" s="47">
        <v>8000.0</v>
      </c>
      <c r="Z15" s="1">
        <v>113.0</v>
      </c>
      <c r="AA15" s="1">
        <v>1.0</v>
      </c>
      <c r="AB15" s="86">
        <v>1001.0</v>
      </c>
      <c r="AC15" s="86">
        <v>100.0</v>
      </c>
      <c r="AD15" s="86">
        <v>1.0</v>
      </c>
    </row>
    <row r="16" ht="48.75" customHeight="1">
      <c r="A16" s="89">
        <v>114.0</v>
      </c>
      <c r="B16" s="1" t="s">
        <v>951</v>
      </c>
      <c r="C16" s="90"/>
      <c r="D16" s="2" t="s">
        <v>1152</v>
      </c>
      <c r="E16" s="90">
        <v>28.0</v>
      </c>
      <c r="F16" s="92"/>
      <c r="G16" s="93" t="s">
        <v>1154</v>
      </c>
      <c r="H16" s="49">
        <v>1.0</v>
      </c>
      <c r="I16" s="49"/>
      <c r="J16" s="88" t="s">
        <v>1080</v>
      </c>
      <c r="K16" s="49" t="s">
        <v>647</v>
      </c>
      <c r="L16" s="94">
        <v>1005.0</v>
      </c>
      <c r="M16" s="49" t="s">
        <v>1109</v>
      </c>
      <c r="N16" s="49"/>
      <c r="O16" s="49">
        <v>1.0</v>
      </c>
      <c r="P16" s="88" t="s">
        <v>1082</v>
      </c>
      <c r="Q16" s="49" t="s">
        <v>658</v>
      </c>
      <c r="R16" s="49">
        <v>2005.0</v>
      </c>
      <c r="S16" s="49" t="s">
        <v>1071</v>
      </c>
      <c r="T16" s="49">
        <v>0.0</v>
      </c>
      <c r="U16" s="49">
        <v>1.0</v>
      </c>
      <c r="V16" s="1">
        <v>70001.0</v>
      </c>
      <c r="W16" s="1">
        <v>1.0</v>
      </c>
      <c r="X16" s="1">
        <v>1.0</v>
      </c>
      <c r="Y16" s="47">
        <v>8000.0</v>
      </c>
      <c r="Z16" s="1">
        <v>114.0</v>
      </c>
      <c r="AA16" s="1">
        <v>1.0</v>
      </c>
      <c r="AB16" s="86">
        <v>1001.0</v>
      </c>
      <c r="AC16" s="86">
        <v>100.0</v>
      </c>
      <c r="AD16" s="86">
        <v>1.0</v>
      </c>
    </row>
    <row r="17" ht="38.25" customHeight="1">
      <c r="A17" s="86">
        <v>115.0</v>
      </c>
      <c r="B17" s="86" t="s">
        <v>951</v>
      </c>
      <c r="D17" s="95" t="s">
        <v>1156</v>
      </c>
      <c r="E17" s="86">
        <v>30.0</v>
      </c>
      <c r="G17" s="96" t="s">
        <v>1159</v>
      </c>
      <c r="H17" s="86">
        <v>1.0</v>
      </c>
      <c r="J17" s="95" t="s">
        <v>1063</v>
      </c>
      <c r="K17" s="86" t="s">
        <v>1065</v>
      </c>
      <c r="L17" s="86" t="s">
        <v>1066</v>
      </c>
      <c r="M17" s="86" t="s">
        <v>1160</v>
      </c>
      <c r="N17" s="86">
        <v>1.0</v>
      </c>
      <c r="O17" s="86">
        <v>1.0</v>
      </c>
      <c r="P17" s="95" t="s">
        <v>1090</v>
      </c>
      <c r="Q17" s="86" t="s">
        <v>658</v>
      </c>
      <c r="R17" s="86">
        <v>2002.0</v>
      </c>
      <c r="S17" s="86" t="s">
        <v>1163</v>
      </c>
      <c r="T17" s="86">
        <v>0.0</v>
      </c>
      <c r="U17" s="86">
        <v>1.0</v>
      </c>
      <c r="V17" s="86">
        <v>70001.0</v>
      </c>
      <c r="W17" s="86">
        <v>1.0</v>
      </c>
      <c r="X17" s="86">
        <v>1.0</v>
      </c>
      <c r="Y17" s="86">
        <v>8000.0</v>
      </c>
      <c r="Z17" s="86">
        <v>115.0</v>
      </c>
      <c r="AA17" s="86">
        <v>1.0</v>
      </c>
      <c r="AB17" s="86">
        <v>1001.0</v>
      </c>
      <c r="AC17" s="86">
        <v>100.0</v>
      </c>
      <c r="AD17" s="86">
        <v>1.0</v>
      </c>
    </row>
    <row r="18" ht="42.75" customHeight="1">
      <c r="A18" s="97">
        <v>116.0</v>
      </c>
      <c r="B18" s="97" t="s">
        <v>951</v>
      </c>
      <c r="C18" s="97"/>
      <c r="D18" s="98" t="s">
        <v>1166</v>
      </c>
      <c r="E18" s="97">
        <v>32.0</v>
      </c>
      <c r="F18" s="1"/>
      <c r="G18" s="99" t="s">
        <v>1167</v>
      </c>
      <c r="H18" s="97">
        <v>1.0</v>
      </c>
      <c r="I18" s="97"/>
      <c r="J18" s="98" t="s">
        <v>1095</v>
      </c>
      <c r="K18" s="97" t="s">
        <v>647</v>
      </c>
      <c r="L18" s="97">
        <v>1003.0</v>
      </c>
      <c r="M18" s="97" t="s">
        <v>1170</v>
      </c>
      <c r="N18" s="97"/>
      <c r="O18" s="97">
        <v>1.0</v>
      </c>
      <c r="P18" s="98" t="s">
        <v>1068</v>
      </c>
      <c r="Q18" s="97" t="s">
        <v>658</v>
      </c>
      <c r="R18" s="97">
        <v>2004.0</v>
      </c>
      <c r="S18" s="97" t="s">
        <v>1171</v>
      </c>
      <c r="T18" s="97">
        <v>0.0</v>
      </c>
      <c r="U18" s="97">
        <v>1.0</v>
      </c>
      <c r="V18" s="97">
        <v>70001.0</v>
      </c>
      <c r="W18" s="97">
        <v>1.0</v>
      </c>
      <c r="X18" s="97">
        <v>1.0</v>
      </c>
      <c r="Y18" s="97">
        <v>8000.0</v>
      </c>
      <c r="Z18" s="97">
        <v>116.0</v>
      </c>
      <c r="AA18" s="97">
        <v>1.0</v>
      </c>
      <c r="AB18" s="97">
        <v>1001.0</v>
      </c>
      <c r="AC18" s="97">
        <v>100.0</v>
      </c>
      <c r="AD18" s="97">
        <v>1.0</v>
      </c>
      <c r="AE18" s="97"/>
      <c r="AF18" s="97"/>
      <c r="AG18" s="97"/>
      <c r="AH18" s="97"/>
      <c r="AI18" s="97"/>
      <c r="AJ18" s="97"/>
    </row>
    <row r="19" ht="42.75" customHeight="1">
      <c r="A19" s="1">
        <v>117.0</v>
      </c>
      <c r="B19" s="1" t="s">
        <v>951</v>
      </c>
      <c r="C19" s="1"/>
      <c r="D19" s="2" t="s">
        <v>1174</v>
      </c>
      <c r="E19" s="1">
        <v>34.0</v>
      </c>
      <c r="F19" s="1"/>
      <c r="G19" s="87" t="s">
        <v>1175</v>
      </c>
      <c r="H19" s="49">
        <v>1.0</v>
      </c>
      <c r="J19" s="88" t="s">
        <v>1063</v>
      </c>
      <c r="K19" s="49" t="s">
        <v>1065</v>
      </c>
      <c r="L19" s="49" t="s">
        <v>1066</v>
      </c>
      <c r="M19" s="49" t="s">
        <v>1176</v>
      </c>
      <c r="N19" s="49">
        <v>1.0</v>
      </c>
      <c r="O19" s="49">
        <v>1.0</v>
      </c>
      <c r="P19" s="88" t="s">
        <v>1082</v>
      </c>
      <c r="Q19" s="49" t="s">
        <v>658</v>
      </c>
      <c r="R19" s="49">
        <v>2005.0</v>
      </c>
      <c r="S19" s="49" t="s">
        <v>1177</v>
      </c>
      <c r="T19" s="49">
        <v>0.0</v>
      </c>
      <c r="U19" s="49">
        <v>1.0</v>
      </c>
      <c r="V19" s="86">
        <v>70001.0</v>
      </c>
      <c r="W19" s="86">
        <v>1.0</v>
      </c>
      <c r="X19" s="86">
        <v>1.0</v>
      </c>
      <c r="Y19" s="47">
        <v>8000.0</v>
      </c>
      <c r="Z19" s="86">
        <v>117.0</v>
      </c>
      <c r="AA19" s="86">
        <v>1.0</v>
      </c>
      <c r="AB19" s="86">
        <v>1001.0</v>
      </c>
      <c r="AC19" s="86">
        <v>100.0</v>
      </c>
      <c r="AD19" s="86">
        <v>1.0</v>
      </c>
    </row>
    <row r="20" ht="42.75" customHeight="1">
      <c r="A20" s="1">
        <v>118.0</v>
      </c>
      <c r="B20" s="1" t="s">
        <v>951</v>
      </c>
      <c r="C20" s="1"/>
      <c r="D20" s="101" t="s">
        <v>1181</v>
      </c>
      <c r="E20" s="1">
        <v>36.0</v>
      </c>
      <c r="F20" s="1"/>
      <c r="G20" s="87" t="s">
        <v>1182</v>
      </c>
      <c r="H20" s="49">
        <v>1.0</v>
      </c>
      <c r="I20" s="49"/>
      <c r="J20" s="88" t="s">
        <v>1106</v>
      </c>
      <c r="K20" s="49" t="s">
        <v>647</v>
      </c>
      <c r="L20" s="49">
        <v>1001.0</v>
      </c>
      <c r="M20" s="49" t="s">
        <v>1184</v>
      </c>
      <c r="N20" s="49"/>
      <c r="O20" s="49">
        <v>1.0</v>
      </c>
      <c r="P20" s="88" t="s">
        <v>1090</v>
      </c>
      <c r="Q20" s="49" t="s">
        <v>658</v>
      </c>
      <c r="R20" s="49">
        <v>2002.0</v>
      </c>
      <c r="S20" s="49" t="s">
        <v>1185</v>
      </c>
      <c r="T20" s="49">
        <v>0.0</v>
      </c>
      <c r="U20" s="49">
        <v>1.0</v>
      </c>
      <c r="V20" s="1">
        <v>70001.0</v>
      </c>
      <c r="W20" s="1">
        <v>1.0</v>
      </c>
      <c r="X20" s="1">
        <v>1.0</v>
      </c>
      <c r="Y20" s="1">
        <v>8000.0</v>
      </c>
      <c r="Z20" s="1">
        <v>118.0</v>
      </c>
      <c r="AA20" s="1">
        <v>1.0</v>
      </c>
      <c r="AB20" s="86">
        <v>1001.0</v>
      </c>
      <c r="AC20" s="86">
        <v>100.0</v>
      </c>
      <c r="AD20" s="86">
        <v>1.0</v>
      </c>
    </row>
    <row r="21" ht="42.75" customHeight="1">
      <c r="A21" s="1">
        <v>119.0</v>
      </c>
      <c r="B21" s="1" t="s">
        <v>951</v>
      </c>
      <c r="C21" s="1"/>
      <c r="D21" s="101" t="s">
        <v>1186</v>
      </c>
      <c r="E21" s="1">
        <v>38.0</v>
      </c>
      <c r="F21" s="1"/>
      <c r="G21" s="87" t="s">
        <v>1188</v>
      </c>
      <c r="H21" s="49">
        <v>1.0</v>
      </c>
      <c r="I21" s="49"/>
      <c r="J21" s="88" t="s">
        <v>1063</v>
      </c>
      <c r="K21" s="49" t="s">
        <v>1065</v>
      </c>
      <c r="L21" s="49" t="s">
        <v>1066</v>
      </c>
      <c r="M21" s="49" t="s">
        <v>1190</v>
      </c>
      <c r="N21" s="49">
        <v>1.0</v>
      </c>
      <c r="O21" s="49">
        <v>1.0</v>
      </c>
      <c r="P21" s="88" t="s">
        <v>1068</v>
      </c>
      <c r="Q21" s="49" t="s">
        <v>658</v>
      </c>
      <c r="R21" s="49">
        <v>2004.0</v>
      </c>
      <c r="S21" s="49" t="s">
        <v>1191</v>
      </c>
      <c r="T21" s="49">
        <v>0.0</v>
      </c>
      <c r="U21" s="49">
        <v>1.0</v>
      </c>
      <c r="V21" s="1">
        <v>70001.0</v>
      </c>
      <c r="W21" s="1">
        <v>1.0</v>
      </c>
      <c r="X21" s="1">
        <v>1.0</v>
      </c>
      <c r="Y21" s="1">
        <v>8000.0</v>
      </c>
      <c r="Z21" s="1">
        <v>119.0</v>
      </c>
      <c r="AA21" s="1">
        <v>1.0</v>
      </c>
      <c r="AB21" s="86">
        <v>1001.0</v>
      </c>
      <c r="AC21" s="86">
        <v>100.0</v>
      </c>
      <c r="AD21" s="86">
        <v>1.0</v>
      </c>
    </row>
    <row r="22" ht="42.75" customHeight="1">
      <c r="A22" s="1">
        <v>120.0</v>
      </c>
      <c r="B22" s="1" t="s">
        <v>951</v>
      </c>
      <c r="C22" s="1"/>
      <c r="D22" s="101" t="s">
        <v>1193</v>
      </c>
      <c r="E22" s="1">
        <v>40.0</v>
      </c>
      <c r="F22" s="1"/>
      <c r="G22" s="87" t="s">
        <v>1194</v>
      </c>
      <c r="H22" s="49">
        <v>1.0</v>
      </c>
      <c r="I22" s="49"/>
      <c r="J22" s="88" t="s">
        <v>1080</v>
      </c>
      <c r="K22" s="49" t="s">
        <v>647</v>
      </c>
      <c r="L22" s="49">
        <v>1005.0</v>
      </c>
      <c r="M22" s="49" t="s">
        <v>1195</v>
      </c>
      <c r="N22" s="49"/>
      <c r="O22" s="49">
        <v>1.0</v>
      </c>
      <c r="P22" s="88" t="s">
        <v>1082</v>
      </c>
      <c r="Q22" s="49" t="s">
        <v>658</v>
      </c>
      <c r="R22" s="49">
        <v>2005.0</v>
      </c>
      <c r="S22" s="49" t="s">
        <v>1132</v>
      </c>
      <c r="T22" s="49">
        <v>0.0</v>
      </c>
      <c r="U22" s="49">
        <v>1.0</v>
      </c>
      <c r="V22" s="1">
        <v>70001.0</v>
      </c>
      <c r="W22" s="1">
        <v>1.0</v>
      </c>
      <c r="X22" s="1">
        <v>1.0</v>
      </c>
      <c r="Y22" s="1">
        <v>8000.0</v>
      </c>
      <c r="Z22" s="1">
        <v>120.0</v>
      </c>
      <c r="AA22" s="1">
        <v>1.0</v>
      </c>
      <c r="AB22" s="86">
        <v>1001.0</v>
      </c>
      <c r="AC22" s="86">
        <v>1000.0</v>
      </c>
      <c r="AD22" s="86">
        <v>1.0</v>
      </c>
    </row>
    <row r="23" ht="42.75" customHeight="1">
      <c r="A23" s="1">
        <v>121.0</v>
      </c>
      <c r="B23" s="1" t="s">
        <v>951</v>
      </c>
      <c r="C23" s="1"/>
      <c r="D23" s="101" t="s">
        <v>1198</v>
      </c>
      <c r="E23" s="1">
        <v>42.0</v>
      </c>
      <c r="F23" s="1"/>
      <c r="G23" s="87" t="s">
        <v>1199</v>
      </c>
      <c r="H23" s="49">
        <v>1.0</v>
      </c>
      <c r="I23" s="49"/>
      <c r="J23" s="88" t="s">
        <v>1063</v>
      </c>
      <c r="K23" s="49" t="s">
        <v>1065</v>
      </c>
      <c r="L23" s="49" t="s">
        <v>1066</v>
      </c>
      <c r="M23" s="49" t="s">
        <v>1200</v>
      </c>
      <c r="N23" s="49">
        <v>1.0</v>
      </c>
      <c r="O23" s="49">
        <v>1.0</v>
      </c>
      <c r="P23" s="88" t="s">
        <v>1090</v>
      </c>
      <c r="Q23" s="49" t="s">
        <v>658</v>
      </c>
      <c r="R23" s="49">
        <v>2002.0</v>
      </c>
      <c r="S23" s="49" t="s">
        <v>1202</v>
      </c>
      <c r="T23" s="49">
        <v>0.0</v>
      </c>
      <c r="U23" s="49">
        <v>1.0</v>
      </c>
      <c r="V23" s="1">
        <v>70001.0</v>
      </c>
      <c r="W23" s="1">
        <v>1.0</v>
      </c>
      <c r="X23" s="1">
        <v>1.0</v>
      </c>
      <c r="Y23" s="1">
        <v>8000.0</v>
      </c>
      <c r="Z23" s="1">
        <v>121.0</v>
      </c>
      <c r="AA23" s="1">
        <v>1.0</v>
      </c>
      <c r="AB23" s="86">
        <v>1001.0</v>
      </c>
      <c r="AC23" s="86">
        <v>100.0</v>
      </c>
      <c r="AD23" s="86">
        <v>1.0</v>
      </c>
    </row>
    <row r="24" ht="42.75" customHeight="1">
      <c r="A24" s="1">
        <v>122.0</v>
      </c>
      <c r="B24" s="1" t="s">
        <v>951</v>
      </c>
      <c r="C24" s="1"/>
      <c r="D24" s="101" t="s">
        <v>1205</v>
      </c>
      <c r="E24" s="1">
        <v>44.0</v>
      </c>
      <c r="F24" s="1"/>
      <c r="G24" s="87" t="s">
        <v>1206</v>
      </c>
      <c r="H24" s="49">
        <v>1.0</v>
      </c>
      <c r="I24" s="49"/>
      <c r="J24" s="88" t="s">
        <v>1095</v>
      </c>
      <c r="K24" s="49" t="s">
        <v>647</v>
      </c>
      <c r="L24" s="49">
        <v>1003.0</v>
      </c>
      <c r="M24" s="49" t="s">
        <v>1185</v>
      </c>
      <c r="N24" s="49"/>
      <c r="O24" s="49">
        <v>1.0</v>
      </c>
      <c r="P24" s="88" t="s">
        <v>1068</v>
      </c>
      <c r="Q24" s="49" t="s">
        <v>658</v>
      </c>
      <c r="R24" s="49">
        <v>2004.0</v>
      </c>
      <c r="S24" s="49" t="s">
        <v>1138</v>
      </c>
      <c r="T24" s="49">
        <v>0.0</v>
      </c>
      <c r="U24" s="49">
        <v>1.0</v>
      </c>
      <c r="V24" s="1">
        <v>70001.0</v>
      </c>
      <c r="W24" s="1">
        <v>1.0</v>
      </c>
      <c r="X24" s="1">
        <v>1.0</v>
      </c>
      <c r="Y24" s="1">
        <v>8000.0</v>
      </c>
      <c r="Z24" s="1">
        <v>122.0</v>
      </c>
      <c r="AA24" s="1">
        <v>1.0</v>
      </c>
      <c r="AB24" s="86">
        <v>1001.0</v>
      </c>
      <c r="AC24" s="86">
        <v>100.0</v>
      </c>
      <c r="AD24" s="86">
        <v>1.0</v>
      </c>
    </row>
    <row r="25" ht="42.75" customHeight="1">
      <c r="A25" s="1">
        <v>123.0</v>
      </c>
      <c r="B25" s="1" t="s">
        <v>951</v>
      </c>
      <c r="C25" s="1"/>
      <c r="D25" s="101" t="s">
        <v>1209</v>
      </c>
      <c r="E25" s="1">
        <v>46.0</v>
      </c>
      <c r="F25" s="1"/>
      <c r="G25" s="87" t="s">
        <v>1210</v>
      </c>
      <c r="H25" s="49">
        <v>1.0</v>
      </c>
      <c r="I25" s="49"/>
      <c r="J25" s="88" t="s">
        <v>1063</v>
      </c>
      <c r="K25" s="49" t="s">
        <v>1065</v>
      </c>
      <c r="L25" s="49" t="s">
        <v>1066</v>
      </c>
      <c r="M25" s="49" t="s">
        <v>1211</v>
      </c>
      <c r="N25" s="49">
        <v>1.0</v>
      </c>
      <c r="O25" s="49">
        <v>1.0</v>
      </c>
      <c r="P25" s="88" t="s">
        <v>1082</v>
      </c>
      <c r="Q25" s="49" t="s">
        <v>658</v>
      </c>
      <c r="R25" s="49">
        <v>2005.0</v>
      </c>
      <c r="S25" s="49" t="s">
        <v>1214</v>
      </c>
      <c r="T25" s="49">
        <v>0.0</v>
      </c>
      <c r="U25" s="49">
        <v>1.0</v>
      </c>
      <c r="V25" s="1">
        <v>70001.0</v>
      </c>
      <c r="W25" s="1">
        <v>1.0</v>
      </c>
      <c r="X25" s="1">
        <v>1.0</v>
      </c>
      <c r="Y25" s="1">
        <v>8000.0</v>
      </c>
      <c r="Z25" s="1">
        <v>123.0</v>
      </c>
      <c r="AA25" s="1">
        <v>1.0</v>
      </c>
      <c r="AB25" s="86">
        <v>1001.0</v>
      </c>
      <c r="AC25" s="86">
        <v>100.0</v>
      </c>
      <c r="AD25" s="86">
        <v>1.0</v>
      </c>
    </row>
    <row r="26" ht="42.75" customHeight="1">
      <c r="A26" s="1">
        <v>124.0</v>
      </c>
      <c r="B26" s="1" t="s">
        <v>951</v>
      </c>
      <c r="C26" s="1"/>
      <c r="D26" s="101" t="s">
        <v>1215</v>
      </c>
      <c r="E26" s="1">
        <v>48.0</v>
      </c>
      <c r="F26" s="1"/>
      <c r="G26" s="87" t="s">
        <v>1216</v>
      </c>
      <c r="H26" s="49">
        <v>1.0</v>
      </c>
      <c r="I26" s="49"/>
      <c r="J26" s="88" t="s">
        <v>1106</v>
      </c>
      <c r="K26" s="49" t="s">
        <v>647</v>
      </c>
      <c r="L26" s="49">
        <v>1001.0</v>
      </c>
      <c r="M26" s="49" t="s">
        <v>1217</v>
      </c>
      <c r="N26" s="49"/>
      <c r="O26" s="49">
        <v>1.0</v>
      </c>
      <c r="P26" s="88" t="s">
        <v>1090</v>
      </c>
      <c r="Q26" s="49" t="s">
        <v>658</v>
      </c>
      <c r="R26" s="49">
        <v>2002.0</v>
      </c>
      <c r="S26" s="49" t="s">
        <v>1220</v>
      </c>
      <c r="T26" s="49">
        <v>0.0</v>
      </c>
      <c r="U26" s="49">
        <v>1.0</v>
      </c>
      <c r="V26" s="1">
        <v>70001.0</v>
      </c>
      <c r="W26" s="1">
        <v>1.0</v>
      </c>
      <c r="X26" s="1">
        <v>1.0</v>
      </c>
      <c r="Y26" s="1">
        <v>8000.0</v>
      </c>
      <c r="Z26" s="1">
        <v>124.0</v>
      </c>
      <c r="AA26" s="1">
        <v>1.0</v>
      </c>
      <c r="AB26" s="86">
        <v>1001.0</v>
      </c>
      <c r="AC26" s="86">
        <v>100.0</v>
      </c>
      <c r="AD26" s="86">
        <v>1.0</v>
      </c>
    </row>
    <row r="27" ht="42.75" customHeight="1">
      <c r="A27" s="1">
        <v>125.0</v>
      </c>
      <c r="B27" s="1" t="s">
        <v>951</v>
      </c>
      <c r="C27" s="1"/>
      <c r="D27" s="101" t="s">
        <v>1221</v>
      </c>
      <c r="E27" s="1">
        <v>50.0</v>
      </c>
      <c r="F27" s="1"/>
      <c r="G27" s="87" t="s">
        <v>1223</v>
      </c>
      <c r="H27" s="49">
        <v>1.0</v>
      </c>
      <c r="I27" s="49"/>
      <c r="J27" s="88" t="s">
        <v>1063</v>
      </c>
      <c r="K27" s="49" t="s">
        <v>1065</v>
      </c>
      <c r="L27" s="49" t="s">
        <v>1066</v>
      </c>
      <c r="M27" s="49" t="s">
        <v>1224</v>
      </c>
      <c r="N27" s="49">
        <v>1.0</v>
      </c>
      <c r="O27" s="49">
        <v>1.0</v>
      </c>
      <c r="P27" s="88" t="s">
        <v>1068</v>
      </c>
      <c r="Q27" s="49" t="s">
        <v>658</v>
      </c>
      <c r="R27" s="49">
        <v>2004.0</v>
      </c>
      <c r="S27" s="49" t="s">
        <v>1225</v>
      </c>
      <c r="T27" s="49">
        <v>0.0</v>
      </c>
      <c r="U27" s="49">
        <v>1.0</v>
      </c>
      <c r="V27" s="1">
        <v>70001.0</v>
      </c>
      <c r="W27" s="1">
        <v>1.0</v>
      </c>
      <c r="X27" s="1">
        <v>1.0</v>
      </c>
      <c r="Y27" s="1">
        <v>8000.0</v>
      </c>
      <c r="Z27" s="1">
        <v>125.0</v>
      </c>
      <c r="AA27" s="1">
        <v>1.0</v>
      </c>
      <c r="AB27" s="86">
        <v>1001.0</v>
      </c>
      <c r="AC27" s="86">
        <v>100.0</v>
      </c>
      <c r="AD27" s="86">
        <v>1.0</v>
      </c>
    </row>
    <row r="28" ht="42.75" customHeight="1">
      <c r="A28" s="1">
        <v>126.0</v>
      </c>
      <c r="B28" s="1" t="s">
        <v>951</v>
      </c>
      <c r="C28" s="1"/>
      <c r="D28" s="101" t="s">
        <v>1226</v>
      </c>
      <c r="E28" s="1">
        <v>52.0</v>
      </c>
      <c r="F28" s="1"/>
      <c r="G28" s="87" t="s">
        <v>1228</v>
      </c>
      <c r="H28" s="49">
        <v>1.0</v>
      </c>
      <c r="I28" s="49"/>
      <c r="J28" s="88" t="s">
        <v>1080</v>
      </c>
      <c r="K28" s="49" t="s">
        <v>647</v>
      </c>
      <c r="L28" s="49">
        <v>1005.0</v>
      </c>
      <c r="M28" s="49" t="s">
        <v>1230</v>
      </c>
      <c r="N28" s="49"/>
      <c r="O28" s="49">
        <v>1.0</v>
      </c>
      <c r="P28" s="88" t="s">
        <v>1082</v>
      </c>
      <c r="Q28" s="49" t="s">
        <v>658</v>
      </c>
      <c r="R28" s="49">
        <v>2005.0</v>
      </c>
      <c r="S28" s="49" t="s">
        <v>1138</v>
      </c>
      <c r="T28" s="49">
        <v>0.0</v>
      </c>
      <c r="U28" s="49">
        <v>1.0</v>
      </c>
      <c r="V28" s="1">
        <v>70001.0</v>
      </c>
      <c r="W28" s="1">
        <v>1.0</v>
      </c>
      <c r="X28" s="1">
        <v>1.0</v>
      </c>
      <c r="Y28" s="1">
        <v>8000.0</v>
      </c>
      <c r="Z28" s="1">
        <v>126.0</v>
      </c>
      <c r="AA28" s="1">
        <v>1.0</v>
      </c>
      <c r="AB28" s="86">
        <v>1001.0</v>
      </c>
      <c r="AC28" s="86">
        <v>100.0</v>
      </c>
      <c r="AD28" s="86">
        <v>1.0</v>
      </c>
    </row>
    <row r="29" ht="42.75" customHeight="1">
      <c r="A29" s="1">
        <v>127.0</v>
      </c>
      <c r="B29" s="1" t="s">
        <v>951</v>
      </c>
      <c r="C29" s="1"/>
      <c r="D29" s="101" t="s">
        <v>1232</v>
      </c>
      <c r="E29" s="1">
        <v>54.0</v>
      </c>
      <c r="F29" s="1"/>
      <c r="G29" s="87" t="s">
        <v>1233</v>
      </c>
      <c r="H29" s="49">
        <v>1.0</v>
      </c>
      <c r="I29" s="49"/>
      <c r="J29" s="88" t="s">
        <v>1063</v>
      </c>
      <c r="K29" s="49" t="s">
        <v>1065</v>
      </c>
      <c r="L29" s="49" t="s">
        <v>1066</v>
      </c>
      <c r="M29" s="49" t="s">
        <v>1224</v>
      </c>
      <c r="N29" s="49">
        <v>1.0</v>
      </c>
      <c r="O29" s="49">
        <v>1.0</v>
      </c>
      <c r="P29" s="88" t="s">
        <v>1090</v>
      </c>
      <c r="Q29" s="49" t="s">
        <v>658</v>
      </c>
      <c r="R29" s="49">
        <v>2002.0</v>
      </c>
      <c r="S29" s="49" t="s">
        <v>1235</v>
      </c>
      <c r="T29" s="49">
        <v>0.0</v>
      </c>
      <c r="U29" s="49">
        <v>1.0</v>
      </c>
      <c r="V29" s="1">
        <v>70001.0</v>
      </c>
      <c r="W29" s="1">
        <v>1.0</v>
      </c>
      <c r="X29" s="1">
        <v>1.0</v>
      </c>
      <c r="Y29" s="1">
        <v>8000.0</v>
      </c>
      <c r="Z29" s="1">
        <v>127.0</v>
      </c>
      <c r="AA29" s="1">
        <v>1.0</v>
      </c>
      <c r="AB29" s="86">
        <v>1001.0</v>
      </c>
      <c r="AC29" s="86">
        <v>100.0</v>
      </c>
      <c r="AD29" s="86">
        <v>1.0</v>
      </c>
    </row>
    <row r="30" ht="42.75" customHeight="1">
      <c r="A30" s="1">
        <v>128.0</v>
      </c>
      <c r="B30" s="1" t="s">
        <v>951</v>
      </c>
      <c r="C30" s="1"/>
      <c r="D30" s="101" t="s">
        <v>1237</v>
      </c>
      <c r="E30" s="1">
        <v>56.0</v>
      </c>
      <c r="F30" s="1"/>
      <c r="G30" s="87" t="s">
        <v>1239</v>
      </c>
      <c r="H30" s="49">
        <v>1.0</v>
      </c>
      <c r="I30" s="49"/>
      <c r="J30" s="88" t="s">
        <v>1095</v>
      </c>
      <c r="K30" s="49" t="s">
        <v>647</v>
      </c>
      <c r="L30" s="49">
        <v>1003.0</v>
      </c>
      <c r="M30" s="49" t="s">
        <v>1230</v>
      </c>
      <c r="N30" s="49"/>
      <c r="O30" s="49">
        <v>1.0</v>
      </c>
      <c r="P30" s="88" t="s">
        <v>1068</v>
      </c>
      <c r="Q30" s="49" t="s">
        <v>658</v>
      </c>
      <c r="R30" s="49">
        <v>2004.0</v>
      </c>
      <c r="S30" s="49" t="s">
        <v>1067</v>
      </c>
      <c r="T30" s="49">
        <v>0.0</v>
      </c>
      <c r="U30" s="49">
        <v>1.0</v>
      </c>
      <c r="V30" s="1">
        <v>70001.0</v>
      </c>
      <c r="W30" s="1">
        <v>1.0</v>
      </c>
      <c r="X30" s="1">
        <v>1.0</v>
      </c>
      <c r="Y30" s="1">
        <v>8000.0</v>
      </c>
      <c r="Z30" s="1">
        <v>128.0</v>
      </c>
      <c r="AA30" s="1">
        <v>1.0</v>
      </c>
      <c r="AB30" s="86">
        <v>1001.0</v>
      </c>
      <c r="AC30" s="86">
        <v>100.0</v>
      </c>
      <c r="AD30" s="86">
        <v>1.0</v>
      </c>
    </row>
    <row r="31" ht="42.75" customHeight="1">
      <c r="A31" s="1">
        <v>129.0</v>
      </c>
      <c r="B31" s="1" t="s">
        <v>951</v>
      </c>
      <c r="C31" s="1"/>
      <c r="D31" s="101" t="s">
        <v>1241</v>
      </c>
      <c r="E31" s="1">
        <v>58.0</v>
      </c>
      <c r="F31" s="1"/>
      <c r="G31" s="87" t="s">
        <v>1243</v>
      </c>
      <c r="H31" s="49">
        <v>1.0</v>
      </c>
      <c r="I31" s="49"/>
      <c r="J31" s="88" t="s">
        <v>1063</v>
      </c>
      <c r="K31" s="49" t="s">
        <v>1065</v>
      </c>
      <c r="L31" s="49" t="s">
        <v>1066</v>
      </c>
      <c r="M31" s="49" t="s">
        <v>1244</v>
      </c>
      <c r="N31" s="49">
        <v>1.0</v>
      </c>
      <c r="O31" s="49">
        <v>1.0</v>
      </c>
      <c r="P31" s="88" t="s">
        <v>1082</v>
      </c>
      <c r="Q31" s="49" t="s">
        <v>658</v>
      </c>
      <c r="R31" s="49">
        <v>2005.0</v>
      </c>
      <c r="S31" s="49" t="s">
        <v>1246</v>
      </c>
      <c r="T31" s="49">
        <v>0.0</v>
      </c>
      <c r="U31" s="49">
        <v>1.0</v>
      </c>
      <c r="V31" s="1">
        <v>70001.0</v>
      </c>
      <c r="W31" s="1">
        <v>1.0</v>
      </c>
      <c r="X31" s="1">
        <v>1.0</v>
      </c>
      <c r="Y31" s="1">
        <v>8000.0</v>
      </c>
      <c r="Z31" s="1">
        <v>129.0</v>
      </c>
      <c r="AA31" s="1">
        <v>1.0</v>
      </c>
      <c r="AB31" s="86">
        <v>1001.0</v>
      </c>
      <c r="AC31" s="86">
        <v>100.0</v>
      </c>
      <c r="AD31" s="86">
        <v>1.0</v>
      </c>
    </row>
    <row r="32" ht="42.75" customHeight="1">
      <c r="A32" s="1">
        <v>130.0</v>
      </c>
      <c r="B32" s="1" t="s">
        <v>951</v>
      </c>
      <c r="C32" s="1"/>
      <c r="D32" s="101" t="s">
        <v>1248</v>
      </c>
      <c r="E32" s="1">
        <v>60.0</v>
      </c>
      <c r="F32" s="1"/>
      <c r="G32" s="87" t="s">
        <v>1249</v>
      </c>
      <c r="H32" s="49">
        <v>1.0</v>
      </c>
      <c r="I32" s="49"/>
      <c r="J32" s="88" t="s">
        <v>1106</v>
      </c>
      <c r="K32" s="49" t="s">
        <v>647</v>
      </c>
      <c r="L32" s="49">
        <v>1001.0</v>
      </c>
      <c r="M32" s="49" t="s">
        <v>1224</v>
      </c>
      <c r="N32" s="49"/>
      <c r="O32" s="49">
        <v>1.0</v>
      </c>
      <c r="P32" s="88" t="s">
        <v>1090</v>
      </c>
      <c r="Q32" s="49" t="s">
        <v>658</v>
      </c>
      <c r="R32" s="49">
        <v>2002.0</v>
      </c>
      <c r="S32" s="49" t="s">
        <v>1250</v>
      </c>
      <c r="T32" s="49">
        <v>0.0</v>
      </c>
      <c r="U32" s="49">
        <v>1.0</v>
      </c>
      <c r="V32" s="1">
        <v>70001.0</v>
      </c>
      <c r="W32" s="1">
        <v>1.0</v>
      </c>
      <c r="X32" s="1">
        <v>1.0</v>
      </c>
      <c r="Y32" s="1">
        <v>8000.0</v>
      </c>
      <c r="Z32" s="1">
        <v>130.0</v>
      </c>
      <c r="AA32" s="1">
        <v>1.0</v>
      </c>
      <c r="AB32" s="86">
        <v>1001.0</v>
      </c>
      <c r="AC32" s="86">
        <v>1000.0</v>
      </c>
      <c r="AD32" s="86">
        <v>1.0</v>
      </c>
    </row>
    <row r="33" ht="42.75" customHeight="1">
      <c r="A33" s="1">
        <v>131.0</v>
      </c>
      <c r="B33" s="1" t="s">
        <v>951</v>
      </c>
      <c r="C33" s="1"/>
      <c r="D33" s="101" t="s">
        <v>1256</v>
      </c>
      <c r="E33" s="1">
        <v>62.0</v>
      </c>
      <c r="F33" s="1"/>
      <c r="G33" s="87" t="s">
        <v>1257</v>
      </c>
      <c r="H33" s="49">
        <v>1.0</v>
      </c>
      <c r="I33" s="49"/>
      <c r="J33" s="88" t="s">
        <v>1063</v>
      </c>
      <c r="K33" s="49" t="s">
        <v>1065</v>
      </c>
      <c r="L33" s="49" t="s">
        <v>1066</v>
      </c>
      <c r="M33" s="49" t="s">
        <v>1258</v>
      </c>
      <c r="N33" s="49">
        <v>1.0</v>
      </c>
      <c r="O33" s="49">
        <v>1.0</v>
      </c>
      <c r="P33" s="88" t="s">
        <v>1068</v>
      </c>
      <c r="Q33" s="49" t="s">
        <v>658</v>
      </c>
      <c r="R33" s="49">
        <v>2004.0</v>
      </c>
      <c r="S33" s="49" t="s">
        <v>1259</v>
      </c>
      <c r="T33" s="49">
        <v>0.0</v>
      </c>
      <c r="U33" s="49">
        <v>1.0</v>
      </c>
      <c r="V33" s="1">
        <v>70001.0</v>
      </c>
      <c r="W33" s="1">
        <v>1.0</v>
      </c>
      <c r="X33" s="1">
        <v>1.0</v>
      </c>
      <c r="Y33" s="1">
        <v>8000.0</v>
      </c>
      <c r="Z33" s="1">
        <v>131.0</v>
      </c>
      <c r="AA33" s="1">
        <v>1.0</v>
      </c>
      <c r="AB33" s="86">
        <v>1001.0</v>
      </c>
      <c r="AC33" s="86">
        <v>100.0</v>
      </c>
      <c r="AD33" s="86">
        <v>1.0</v>
      </c>
    </row>
    <row r="34" ht="42.75" customHeight="1">
      <c r="A34" s="1">
        <v>132.0</v>
      </c>
      <c r="B34" s="1" t="s">
        <v>951</v>
      </c>
      <c r="C34" s="1"/>
      <c r="D34" s="101" t="s">
        <v>1262</v>
      </c>
      <c r="E34" s="1">
        <v>64.0</v>
      </c>
      <c r="F34" s="1"/>
      <c r="G34" s="87" t="s">
        <v>1263</v>
      </c>
      <c r="H34" s="49">
        <v>1.0</v>
      </c>
      <c r="I34" s="49"/>
      <c r="J34" s="88" t="s">
        <v>1080</v>
      </c>
      <c r="K34" s="49" t="s">
        <v>647</v>
      </c>
      <c r="L34" s="49">
        <v>1005.0</v>
      </c>
      <c r="M34" s="49" t="s">
        <v>1119</v>
      </c>
      <c r="N34" s="49"/>
      <c r="O34" s="49">
        <v>1.0</v>
      </c>
      <c r="P34" s="88" t="s">
        <v>1082</v>
      </c>
      <c r="Q34" s="49" t="s">
        <v>658</v>
      </c>
      <c r="R34" s="49">
        <v>2005.0</v>
      </c>
      <c r="S34" s="49" t="s">
        <v>1119</v>
      </c>
      <c r="T34" s="49">
        <v>0.0</v>
      </c>
      <c r="U34" s="49">
        <v>1.0</v>
      </c>
      <c r="V34" s="1">
        <v>70001.0</v>
      </c>
      <c r="W34" s="1">
        <v>1.0</v>
      </c>
      <c r="X34" s="1">
        <v>1.0</v>
      </c>
      <c r="Y34" s="1">
        <v>8000.0</v>
      </c>
      <c r="Z34" s="1">
        <v>132.0</v>
      </c>
      <c r="AA34" s="1">
        <v>1.0</v>
      </c>
      <c r="AB34" s="86">
        <v>1001.0</v>
      </c>
      <c r="AC34" s="86">
        <v>100.0</v>
      </c>
      <c r="AD34" s="86">
        <v>1.0</v>
      </c>
    </row>
    <row r="35" ht="42.75" customHeight="1">
      <c r="A35" s="1">
        <v>133.0</v>
      </c>
      <c r="B35" s="1" t="s">
        <v>951</v>
      </c>
      <c r="C35" s="1"/>
      <c r="D35" s="101" t="s">
        <v>1266</v>
      </c>
      <c r="E35" s="1">
        <v>66.0</v>
      </c>
      <c r="F35" s="1"/>
      <c r="G35" s="87" t="s">
        <v>1267</v>
      </c>
      <c r="H35" s="49">
        <v>1.0</v>
      </c>
      <c r="I35" s="49"/>
      <c r="J35" s="88" t="s">
        <v>1063</v>
      </c>
      <c r="K35" s="49" t="s">
        <v>1065</v>
      </c>
      <c r="L35" s="49" t="s">
        <v>1066</v>
      </c>
      <c r="M35" s="49" t="s">
        <v>1268</v>
      </c>
      <c r="N35" s="49">
        <v>1.0</v>
      </c>
      <c r="O35" s="49">
        <v>1.0</v>
      </c>
      <c r="P35" s="88" t="s">
        <v>1090</v>
      </c>
      <c r="Q35" s="49" t="s">
        <v>658</v>
      </c>
      <c r="R35" s="49">
        <v>2002.0</v>
      </c>
      <c r="S35" s="49" t="s">
        <v>1271</v>
      </c>
      <c r="T35" s="49">
        <v>0.0</v>
      </c>
      <c r="U35" s="49">
        <v>1.0</v>
      </c>
      <c r="V35" s="1">
        <v>70001.0</v>
      </c>
      <c r="W35" s="1">
        <v>1.0</v>
      </c>
      <c r="X35" s="1">
        <v>1.0</v>
      </c>
      <c r="Y35" s="1">
        <v>8000.0</v>
      </c>
      <c r="Z35" s="1">
        <v>133.0</v>
      </c>
      <c r="AA35" s="1">
        <v>1.0</v>
      </c>
      <c r="AB35" s="86">
        <v>1001.0</v>
      </c>
      <c r="AC35" s="86">
        <v>100.0</v>
      </c>
      <c r="AD35" s="86">
        <v>1.0</v>
      </c>
    </row>
    <row r="36" ht="42.75" customHeight="1">
      <c r="A36" s="1">
        <v>134.0</v>
      </c>
      <c r="B36" s="1" t="s">
        <v>951</v>
      </c>
      <c r="C36" s="1"/>
      <c r="D36" s="101" t="s">
        <v>1273</v>
      </c>
      <c r="E36" s="1">
        <v>68.0</v>
      </c>
      <c r="F36" s="1"/>
      <c r="G36" s="87" t="s">
        <v>1274</v>
      </c>
      <c r="H36" s="49">
        <v>1.0</v>
      </c>
      <c r="I36" s="49"/>
      <c r="J36" s="88" t="s">
        <v>1095</v>
      </c>
      <c r="K36" s="49" t="s">
        <v>647</v>
      </c>
      <c r="L36" s="49">
        <v>1003.0</v>
      </c>
      <c r="M36" s="49" t="s">
        <v>1109</v>
      </c>
      <c r="N36" s="49"/>
      <c r="O36" s="49">
        <v>1.0</v>
      </c>
      <c r="P36" s="88" t="s">
        <v>1068</v>
      </c>
      <c r="Q36" s="49" t="s">
        <v>658</v>
      </c>
      <c r="R36" s="49">
        <v>2004.0</v>
      </c>
      <c r="S36" s="49" t="s">
        <v>1277</v>
      </c>
      <c r="T36" s="49">
        <v>0.0</v>
      </c>
      <c r="U36" s="49">
        <v>1.0</v>
      </c>
      <c r="V36" s="1">
        <v>70001.0</v>
      </c>
      <c r="W36" s="1">
        <v>1.0</v>
      </c>
      <c r="X36" s="1">
        <v>1.0</v>
      </c>
      <c r="Y36" s="1">
        <v>8000.0</v>
      </c>
      <c r="Z36" s="1">
        <v>134.0</v>
      </c>
      <c r="AA36" s="1">
        <v>1.0</v>
      </c>
      <c r="AB36" s="86">
        <v>1001.0</v>
      </c>
      <c r="AC36" s="86">
        <v>100.0</v>
      </c>
      <c r="AD36" s="86">
        <v>1.0</v>
      </c>
    </row>
    <row r="37" ht="42.75" customHeight="1">
      <c r="A37" s="1">
        <v>135.0</v>
      </c>
      <c r="B37" s="1" t="s">
        <v>951</v>
      </c>
      <c r="C37" s="1"/>
      <c r="D37" s="101" t="s">
        <v>1278</v>
      </c>
      <c r="E37" s="1">
        <v>70.0</v>
      </c>
      <c r="F37" s="1"/>
      <c r="G37" s="87" t="s">
        <v>1280</v>
      </c>
      <c r="H37" s="49">
        <v>1.0</v>
      </c>
      <c r="I37" s="49"/>
      <c r="J37" s="88" t="s">
        <v>1063</v>
      </c>
      <c r="K37" s="49" t="s">
        <v>1065</v>
      </c>
      <c r="L37" s="49" t="s">
        <v>1066</v>
      </c>
      <c r="M37" s="49" t="s">
        <v>1282</v>
      </c>
      <c r="N37" s="49">
        <v>1.0</v>
      </c>
      <c r="O37" s="49">
        <v>1.0</v>
      </c>
      <c r="P37" s="88" t="s">
        <v>1082</v>
      </c>
      <c r="Q37" s="49" t="s">
        <v>658</v>
      </c>
      <c r="R37" s="49">
        <v>2005.0</v>
      </c>
      <c r="S37" s="49" t="s">
        <v>1083</v>
      </c>
      <c r="T37" s="49">
        <v>0.0</v>
      </c>
      <c r="U37" s="49">
        <v>1.0</v>
      </c>
      <c r="V37" s="1">
        <v>70001.0</v>
      </c>
      <c r="W37" s="1">
        <v>1.0</v>
      </c>
      <c r="X37" s="1">
        <v>1.0</v>
      </c>
      <c r="Y37" s="1">
        <v>8000.0</v>
      </c>
      <c r="Z37" s="1">
        <v>135.0</v>
      </c>
      <c r="AA37" s="1">
        <v>1.0</v>
      </c>
      <c r="AB37" s="86">
        <v>1001.0</v>
      </c>
      <c r="AC37" s="86">
        <v>100.0</v>
      </c>
      <c r="AD37" s="86">
        <v>1.0</v>
      </c>
    </row>
    <row r="38" ht="42.75" customHeight="1">
      <c r="A38" s="1">
        <v>136.0</v>
      </c>
      <c r="B38" s="1" t="s">
        <v>951</v>
      </c>
      <c r="C38" s="1"/>
      <c r="D38" s="101" t="s">
        <v>1284</v>
      </c>
      <c r="E38" s="1">
        <v>72.0</v>
      </c>
      <c r="F38" s="1"/>
      <c r="G38" s="87" t="s">
        <v>1285</v>
      </c>
      <c r="H38" s="49">
        <v>1.0</v>
      </c>
      <c r="I38" s="49"/>
      <c r="J38" s="88" t="s">
        <v>1106</v>
      </c>
      <c r="K38" s="49" t="s">
        <v>647</v>
      </c>
      <c r="L38" s="49">
        <v>1001.0</v>
      </c>
      <c r="M38" s="49" t="s">
        <v>1287</v>
      </c>
      <c r="N38" s="49"/>
      <c r="O38" s="49">
        <v>1.0</v>
      </c>
      <c r="P38" s="88" t="s">
        <v>1090</v>
      </c>
      <c r="Q38" s="49" t="s">
        <v>658</v>
      </c>
      <c r="R38" s="49">
        <v>2002.0</v>
      </c>
      <c r="S38" s="49" t="s">
        <v>1289</v>
      </c>
      <c r="T38" s="49">
        <v>0.0</v>
      </c>
      <c r="U38" s="49">
        <v>1.0</v>
      </c>
      <c r="V38" s="1">
        <v>70001.0</v>
      </c>
      <c r="W38" s="1">
        <v>1.0</v>
      </c>
      <c r="X38" s="1">
        <v>1.0</v>
      </c>
      <c r="Y38" s="1">
        <v>8000.0</v>
      </c>
      <c r="Z38" s="1">
        <v>136.0</v>
      </c>
      <c r="AA38" s="1">
        <v>1.0</v>
      </c>
      <c r="AB38" s="86">
        <v>1001.0</v>
      </c>
      <c r="AC38" s="86">
        <v>100.0</v>
      </c>
      <c r="AD38" s="86">
        <v>1.0</v>
      </c>
    </row>
    <row r="39" ht="47.25" customHeight="1">
      <c r="A39" s="105">
        <v>137.0</v>
      </c>
      <c r="B39" s="105" t="s">
        <v>951</v>
      </c>
      <c r="C39" s="105"/>
      <c r="D39" s="101" t="s">
        <v>1291</v>
      </c>
      <c r="E39" s="105">
        <v>74.0</v>
      </c>
      <c r="F39" s="106"/>
      <c r="G39" s="107" t="s">
        <v>1294</v>
      </c>
      <c r="H39" s="108">
        <v>1.0</v>
      </c>
      <c r="I39" s="108"/>
      <c r="J39" s="109" t="s">
        <v>1063</v>
      </c>
      <c r="K39" s="108" t="s">
        <v>1065</v>
      </c>
      <c r="L39" s="108" t="s">
        <v>1066</v>
      </c>
      <c r="M39" s="108" t="s">
        <v>1297</v>
      </c>
      <c r="N39" s="108">
        <v>1.0</v>
      </c>
      <c r="O39" s="108">
        <v>1.0</v>
      </c>
      <c r="P39" s="109" t="s">
        <v>1068</v>
      </c>
      <c r="Q39" s="108" t="s">
        <v>658</v>
      </c>
      <c r="R39" s="108">
        <v>2004.0</v>
      </c>
      <c r="S39" s="108" t="s">
        <v>1067</v>
      </c>
      <c r="T39" s="108">
        <v>0.0</v>
      </c>
      <c r="U39" s="49">
        <v>1.0</v>
      </c>
      <c r="V39" s="105">
        <v>70001.0</v>
      </c>
      <c r="W39" s="105">
        <v>1.0</v>
      </c>
      <c r="X39" s="105">
        <v>1.0</v>
      </c>
      <c r="Y39" s="105">
        <v>8000.0</v>
      </c>
      <c r="Z39" s="105">
        <v>137.0</v>
      </c>
      <c r="AA39" s="105">
        <v>1.0</v>
      </c>
      <c r="AB39" s="105">
        <v>1001.0</v>
      </c>
      <c r="AC39" s="105">
        <v>100.0</v>
      </c>
      <c r="AD39" s="105">
        <v>1.0</v>
      </c>
      <c r="AE39" s="105"/>
      <c r="AF39" s="105"/>
      <c r="AG39" s="105"/>
      <c r="AH39" s="105"/>
      <c r="AI39" s="105"/>
      <c r="AJ39" s="105"/>
    </row>
    <row r="40" ht="42.75" customHeight="1">
      <c r="A40" s="1">
        <v>138.0</v>
      </c>
      <c r="B40" s="1" t="s">
        <v>951</v>
      </c>
      <c r="C40" s="1"/>
      <c r="D40" s="101" t="s">
        <v>1299</v>
      </c>
      <c r="E40" s="1">
        <v>76.0</v>
      </c>
      <c r="F40" s="1"/>
      <c r="G40" s="87" t="s">
        <v>1301</v>
      </c>
      <c r="H40" s="49">
        <v>1.0</v>
      </c>
      <c r="I40" s="49"/>
      <c r="J40" s="88" t="s">
        <v>1080</v>
      </c>
      <c r="K40" s="49" t="s">
        <v>647</v>
      </c>
      <c r="L40" s="49">
        <v>1005.0</v>
      </c>
      <c r="M40" s="49" t="s">
        <v>1091</v>
      </c>
      <c r="N40" s="49"/>
      <c r="O40" s="49">
        <v>1.0</v>
      </c>
      <c r="P40" s="88" t="s">
        <v>1082</v>
      </c>
      <c r="Q40" s="49" t="s">
        <v>658</v>
      </c>
      <c r="R40" s="49">
        <v>2005.0</v>
      </c>
      <c r="S40" s="49" t="s">
        <v>1184</v>
      </c>
      <c r="T40" s="49">
        <v>0.0</v>
      </c>
      <c r="U40" s="49">
        <v>1.0</v>
      </c>
      <c r="V40" s="1">
        <v>70001.0</v>
      </c>
      <c r="W40" s="1">
        <v>1.0</v>
      </c>
      <c r="X40" s="1">
        <v>1.0</v>
      </c>
      <c r="Y40" s="1">
        <v>8000.0</v>
      </c>
      <c r="Z40" s="1">
        <v>138.0</v>
      </c>
      <c r="AA40" s="1">
        <v>1.0</v>
      </c>
      <c r="AB40" s="86">
        <v>1001.0</v>
      </c>
      <c r="AC40" s="86">
        <v>100.0</v>
      </c>
      <c r="AD40" s="86">
        <v>1.0</v>
      </c>
    </row>
    <row r="41" ht="42.75" customHeight="1">
      <c r="A41" s="1">
        <v>139.0</v>
      </c>
      <c r="B41" s="1" t="s">
        <v>951</v>
      </c>
      <c r="C41" s="1"/>
      <c r="D41" s="101" t="s">
        <v>1303</v>
      </c>
      <c r="E41" s="1">
        <v>78.0</v>
      </c>
      <c r="F41" s="1"/>
      <c r="G41" s="87" t="s">
        <v>1304</v>
      </c>
      <c r="H41" s="49">
        <v>1.0</v>
      </c>
      <c r="I41" s="49"/>
      <c r="J41" s="88" t="s">
        <v>1063</v>
      </c>
      <c r="K41" s="49" t="s">
        <v>1065</v>
      </c>
      <c r="L41" s="49" t="s">
        <v>1066</v>
      </c>
      <c r="M41" s="49" t="s">
        <v>1306</v>
      </c>
      <c r="N41" s="49">
        <v>1.0</v>
      </c>
      <c r="O41" s="49">
        <v>1.0</v>
      </c>
      <c r="P41" s="88" t="s">
        <v>1090</v>
      </c>
      <c r="Q41" s="49" t="s">
        <v>658</v>
      </c>
      <c r="R41" s="49">
        <v>2002.0</v>
      </c>
      <c r="S41" s="49" t="s">
        <v>1109</v>
      </c>
      <c r="T41" s="49">
        <v>0.0</v>
      </c>
      <c r="U41" s="49">
        <v>1.0</v>
      </c>
      <c r="V41" s="1">
        <v>70001.0</v>
      </c>
      <c r="W41" s="1">
        <v>1.0</v>
      </c>
      <c r="X41" s="1">
        <v>1.0</v>
      </c>
      <c r="Y41" s="1">
        <v>8000.0</v>
      </c>
      <c r="Z41" s="1">
        <v>139.0</v>
      </c>
      <c r="AA41" s="1">
        <v>1.0</v>
      </c>
      <c r="AB41" s="86">
        <v>1001.0</v>
      </c>
      <c r="AC41" s="86">
        <v>100.0</v>
      </c>
      <c r="AD41" s="86">
        <v>1.0</v>
      </c>
    </row>
    <row r="42" ht="42.75" customHeight="1">
      <c r="A42" s="1">
        <v>140.0</v>
      </c>
      <c r="B42" s="1" t="s">
        <v>951</v>
      </c>
      <c r="C42" s="1"/>
      <c r="D42" s="101" t="s">
        <v>1309</v>
      </c>
      <c r="E42" s="1">
        <v>80.0</v>
      </c>
      <c r="F42" s="1"/>
      <c r="G42" s="87" t="s">
        <v>1310</v>
      </c>
      <c r="H42" s="49">
        <v>1.0</v>
      </c>
      <c r="I42" s="49"/>
      <c r="J42" s="88" t="s">
        <v>1095</v>
      </c>
      <c r="K42" s="49" t="s">
        <v>647</v>
      </c>
      <c r="L42" s="49">
        <v>1003.0</v>
      </c>
      <c r="M42" s="49" t="s">
        <v>1311</v>
      </c>
      <c r="N42" s="49"/>
      <c r="O42" s="49">
        <v>1.0</v>
      </c>
      <c r="P42" s="88" t="s">
        <v>1068</v>
      </c>
      <c r="Q42" s="49" t="s">
        <v>658</v>
      </c>
      <c r="R42" s="49">
        <v>2004.0</v>
      </c>
      <c r="S42" s="49" t="s">
        <v>1312</v>
      </c>
      <c r="T42" s="49">
        <v>0.0</v>
      </c>
      <c r="U42" s="49">
        <v>1.0</v>
      </c>
      <c r="V42" s="1">
        <v>70001.0</v>
      </c>
      <c r="W42" s="1">
        <v>1.0</v>
      </c>
      <c r="X42" s="1">
        <v>1.0</v>
      </c>
      <c r="Y42" s="1">
        <v>8000.0</v>
      </c>
      <c r="Z42" s="1">
        <v>140.0</v>
      </c>
      <c r="AA42" s="1">
        <v>1.0</v>
      </c>
      <c r="AB42" s="86">
        <v>1001.0</v>
      </c>
      <c r="AC42" s="86">
        <v>1000.0</v>
      </c>
      <c r="AD42" s="86">
        <v>1.0</v>
      </c>
    </row>
    <row r="43" ht="42.75" customHeight="1">
      <c r="A43" s="1">
        <v>141.0</v>
      </c>
      <c r="B43" s="1" t="s">
        <v>951</v>
      </c>
      <c r="C43" s="1"/>
      <c r="D43" s="101" t="s">
        <v>1315</v>
      </c>
      <c r="E43" s="1">
        <v>82.0</v>
      </c>
      <c r="F43" s="1"/>
      <c r="G43" s="87" t="s">
        <v>1316</v>
      </c>
      <c r="H43" s="49">
        <v>1.0</v>
      </c>
      <c r="I43" s="49"/>
      <c r="J43" s="88" t="s">
        <v>1063</v>
      </c>
      <c r="K43" s="49" t="s">
        <v>1065</v>
      </c>
      <c r="L43" s="49" t="s">
        <v>1066</v>
      </c>
      <c r="M43" s="49" t="s">
        <v>1184</v>
      </c>
      <c r="N43" s="49">
        <v>1.0</v>
      </c>
      <c r="O43" s="49">
        <v>1.0</v>
      </c>
      <c r="P43" s="88" t="s">
        <v>1082</v>
      </c>
      <c r="Q43" s="49" t="s">
        <v>658</v>
      </c>
      <c r="R43" s="49">
        <v>2005.0</v>
      </c>
      <c r="S43" s="49" t="s">
        <v>1083</v>
      </c>
      <c r="T43" s="49">
        <v>0.0</v>
      </c>
      <c r="U43" s="49">
        <v>1.0</v>
      </c>
      <c r="V43" s="1">
        <v>70001.0</v>
      </c>
      <c r="W43" s="1">
        <v>1.0</v>
      </c>
      <c r="X43" s="1">
        <v>1.0</v>
      </c>
      <c r="Y43" s="1">
        <v>8000.0</v>
      </c>
      <c r="Z43" s="1">
        <v>141.0</v>
      </c>
      <c r="AA43" s="1">
        <v>1.0</v>
      </c>
      <c r="AB43" s="86">
        <v>1001.0</v>
      </c>
      <c r="AC43" s="86">
        <v>100.0</v>
      </c>
      <c r="AD43" s="86">
        <v>1.0</v>
      </c>
    </row>
    <row r="44" ht="42.75" customHeight="1">
      <c r="A44" s="1">
        <v>142.0</v>
      </c>
      <c r="B44" s="1" t="s">
        <v>951</v>
      </c>
      <c r="C44" s="1"/>
      <c r="D44" s="101" t="s">
        <v>1319</v>
      </c>
      <c r="E44" s="1">
        <v>84.0</v>
      </c>
      <c r="F44" s="1"/>
      <c r="G44" s="87" t="s">
        <v>1320</v>
      </c>
      <c r="H44" s="49">
        <v>1.0</v>
      </c>
      <c r="I44" s="49"/>
      <c r="J44" s="88" t="s">
        <v>1106</v>
      </c>
      <c r="K44" s="49" t="s">
        <v>647</v>
      </c>
      <c r="L44" s="49">
        <v>1001.0</v>
      </c>
      <c r="M44" s="49" t="s">
        <v>1322</v>
      </c>
      <c r="N44" s="49"/>
      <c r="O44" s="49">
        <v>1.0</v>
      </c>
      <c r="P44" s="88" t="s">
        <v>1090</v>
      </c>
      <c r="Q44" s="49" t="s">
        <v>658</v>
      </c>
      <c r="R44" s="49">
        <v>2002.0</v>
      </c>
      <c r="S44" s="49" t="s">
        <v>1323</v>
      </c>
      <c r="T44" s="49">
        <v>0.0</v>
      </c>
      <c r="U44" s="49">
        <v>1.0</v>
      </c>
      <c r="V44" s="1">
        <v>70001.0</v>
      </c>
      <c r="W44" s="1">
        <v>1.0</v>
      </c>
      <c r="X44" s="1">
        <v>1.0</v>
      </c>
      <c r="Y44" s="1">
        <v>8000.0</v>
      </c>
      <c r="Z44" s="1">
        <v>142.0</v>
      </c>
      <c r="AA44" s="1">
        <v>1.0</v>
      </c>
      <c r="AB44" s="86">
        <v>1001.0</v>
      </c>
      <c r="AC44" s="86">
        <v>100.0</v>
      </c>
      <c r="AD44" s="86">
        <v>1.0</v>
      </c>
    </row>
    <row r="45" ht="42.75" customHeight="1">
      <c r="A45" s="1">
        <v>143.0</v>
      </c>
      <c r="B45" s="1" t="s">
        <v>951</v>
      </c>
      <c r="C45" s="1"/>
      <c r="D45" s="101" t="s">
        <v>1326</v>
      </c>
      <c r="E45" s="1">
        <v>86.0</v>
      </c>
      <c r="F45" s="1"/>
      <c r="G45" s="87" t="s">
        <v>1327</v>
      </c>
      <c r="H45" s="49">
        <v>1.0</v>
      </c>
      <c r="I45" s="49"/>
      <c r="J45" s="88" t="s">
        <v>1063</v>
      </c>
      <c r="K45" s="49" t="s">
        <v>1065</v>
      </c>
      <c r="L45" s="49" t="s">
        <v>1066</v>
      </c>
      <c r="M45" s="49" t="s">
        <v>1328</v>
      </c>
      <c r="N45" s="49">
        <v>1.0</v>
      </c>
      <c r="O45" s="49">
        <v>1.0</v>
      </c>
      <c r="P45" s="88" t="s">
        <v>1068</v>
      </c>
      <c r="Q45" s="49" t="s">
        <v>658</v>
      </c>
      <c r="R45" s="49">
        <v>2004.0</v>
      </c>
      <c r="S45" s="49" t="s">
        <v>1329</v>
      </c>
      <c r="T45" s="49">
        <v>0.0</v>
      </c>
      <c r="U45" s="49">
        <v>1.0</v>
      </c>
      <c r="V45" s="1">
        <v>70001.0</v>
      </c>
      <c r="W45" s="1">
        <v>1.0</v>
      </c>
      <c r="X45" s="1">
        <v>1.0</v>
      </c>
      <c r="Y45" s="1">
        <v>8000.0</v>
      </c>
      <c r="Z45" s="1">
        <v>143.0</v>
      </c>
      <c r="AA45" s="1">
        <v>1.0</v>
      </c>
      <c r="AB45" s="86">
        <v>1001.0</v>
      </c>
      <c r="AC45" s="86">
        <v>100.0</v>
      </c>
      <c r="AD45" s="86">
        <v>1.0</v>
      </c>
    </row>
    <row r="46" ht="42.75" customHeight="1">
      <c r="A46" s="1">
        <v>144.0</v>
      </c>
      <c r="B46" s="1" t="s">
        <v>951</v>
      </c>
      <c r="C46" s="1"/>
      <c r="D46" s="101" t="s">
        <v>1332</v>
      </c>
      <c r="E46" s="1">
        <v>88.0</v>
      </c>
      <c r="F46" s="1"/>
      <c r="G46" s="87" t="s">
        <v>1333</v>
      </c>
      <c r="H46" s="49">
        <v>1.0</v>
      </c>
      <c r="I46" s="49"/>
      <c r="J46" s="88" t="s">
        <v>1080</v>
      </c>
      <c r="K46" s="49" t="s">
        <v>647</v>
      </c>
      <c r="L46" s="49">
        <v>1005.0</v>
      </c>
      <c r="M46" s="49" t="s">
        <v>1067</v>
      </c>
      <c r="N46" s="49"/>
      <c r="O46" s="49">
        <v>1.0</v>
      </c>
      <c r="P46" s="88" t="s">
        <v>1082</v>
      </c>
      <c r="Q46" s="49" t="s">
        <v>658</v>
      </c>
      <c r="R46" s="49">
        <v>2005.0</v>
      </c>
      <c r="S46" s="49" t="s">
        <v>1335</v>
      </c>
      <c r="T46" s="49">
        <v>0.0</v>
      </c>
      <c r="U46" s="49">
        <v>1.0</v>
      </c>
      <c r="V46" s="1">
        <v>70001.0</v>
      </c>
      <c r="W46" s="1">
        <v>1.0</v>
      </c>
      <c r="X46" s="1">
        <v>1.0</v>
      </c>
      <c r="Y46" s="1">
        <v>8000.0</v>
      </c>
      <c r="Z46" s="1">
        <v>144.0</v>
      </c>
      <c r="AA46" s="1">
        <v>1.0</v>
      </c>
      <c r="AB46" s="86">
        <v>1001.0</v>
      </c>
      <c r="AC46" s="86">
        <v>100.0</v>
      </c>
      <c r="AD46" s="86">
        <v>1.0</v>
      </c>
    </row>
    <row r="47" ht="42.75" customHeight="1">
      <c r="A47" s="1">
        <v>145.0</v>
      </c>
      <c r="B47" s="1" t="s">
        <v>951</v>
      </c>
      <c r="C47" s="1"/>
      <c r="D47" s="101" t="s">
        <v>1337</v>
      </c>
      <c r="E47" s="1">
        <v>90.0</v>
      </c>
      <c r="F47" s="1"/>
      <c r="G47" s="87" t="s">
        <v>1338</v>
      </c>
      <c r="H47" s="49">
        <v>1.0</v>
      </c>
      <c r="I47" s="49"/>
      <c r="J47" s="88" t="s">
        <v>1063</v>
      </c>
      <c r="K47" s="49" t="s">
        <v>1065</v>
      </c>
      <c r="L47" s="49" t="s">
        <v>1066</v>
      </c>
      <c r="M47" s="49" t="s">
        <v>1176</v>
      </c>
      <c r="N47" s="49">
        <v>1.0</v>
      </c>
      <c r="O47" s="49">
        <v>1.0</v>
      </c>
      <c r="P47" s="88" t="s">
        <v>1090</v>
      </c>
      <c r="Q47" s="49" t="s">
        <v>658</v>
      </c>
      <c r="R47" s="49">
        <v>2002.0</v>
      </c>
      <c r="S47" s="49" t="s">
        <v>1081</v>
      </c>
      <c r="T47" s="49">
        <v>0.0</v>
      </c>
      <c r="U47" s="49">
        <v>1.0</v>
      </c>
      <c r="V47" s="1">
        <v>70001.0</v>
      </c>
      <c r="W47" s="1">
        <v>1.0</v>
      </c>
      <c r="X47" s="1">
        <v>1.0</v>
      </c>
      <c r="Y47" s="1">
        <v>8000.0</v>
      </c>
      <c r="Z47" s="1">
        <v>145.0</v>
      </c>
      <c r="AA47" s="1">
        <v>1.0</v>
      </c>
      <c r="AB47" s="86">
        <v>1001.0</v>
      </c>
      <c r="AC47" s="86">
        <v>100.0</v>
      </c>
      <c r="AD47" s="86">
        <v>1.0</v>
      </c>
    </row>
    <row r="48" ht="42.75" customHeight="1">
      <c r="A48" s="1">
        <v>146.0</v>
      </c>
      <c r="B48" s="1" t="s">
        <v>951</v>
      </c>
      <c r="C48" s="1"/>
      <c r="D48" s="101" t="s">
        <v>1341</v>
      </c>
      <c r="E48" s="1">
        <v>92.0</v>
      </c>
      <c r="F48" s="1"/>
      <c r="G48" s="87" t="s">
        <v>1343</v>
      </c>
      <c r="H48" s="49">
        <v>1.0</v>
      </c>
      <c r="I48" s="49"/>
      <c r="J48" s="88" t="s">
        <v>1095</v>
      </c>
      <c r="K48" s="49" t="s">
        <v>647</v>
      </c>
      <c r="L48" s="49">
        <v>1003.0</v>
      </c>
      <c r="M48" s="49" t="s">
        <v>1109</v>
      </c>
      <c r="N48" s="49"/>
      <c r="O48" s="49">
        <v>1.0</v>
      </c>
      <c r="P48" s="88" t="s">
        <v>1068</v>
      </c>
      <c r="Q48" s="49" t="s">
        <v>658</v>
      </c>
      <c r="R48" s="49">
        <v>2004.0</v>
      </c>
      <c r="S48" s="49" t="s">
        <v>1230</v>
      </c>
      <c r="T48" s="49">
        <v>0.0</v>
      </c>
      <c r="U48" s="49">
        <v>1.0</v>
      </c>
      <c r="V48" s="1">
        <v>70001.0</v>
      </c>
      <c r="W48" s="1">
        <v>1.0</v>
      </c>
      <c r="X48" s="1">
        <v>1.0</v>
      </c>
      <c r="Y48" s="1">
        <v>8000.0</v>
      </c>
      <c r="Z48" s="1">
        <v>146.0</v>
      </c>
      <c r="AA48" s="1">
        <v>1.0</v>
      </c>
      <c r="AB48" s="86">
        <v>1001.0</v>
      </c>
      <c r="AC48" s="86">
        <v>100.0</v>
      </c>
      <c r="AD48" s="86">
        <v>1.0</v>
      </c>
    </row>
    <row r="49" ht="42.75" customHeight="1">
      <c r="A49" s="1">
        <v>147.0</v>
      </c>
      <c r="B49" s="1" t="s">
        <v>951</v>
      </c>
      <c r="C49" s="1"/>
      <c r="D49" s="101" t="s">
        <v>1347</v>
      </c>
      <c r="E49" s="1">
        <v>94.0</v>
      </c>
      <c r="F49" s="1"/>
      <c r="G49" s="87" t="s">
        <v>1348</v>
      </c>
      <c r="H49" s="49">
        <v>1.0</v>
      </c>
      <c r="I49" s="49"/>
      <c r="J49" s="88" t="s">
        <v>1063</v>
      </c>
      <c r="K49" s="49" t="s">
        <v>1065</v>
      </c>
      <c r="L49" s="49" t="s">
        <v>1066</v>
      </c>
      <c r="M49" s="49" t="s">
        <v>1349</v>
      </c>
      <c r="N49" s="49">
        <v>1.0</v>
      </c>
      <c r="O49" s="49">
        <v>1.0</v>
      </c>
      <c r="P49" s="88" t="s">
        <v>1082</v>
      </c>
      <c r="Q49" s="49" t="s">
        <v>658</v>
      </c>
      <c r="R49" s="49">
        <v>2005.0</v>
      </c>
      <c r="S49" s="49" t="s">
        <v>1351</v>
      </c>
      <c r="T49" s="49">
        <v>0.0</v>
      </c>
      <c r="U49" s="49">
        <v>1.0</v>
      </c>
      <c r="V49" s="1">
        <v>70001.0</v>
      </c>
      <c r="W49" s="1">
        <v>1.0</v>
      </c>
      <c r="X49" s="1">
        <v>1.0</v>
      </c>
      <c r="Y49" s="1">
        <v>8000.0</v>
      </c>
      <c r="Z49" s="1">
        <v>147.0</v>
      </c>
      <c r="AA49" s="1">
        <v>1.0</v>
      </c>
      <c r="AB49" s="86">
        <v>1001.0</v>
      </c>
      <c r="AC49" s="86">
        <v>100.0</v>
      </c>
      <c r="AD49" s="86">
        <v>1.0</v>
      </c>
    </row>
    <row r="50" ht="42.75" customHeight="1">
      <c r="A50" s="1">
        <v>148.0</v>
      </c>
      <c r="B50" s="1" t="s">
        <v>951</v>
      </c>
      <c r="C50" s="1"/>
      <c r="D50" s="101" t="s">
        <v>1353</v>
      </c>
      <c r="E50" s="1">
        <v>96.0</v>
      </c>
      <c r="F50" s="1"/>
      <c r="G50" s="87" t="s">
        <v>1354</v>
      </c>
      <c r="H50" s="49">
        <v>1.0</v>
      </c>
      <c r="I50" s="49"/>
      <c r="J50" s="88" t="s">
        <v>1106</v>
      </c>
      <c r="K50" s="49" t="s">
        <v>647</v>
      </c>
      <c r="L50" s="49">
        <v>1001.0</v>
      </c>
      <c r="M50" s="49" t="s">
        <v>1356</v>
      </c>
      <c r="N50" s="49"/>
      <c r="O50" s="49">
        <v>1.0</v>
      </c>
      <c r="P50" s="88" t="s">
        <v>1090</v>
      </c>
      <c r="Q50" s="49" t="s">
        <v>658</v>
      </c>
      <c r="R50" s="49">
        <v>2002.0</v>
      </c>
      <c r="S50" s="49" t="s">
        <v>1190</v>
      </c>
      <c r="T50" s="49">
        <v>0.0</v>
      </c>
      <c r="U50" s="49">
        <v>1.0</v>
      </c>
      <c r="V50" s="1">
        <v>70001.0</v>
      </c>
      <c r="W50" s="1">
        <v>1.0</v>
      </c>
      <c r="X50" s="1">
        <v>1.0</v>
      </c>
      <c r="Y50" s="1">
        <v>8000.0</v>
      </c>
      <c r="Z50" s="1">
        <v>148.0</v>
      </c>
      <c r="AA50" s="1">
        <v>1.0</v>
      </c>
      <c r="AB50" s="86">
        <v>1001.0</v>
      </c>
      <c r="AC50" s="86">
        <v>100.0</v>
      </c>
      <c r="AD50" s="86">
        <v>1.0</v>
      </c>
    </row>
    <row r="51" ht="42.75" customHeight="1">
      <c r="A51" s="1">
        <v>149.0</v>
      </c>
      <c r="B51" s="1" t="s">
        <v>951</v>
      </c>
      <c r="C51" s="1"/>
      <c r="D51" s="101" t="s">
        <v>1359</v>
      </c>
      <c r="E51" s="1">
        <v>98.0</v>
      </c>
      <c r="F51" s="1"/>
      <c r="G51" s="87" t="s">
        <v>1360</v>
      </c>
      <c r="H51" s="49">
        <v>1.0</v>
      </c>
      <c r="I51" s="49"/>
      <c r="J51" s="88" t="s">
        <v>1063</v>
      </c>
      <c r="K51" s="49" t="s">
        <v>1065</v>
      </c>
      <c r="L51" s="49" t="s">
        <v>1066</v>
      </c>
      <c r="M51" s="49" t="s">
        <v>1184</v>
      </c>
      <c r="N51" s="49">
        <v>1.0</v>
      </c>
      <c r="O51" s="49">
        <v>1.0</v>
      </c>
      <c r="P51" s="88" t="s">
        <v>1068</v>
      </c>
      <c r="Q51" s="49" t="s">
        <v>658</v>
      </c>
      <c r="R51" s="49">
        <v>2004.0</v>
      </c>
      <c r="S51" s="49" t="s">
        <v>1361</v>
      </c>
      <c r="T51" s="49">
        <v>0.0</v>
      </c>
      <c r="U51" s="49">
        <v>1.0</v>
      </c>
      <c r="V51" s="1">
        <v>70001.0</v>
      </c>
      <c r="W51" s="1">
        <v>1.0</v>
      </c>
      <c r="X51" s="1">
        <v>1.0</v>
      </c>
      <c r="Y51" s="1">
        <v>8000.0</v>
      </c>
      <c r="Z51" s="1">
        <v>149.0</v>
      </c>
      <c r="AA51" s="1">
        <v>1.0</v>
      </c>
      <c r="AB51" s="86">
        <v>1001.0</v>
      </c>
      <c r="AC51" s="86">
        <v>100.0</v>
      </c>
      <c r="AD51" s="86">
        <v>1.0</v>
      </c>
    </row>
    <row r="52" ht="42.75" customHeight="1">
      <c r="A52" s="1">
        <v>150.0</v>
      </c>
      <c r="B52" s="1" t="s">
        <v>951</v>
      </c>
      <c r="C52" s="1"/>
      <c r="D52" s="101" t="s">
        <v>1363</v>
      </c>
      <c r="E52" s="1">
        <v>100.0</v>
      </c>
      <c r="F52" s="1"/>
      <c r="G52" s="87" t="s">
        <v>1364</v>
      </c>
      <c r="H52" s="49">
        <v>1.0</v>
      </c>
      <c r="I52" s="49"/>
      <c r="J52" s="88" t="s">
        <v>1080</v>
      </c>
      <c r="K52" s="49" t="s">
        <v>647</v>
      </c>
      <c r="L52" s="49">
        <v>1005.0</v>
      </c>
      <c r="M52" s="49" t="s">
        <v>1365</v>
      </c>
      <c r="N52" s="49"/>
      <c r="O52" s="49">
        <v>1.0</v>
      </c>
      <c r="P52" s="88" t="s">
        <v>1082</v>
      </c>
      <c r="Q52" s="49" t="s">
        <v>658</v>
      </c>
      <c r="R52" s="49">
        <v>2005.0</v>
      </c>
      <c r="S52" s="49" t="s">
        <v>1368</v>
      </c>
      <c r="T52" s="49">
        <v>0.0</v>
      </c>
      <c r="U52" s="49">
        <v>1.0</v>
      </c>
      <c r="V52" s="1">
        <v>70001.0</v>
      </c>
      <c r="W52" s="1">
        <v>1.0</v>
      </c>
      <c r="X52" s="1">
        <v>1.0</v>
      </c>
      <c r="Y52" s="1">
        <v>8000.0</v>
      </c>
      <c r="Z52" s="1">
        <v>150.0</v>
      </c>
      <c r="AA52" s="1">
        <v>1.0</v>
      </c>
      <c r="AB52" s="86">
        <v>1001.0</v>
      </c>
      <c r="AC52" s="86">
        <v>1000.0</v>
      </c>
      <c r="AD52" s="86">
        <v>1.0</v>
      </c>
    </row>
    <row r="53" ht="42.75" customHeight="1">
      <c r="A53" s="1">
        <v>151.0</v>
      </c>
      <c r="B53" s="1" t="s">
        <v>951</v>
      </c>
      <c r="C53" s="1"/>
      <c r="D53" s="101" t="s">
        <v>1370</v>
      </c>
      <c r="E53" s="1">
        <v>102.0</v>
      </c>
      <c r="F53" s="1"/>
      <c r="G53" s="87" t="s">
        <v>1371</v>
      </c>
      <c r="H53" s="49">
        <v>1.0</v>
      </c>
      <c r="I53" s="49"/>
      <c r="J53" s="88" t="s">
        <v>1063</v>
      </c>
      <c r="K53" s="49" t="s">
        <v>1065</v>
      </c>
      <c r="L53" s="49" t="s">
        <v>1066</v>
      </c>
      <c r="M53" s="49" t="s">
        <v>1372</v>
      </c>
      <c r="N53" s="49">
        <v>1.0</v>
      </c>
      <c r="O53" s="49">
        <v>1.0</v>
      </c>
      <c r="P53" s="88" t="s">
        <v>1090</v>
      </c>
      <c r="Q53" s="49" t="s">
        <v>658</v>
      </c>
      <c r="R53" s="49">
        <v>2002.0</v>
      </c>
      <c r="S53" s="49" t="s">
        <v>1374</v>
      </c>
      <c r="T53" s="49">
        <v>0.0</v>
      </c>
      <c r="U53" s="49">
        <v>1.0</v>
      </c>
      <c r="V53" s="1">
        <v>70001.0</v>
      </c>
      <c r="W53" s="1">
        <v>1.0</v>
      </c>
      <c r="X53" s="1">
        <v>1.0</v>
      </c>
      <c r="Y53" s="1">
        <v>8000.0</v>
      </c>
      <c r="Z53" s="1">
        <v>151.0</v>
      </c>
      <c r="AA53" s="1">
        <v>1.0</v>
      </c>
      <c r="AB53" s="86">
        <v>1001.0</v>
      </c>
      <c r="AC53" s="86">
        <v>100.0</v>
      </c>
      <c r="AD53" s="86">
        <v>1.0</v>
      </c>
    </row>
    <row r="54" ht="42.75" customHeight="1">
      <c r="A54" s="1">
        <v>152.0</v>
      </c>
      <c r="B54" s="1" t="s">
        <v>951</v>
      </c>
      <c r="C54" s="1"/>
      <c r="D54" s="101" t="s">
        <v>1376</v>
      </c>
      <c r="E54" s="1">
        <v>104.0</v>
      </c>
      <c r="F54" s="1"/>
      <c r="G54" s="87" t="s">
        <v>1377</v>
      </c>
      <c r="H54" s="49">
        <v>1.0</v>
      </c>
      <c r="I54" s="49"/>
      <c r="J54" s="88" t="s">
        <v>1095</v>
      </c>
      <c r="K54" s="49" t="s">
        <v>647</v>
      </c>
      <c r="L54" s="49">
        <v>1003.0</v>
      </c>
      <c r="M54" s="49" t="s">
        <v>1379</v>
      </c>
      <c r="N54" s="49"/>
      <c r="O54" s="49">
        <v>1.0</v>
      </c>
      <c r="P54" s="88" t="s">
        <v>1068</v>
      </c>
      <c r="Q54" s="49" t="s">
        <v>658</v>
      </c>
      <c r="R54" s="49">
        <v>2004.0</v>
      </c>
      <c r="S54" s="49" t="s">
        <v>1380</v>
      </c>
      <c r="T54" s="49">
        <v>0.0</v>
      </c>
      <c r="U54" s="49">
        <v>1.0</v>
      </c>
      <c r="V54" s="1">
        <v>70001.0</v>
      </c>
      <c r="W54" s="1">
        <v>1.0</v>
      </c>
      <c r="X54" s="1">
        <v>1.0</v>
      </c>
      <c r="Y54" s="1">
        <v>8000.0</v>
      </c>
      <c r="Z54" s="1">
        <v>152.0</v>
      </c>
      <c r="AA54" s="1">
        <v>1.0</v>
      </c>
      <c r="AB54" s="86">
        <v>1001.0</v>
      </c>
      <c r="AC54" s="86">
        <v>100.0</v>
      </c>
      <c r="AD54" s="86">
        <v>1.0</v>
      </c>
    </row>
    <row r="55" ht="42.75" customHeight="1">
      <c r="A55" s="1">
        <v>153.0</v>
      </c>
      <c r="B55" s="1" t="s">
        <v>951</v>
      </c>
      <c r="C55" s="1"/>
      <c r="D55" s="101" t="s">
        <v>1383</v>
      </c>
      <c r="E55" s="1">
        <v>106.0</v>
      </c>
      <c r="F55" s="1"/>
      <c r="G55" s="87" t="s">
        <v>1384</v>
      </c>
      <c r="H55" s="49">
        <v>1.0</v>
      </c>
      <c r="I55" s="49"/>
      <c r="J55" s="88" t="s">
        <v>1063</v>
      </c>
      <c r="K55" s="49" t="s">
        <v>1065</v>
      </c>
      <c r="L55" s="49" t="s">
        <v>1066</v>
      </c>
      <c r="M55" s="49" t="s">
        <v>1385</v>
      </c>
      <c r="N55" s="49">
        <v>1.0</v>
      </c>
      <c r="O55" s="49">
        <v>1.0</v>
      </c>
      <c r="P55" s="88" t="s">
        <v>1082</v>
      </c>
      <c r="Q55" s="49" t="s">
        <v>658</v>
      </c>
      <c r="R55" s="49">
        <v>2005.0</v>
      </c>
      <c r="S55" s="49" t="s">
        <v>1386</v>
      </c>
      <c r="T55" s="49">
        <v>0.0</v>
      </c>
      <c r="U55" s="49">
        <v>1.0</v>
      </c>
      <c r="V55" s="1">
        <v>70001.0</v>
      </c>
      <c r="W55" s="1">
        <v>1.0</v>
      </c>
      <c r="X55" s="1">
        <v>1.0</v>
      </c>
      <c r="Y55" s="1">
        <v>8000.0</v>
      </c>
      <c r="Z55" s="1">
        <v>153.0</v>
      </c>
      <c r="AA55" s="1">
        <v>1.0</v>
      </c>
      <c r="AB55" s="86">
        <v>1001.0</v>
      </c>
      <c r="AC55" s="86">
        <v>100.0</v>
      </c>
      <c r="AD55" s="86">
        <v>1.0</v>
      </c>
    </row>
    <row r="56" ht="42.75" customHeight="1">
      <c r="A56" s="1">
        <v>154.0</v>
      </c>
      <c r="B56" s="1" t="s">
        <v>951</v>
      </c>
      <c r="C56" s="1"/>
      <c r="D56" s="101" t="s">
        <v>1389</v>
      </c>
      <c r="E56" s="1">
        <v>108.0</v>
      </c>
      <c r="F56" s="1"/>
      <c r="G56" s="87" t="s">
        <v>1390</v>
      </c>
      <c r="H56" s="49">
        <v>1.0</v>
      </c>
      <c r="I56" s="49"/>
      <c r="J56" s="88" t="s">
        <v>1106</v>
      </c>
      <c r="K56" s="49" t="s">
        <v>647</v>
      </c>
      <c r="L56" s="49">
        <v>1001.0</v>
      </c>
      <c r="M56" s="49" t="s">
        <v>1392</v>
      </c>
      <c r="N56" s="49"/>
      <c r="O56" s="49">
        <v>1.0</v>
      </c>
      <c r="P56" s="88" t="s">
        <v>1090</v>
      </c>
      <c r="Q56" s="49" t="s">
        <v>658</v>
      </c>
      <c r="R56" s="49">
        <v>2002.0</v>
      </c>
      <c r="S56" s="49" t="s">
        <v>1385</v>
      </c>
      <c r="T56" s="49">
        <v>0.0</v>
      </c>
      <c r="U56" s="49">
        <v>1.0</v>
      </c>
      <c r="V56" s="1">
        <v>70001.0</v>
      </c>
      <c r="W56" s="1">
        <v>1.0</v>
      </c>
      <c r="X56" s="1">
        <v>1.0</v>
      </c>
      <c r="Y56" s="1">
        <v>8000.0</v>
      </c>
      <c r="Z56" s="1">
        <v>154.0</v>
      </c>
      <c r="AA56" s="1">
        <v>1.0</v>
      </c>
      <c r="AB56" s="86">
        <v>1001.0</v>
      </c>
      <c r="AC56" s="86">
        <v>100.0</v>
      </c>
      <c r="AD56" s="86">
        <v>1.0</v>
      </c>
    </row>
    <row r="57" ht="42.75" customHeight="1">
      <c r="A57" s="1">
        <v>155.0</v>
      </c>
      <c r="B57" s="1" t="s">
        <v>951</v>
      </c>
      <c r="C57" s="1"/>
      <c r="D57" s="101" t="s">
        <v>1393</v>
      </c>
      <c r="E57" s="1">
        <v>110.0</v>
      </c>
      <c r="F57" s="1"/>
      <c r="G57" s="87" t="s">
        <v>1394</v>
      </c>
      <c r="H57" s="49">
        <v>1.0</v>
      </c>
      <c r="I57" s="49"/>
      <c r="J57" s="88" t="s">
        <v>1063</v>
      </c>
      <c r="K57" s="49" t="s">
        <v>1065</v>
      </c>
      <c r="L57" s="49" t="s">
        <v>1066</v>
      </c>
      <c r="M57" s="49" t="s">
        <v>1214</v>
      </c>
      <c r="N57" s="49">
        <v>1.0</v>
      </c>
      <c r="O57" s="49">
        <v>1.0</v>
      </c>
      <c r="P57" s="88" t="s">
        <v>1068</v>
      </c>
      <c r="Q57" s="49" t="s">
        <v>658</v>
      </c>
      <c r="R57" s="49">
        <v>2004.0</v>
      </c>
      <c r="S57" s="49" t="s">
        <v>1067</v>
      </c>
      <c r="T57" s="49">
        <v>0.0</v>
      </c>
      <c r="U57" s="49">
        <v>1.0</v>
      </c>
      <c r="V57" s="1">
        <v>70001.0</v>
      </c>
      <c r="W57" s="1">
        <v>1.0</v>
      </c>
      <c r="X57" s="1">
        <v>1.0</v>
      </c>
      <c r="Y57" s="1">
        <v>8000.0</v>
      </c>
      <c r="Z57" s="1">
        <v>155.0</v>
      </c>
      <c r="AA57" s="1">
        <v>1.0</v>
      </c>
      <c r="AB57" s="86">
        <v>1001.0</v>
      </c>
      <c r="AC57" s="86">
        <v>100.0</v>
      </c>
      <c r="AD57" s="86">
        <v>1.0</v>
      </c>
    </row>
    <row r="58" ht="42.75" customHeight="1">
      <c r="A58" s="1">
        <v>156.0</v>
      </c>
      <c r="B58" s="1" t="s">
        <v>951</v>
      </c>
      <c r="C58" s="1"/>
      <c r="D58" s="101" t="s">
        <v>1398</v>
      </c>
      <c r="E58" s="1">
        <v>112.0</v>
      </c>
      <c r="F58" s="1"/>
      <c r="G58" s="87" t="s">
        <v>1399</v>
      </c>
      <c r="H58" s="49">
        <v>1.0</v>
      </c>
      <c r="I58" s="49"/>
      <c r="J58" s="88" t="s">
        <v>1080</v>
      </c>
      <c r="K58" s="49" t="s">
        <v>647</v>
      </c>
      <c r="L58" s="49">
        <v>1005.0</v>
      </c>
      <c r="M58" s="49" t="s">
        <v>1400</v>
      </c>
      <c r="N58" s="49"/>
      <c r="O58" s="49">
        <v>1.0</v>
      </c>
      <c r="P58" s="88" t="s">
        <v>1082</v>
      </c>
      <c r="Q58" s="49" t="s">
        <v>658</v>
      </c>
      <c r="R58" s="49">
        <v>2005.0</v>
      </c>
      <c r="S58" s="49" t="s">
        <v>1402</v>
      </c>
      <c r="T58" s="49">
        <v>0.0</v>
      </c>
      <c r="U58" s="49">
        <v>1.0</v>
      </c>
      <c r="V58" s="1">
        <v>70001.0</v>
      </c>
      <c r="W58" s="1">
        <v>1.0</v>
      </c>
      <c r="X58" s="1">
        <v>1.0</v>
      </c>
      <c r="Y58" s="1">
        <v>8000.0</v>
      </c>
      <c r="Z58" s="1">
        <v>156.0</v>
      </c>
      <c r="AA58" s="1">
        <v>1.0</v>
      </c>
      <c r="AB58" s="86">
        <v>1001.0</v>
      </c>
      <c r="AC58" s="86">
        <v>100.0</v>
      </c>
      <c r="AD58" s="86">
        <v>1.0</v>
      </c>
    </row>
    <row r="59" ht="47.25" customHeight="1">
      <c r="A59" s="115">
        <v>157.0</v>
      </c>
      <c r="B59" s="115" t="s">
        <v>951</v>
      </c>
      <c r="C59" s="115"/>
      <c r="D59" s="101" t="s">
        <v>1404</v>
      </c>
      <c r="E59" s="115">
        <v>114.0</v>
      </c>
      <c r="F59" s="116"/>
      <c r="G59" s="117" t="s">
        <v>1405</v>
      </c>
      <c r="H59" s="118">
        <v>1.0</v>
      </c>
      <c r="I59" s="118"/>
      <c r="J59" s="88" t="s">
        <v>1063</v>
      </c>
      <c r="K59" s="118" t="s">
        <v>1065</v>
      </c>
      <c r="L59" s="118" t="s">
        <v>1066</v>
      </c>
      <c r="M59" s="118" t="s">
        <v>1109</v>
      </c>
      <c r="N59" s="118">
        <v>1.0</v>
      </c>
      <c r="O59" s="118">
        <v>1.0</v>
      </c>
      <c r="P59" s="119" t="s">
        <v>1090</v>
      </c>
      <c r="Q59" s="118" t="s">
        <v>658</v>
      </c>
      <c r="R59" s="49">
        <v>2002.0</v>
      </c>
      <c r="S59" s="49" t="s">
        <v>1407</v>
      </c>
      <c r="T59" s="118">
        <v>0.0</v>
      </c>
      <c r="U59" s="49">
        <v>1.0</v>
      </c>
      <c r="V59" s="115">
        <v>70001.0</v>
      </c>
      <c r="W59" s="115">
        <v>1.0</v>
      </c>
      <c r="X59" s="115">
        <v>1.0</v>
      </c>
      <c r="Y59" s="115">
        <v>8000.0</v>
      </c>
      <c r="Z59" s="115">
        <v>157.0</v>
      </c>
      <c r="AA59" s="115">
        <v>1.0</v>
      </c>
      <c r="AB59" s="115">
        <v>1001.0</v>
      </c>
      <c r="AC59" s="115">
        <v>100.0</v>
      </c>
      <c r="AD59" s="115">
        <v>1.0</v>
      </c>
      <c r="AE59" s="115"/>
      <c r="AF59" s="115"/>
      <c r="AG59" s="115"/>
      <c r="AH59" s="115"/>
      <c r="AI59" s="115"/>
      <c r="AJ59" s="115"/>
    </row>
    <row r="60" ht="42.75" customHeight="1">
      <c r="A60" s="1">
        <v>158.0</v>
      </c>
      <c r="B60" s="1" t="s">
        <v>951</v>
      </c>
      <c r="C60" s="1"/>
      <c r="D60" s="101" t="s">
        <v>1409</v>
      </c>
      <c r="E60" s="1">
        <v>116.0</v>
      </c>
      <c r="F60" s="1"/>
      <c r="G60" s="87" t="s">
        <v>1410</v>
      </c>
      <c r="H60" s="49">
        <v>1.0</v>
      </c>
      <c r="I60" s="49"/>
      <c r="J60" s="88" t="s">
        <v>1095</v>
      </c>
      <c r="K60" s="49" t="s">
        <v>647</v>
      </c>
      <c r="L60" s="49">
        <v>1003.0</v>
      </c>
      <c r="M60" s="49" t="s">
        <v>1412</v>
      </c>
      <c r="N60" s="49"/>
      <c r="O60" s="49">
        <v>1.0</v>
      </c>
      <c r="P60" s="88" t="s">
        <v>1068</v>
      </c>
      <c r="Q60" s="49" t="s">
        <v>658</v>
      </c>
      <c r="R60" s="49">
        <v>2004.0</v>
      </c>
      <c r="S60" s="49" t="s">
        <v>1214</v>
      </c>
      <c r="T60" s="49">
        <v>0.0</v>
      </c>
      <c r="U60" s="49">
        <v>1.0</v>
      </c>
      <c r="V60" s="1">
        <v>70001.0</v>
      </c>
      <c r="W60" s="1">
        <v>1.0</v>
      </c>
      <c r="X60" s="1">
        <v>1.0</v>
      </c>
      <c r="Y60" s="1">
        <v>8000.0</v>
      </c>
      <c r="Z60" s="1">
        <v>158.0</v>
      </c>
      <c r="AA60" s="1">
        <v>1.0</v>
      </c>
      <c r="AB60" s="86">
        <v>1001.0</v>
      </c>
      <c r="AC60" s="86">
        <v>100.0</v>
      </c>
      <c r="AD60" s="86">
        <v>1.0</v>
      </c>
    </row>
    <row r="61" ht="42.75" customHeight="1">
      <c r="A61" s="1">
        <v>159.0</v>
      </c>
      <c r="B61" s="1" t="s">
        <v>951</v>
      </c>
      <c r="C61" s="1"/>
      <c r="D61" s="101" t="s">
        <v>1414</v>
      </c>
      <c r="E61" s="1">
        <v>118.0</v>
      </c>
      <c r="F61" s="1"/>
      <c r="G61" s="87" t="s">
        <v>1415</v>
      </c>
      <c r="H61" s="49">
        <v>1.0</v>
      </c>
      <c r="I61" s="49"/>
      <c r="J61" s="88" t="s">
        <v>1063</v>
      </c>
      <c r="K61" s="49" t="s">
        <v>1065</v>
      </c>
      <c r="L61" s="49" t="s">
        <v>1066</v>
      </c>
      <c r="M61" s="49" t="s">
        <v>1386</v>
      </c>
      <c r="N61" s="49">
        <v>1.0</v>
      </c>
      <c r="O61" s="49">
        <v>1.0</v>
      </c>
      <c r="P61" s="88" t="s">
        <v>1082</v>
      </c>
      <c r="Q61" s="49" t="s">
        <v>658</v>
      </c>
      <c r="R61" s="49">
        <v>2005.0</v>
      </c>
      <c r="S61" s="49" t="s">
        <v>1416</v>
      </c>
      <c r="T61" s="49">
        <v>0.0</v>
      </c>
      <c r="U61" s="49">
        <v>1.0</v>
      </c>
      <c r="V61" s="1">
        <v>70001.0</v>
      </c>
      <c r="W61" s="1">
        <v>1.0</v>
      </c>
      <c r="X61" s="1">
        <v>1.0</v>
      </c>
      <c r="Y61" s="1">
        <v>8000.0</v>
      </c>
      <c r="Z61" s="1">
        <v>159.0</v>
      </c>
      <c r="AA61" s="1">
        <v>1.0</v>
      </c>
      <c r="AB61" s="86">
        <v>1001.0</v>
      </c>
      <c r="AC61" s="86">
        <v>100.0</v>
      </c>
      <c r="AD61" s="86">
        <v>1.0</v>
      </c>
    </row>
    <row r="62" ht="42.75" customHeight="1">
      <c r="A62" s="1">
        <v>160.0</v>
      </c>
      <c r="B62" s="1" t="s">
        <v>951</v>
      </c>
      <c r="C62" s="1"/>
      <c r="D62" s="101" t="s">
        <v>1417</v>
      </c>
      <c r="E62" s="1">
        <v>120.0</v>
      </c>
      <c r="F62" s="1"/>
      <c r="G62" s="87" t="s">
        <v>1419</v>
      </c>
      <c r="H62" s="49">
        <v>1.0</v>
      </c>
      <c r="I62" s="49"/>
      <c r="J62" s="88" t="s">
        <v>1106</v>
      </c>
      <c r="K62" s="49" t="s">
        <v>647</v>
      </c>
      <c r="L62" s="49">
        <v>1001.0</v>
      </c>
      <c r="M62" s="49" t="s">
        <v>1271</v>
      </c>
      <c r="N62" s="49"/>
      <c r="O62" s="49">
        <v>1.0</v>
      </c>
      <c r="P62" s="88" t="s">
        <v>1090</v>
      </c>
      <c r="Q62" s="49" t="s">
        <v>658</v>
      </c>
      <c r="R62" s="49">
        <v>2002.0</v>
      </c>
      <c r="S62" s="49" t="s">
        <v>1421</v>
      </c>
      <c r="T62" s="49">
        <v>0.0</v>
      </c>
      <c r="U62" s="49">
        <v>1.0</v>
      </c>
      <c r="V62" s="1">
        <v>70001.0</v>
      </c>
      <c r="W62" s="1">
        <v>1.0</v>
      </c>
      <c r="X62" s="1">
        <v>1.0</v>
      </c>
      <c r="Y62" s="1">
        <v>8000.0</v>
      </c>
      <c r="Z62" s="1">
        <v>160.0</v>
      </c>
      <c r="AA62" s="1">
        <v>1.0</v>
      </c>
      <c r="AB62" s="86">
        <v>1001.0</v>
      </c>
      <c r="AC62" s="86">
        <v>1000.0</v>
      </c>
      <c r="AD62" s="86">
        <v>1.0</v>
      </c>
    </row>
    <row r="63" ht="42.75" customHeight="1">
      <c r="A63" s="1">
        <v>161.0</v>
      </c>
      <c r="B63" s="1" t="s">
        <v>951</v>
      </c>
      <c r="C63" s="1"/>
      <c r="D63" s="101" t="s">
        <v>1422</v>
      </c>
      <c r="E63" s="1">
        <v>122.0</v>
      </c>
      <c r="F63" s="1"/>
      <c r="G63" s="87" t="s">
        <v>1423</v>
      </c>
      <c r="H63" s="49">
        <v>1.0</v>
      </c>
      <c r="I63" s="49"/>
      <c r="J63" s="88" t="s">
        <v>1063</v>
      </c>
      <c r="K63" s="49" t="s">
        <v>1065</v>
      </c>
      <c r="L63" s="49" t="s">
        <v>1066</v>
      </c>
      <c r="M63" s="49" t="s">
        <v>1425</v>
      </c>
      <c r="N63" s="49">
        <v>1.0</v>
      </c>
      <c r="O63" s="49">
        <v>1.0</v>
      </c>
      <c r="P63" s="88" t="s">
        <v>1068</v>
      </c>
      <c r="Q63" s="49" t="s">
        <v>658</v>
      </c>
      <c r="R63" s="49">
        <v>2004.0</v>
      </c>
      <c r="S63" s="49" t="s">
        <v>1427</v>
      </c>
      <c r="T63" s="49">
        <v>0.0</v>
      </c>
      <c r="U63" s="49">
        <v>1.0</v>
      </c>
      <c r="V63" s="1">
        <v>70001.0</v>
      </c>
      <c r="W63" s="1">
        <v>1.0</v>
      </c>
      <c r="X63" s="1">
        <v>1.0</v>
      </c>
      <c r="Y63" s="1">
        <v>8000.0</v>
      </c>
      <c r="Z63" s="1">
        <v>161.0</v>
      </c>
      <c r="AA63" s="1">
        <v>1.0</v>
      </c>
      <c r="AB63" s="86">
        <v>1001.0</v>
      </c>
      <c r="AC63" s="86">
        <v>100.0</v>
      </c>
      <c r="AD63" s="86">
        <v>1.0</v>
      </c>
    </row>
    <row r="64" ht="42.75" customHeight="1">
      <c r="A64" s="1">
        <v>162.0</v>
      </c>
      <c r="B64" s="1" t="s">
        <v>951</v>
      </c>
      <c r="C64" s="1"/>
      <c r="D64" s="101" t="s">
        <v>1429</v>
      </c>
      <c r="E64" s="1">
        <v>124.0</v>
      </c>
      <c r="F64" s="1"/>
      <c r="G64" s="87" t="s">
        <v>1430</v>
      </c>
      <c r="H64" s="49">
        <v>1.0</v>
      </c>
      <c r="I64" s="49"/>
      <c r="J64" s="88" t="s">
        <v>1080</v>
      </c>
      <c r="K64" s="49" t="s">
        <v>647</v>
      </c>
      <c r="L64" s="49">
        <v>1005.0</v>
      </c>
      <c r="M64" s="49" t="s">
        <v>1431</v>
      </c>
      <c r="N64" s="49"/>
      <c r="O64" s="49">
        <v>1.0</v>
      </c>
      <c r="P64" s="88" t="s">
        <v>1082</v>
      </c>
      <c r="Q64" s="49" t="s">
        <v>658</v>
      </c>
      <c r="R64" s="49">
        <v>2005.0</v>
      </c>
      <c r="S64" s="49" t="s">
        <v>1230</v>
      </c>
      <c r="T64" s="49">
        <v>0.0</v>
      </c>
      <c r="U64" s="49">
        <v>1.0</v>
      </c>
      <c r="V64" s="1">
        <v>70001.0</v>
      </c>
      <c r="W64" s="1">
        <v>1.0</v>
      </c>
      <c r="X64" s="1">
        <v>1.0</v>
      </c>
      <c r="Y64" s="1">
        <v>8000.0</v>
      </c>
      <c r="Z64" s="1">
        <v>162.0</v>
      </c>
      <c r="AA64" s="1">
        <v>1.0</v>
      </c>
      <c r="AB64" s="86">
        <v>1001.0</v>
      </c>
      <c r="AC64" s="86">
        <v>100.0</v>
      </c>
      <c r="AD64" s="86">
        <v>1.0</v>
      </c>
    </row>
    <row r="65" ht="42.75" customHeight="1">
      <c r="A65" s="1">
        <v>163.0</v>
      </c>
      <c r="B65" s="1" t="s">
        <v>951</v>
      </c>
      <c r="C65" s="1"/>
      <c r="D65" s="101" t="s">
        <v>1434</v>
      </c>
      <c r="E65" s="1">
        <v>126.0</v>
      </c>
      <c r="F65" s="1"/>
      <c r="G65" s="87" t="s">
        <v>1435</v>
      </c>
      <c r="H65" s="49">
        <v>1.0</v>
      </c>
      <c r="I65" s="49"/>
      <c r="J65" s="88" t="s">
        <v>1063</v>
      </c>
      <c r="K65" s="49" t="s">
        <v>1065</v>
      </c>
      <c r="L65" s="49" t="s">
        <v>1066</v>
      </c>
      <c r="M65" s="49" t="s">
        <v>1081</v>
      </c>
      <c r="N65" s="49">
        <v>1.0</v>
      </c>
      <c r="O65" s="49">
        <v>1.0</v>
      </c>
      <c r="P65" s="88" t="s">
        <v>1090</v>
      </c>
      <c r="Q65" s="49" t="s">
        <v>658</v>
      </c>
      <c r="R65" s="49">
        <v>2002.0</v>
      </c>
      <c r="S65" s="49" t="s">
        <v>1437</v>
      </c>
      <c r="T65" s="49">
        <v>0.0</v>
      </c>
      <c r="U65" s="49">
        <v>1.0</v>
      </c>
      <c r="V65" s="1">
        <v>70001.0</v>
      </c>
      <c r="W65" s="1">
        <v>1.0</v>
      </c>
      <c r="X65" s="1">
        <v>1.0</v>
      </c>
      <c r="Y65" s="1">
        <v>8000.0</v>
      </c>
      <c r="Z65" s="1">
        <v>163.0</v>
      </c>
      <c r="AA65" s="1">
        <v>1.0</v>
      </c>
      <c r="AB65" s="86">
        <v>1001.0</v>
      </c>
      <c r="AC65" s="86">
        <v>100.0</v>
      </c>
      <c r="AD65" s="86">
        <v>1.0</v>
      </c>
    </row>
    <row r="66" ht="42.75" customHeight="1">
      <c r="A66" s="1">
        <v>164.0</v>
      </c>
      <c r="B66" s="1" t="s">
        <v>951</v>
      </c>
      <c r="C66" s="1"/>
      <c r="D66" s="101" t="s">
        <v>1438</v>
      </c>
      <c r="E66" s="1">
        <v>128.0</v>
      </c>
      <c r="F66" s="1"/>
      <c r="G66" s="87" t="s">
        <v>1439</v>
      </c>
      <c r="H66" s="49">
        <v>1.0</v>
      </c>
      <c r="I66" s="49"/>
      <c r="J66" s="88" t="s">
        <v>1095</v>
      </c>
      <c r="K66" s="49" t="s">
        <v>647</v>
      </c>
      <c r="L66" s="49">
        <v>1003.0</v>
      </c>
      <c r="M66" s="49" t="s">
        <v>1440</v>
      </c>
      <c r="N66" s="49"/>
      <c r="O66" s="49">
        <v>1.0</v>
      </c>
      <c r="P66" s="88" t="s">
        <v>1068</v>
      </c>
      <c r="Q66" s="49" t="s">
        <v>658</v>
      </c>
      <c r="R66" s="49">
        <v>2004.0</v>
      </c>
      <c r="S66" s="49" t="s">
        <v>1289</v>
      </c>
      <c r="T66" s="49">
        <v>0.0</v>
      </c>
      <c r="U66" s="49">
        <v>1.0</v>
      </c>
      <c r="V66" s="1">
        <v>70001.0</v>
      </c>
      <c r="W66" s="1">
        <v>1.0</v>
      </c>
      <c r="X66" s="1">
        <v>1.0</v>
      </c>
      <c r="Y66" s="1">
        <v>8000.0</v>
      </c>
      <c r="Z66" s="1">
        <v>164.0</v>
      </c>
      <c r="AA66" s="1">
        <v>1.0</v>
      </c>
      <c r="AB66" s="86">
        <v>1001.0</v>
      </c>
      <c r="AC66" s="86">
        <v>100.0</v>
      </c>
      <c r="AD66" s="86">
        <v>1.0</v>
      </c>
    </row>
    <row r="67" ht="42.75" customHeight="1">
      <c r="A67" s="1">
        <v>165.0</v>
      </c>
      <c r="B67" s="1" t="s">
        <v>951</v>
      </c>
      <c r="C67" s="1"/>
      <c r="D67" s="101" t="s">
        <v>1443</v>
      </c>
      <c r="E67" s="1">
        <v>130.0</v>
      </c>
      <c r="F67" s="1"/>
      <c r="G67" s="87" t="s">
        <v>1444</v>
      </c>
      <c r="H67" s="49">
        <v>1.0</v>
      </c>
      <c r="I67" s="49"/>
      <c r="J67" s="88" t="s">
        <v>1063</v>
      </c>
      <c r="K67" s="49" t="s">
        <v>1065</v>
      </c>
      <c r="L67" s="49" t="s">
        <v>1066</v>
      </c>
      <c r="M67" s="49" t="s">
        <v>1138</v>
      </c>
      <c r="N67" s="49">
        <v>1.0</v>
      </c>
      <c r="O67" s="49">
        <v>1.0</v>
      </c>
      <c r="P67" s="88" t="s">
        <v>1082</v>
      </c>
      <c r="Q67" s="49" t="s">
        <v>658</v>
      </c>
      <c r="R67" s="49">
        <v>2005.0</v>
      </c>
      <c r="S67" s="49" t="s">
        <v>1176</v>
      </c>
      <c r="T67" s="49">
        <v>0.0</v>
      </c>
      <c r="U67" s="49">
        <v>1.0</v>
      </c>
      <c r="V67" s="1">
        <v>70001.0</v>
      </c>
      <c r="W67" s="1">
        <v>1.0</v>
      </c>
      <c r="X67" s="1">
        <v>1.0</v>
      </c>
      <c r="Y67" s="1">
        <v>8000.0</v>
      </c>
      <c r="Z67" s="1">
        <v>165.0</v>
      </c>
      <c r="AA67" s="1">
        <v>1.0</v>
      </c>
      <c r="AB67" s="86">
        <v>1001.0</v>
      </c>
      <c r="AC67" s="86">
        <v>100.0</v>
      </c>
      <c r="AD67" s="86">
        <v>1.0</v>
      </c>
    </row>
    <row r="68" ht="42.75" customHeight="1">
      <c r="A68" s="1">
        <v>166.0</v>
      </c>
      <c r="B68" s="1" t="s">
        <v>951</v>
      </c>
      <c r="C68" s="1"/>
      <c r="D68" s="101" t="s">
        <v>1448</v>
      </c>
      <c r="E68" s="1">
        <v>132.0</v>
      </c>
      <c r="F68" s="1"/>
      <c r="G68" s="87" t="s">
        <v>1449</v>
      </c>
      <c r="H68" s="49">
        <v>1.0</v>
      </c>
      <c r="I68" s="49"/>
      <c r="J68" s="88" t="s">
        <v>1106</v>
      </c>
      <c r="K68" s="49" t="s">
        <v>647</v>
      </c>
      <c r="L68" s="49">
        <v>1001.0</v>
      </c>
      <c r="M68" s="49" t="s">
        <v>1450</v>
      </c>
      <c r="N68" s="49"/>
      <c r="O68" s="49">
        <v>1.0</v>
      </c>
      <c r="P68" s="88" t="s">
        <v>1090</v>
      </c>
      <c r="Q68" s="49" t="s">
        <v>658</v>
      </c>
      <c r="R68" s="49">
        <v>2002.0</v>
      </c>
      <c r="S68" s="49" t="s">
        <v>1451</v>
      </c>
      <c r="T68" s="49">
        <v>0.0</v>
      </c>
      <c r="U68" s="49">
        <v>1.0</v>
      </c>
      <c r="V68" s="1">
        <v>70001.0</v>
      </c>
      <c r="W68" s="1">
        <v>1.0</v>
      </c>
      <c r="X68" s="1">
        <v>1.0</v>
      </c>
      <c r="Y68" s="1">
        <v>8000.0</v>
      </c>
      <c r="Z68" s="1">
        <v>166.0</v>
      </c>
      <c r="AA68" s="1">
        <v>1.0</v>
      </c>
      <c r="AB68" s="86">
        <v>1001.0</v>
      </c>
      <c r="AC68" s="86">
        <v>100.0</v>
      </c>
      <c r="AD68" s="86">
        <v>1.0</v>
      </c>
    </row>
    <row r="69" ht="42.75" customHeight="1">
      <c r="A69" s="1">
        <v>167.0</v>
      </c>
      <c r="B69" s="1" t="s">
        <v>951</v>
      </c>
      <c r="C69" s="1"/>
      <c r="D69" s="101" t="s">
        <v>1453</v>
      </c>
      <c r="E69" s="1">
        <v>134.0</v>
      </c>
      <c r="F69" s="1"/>
      <c r="G69" s="87" t="s">
        <v>1454</v>
      </c>
      <c r="H69" s="49">
        <v>1.0</v>
      </c>
      <c r="I69" s="49"/>
      <c r="J69" s="88" t="s">
        <v>1063</v>
      </c>
      <c r="K69" s="49" t="s">
        <v>1065</v>
      </c>
      <c r="L69" s="49" t="s">
        <v>1066</v>
      </c>
      <c r="M69" s="49" t="s">
        <v>1455</v>
      </c>
      <c r="N69" s="49">
        <v>1.0</v>
      </c>
      <c r="O69" s="49">
        <v>1.0</v>
      </c>
      <c r="P69" s="88" t="s">
        <v>1068</v>
      </c>
      <c r="Q69" s="49" t="s">
        <v>658</v>
      </c>
      <c r="R69" s="49">
        <v>2004.0</v>
      </c>
      <c r="S69" s="49" t="s">
        <v>1224</v>
      </c>
      <c r="T69" s="49">
        <v>0.0</v>
      </c>
      <c r="U69" s="49">
        <v>1.0</v>
      </c>
      <c r="V69" s="1">
        <v>70001.0</v>
      </c>
      <c r="W69" s="1">
        <v>1.0</v>
      </c>
      <c r="X69" s="1">
        <v>1.0</v>
      </c>
      <c r="Y69" s="1">
        <v>8000.0</v>
      </c>
      <c r="Z69" s="1">
        <v>167.0</v>
      </c>
      <c r="AA69" s="1">
        <v>1.0</v>
      </c>
      <c r="AB69" s="86">
        <v>1001.0</v>
      </c>
      <c r="AC69" s="86">
        <v>100.0</v>
      </c>
      <c r="AD69" s="86">
        <v>1.0</v>
      </c>
    </row>
    <row r="70" ht="42.75" customHeight="1">
      <c r="A70" s="1">
        <v>168.0</v>
      </c>
      <c r="B70" s="1" t="s">
        <v>951</v>
      </c>
      <c r="C70" s="1"/>
      <c r="D70" s="101" t="s">
        <v>1458</v>
      </c>
      <c r="E70" s="1">
        <v>136.0</v>
      </c>
      <c r="F70" s="1"/>
      <c r="G70" s="87" t="s">
        <v>1459</v>
      </c>
      <c r="H70" s="49">
        <v>1.0</v>
      </c>
      <c r="I70" s="49"/>
      <c r="J70" s="88" t="s">
        <v>1080</v>
      </c>
      <c r="K70" s="49" t="s">
        <v>647</v>
      </c>
      <c r="L70" s="49">
        <v>1005.0</v>
      </c>
      <c r="M70" s="49" t="s">
        <v>1217</v>
      </c>
      <c r="N70" s="49"/>
      <c r="O70" s="49">
        <v>1.0</v>
      </c>
      <c r="P70" s="88" t="s">
        <v>1082</v>
      </c>
      <c r="Q70" s="49" t="s">
        <v>658</v>
      </c>
      <c r="R70" s="49">
        <v>2005.0</v>
      </c>
      <c r="S70" s="49" t="s">
        <v>1460</v>
      </c>
      <c r="T70" s="49">
        <v>0.0</v>
      </c>
      <c r="U70" s="49">
        <v>1.0</v>
      </c>
      <c r="V70" s="1">
        <v>70001.0</v>
      </c>
      <c r="W70" s="1">
        <v>1.0</v>
      </c>
      <c r="X70" s="1">
        <v>1.0</v>
      </c>
      <c r="Y70" s="1">
        <v>8000.0</v>
      </c>
      <c r="Z70" s="1">
        <v>168.0</v>
      </c>
      <c r="AA70" s="1">
        <v>1.0</v>
      </c>
      <c r="AB70" s="86">
        <v>1001.0</v>
      </c>
      <c r="AC70" s="86">
        <v>100.0</v>
      </c>
      <c r="AD70" s="86">
        <v>1.0</v>
      </c>
    </row>
    <row r="71" ht="42.75" customHeight="1">
      <c r="A71" s="1">
        <v>169.0</v>
      </c>
      <c r="B71" s="1" t="s">
        <v>951</v>
      </c>
      <c r="C71" s="1"/>
      <c r="D71" s="101" t="s">
        <v>1462</v>
      </c>
      <c r="E71" s="1">
        <v>138.0</v>
      </c>
      <c r="F71" s="1"/>
      <c r="G71" s="87" t="s">
        <v>1463</v>
      </c>
      <c r="H71" s="49">
        <v>1.0</v>
      </c>
      <c r="I71" s="49"/>
      <c r="J71" s="88" t="s">
        <v>1063</v>
      </c>
      <c r="K71" s="49" t="s">
        <v>1065</v>
      </c>
      <c r="L71" s="49" t="s">
        <v>1066</v>
      </c>
      <c r="M71" s="49" t="s">
        <v>1177</v>
      </c>
      <c r="N71" s="49">
        <v>1.0</v>
      </c>
      <c r="O71" s="49">
        <v>1.0</v>
      </c>
      <c r="P71" s="88" t="s">
        <v>1090</v>
      </c>
      <c r="Q71" s="49" t="s">
        <v>658</v>
      </c>
      <c r="R71" s="49">
        <v>2002.0</v>
      </c>
      <c r="S71" s="49" t="s">
        <v>1109</v>
      </c>
      <c r="T71" s="49">
        <v>0.0</v>
      </c>
      <c r="U71" s="49">
        <v>1.0</v>
      </c>
      <c r="V71" s="1">
        <v>70001.0</v>
      </c>
      <c r="W71" s="1">
        <v>1.0</v>
      </c>
      <c r="X71" s="1">
        <v>1.0</v>
      </c>
      <c r="Y71" s="1">
        <v>8000.0</v>
      </c>
      <c r="Z71" s="1">
        <v>169.0</v>
      </c>
      <c r="AA71" s="1">
        <v>1.0</v>
      </c>
      <c r="AB71" s="86">
        <v>1001.0</v>
      </c>
      <c r="AC71" s="86">
        <v>100.0</v>
      </c>
      <c r="AD71" s="86">
        <v>1.0</v>
      </c>
    </row>
    <row r="72" ht="42.75" customHeight="1">
      <c r="A72" s="1">
        <v>170.0</v>
      </c>
      <c r="B72" s="1" t="s">
        <v>951</v>
      </c>
      <c r="C72" s="1"/>
      <c r="D72" s="101" t="s">
        <v>1465</v>
      </c>
      <c r="E72" s="1">
        <v>140.0</v>
      </c>
      <c r="F72" s="1"/>
      <c r="G72" s="87" t="s">
        <v>1466</v>
      </c>
      <c r="H72" s="49">
        <v>1.0</v>
      </c>
      <c r="I72" s="49"/>
      <c r="J72" s="88" t="s">
        <v>1095</v>
      </c>
      <c r="K72" s="49" t="s">
        <v>647</v>
      </c>
      <c r="L72" s="49">
        <v>1003.0</v>
      </c>
      <c r="M72" s="49" t="s">
        <v>1081</v>
      </c>
      <c r="N72" s="49"/>
      <c r="O72" s="49">
        <v>1.0</v>
      </c>
      <c r="P72" s="88" t="s">
        <v>1068</v>
      </c>
      <c r="Q72" s="49" t="s">
        <v>658</v>
      </c>
      <c r="R72" s="49">
        <v>2004.0</v>
      </c>
      <c r="S72" s="49" t="s">
        <v>1119</v>
      </c>
      <c r="T72" s="49">
        <v>0.0</v>
      </c>
      <c r="U72" s="49">
        <v>1.0</v>
      </c>
      <c r="V72" s="1">
        <v>70001.0</v>
      </c>
      <c r="W72" s="1">
        <v>1.0</v>
      </c>
      <c r="X72" s="1">
        <v>1.0</v>
      </c>
      <c r="Y72" s="1">
        <v>8000.0</v>
      </c>
      <c r="Z72" s="1">
        <v>170.0</v>
      </c>
      <c r="AA72" s="1">
        <v>1.0</v>
      </c>
      <c r="AB72" s="86">
        <v>1001.0</v>
      </c>
      <c r="AC72" s="86">
        <v>1000.0</v>
      </c>
      <c r="AD72" s="86">
        <v>1.0</v>
      </c>
    </row>
    <row r="73" ht="42.75" customHeight="1">
      <c r="A73" s="1">
        <v>171.0</v>
      </c>
      <c r="B73" s="1" t="s">
        <v>951</v>
      </c>
      <c r="C73" s="1"/>
      <c r="D73" s="101" t="s">
        <v>1468</v>
      </c>
      <c r="E73" s="1">
        <v>142.0</v>
      </c>
      <c r="F73" s="1"/>
      <c r="G73" s="87" t="s">
        <v>1469</v>
      </c>
      <c r="H73" s="49">
        <v>1.0</v>
      </c>
      <c r="I73" s="49"/>
      <c r="J73" s="88" t="s">
        <v>1063</v>
      </c>
      <c r="K73" s="49" t="s">
        <v>1065</v>
      </c>
      <c r="L73" s="49" t="s">
        <v>1066</v>
      </c>
      <c r="M73" s="49" t="s">
        <v>1119</v>
      </c>
      <c r="N73" s="49">
        <v>1.0</v>
      </c>
      <c r="O73" s="49">
        <v>1.0</v>
      </c>
      <c r="P73" s="88" t="s">
        <v>1082</v>
      </c>
      <c r="Q73" s="49" t="s">
        <v>658</v>
      </c>
      <c r="R73" s="49">
        <v>2005.0</v>
      </c>
      <c r="S73" s="49" t="s">
        <v>1400</v>
      </c>
      <c r="T73" s="49">
        <v>0.0</v>
      </c>
      <c r="U73" s="49">
        <v>1.0</v>
      </c>
      <c r="V73" s="1">
        <v>70001.0</v>
      </c>
      <c r="W73" s="1">
        <v>1.0</v>
      </c>
      <c r="X73" s="1">
        <v>1.0</v>
      </c>
      <c r="Y73" s="1">
        <v>8000.0</v>
      </c>
      <c r="Z73" s="1">
        <v>171.0</v>
      </c>
      <c r="AA73" s="1">
        <v>1.0</v>
      </c>
      <c r="AB73" s="86">
        <v>1001.0</v>
      </c>
      <c r="AC73" s="86">
        <v>100.0</v>
      </c>
      <c r="AD73" s="86">
        <v>1.0</v>
      </c>
    </row>
    <row r="74" ht="42.75" customHeight="1">
      <c r="A74" s="1">
        <v>172.0</v>
      </c>
      <c r="B74" s="1" t="s">
        <v>951</v>
      </c>
      <c r="C74" s="1"/>
      <c r="D74" s="101" t="s">
        <v>1471</v>
      </c>
      <c r="E74" s="1">
        <v>144.0</v>
      </c>
      <c r="F74" s="1"/>
      <c r="G74" s="87" t="s">
        <v>1474</v>
      </c>
      <c r="H74" s="49">
        <v>1.0</v>
      </c>
      <c r="I74" s="49"/>
      <c r="J74" s="88" t="s">
        <v>1106</v>
      </c>
      <c r="K74" s="49" t="s">
        <v>647</v>
      </c>
      <c r="L74" s="49">
        <v>1001.0</v>
      </c>
      <c r="M74" s="49" t="s">
        <v>1138</v>
      </c>
      <c r="N74" s="49"/>
      <c r="O74" s="49">
        <v>1.0</v>
      </c>
      <c r="P74" s="88" t="s">
        <v>1090</v>
      </c>
      <c r="Q74" s="49" t="s">
        <v>658</v>
      </c>
      <c r="R74" s="49">
        <v>2002.0</v>
      </c>
      <c r="S74" s="49" t="s">
        <v>1119</v>
      </c>
      <c r="T74" s="49">
        <v>0.0</v>
      </c>
      <c r="U74" s="49">
        <v>1.0</v>
      </c>
      <c r="V74" s="1">
        <v>70001.0</v>
      </c>
      <c r="W74" s="1">
        <v>1.0</v>
      </c>
      <c r="X74" s="1">
        <v>1.0</v>
      </c>
      <c r="Y74" s="1">
        <v>8000.0</v>
      </c>
      <c r="Z74" s="1">
        <v>172.0</v>
      </c>
      <c r="AA74" s="1">
        <v>1.0</v>
      </c>
      <c r="AB74" s="86">
        <v>1001.0</v>
      </c>
      <c r="AC74" s="86">
        <v>100.0</v>
      </c>
      <c r="AD74" s="86">
        <v>1.0</v>
      </c>
    </row>
    <row r="75" ht="42.75" customHeight="1">
      <c r="A75" s="1">
        <v>173.0</v>
      </c>
      <c r="B75" s="1" t="s">
        <v>951</v>
      </c>
      <c r="C75" s="1"/>
      <c r="D75" s="101" t="s">
        <v>1475</v>
      </c>
      <c r="E75" s="1">
        <v>146.0</v>
      </c>
      <c r="F75" s="1"/>
      <c r="G75" s="87" t="s">
        <v>1476</v>
      </c>
      <c r="H75" s="49">
        <v>1.0</v>
      </c>
      <c r="I75" s="49"/>
      <c r="J75" s="88" t="s">
        <v>1063</v>
      </c>
      <c r="K75" s="49" t="s">
        <v>1065</v>
      </c>
      <c r="L75" s="49" t="s">
        <v>1066</v>
      </c>
      <c r="M75" s="49" t="s">
        <v>1477</v>
      </c>
      <c r="N75" s="49">
        <v>1.0</v>
      </c>
      <c r="O75" s="49">
        <v>1.0</v>
      </c>
      <c r="P75" s="88" t="s">
        <v>1068</v>
      </c>
      <c r="Q75" s="49" t="s">
        <v>658</v>
      </c>
      <c r="R75" s="49">
        <v>2004.0</v>
      </c>
      <c r="S75" s="49" t="s">
        <v>1119</v>
      </c>
      <c r="T75" s="49">
        <v>0.0</v>
      </c>
      <c r="U75" s="49">
        <v>1.0</v>
      </c>
      <c r="V75" s="1">
        <v>70001.0</v>
      </c>
      <c r="W75" s="1">
        <v>1.0</v>
      </c>
      <c r="X75" s="1">
        <v>1.0</v>
      </c>
      <c r="Y75" s="1">
        <v>8000.0</v>
      </c>
      <c r="Z75" s="1">
        <v>173.0</v>
      </c>
      <c r="AA75" s="1">
        <v>1.0</v>
      </c>
      <c r="AB75" s="86">
        <v>1001.0</v>
      </c>
      <c r="AC75" s="86">
        <v>100.0</v>
      </c>
      <c r="AD75" s="86">
        <v>1.0</v>
      </c>
    </row>
    <row r="76" ht="42.75" customHeight="1">
      <c r="A76" s="1">
        <v>174.0</v>
      </c>
      <c r="B76" s="1" t="s">
        <v>951</v>
      </c>
      <c r="C76" s="1"/>
      <c r="D76" s="101" t="s">
        <v>1479</v>
      </c>
      <c r="E76" s="1">
        <v>148.0</v>
      </c>
      <c r="F76" s="1"/>
      <c r="G76" s="87" t="s">
        <v>1481</v>
      </c>
      <c r="H76" s="49">
        <v>1.0</v>
      </c>
      <c r="I76" s="49"/>
      <c r="J76" s="88" t="s">
        <v>1080</v>
      </c>
      <c r="K76" s="49" t="s">
        <v>647</v>
      </c>
      <c r="L76" s="49">
        <v>1005.0</v>
      </c>
      <c r="M76" s="49" t="s">
        <v>1214</v>
      </c>
      <c r="N76" s="49"/>
      <c r="O76" s="49">
        <v>1.0</v>
      </c>
      <c r="P76" s="88" t="s">
        <v>1082</v>
      </c>
      <c r="Q76" s="49" t="s">
        <v>658</v>
      </c>
      <c r="R76" s="49">
        <v>2005.0</v>
      </c>
      <c r="S76" s="49" t="s">
        <v>1482</v>
      </c>
      <c r="T76" s="49">
        <v>0.0</v>
      </c>
      <c r="U76" s="49">
        <v>1.0</v>
      </c>
      <c r="V76" s="1">
        <v>70001.0</v>
      </c>
      <c r="W76" s="1">
        <v>1.0</v>
      </c>
      <c r="X76" s="1">
        <v>1.0</v>
      </c>
      <c r="Y76" s="1">
        <v>8000.0</v>
      </c>
      <c r="Z76" s="1">
        <v>174.0</v>
      </c>
      <c r="AA76" s="1">
        <v>1.0</v>
      </c>
      <c r="AB76" s="86">
        <v>1001.0</v>
      </c>
      <c r="AC76" s="86">
        <v>100.0</v>
      </c>
      <c r="AD76" s="86">
        <v>1.0</v>
      </c>
    </row>
    <row r="77" ht="42.75" customHeight="1">
      <c r="A77" s="1">
        <v>175.0</v>
      </c>
      <c r="B77" s="1" t="s">
        <v>951</v>
      </c>
      <c r="C77" s="1"/>
      <c r="D77" s="101" t="s">
        <v>1483</v>
      </c>
      <c r="E77" s="1">
        <v>150.0</v>
      </c>
      <c r="F77" s="1"/>
      <c r="G77" s="87" t="s">
        <v>1484</v>
      </c>
      <c r="H77" s="49">
        <v>1.0</v>
      </c>
      <c r="I77" s="49"/>
      <c r="J77" s="88" t="s">
        <v>1063</v>
      </c>
      <c r="K77" s="49" t="s">
        <v>1065</v>
      </c>
      <c r="L77" s="49" t="s">
        <v>1066</v>
      </c>
      <c r="M77" s="49" t="s">
        <v>1083</v>
      </c>
      <c r="N77" s="49">
        <v>1.0</v>
      </c>
      <c r="O77" s="49">
        <v>1.0</v>
      </c>
      <c r="P77" s="88" t="s">
        <v>1090</v>
      </c>
      <c r="Q77" s="49" t="s">
        <v>658</v>
      </c>
      <c r="R77" s="49">
        <v>2002.0</v>
      </c>
      <c r="S77" s="49" t="s">
        <v>1485</v>
      </c>
      <c r="T77" s="49">
        <v>0.0</v>
      </c>
      <c r="U77" s="49">
        <v>1.0</v>
      </c>
      <c r="V77" s="1">
        <v>70001.0</v>
      </c>
      <c r="W77" s="1">
        <v>1.0</v>
      </c>
      <c r="X77" s="1">
        <v>1.0</v>
      </c>
      <c r="Y77" s="1">
        <v>8000.0</v>
      </c>
      <c r="Z77" s="1">
        <v>175.0</v>
      </c>
      <c r="AA77" s="1">
        <v>1.0</v>
      </c>
      <c r="AB77" s="86">
        <v>1001.0</v>
      </c>
      <c r="AC77" s="86">
        <v>100.0</v>
      </c>
      <c r="AD77" s="86">
        <v>1.0</v>
      </c>
    </row>
    <row r="78" ht="42.75" customHeight="1">
      <c r="A78" s="1">
        <v>176.0</v>
      </c>
      <c r="B78" s="1" t="s">
        <v>951</v>
      </c>
      <c r="C78" s="1"/>
      <c r="D78" s="101" t="s">
        <v>1488</v>
      </c>
      <c r="E78" s="1">
        <v>152.0</v>
      </c>
      <c r="F78" s="1"/>
      <c r="G78" s="87" t="s">
        <v>1489</v>
      </c>
      <c r="H78" s="49">
        <v>1.0</v>
      </c>
      <c r="I78" s="49"/>
      <c r="J78" s="88" t="s">
        <v>1095</v>
      </c>
      <c r="K78" s="49" t="s">
        <v>647</v>
      </c>
      <c r="L78" s="49">
        <v>1003.0</v>
      </c>
      <c r="M78" s="49" t="s">
        <v>1490</v>
      </c>
      <c r="N78" s="49"/>
      <c r="O78" s="49">
        <v>1.0</v>
      </c>
      <c r="P78" s="88" t="s">
        <v>1068</v>
      </c>
      <c r="Q78" s="49" t="s">
        <v>658</v>
      </c>
      <c r="R78" s="49">
        <v>2004.0</v>
      </c>
      <c r="S78" s="49" t="s">
        <v>1490</v>
      </c>
      <c r="T78" s="49">
        <v>0.0</v>
      </c>
      <c r="U78" s="49">
        <v>1.0</v>
      </c>
      <c r="V78" s="1">
        <v>70001.0</v>
      </c>
      <c r="W78" s="1">
        <v>1.0</v>
      </c>
      <c r="X78" s="1">
        <v>1.0</v>
      </c>
      <c r="Y78" s="1">
        <v>8000.0</v>
      </c>
      <c r="Z78" s="1">
        <v>176.0</v>
      </c>
      <c r="AA78" s="1">
        <v>1.0</v>
      </c>
      <c r="AB78" s="86">
        <v>1001.0</v>
      </c>
      <c r="AC78" s="86">
        <v>100.0</v>
      </c>
      <c r="AD78" s="86">
        <v>1.0</v>
      </c>
    </row>
    <row r="79" ht="47.25" customHeight="1">
      <c r="A79" s="1">
        <v>177.0</v>
      </c>
      <c r="B79" s="1" t="s">
        <v>951</v>
      </c>
      <c r="C79" s="1"/>
      <c r="D79" s="101" t="s">
        <v>1491</v>
      </c>
      <c r="E79" s="1">
        <v>154.0</v>
      </c>
      <c r="F79" s="92"/>
      <c r="G79" s="93" t="s">
        <v>1492</v>
      </c>
      <c r="H79" s="49">
        <v>1.0</v>
      </c>
      <c r="I79" s="49"/>
      <c r="J79" s="88" t="s">
        <v>1063</v>
      </c>
      <c r="K79" s="49" t="s">
        <v>1065</v>
      </c>
      <c r="L79" s="49" t="s">
        <v>1066</v>
      </c>
      <c r="M79" s="49" t="s">
        <v>1493</v>
      </c>
      <c r="N79" s="49">
        <v>1.0</v>
      </c>
      <c r="O79" s="49">
        <v>1.0</v>
      </c>
      <c r="P79" s="88" t="s">
        <v>1082</v>
      </c>
      <c r="Q79" s="49" t="s">
        <v>658</v>
      </c>
      <c r="R79" s="49">
        <v>2005.0</v>
      </c>
      <c r="S79" s="49" t="s">
        <v>1495</v>
      </c>
      <c r="T79" s="49">
        <v>0.0</v>
      </c>
      <c r="U79" s="49">
        <v>1.0</v>
      </c>
      <c r="V79" s="1">
        <v>70001.0</v>
      </c>
      <c r="W79" s="1">
        <v>1.0</v>
      </c>
      <c r="X79" s="1">
        <v>1.0</v>
      </c>
      <c r="Y79" s="1">
        <v>8000.0</v>
      </c>
      <c r="Z79" s="1">
        <v>177.0</v>
      </c>
      <c r="AA79" s="1">
        <v>1.0</v>
      </c>
      <c r="AB79" s="86">
        <v>1001.0</v>
      </c>
      <c r="AC79" s="86">
        <v>100.0</v>
      </c>
      <c r="AD79" s="86">
        <v>1.0</v>
      </c>
    </row>
    <row r="80" ht="38.25" customHeight="1">
      <c r="A80" s="86">
        <v>178.0</v>
      </c>
      <c r="B80" s="86" t="s">
        <v>951</v>
      </c>
      <c r="D80" s="95" t="s">
        <v>1497</v>
      </c>
      <c r="E80" s="86">
        <v>156.0</v>
      </c>
      <c r="G80" s="96" t="s">
        <v>1498</v>
      </c>
      <c r="H80" s="86">
        <v>1.0</v>
      </c>
      <c r="J80" s="95" t="s">
        <v>1106</v>
      </c>
      <c r="K80" s="86" t="s">
        <v>647</v>
      </c>
      <c r="L80" s="86">
        <v>1001.0</v>
      </c>
      <c r="M80" s="86" t="s">
        <v>1499</v>
      </c>
      <c r="O80" s="86">
        <v>1.0</v>
      </c>
      <c r="P80" s="95" t="s">
        <v>1090</v>
      </c>
      <c r="Q80" s="86" t="s">
        <v>658</v>
      </c>
      <c r="R80" s="86">
        <v>2002.0</v>
      </c>
      <c r="S80" s="86" t="s">
        <v>1176</v>
      </c>
      <c r="T80" s="86">
        <v>0.0</v>
      </c>
      <c r="U80" s="86">
        <v>1.0</v>
      </c>
      <c r="V80" s="86">
        <v>70001.0</v>
      </c>
      <c r="W80" s="86">
        <v>1.0</v>
      </c>
      <c r="X80" s="86">
        <v>1.0</v>
      </c>
      <c r="Y80" s="86">
        <v>8000.0</v>
      </c>
      <c r="Z80" s="86">
        <v>178.0</v>
      </c>
      <c r="AA80" s="86">
        <v>1.0</v>
      </c>
      <c r="AB80" s="86">
        <v>1001.0</v>
      </c>
      <c r="AC80" s="86">
        <v>100.0</v>
      </c>
      <c r="AD80" s="86">
        <v>1.0</v>
      </c>
    </row>
    <row r="81" ht="42.75" customHeight="1">
      <c r="A81" s="1">
        <v>179.0</v>
      </c>
      <c r="B81" s="1" t="s">
        <v>951</v>
      </c>
      <c r="C81" s="1"/>
      <c r="D81" s="2" t="s">
        <v>1502</v>
      </c>
      <c r="E81" s="1">
        <v>158.0</v>
      </c>
      <c r="F81" s="1"/>
      <c r="G81" s="87" t="s">
        <v>1503</v>
      </c>
      <c r="H81" s="1">
        <v>1.0</v>
      </c>
      <c r="I81" s="1"/>
      <c r="J81" s="2" t="s">
        <v>1063</v>
      </c>
      <c r="K81" s="1" t="s">
        <v>1065</v>
      </c>
      <c r="L81" s="1" t="s">
        <v>1066</v>
      </c>
      <c r="M81" s="1" t="s">
        <v>1504</v>
      </c>
      <c r="N81" s="1">
        <v>1.0</v>
      </c>
      <c r="O81" s="1">
        <v>1.0</v>
      </c>
      <c r="P81" s="2" t="s">
        <v>1068</v>
      </c>
      <c r="Q81" s="1" t="s">
        <v>658</v>
      </c>
      <c r="R81" s="1">
        <v>2004.0</v>
      </c>
      <c r="S81" s="1" t="s">
        <v>1506</v>
      </c>
      <c r="T81" s="1">
        <v>0.0</v>
      </c>
      <c r="U81" s="1">
        <v>1.0</v>
      </c>
      <c r="V81" s="1">
        <v>70001.0</v>
      </c>
      <c r="W81" s="1">
        <v>1.0</v>
      </c>
      <c r="X81" s="1">
        <v>1.0</v>
      </c>
      <c r="Y81" s="1">
        <v>8000.0</v>
      </c>
      <c r="Z81" s="1">
        <v>179.0</v>
      </c>
      <c r="AA81" s="1">
        <v>1.0</v>
      </c>
      <c r="AB81" s="1">
        <v>1001.0</v>
      </c>
      <c r="AC81" s="1">
        <v>100.0</v>
      </c>
      <c r="AD81" s="1">
        <v>1.0</v>
      </c>
      <c r="AE81" s="1"/>
      <c r="AF81" s="1"/>
      <c r="AG81" s="1"/>
      <c r="AH81" s="1"/>
      <c r="AI81" s="1"/>
      <c r="AJ81" s="1"/>
    </row>
    <row r="82" ht="47.25" customHeight="1">
      <c r="A82" s="120">
        <v>180.0</v>
      </c>
      <c r="B82" s="1" t="s">
        <v>951</v>
      </c>
      <c r="D82" s="2" t="s">
        <v>1508</v>
      </c>
      <c r="E82" s="1">
        <v>160.0</v>
      </c>
      <c r="F82" s="116"/>
      <c r="G82" s="117" t="s">
        <v>1511</v>
      </c>
      <c r="H82" s="49">
        <v>1.0</v>
      </c>
      <c r="I82" s="49"/>
      <c r="J82" s="88" t="s">
        <v>1080</v>
      </c>
      <c r="K82" s="49" t="s">
        <v>647</v>
      </c>
      <c r="L82" s="49">
        <v>1005.0</v>
      </c>
      <c r="M82" s="49" t="s">
        <v>1184</v>
      </c>
      <c r="N82" s="49"/>
      <c r="O82" s="49">
        <v>1.0</v>
      </c>
      <c r="P82" s="88" t="s">
        <v>1082</v>
      </c>
      <c r="Q82" s="49" t="s">
        <v>658</v>
      </c>
      <c r="R82" s="49">
        <v>2005.0</v>
      </c>
      <c r="S82" s="49" t="s">
        <v>1513</v>
      </c>
      <c r="T82" s="49">
        <v>0.0</v>
      </c>
      <c r="U82" s="49">
        <v>1.0</v>
      </c>
      <c r="V82" s="42">
        <v>70001.0</v>
      </c>
      <c r="W82" s="1">
        <v>1.0</v>
      </c>
      <c r="X82" s="86">
        <v>1.0</v>
      </c>
      <c r="Y82" s="86">
        <v>8000.0</v>
      </c>
      <c r="Z82" s="86">
        <v>180.0</v>
      </c>
      <c r="AA82" s="86">
        <v>1.0</v>
      </c>
      <c r="AB82" s="86">
        <v>1001.0</v>
      </c>
      <c r="AC82" s="86">
        <v>1000.0</v>
      </c>
      <c r="AD82" s="86">
        <v>1.0</v>
      </c>
    </row>
    <row r="83" ht="47.25" customHeight="1">
      <c r="A83" s="120">
        <v>181.0</v>
      </c>
      <c r="B83" s="1" t="s">
        <v>951</v>
      </c>
      <c r="D83" s="2" t="s">
        <v>1515</v>
      </c>
      <c r="E83" s="1">
        <v>162.0</v>
      </c>
      <c r="F83" s="116"/>
      <c r="G83" s="107" t="s">
        <v>1516</v>
      </c>
      <c r="H83" s="49">
        <v>1.0</v>
      </c>
      <c r="I83" s="49"/>
      <c r="J83" s="88" t="s">
        <v>1063</v>
      </c>
      <c r="K83" s="49" t="s">
        <v>1065</v>
      </c>
      <c r="L83" s="49" t="s">
        <v>1066</v>
      </c>
      <c r="M83" s="49" t="s">
        <v>1202</v>
      </c>
      <c r="N83" s="49">
        <v>1.0</v>
      </c>
      <c r="O83" s="49">
        <v>1.0</v>
      </c>
      <c r="P83" s="88" t="s">
        <v>1090</v>
      </c>
      <c r="Q83" s="49" t="s">
        <v>658</v>
      </c>
      <c r="R83" s="49">
        <v>2002.0</v>
      </c>
      <c r="S83" s="49" t="s">
        <v>1517</v>
      </c>
      <c r="T83" s="49">
        <v>0.0</v>
      </c>
      <c r="U83" s="49">
        <v>1.0</v>
      </c>
      <c r="V83" s="42">
        <v>70001.0</v>
      </c>
      <c r="W83" s="1">
        <v>1.0</v>
      </c>
      <c r="X83" s="86">
        <v>1.0</v>
      </c>
      <c r="Y83" s="86">
        <v>8000.0</v>
      </c>
      <c r="Z83" s="86">
        <v>181.0</v>
      </c>
      <c r="AA83" s="86">
        <v>1.0</v>
      </c>
      <c r="AB83" s="86">
        <v>1001.0</v>
      </c>
      <c r="AC83" s="86">
        <v>100.0</v>
      </c>
      <c r="AD83" s="86">
        <v>1.0</v>
      </c>
    </row>
    <row r="84" ht="47.25" customHeight="1">
      <c r="A84" s="120">
        <v>182.0</v>
      </c>
      <c r="B84" s="1" t="s">
        <v>951</v>
      </c>
      <c r="D84" s="2" t="s">
        <v>1518</v>
      </c>
      <c r="E84" s="1">
        <v>164.0</v>
      </c>
      <c r="F84" s="116"/>
      <c r="G84" s="93" t="s">
        <v>1520</v>
      </c>
      <c r="H84" s="49">
        <v>1.0</v>
      </c>
      <c r="I84" s="49"/>
      <c r="J84" s="88" t="s">
        <v>1095</v>
      </c>
      <c r="K84" s="49" t="s">
        <v>647</v>
      </c>
      <c r="L84" s="49">
        <v>1003.0</v>
      </c>
      <c r="M84" s="49" t="s">
        <v>1328</v>
      </c>
      <c r="N84" s="49"/>
      <c r="O84" s="49">
        <v>1.0</v>
      </c>
      <c r="P84" s="88" t="s">
        <v>1068</v>
      </c>
      <c r="Q84" s="49" t="s">
        <v>658</v>
      </c>
      <c r="R84" s="49">
        <v>2004.0</v>
      </c>
      <c r="S84" s="49" t="s">
        <v>1244</v>
      </c>
      <c r="T84" s="49">
        <v>0.0</v>
      </c>
      <c r="U84" s="49">
        <v>1.0</v>
      </c>
      <c r="V84" s="42">
        <v>70001.0</v>
      </c>
      <c r="W84" s="1">
        <v>1.0</v>
      </c>
      <c r="X84" s="86">
        <v>1.0</v>
      </c>
      <c r="Y84" s="86">
        <v>8000.0</v>
      </c>
      <c r="Z84" s="86">
        <v>182.0</v>
      </c>
      <c r="AA84" s="86">
        <v>1.0</v>
      </c>
      <c r="AB84" s="86">
        <v>1001.0</v>
      </c>
      <c r="AC84" s="86">
        <v>100.0</v>
      </c>
      <c r="AD84" s="86">
        <v>1.0</v>
      </c>
    </row>
    <row r="85" ht="47.25" customHeight="1">
      <c r="A85" s="120">
        <v>183.0</v>
      </c>
      <c r="B85" s="1" t="s">
        <v>951</v>
      </c>
      <c r="D85" s="2" t="s">
        <v>1522</v>
      </c>
      <c r="E85" s="1">
        <v>166.0</v>
      </c>
      <c r="F85" s="116"/>
      <c r="G85" s="93" t="s">
        <v>1523</v>
      </c>
      <c r="H85" s="49">
        <v>1.0</v>
      </c>
      <c r="I85" s="49"/>
      <c r="J85" s="95" t="s">
        <v>1063</v>
      </c>
      <c r="K85" s="49" t="s">
        <v>1065</v>
      </c>
      <c r="L85" s="49" t="s">
        <v>1066</v>
      </c>
      <c r="M85" s="49" t="s">
        <v>1271</v>
      </c>
      <c r="N85" s="49">
        <v>1.0</v>
      </c>
      <c r="O85" s="49">
        <v>1.0</v>
      </c>
      <c r="P85" s="88" t="s">
        <v>1082</v>
      </c>
      <c r="Q85" s="49" t="s">
        <v>658</v>
      </c>
      <c r="R85" s="49">
        <v>2005.0</v>
      </c>
      <c r="S85" s="49" t="s">
        <v>1184</v>
      </c>
      <c r="T85" s="49">
        <v>0.0</v>
      </c>
      <c r="U85" s="49">
        <v>1.0</v>
      </c>
      <c r="V85" s="42">
        <v>70001.0</v>
      </c>
      <c r="W85" s="1">
        <v>1.0</v>
      </c>
      <c r="X85" s="86">
        <v>1.0</v>
      </c>
      <c r="Y85" s="86">
        <v>8000.0</v>
      </c>
      <c r="Z85" s="86">
        <v>183.0</v>
      </c>
      <c r="AA85" s="86">
        <v>1.0</v>
      </c>
      <c r="AB85" s="86">
        <v>1001.0</v>
      </c>
      <c r="AC85" s="86">
        <v>100.0</v>
      </c>
      <c r="AD85" s="86">
        <v>1.0</v>
      </c>
    </row>
    <row r="86" ht="47.25" customHeight="1">
      <c r="A86" s="120">
        <v>184.0</v>
      </c>
      <c r="B86" s="1" t="s">
        <v>951</v>
      </c>
      <c r="D86" s="2" t="s">
        <v>1524</v>
      </c>
      <c r="E86" s="1">
        <v>168.0</v>
      </c>
      <c r="F86" s="116"/>
      <c r="G86" s="117" t="s">
        <v>1525</v>
      </c>
      <c r="H86" s="49">
        <v>1.0</v>
      </c>
      <c r="I86" s="49"/>
      <c r="J86" s="88" t="s">
        <v>1106</v>
      </c>
      <c r="K86" s="49" t="s">
        <v>647</v>
      </c>
      <c r="L86" s="49">
        <v>1001.0</v>
      </c>
      <c r="M86" s="49" t="s">
        <v>1081</v>
      </c>
      <c r="N86" s="49"/>
      <c r="O86" s="49">
        <v>1.0</v>
      </c>
      <c r="P86" s="88" t="s">
        <v>1090</v>
      </c>
      <c r="Q86" s="49" t="s">
        <v>658</v>
      </c>
      <c r="R86" s="49">
        <v>2002.0</v>
      </c>
      <c r="S86" s="49" t="s">
        <v>1527</v>
      </c>
      <c r="T86" s="49">
        <v>0.0</v>
      </c>
      <c r="U86" s="49">
        <v>1.0</v>
      </c>
      <c r="V86" s="42">
        <v>70001.0</v>
      </c>
      <c r="W86" s="1">
        <v>1.0</v>
      </c>
      <c r="X86" s="86">
        <v>1.0</v>
      </c>
      <c r="Y86" s="86">
        <v>8000.0</v>
      </c>
      <c r="Z86" s="86">
        <v>184.0</v>
      </c>
      <c r="AA86" s="86">
        <v>1.0</v>
      </c>
      <c r="AB86" s="86">
        <v>1001.0</v>
      </c>
      <c r="AC86" s="86">
        <v>100.0</v>
      </c>
      <c r="AD86" s="86">
        <v>1.0</v>
      </c>
    </row>
    <row r="87" ht="47.25" customHeight="1">
      <c r="A87" s="120">
        <v>185.0</v>
      </c>
      <c r="B87" s="1" t="s">
        <v>951</v>
      </c>
      <c r="D87" s="2" t="s">
        <v>1528</v>
      </c>
      <c r="E87" s="1">
        <v>170.0</v>
      </c>
      <c r="F87" s="116"/>
      <c r="G87" s="93" t="s">
        <v>1529</v>
      </c>
      <c r="H87" s="49">
        <v>1.0</v>
      </c>
      <c r="I87" s="49"/>
      <c r="J87" s="88" t="s">
        <v>1063</v>
      </c>
      <c r="K87" s="49" t="s">
        <v>1065</v>
      </c>
      <c r="L87" s="49" t="s">
        <v>1066</v>
      </c>
      <c r="M87" s="49" t="s">
        <v>1138</v>
      </c>
      <c r="N87" s="49">
        <v>1.0</v>
      </c>
      <c r="O87" s="49">
        <v>1.0</v>
      </c>
      <c r="P87" s="88" t="s">
        <v>1068</v>
      </c>
      <c r="Q87" s="49" t="s">
        <v>658</v>
      </c>
      <c r="R87" s="49">
        <v>2004.0</v>
      </c>
      <c r="S87" s="49" t="s">
        <v>1177</v>
      </c>
      <c r="T87" s="49">
        <v>0.0</v>
      </c>
      <c r="U87" s="49">
        <v>1.0</v>
      </c>
      <c r="V87" s="42">
        <v>70001.0</v>
      </c>
      <c r="W87" s="1">
        <v>1.0</v>
      </c>
      <c r="X87" s="86">
        <v>1.0</v>
      </c>
      <c r="Y87" s="86">
        <v>8000.0</v>
      </c>
      <c r="Z87" s="86">
        <v>185.0</v>
      </c>
      <c r="AA87" s="86">
        <v>1.0</v>
      </c>
      <c r="AB87" s="86">
        <v>1001.0</v>
      </c>
      <c r="AC87" s="86">
        <v>100.0</v>
      </c>
      <c r="AD87" s="86">
        <v>1.0</v>
      </c>
    </row>
    <row r="88" ht="47.25" customHeight="1">
      <c r="A88" s="120">
        <v>186.0</v>
      </c>
      <c r="B88" s="1" t="s">
        <v>951</v>
      </c>
      <c r="D88" s="2" t="s">
        <v>1532</v>
      </c>
      <c r="E88" s="1">
        <v>172.0</v>
      </c>
      <c r="F88" s="116"/>
      <c r="G88" s="93" t="s">
        <v>1533</v>
      </c>
      <c r="H88" s="49">
        <v>1.0</v>
      </c>
      <c r="I88" s="49"/>
      <c r="J88" s="95" t="s">
        <v>1080</v>
      </c>
      <c r="K88" s="49" t="s">
        <v>647</v>
      </c>
      <c r="L88" s="49">
        <v>1005.0</v>
      </c>
      <c r="M88" s="49" t="s">
        <v>1128</v>
      </c>
      <c r="N88" s="49"/>
      <c r="O88" s="49">
        <v>1.0</v>
      </c>
      <c r="P88" s="88" t="s">
        <v>1082</v>
      </c>
      <c r="Q88" s="49" t="s">
        <v>658</v>
      </c>
      <c r="R88" s="49">
        <v>2005.0</v>
      </c>
      <c r="S88" s="49" t="s">
        <v>1535</v>
      </c>
      <c r="T88" s="49">
        <v>0.0</v>
      </c>
      <c r="U88" s="49">
        <v>1.0</v>
      </c>
      <c r="V88" s="42">
        <v>70001.0</v>
      </c>
      <c r="W88" s="1">
        <v>1.0</v>
      </c>
      <c r="X88" s="86">
        <v>1.0</v>
      </c>
      <c r="Y88" s="86">
        <v>8000.0</v>
      </c>
      <c r="Z88" s="86">
        <v>186.0</v>
      </c>
      <c r="AA88" s="86">
        <v>1.0</v>
      </c>
      <c r="AB88" s="86">
        <v>1001.0</v>
      </c>
      <c r="AC88" s="86">
        <v>100.0</v>
      </c>
      <c r="AD88" s="86">
        <v>1.0</v>
      </c>
    </row>
    <row r="89" ht="47.25" customHeight="1">
      <c r="A89" s="120">
        <v>187.0</v>
      </c>
      <c r="B89" s="1" t="s">
        <v>951</v>
      </c>
      <c r="D89" s="2" t="s">
        <v>1541</v>
      </c>
      <c r="E89" s="1">
        <v>174.0</v>
      </c>
      <c r="F89" s="116"/>
      <c r="G89" s="117" t="s">
        <v>1542</v>
      </c>
      <c r="H89" s="49">
        <v>1.0</v>
      </c>
      <c r="I89" s="49"/>
      <c r="J89" s="88" t="s">
        <v>1063</v>
      </c>
      <c r="K89" s="49" t="s">
        <v>1065</v>
      </c>
      <c r="L89" s="49" t="s">
        <v>1066</v>
      </c>
      <c r="M89" s="49" t="s">
        <v>1386</v>
      </c>
      <c r="N89" s="49">
        <v>1.0</v>
      </c>
      <c r="O89" s="49">
        <v>1.0</v>
      </c>
      <c r="P89" s="88" t="s">
        <v>1090</v>
      </c>
      <c r="Q89" s="49" t="s">
        <v>658</v>
      </c>
      <c r="R89" s="49">
        <v>2002.0</v>
      </c>
      <c r="S89" s="49" t="s">
        <v>1114</v>
      </c>
      <c r="T89" s="49">
        <v>0.0</v>
      </c>
      <c r="U89" s="49">
        <v>1.0</v>
      </c>
      <c r="V89" s="42">
        <v>70001.0</v>
      </c>
      <c r="W89" s="1">
        <v>1.0</v>
      </c>
      <c r="X89" s="86">
        <v>1.0</v>
      </c>
      <c r="Y89" s="86">
        <v>8000.0</v>
      </c>
      <c r="Z89" s="86">
        <v>187.0</v>
      </c>
      <c r="AA89" s="86">
        <v>1.0</v>
      </c>
      <c r="AB89" s="86">
        <v>1001.0</v>
      </c>
      <c r="AC89" s="86">
        <v>100.0</v>
      </c>
      <c r="AD89" s="86">
        <v>1.0</v>
      </c>
    </row>
    <row r="90" ht="47.25" customHeight="1">
      <c r="A90" s="1">
        <v>188.0</v>
      </c>
      <c r="B90" s="1" t="s">
        <v>951</v>
      </c>
      <c r="D90" s="2" t="s">
        <v>1546</v>
      </c>
      <c r="E90" s="1">
        <v>176.0</v>
      </c>
      <c r="F90" s="116"/>
      <c r="G90" s="117" t="s">
        <v>1547</v>
      </c>
      <c r="H90" s="49">
        <v>1.0</v>
      </c>
      <c r="I90" s="49"/>
      <c r="J90" s="88" t="s">
        <v>1095</v>
      </c>
      <c r="K90" s="49" t="s">
        <v>647</v>
      </c>
      <c r="L90" s="49">
        <v>1003.0</v>
      </c>
      <c r="M90" s="49" t="s">
        <v>1549</v>
      </c>
      <c r="N90" s="49"/>
      <c r="O90" s="49">
        <v>1.0</v>
      </c>
      <c r="P90" s="88" t="s">
        <v>1068</v>
      </c>
      <c r="Q90" s="49" t="s">
        <v>658</v>
      </c>
      <c r="R90" s="49">
        <v>2004.0</v>
      </c>
      <c r="S90" s="49" t="s">
        <v>1550</v>
      </c>
      <c r="T90" s="49">
        <v>0.0</v>
      </c>
      <c r="U90" s="49">
        <v>1.0</v>
      </c>
      <c r="V90" s="42">
        <v>70001.0</v>
      </c>
      <c r="W90" s="1">
        <v>1.0</v>
      </c>
      <c r="X90" s="86">
        <v>1.0</v>
      </c>
      <c r="Y90" s="86">
        <v>8000.0</v>
      </c>
      <c r="Z90" s="86">
        <v>188.0</v>
      </c>
      <c r="AA90" s="86">
        <v>1.0</v>
      </c>
      <c r="AB90" s="86">
        <v>1001.0</v>
      </c>
      <c r="AC90" s="86">
        <v>100.0</v>
      </c>
      <c r="AD90" s="86">
        <v>1.0</v>
      </c>
    </row>
    <row r="91" ht="47.25" customHeight="1">
      <c r="A91" s="1">
        <v>189.0</v>
      </c>
      <c r="B91" s="1" t="s">
        <v>951</v>
      </c>
      <c r="D91" s="2" t="s">
        <v>1551</v>
      </c>
      <c r="E91" s="1">
        <v>178.0</v>
      </c>
      <c r="F91" s="116"/>
      <c r="G91" s="107" t="s">
        <v>1552</v>
      </c>
      <c r="H91" s="49">
        <v>1.0</v>
      </c>
      <c r="I91" s="49"/>
      <c r="J91" s="88" t="s">
        <v>1063</v>
      </c>
      <c r="K91" s="49" t="s">
        <v>1065</v>
      </c>
      <c r="L91" s="49" t="s">
        <v>1066</v>
      </c>
      <c r="M91" s="49" t="s">
        <v>1083</v>
      </c>
      <c r="N91" s="49">
        <v>1.0</v>
      </c>
      <c r="O91" s="49">
        <v>1.0</v>
      </c>
      <c r="P91" s="88" t="s">
        <v>1082</v>
      </c>
      <c r="Q91" s="49" t="s">
        <v>658</v>
      </c>
      <c r="R91" s="49">
        <v>2005.0</v>
      </c>
      <c r="S91" s="49" t="s">
        <v>1554</v>
      </c>
      <c r="T91" s="49">
        <v>0.0</v>
      </c>
      <c r="U91" s="49">
        <v>1.0</v>
      </c>
      <c r="V91" s="42">
        <v>70001.0</v>
      </c>
      <c r="W91" s="1">
        <v>1.0</v>
      </c>
      <c r="X91" s="86">
        <v>1.0</v>
      </c>
      <c r="Y91" s="86">
        <v>8000.0</v>
      </c>
      <c r="Z91" s="86">
        <v>189.0</v>
      </c>
      <c r="AA91" s="86">
        <v>1.0</v>
      </c>
      <c r="AB91" s="86">
        <v>1001.0</v>
      </c>
      <c r="AC91" s="86">
        <v>100.0</v>
      </c>
      <c r="AD91" s="86">
        <v>1.0</v>
      </c>
    </row>
    <row r="92" ht="47.25" customHeight="1">
      <c r="A92" s="1">
        <v>190.0</v>
      </c>
      <c r="B92" s="1" t="s">
        <v>951</v>
      </c>
      <c r="D92" s="2" t="s">
        <v>1556</v>
      </c>
      <c r="E92" s="1">
        <v>180.0</v>
      </c>
      <c r="F92" s="116"/>
      <c r="G92" s="93" t="s">
        <v>1557</v>
      </c>
      <c r="H92" s="49">
        <v>1.0</v>
      </c>
      <c r="I92" s="49"/>
      <c r="J92" s="88" t="s">
        <v>1106</v>
      </c>
      <c r="K92" s="49" t="s">
        <v>647</v>
      </c>
      <c r="L92" s="49">
        <v>1001.0</v>
      </c>
      <c r="M92" s="49" t="s">
        <v>1559</v>
      </c>
      <c r="N92" s="49"/>
      <c r="O92" s="49">
        <v>1.0</v>
      </c>
      <c r="P92" s="88" t="s">
        <v>1090</v>
      </c>
      <c r="Q92" s="49" t="s">
        <v>658</v>
      </c>
      <c r="R92" s="49">
        <v>2002.0</v>
      </c>
      <c r="S92" s="49" t="s">
        <v>1560</v>
      </c>
      <c r="T92" s="49">
        <v>0.0</v>
      </c>
      <c r="U92" s="49">
        <v>1.0</v>
      </c>
      <c r="V92" s="42">
        <v>70001.0</v>
      </c>
      <c r="W92" s="1">
        <v>1.0</v>
      </c>
      <c r="X92" s="86">
        <v>1.0</v>
      </c>
      <c r="Y92" s="86">
        <v>8000.0</v>
      </c>
      <c r="Z92" s="86">
        <v>190.0</v>
      </c>
      <c r="AA92" s="86">
        <v>1.0</v>
      </c>
      <c r="AB92" s="86">
        <v>1001.0</v>
      </c>
      <c r="AC92" s="86">
        <v>1000.0</v>
      </c>
      <c r="AD92" s="86">
        <v>1.0</v>
      </c>
    </row>
    <row r="93" ht="47.25" customHeight="1">
      <c r="A93" s="1">
        <v>191.0</v>
      </c>
      <c r="B93" s="1" t="s">
        <v>951</v>
      </c>
      <c r="D93" s="2" t="s">
        <v>1562</v>
      </c>
      <c r="E93" s="1">
        <v>182.0</v>
      </c>
      <c r="F93" s="116"/>
      <c r="G93" s="93" t="s">
        <v>1563</v>
      </c>
      <c r="H93" s="49">
        <v>1.0</v>
      </c>
      <c r="I93" s="49"/>
      <c r="J93" s="95" t="s">
        <v>1063</v>
      </c>
      <c r="K93" s="49" t="s">
        <v>1065</v>
      </c>
      <c r="L93" s="49" t="s">
        <v>1066</v>
      </c>
      <c r="M93" s="49" t="s">
        <v>1564</v>
      </c>
      <c r="N93" s="49">
        <v>1.0</v>
      </c>
      <c r="O93" s="49">
        <v>1.0</v>
      </c>
      <c r="P93" s="88" t="s">
        <v>1068</v>
      </c>
      <c r="Q93" s="49" t="s">
        <v>658</v>
      </c>
      <c r="R93" s="49">
        <v>2004.0</v>
      </c>
      <c r="S93" s="49" t="s">
        <v>1067</v>
      </c>
      <c r="T93" s="49">
        <v>0.0</v>
      </c>
      <c r="U93" s="49">
        <v>1.0</v>
      </c>
      <c r="V93" s="42">
        <v>70001.0</v>
      </c>
      <c r="W93" s="1">
        <v>1.0</v>
      </c>
      <c r="X93" s="86">
        <v>1.0</v>
      </c>
      <c r="Y93" s="86">
        <v>8000.0</v>
      </c>
      <c r="Z93" s="86">
        <v>191.0</v>
      </c>
      <c r="AA93" s="86">
        <v>1.0</v>
      </c>
      <c r="AB93" s="86">
        <v>1001.0</v>
      </c>
      <c r="AC93" s="86">
        <v>100.0</v>
      </c>
      <c r="AD93" s="86">
        <v>1.0</v>
      </c>
    </row>
    <row r="94" ht="47.25" customHeight="1">
      <c r="A94" s="1">
        <v>192.0</v>
      </c>
      <c r="B94" s="1" t="s">
        <v>951</v>
      </c>
      <c r="D94" s="2" t="s">
        <v>1567</v>
      </c>
      <c r="E94" s="1">
        <v>184.0</v>
      </c>
      <c r="F94" s="116"/>
      <c r="G94" s="117" t="s">
        <v>1568</v>
      </c>
      <c r="H94" s="49">
        <v>1.0</v>
      </c>
      <c r="I94" s="49"/>
      <c r="J94" s="88" t="s">
        <v>1080</v>
      </c>
      <c r="K94" s="49" t="s">
        <v>647</v>
      </c>
      <c r="L94" s="49">
        <v>1005.0</v>
      </c>
      <c r="M94" s="49" t="s">
        <v>1230</v>
      </c>
      <c r="N94" s="49"/>
      <c r="O94" s="49">
        <v>1.0</v>
      </c>
      <c r="P94" s="88" t="s">
        <v>1082</v>
      </c>
      <c r="Q94" s="49" t="s">
        <v>658</v>
      </c>
      <c r="R94" s="49">
        <v>2005.0</v>
      </c>
      <c r="S94" s="49" t="s">
        <v>1329</v>
      </c>
      <c r="T94" s="49">
        <v>0.0</v>
      </c>
      <c r="U94" s="49">
        <v>1.0</v>
      </c>
      <c r="V94" s="42">
        <v>70001.0</v>
      </c>
      <c r="W94" s="1">
        <v>1.0</v>
      </c>
      <c r="X94" s="86">
        <v>1.0</v>
      </c>
      <c r="Y94" s="86">
        <v>8000.0</v>
      </c>
      <c r="Z94" s="86">
        <v>192.0</v>
      </c>
      <c r="AA94" s="86">
        <v>1.0</v>
      </c>
      <c r="AB94" s="86">
        <v>1001.0</v>
      </c>
      <c r="AC94" s="86">
        <v>100.0</v>
      </c>
      <c r="AD94" s="86">
        <v>1.0</v>
      </c>
    </row>
    <row r="95" ht="47.25" customHeight="1">
      <c r="A95" s="1">
        <v>193.0</v>
      </c>
      <c r="B95" s="1" t="s">
        <v>951</v>
      </c>
      <c r="D95" s="2" t="s">
        <v>1571</v>
      </c>
      <c r="E95" s="1">
        <v>186.0</v>
      </c>
      <c r="F95" s="116"/>
      <c r="G95" s="93" t="s">
        <v>1572</v>
      </c>
      <c r="H95" s="49">
        <v>1.0</v>
      </c>
      <c r="I95" s="49"/>
      <c r="J95" s="88" t="s">
        <v>1063</v>
      </c>
      <c r="K95" s="49" t="s">
        <v>1065</v>
      </c>
      <c r="L95" s="49" t="s">
        <v>1066</v>
      </c>
      <c r="M95" s="49" t="s">
        <v>1574</v>
      </c>
      <c r="N95" s="49">
        <v>1.0</v>
      </c>
      <c r="O95" s="49">
        <v>1.0</v>
      </c>
      <c r="P95" s="88" t="s">
        <v>1090</v>
      </c>
      <c r="Q95" s="49" t="s">
        <v>658</v>
      </c>
      <c r="R95" s="49">
        <v>2002.0</v>
      </c>
      <c r="S95" s="49" t="s">
        <v>1109</v>
      </c>
      <c r="T95" s="49">
        <v>0.0</v>
      </c>
      <c r="U95" s="49">
        <v>1.0</v>
      </c>
      <c r="V95" s="42">
        <v>70001.0</v>
      </c>
      <c r="W95" s="1">
        <v>1.0</v>
      </c>
      <c r="X95" s="86">
        <v>1.0</v>
      </c>
      <c r="Y95" s="86">
        <v>8000.0</v>
      </c>
      <c r="Z95" s="86">
        <v>193.0</v>
      </c>
      <c r="AA95" s="86">
        <v>1.0</v>
      </c>
      <c r="AB95" s="86">
        <v>1001.0</v>
      </c>
      <c r="AC95" s="86">
        <v>100.0</v>
      </c>
      <c r="AD95" s="86">
        <v>1.0</v>
      </c>
    </row>
    <row r="96" ht="47.25" customHeight="1">
      <c r="A96" s="1">
        <v>194.0</v>
      </c>
      <c r="B96" s="1" t="s">
        <v>951</v>
      </c>
      <c r="D96" s="2" t="s">
        <v>1576</v>
      </c>
      <c r="E96" s="1">
        <v>188.0</v>
      </c>
      <c r="F96" s="116"/>
      <c r="G96" s="93" t="s">
        <v>1577</v>
      </c>
      <c r="H96" s="49">
        <v>1.0</v>
      </c>
      <c r="I96" s="49"/>
      <c r="J96" s="95" t="s">
        <v>1095</v>
      </c>
      <c r="K96" s="49" t="s">
        <v>647</v>
      </c>
      <c r="L96" s="49">
        <v>1003.0</v>
      </c>
      <c r="M96" s="49" t="s">
        <v>1230</v>
      </c>
      <c r="N96" s="49"/>
      <c r="O96" s="49">
        <v>1.0</v>
      </c>
      <c r="P96" s="88" t="s">
        <v>1068</v>
      </c>
      <c r="Q96" s="49" t="s">
        <v>658</v>
      </c>
      <c r="R96" s="49">
        <v>2004.0</v>
      </c>
      <c r="S96" s="49" t="s">
        <v>1083</v>
      </c>
      <c r="T96" s="49">
        <v>0.0</v>
      </c>
      <c r="U96" s="49">
        <v>1.0</v>
      </c>
      <c r="V96" s="42">
        <v>70001.0</v>
      </c>
      <c r="W96" s="1">
        <v>1.0</v>
      </c>
      <c r="X96" s="86">
        <v>1.0</v>
      </c>
      <c r="Y96" s="86">
        <v>8000.0</v>
      </c>
      <c r="Z96" s="86">
        <v>194.0</v>
      </c>
      <c r="AA96" s="86">
        <v>1.0</v>
      </c>
      <c r="AB96" s="86">
        <v>1001.0</v>
      </c>
      <c r="AC96" s="86">
        <v>100.0</v>
      </c>
      <c r="AD96" s="86">
        <v>1.0</v>
      </c>
    </row>
    <row r="97" ht="47.25" customHeight="1">
      <c r="A97" s="1">
        <v>195.0</v>
      </c>
      <c r="B97" s="1" t="s">
        <v>951</v>
      </c>
      <c r="D97" s="2" t="s">
        <v>1579</v>
      </c>
      <c r="E97" s="1">
        <v>190.0</v>
      </c>
      <c r="F97" s="116"/>
      <c r="G97" s="117" t="s">
        <v>1580</v>
      </c>
      <c r="H97" s="49">
        <v>1.0</v>
      </c>
      <c r="I97" s="49"/>
      <c r="J97" s="88" t="s">
        <v>1063</v>
      </c>
      <c r="K97" s="49" t="s">
        <v>1065</v>
      </c>
      <c r="L97" s="49" t="s">
        <v>1066</v>
      </c>
      <c r="M97" s="49" t="s">
        <v>1202</v>
      </c>
      <c r="N97" s="49">
        <v>1.0</v>
      </c>
      <c r="O97" s="49">
        <v>1.0</v>
      </c>
      <c r="P97" s="88" t="s">
        <v>1082</v>
      </c>
      <c r="Q97" s="49" t="s">
        <v>658</v>
      </c>
      <c r="R97" s="49">
        <v>2005.0</v>
      </c>
      <c r="S97" s="49" t="s">
        <v>1067</v>
      </c>
      <c r="T97" s="49">
        <v>0.0</v>
      </c>
      <c r="U97" s="49">
        <v>1.0</v>
      </c>
      <c r="V97" s="42">
        <v>70001.0</v>
      </c>
      <c r="W97" s="1">
        <v>1.0</v>
      </c>
      <c r="X97" s="86">
        <v>1.0</v>
      </c>
      <c r="Y97" s="86">
        <v>8000.0</v>
      </c>
      <c r="Z97" s="86">
        <v>195.0</v>
      </c>
      <c r="AA97" s="86">
        <v>1.0</v>
      </c>
      <c r="AB97" s="86">
        <v>1001.0</v>
      </c>
      <c r="AC97" s="86">
        <v>100.0</v>
      </c>
      <c r="AD97" s="86">
        <v>1.0</v>
      </c>
    </row>
    <row r="98" ht="47.25" customHeight="1">
      <c r="A98" s="1">
        <v>196.0</v>
      </c>
      <c r="B98" s="1" t="s">
        <v>951</v>
      </c>
      <c r="D98" s="2" t="s">
        <v>1581</v>
      </c>
      <c r="E98" s="1">
        <v>192.0</v>
      </c>
      <c r="F98" s="116"/>
      <c r="G98" s="117" t="s">
        <v>1582</v>
      </c>
      <c r="H98" s="49">
        <v>1.0</v>
      </c>
      <c r="I98" s="49"/>
      <c r="J98" s="88" t="s">
        <v>1106</v>
      </c>
      <c r="K98" s="49" t="s">
        <v>647</v>
      </c>
      <c r="L98" s="49">
        <v>1001.0</v>
      </c>
      <c r="M98" s="49" t="s">
        <v>1400</v>
      </c>
      <c r="N98" s="49"/>
      <c r="O98" s="49">
        <v>1.0</v>
      </c>
      <c r="P98" s="88" t="s">
        <v>1090</v>
      </c>
      <c r="Q98" s="49" t="s">
        <v>658</v>
      </c>
      <c r="R98" s="49">
        <v>2002.0</v>
      </c>
      <c r="S98" s="49" t="s">
        <v>1585</v>
      </c>
      <c r="T98" s="49">
        <v>0.0</v>
      </c>
      <c r="U98" s="49">
        <v>1.0</v>
      </c>
      <c r="V98" s="42">
        <v>70001.0</v>
      </c>
      <c r="W98" s="1">
        <v>1.0</v>
      </c>
      <c r="X98" s="86">
        <v>1.0</v>
      </c>
      <c r="Y98" s="86">
        <v>8000.0</v>
      </c>
      <c r="Z98" s="86">
        <v>196.0</v>
      </c>
      <c r="AA98" s="86">
        <v>1.0</v>
      </c>
      <c r="AB98" s="86">
        <v>1001.0</v>
      </c>
      <c r="AC98" s="86">
        <v>100.0</v>
      </c>
      <c r="AD98" s="86">
        <v>1.0</v>
      </c>
    </row>
    <row r="99" ht="47.25" customHeight="1">
      <c r="A99" s="1">
        <v>197.0</v>
      </c>
      <c r="B99" s="1" t="s">
        <v>951</v>
      </c>
      <c r="D99" s="2" t="s">
        <v>1587</v>
      </c>
      <c r="E99" s="1">
        <v>194.0</v>
      </c>
      <c r="F99" s="116"/>
      <c r="G99" s="107" t="s">
        <v>1588</v>
      </c>
      <c r="H99" s="49">
        <v>1.0</v>
      </c>
      <c r="I99" s="49"/>
      <c r="J99" s="88" t="s">
        <v>1063</v>
      </c>
      <c r="K99" s="49" t="s">
        <v>1065</v>
      </c>
      <c r="L99" s="49" t="s">
        <v>1066</v>
      </c>
      <c r="M99" s="49" t="s">
        <v>1119</v>
      </c>
      <c r="N99" s="49">
        <v>1.0</v>
      </c>
      <c r="O99" s="49">
        <v>1.0</v>
      </c>
      <c r="P99" s="88" t="s">
        <v>1068</v>
      </c>
      <c r="Q99" s="49" t="s">
        <v>658</v>
      </c>
      <c r="R99" s="49">
        <v>2004.0</v>
      </c>
      <c r="S99" s="49" t="s">
        <v>1230</v>
      </c>
      <c r="T99" s="49">
        <v>0.0</v>
      </c>
      <c r="U99" s="49">
        <v>1.0</v>
      </c>
      <c r="V99" s="42">
        <v>70001.0</v>
      </c>
      <c r="W99" s="1">
        <v>1.0</v>
      </c>
      <c r="X99" s="86">
        <v>1.0</v>
      </c>
      <c r="Y99" s="86">
        <v>8000.0</v>
      </c>
      <c r="Z99" s="86">
        <v>197.0</v>
      </c>
      <c r="AA99" s="86">
        <v>1.0</v>
      </c>
      <c r="AB99" s="86">
        <v>1001.0</v>
      </c>
      <c r="AC99" s="86">
        <v>100.0</v>
      </c>
      <c r="AD99" s="86">
        <v>1.0</v>
      </c>
    </row>
    <row r="100" ht="47.25" customHeight="1">
      <c r="A100" s="1">
        <v>198.0</v>
      </c>
      <c r="B100" s="1" t="s">
        <v>951</v>
      </c>
      <c r="D100" s="2" t="s">
        <v>1589</v>
      </c>
      <c r="E100" s="1">
        <v>196.0</v>
      </c>
      <c r="F100" s="116"/>
      <c r="G100" s="93" t="s">
        <v>1590</v>
      </c>
      <c r="H100" s="49">
        <v>1.0</v>
      </c>
      <c r="I100" s="49"/>
      <c r="J100" s="88" t="s">
        <v>1080</v>
      </c>
      <c r="K100" s="49" t="s">
        <v>647</v>
      </c>
      <c r="L100" s="49">
        <v>1005.0</v>
      </c>
      <c r="M100" s="49" t="s">
        <v>1109</v>
      </c>
      <c r="N100" s="49"/>
      <c r="O100" s="49">
        <v>1.0</v>
      </c>
      <c r="P100" s="88" t="s">
        <v>1082</v>
      </c>
      <c r="Q100" s="49" t="s">
        <v>658</v>
      </c>
      <c r="R100" s="49">
        <v>2005.0</v>
      </c>
      <c r="S100" s="49" t="s">
        <v>1592</v>
      </c>
      <c r="T100" s="49">
        <v>0.0</v>
      </c>
      <c r="U100" s="49">
        <v>1.0</v>
      </c>
      <c r="V100" s="42">
        <v>70001.0</v>
      </c>
      <c r="W100" s="1">
        <v>1.0</v>
      </c>
      <c r="X100" s="86">
        <v>1.0</v>
      </c>
      <c r="Y100" s="86">
        <v>8000.0</v>
      </c>
      <c r="Z100" s="86">
        <v>198.0</v>
      </c>
      <c r="AA100" s="86">
        <v>1.0</v>
      </c>
      <c r="AB100" s="86">
        <v>1001.0</v>
      </c>
      <c r="AC100" s="86">
        <v>100.0</v>
      </c>
      <c r="AD100" s="86">
        <v>1.0</v>
      </c>
    </row>
    <row r="101" ht="47.25" customHeight="1">
      <c r="A101" s="1">
        <v>199.0</v>
      </c>
      <c r="B101" s="1" t="s">
        <v>951</v>
      </c>
      <c r="D101" s="2" t="s">
        <v>1594</v>
      </c>
      <c r="E101" s="1">
        <v>198.0</v>
      </c>
      <c r="F101" s="116"/>
      <c r="G101" s="93" t="s">
        <v>1595</v>
      </c>
      <c r="H101" s="49">
        <v>1.0</v>
      </c>
      <c r="I101" s="49"/>
      <c r="J101" s="95" t="s">
        <v>1063</v>
      </c>
      <c r="K101" s="49" t="s">
        <v>1065</v>
      </c>
      <c r="L101" s="49" t="s">
        <v>1066</v>
      </c>
      <c r="M101" s="49" t="s">
        <v>1596</v>
      </c>
      <c r="N101" s="49">
        <v>1.0</v>
      </c>
      <c r="O101" s="49">
        <v>1.0</v>
      </c>
      <c r="P101" s="88" t="s">
        <v>1090</v>
      </c>
      <c r="Q101" s="49" t="s">
        <v>658</v>
      </c>
      <c r="R101" s="49">
        <v>2002.0</v>
      </c>
      <c r="S101" s="49" t="s">
        <v>1119</v>
      </c>
      <c r="T101" s="49">
        <v>0.0</v>
      </c>
      <c r="U101" s="49">
        <v>1.0</v>
      </c>
      <c r="V101" s="42">
        <v>70001.0</v>
      </c>
      <c r="W101" s="1">
        <v>1.0</v>
      </c>
      <c r="X101" s="86">
        <v>1.0</v>
      </c>
      <c r="Y101" s="86">
        <v>8000.0</v>
      </c>
      <c r="Z101" s="86">
        <v>199.0</v>
      </c>
      <c r="AA101" s="86">
        <v>1.0</v>
      </c>
      <c r="AB101" s="86">
        <v>1001.0</v>
      </c>
      <c r="AC101" s="86">
        <v>100.0</v>
      </c>
      <c r="AD101" s="86">
        <v>1.0</v>
      </c>
    </row>
    <row r="102" ht="47.25" customHeight="1">
      <c r="A102" s="1">
        <v>200.0</v>
      </c>
      <c r="B102" s="1" t="s">
        <v>951</v>
      </c>
      <c r="D102" s="2" t="s">
        <v>1598</v>
      </c>
      <c r="E102" s="1">
        <v>200.0</v>
      </c>
      <c r="F102" s="116"/>
      <c r="G102" s="117" t="s">
        <v>1600</v>
      </c>
      <c r="H102" s="49">
        <v>1.0</v>
      </c>
      <c r="I102" s="49"/>
      <c r="J102" s="88" t="s">
        <v>1095</v>
      </c>
      <c r="K102" s="49" t="s">
        <v>647</v>
      </c>
      <c r="L102" s="49">
        <v>1003.0</v>
      </c>
      <c r="M102" s="49" t="s">
        <v>1217</v>
      </c>
      <c r="N102" s="49"/>
      <c r="O102" s="49">
        <v>1.0</v>
      </c>
      <c r="P102" s="88" t="s">
        <v>1068</v>
      </c>
      <c r="Q102" s="49" t="s">
        <v>658</v>
      </c>
      <c r="R102" s="49">
        <v>2004.0</v>
      </c>
      <c r="S102" s="49" t="s">
        <v>1601</v>
      </c>
      <c r="T102" s="49">
        <v>0.0</v>
      </c>
      <c r="U102" s="49">
        <v>1.0</v>
      </c>
      <c r="V102" s="42">
        <v>70001.0</v>
      </c>
      <c r="W102" s="1">
        <v>1.0</v>
      </c>
      <c r="X102" s="86">
        <v>1.0</v>
      </c>
      <c r="Y102" s="86">
        <v>8000.0</v>
      </c>
      <c r="Z102" s="86">
        <v>200.0</v>
      </c>
      <c r="AA102" s="86">
        <v>1.0</v>
      </c>
      <c r="AB102" s="86">
        <v>1001.0</v>
      </c>
      <c r="AC102" s="86">
        <v>1000.0</v>
      </c>
      <c r="AD102" s="86">
        <v>1.0</v>
      </c>
    </row>
    <row r="103" ht="15.75" customHeight="1">
      <c r="A103" s="1"/>
      <c r="B103" s="1"/>
      <c r="D103" s="1"/>
      <c r="E103" s="1"/>
      <c r="F103" s="116"/>
      <c r="G103" s="92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2"/>
      <c r="W103" s="1"/>
    </row>
    <row r="104" ht="15.75" customHeight="1">
      <c r="A104" s="1" t="s">
        <v>1016</v>
      </c>
      <c r="B104" s="1" t="s">
        <v>507</v>
      </c>
      <c r="C104" s="86" t="s">
        <v>1017</v>
      </c>
      <c r="D104" s="1" t="s">
        <v>1018</v>
      </c>
      <c r="E104" s="1" t="s">
        <v>207</v>
      </c>
      <c r="F104" s="116" t="s">
        <v>1019</v>
      </c>
      <c r="G104" s="92" t="s">
        <v>1021</v>
      </c>
      <c r="H104" s="49" t="s">
        <v>1025</v>
      </c>
      <c r="I104" s="49" t="s">
        <v>1026</v>
      </c>
      <c r="J104" s="86" t="s">
        <v>1027</v>
      </c>
      <c r="K104" s="49" t="s">
        <v>1028</v>
      </c>
      <c r="L104" s="49" t="s">
        <v>1029</v>
      </c>
      <c r="M104" s="49" t="s">
        <v>1030</v>
      </c>
      <c r="N104" s="49" t="s">
        <v>1032</v>
      </c>
      <c r="O104" s="49" t="s">
        <v>1033</v>
      </c>
      <c r="P104" s="49" t="s">
        <v>1034</v>
      </c>
      <c r="Q104" s="49" t="s">
        <v>1035</v>
      </c>
      <c r="R104" s="49" t="s">
        <v>1037</v>
      </c>
      <c r="S104" s="49" t="s">
        <v>1038</v>
      </c>
      <c r="T104" s="49" t="s">
        <v>1041</v>
      </c>
      <c r="U104" s="49" t="s">
        <v>1042</v>
      </c>
      <c r="V104" s="42" t="s">
        <v>1043</v>
      </c>
      <c r="W104" s="1" t="s">
        <v>1044</v>
      </c>
      <c r="X104" s="86" t="s">
        <v>1045</v>
      </c>
      <c r="Y104" s="86" t="s">
        <v>1046</v>
      </c>
      <c r="Z104" s="86" t="s">
        <v>1047</v>
      </c>
      <c r="AA104" s="86" t="s">
        <v>1048</v>
      </c>
    </row>
    <row r="105" ht="38.25" customHeight="1">
      <c r="A105" s="86">
        <v>100.0</v>
      </c>
      <c r="B105" s="86" t="s">
        <v>1605</v>
      </c>
      <c r="D105" s="86" t="s">
        <v>1606</v>
      </c>
      <c r="E105" s="86">
        <v>100.0</v>
      </c>
      <c r="G105" s="96" t="s">
        <v>1607</v>
      </c>
      <c r="J105" s="95"/>
      <c r="K105" s="86"/>
      <c r="P105" s="95"/>
      <c r="Q105" s="86"/>
    </row>
    <row r="106" ht="38.25" customHeight="1">
      <c r="A106" s="86">
        <v>1000.0</v>
      </c>
      <c r="B106" s="86" t="s">
        <v>1605</v>
      </c>
      <c r="C106" s="86">
        <v>1.0</v>
      </c>
      <c r="D106" s="86" t="s">
        <v>1608</v>
      </c>
      <c r="E106" s="86">
        <v>1.0</v>
      </c>
      <c r="G106" s="96" t="s">
        <v>1609</v>
      </c>
      <c r="H106" s="86">
        <v>1.0</v>
      </c>
      <c r="I106" s="86">
        <v>1220.0</v>
      </c>
      <c r="J106" s="95" t="s">
        <v>1610</v>
      </c>
      <c r="K106" s="86" t="s">
        <v>647</v>
      </c>
      <c r="L106" s="86">
        <v>9002.0</v>
      </c>
      <c r="M106" s="86" t="s">
        <v>1311</v>
      </c>
      <c r="O106" s="86">
        <v>0.6</v>
      </c>
      <c r="P106" s="95" t="s">
        <v>1612</v>
      </c>
      <c r="Q106" s="86" t="s">
        <v>658</v>
      </c>
      <c r="R106" s="86">
        <v>9010.0</v>
      </c>
      <c r="S106" s="86" t="s">
        <v>1225</v>
      </c>
      <c r="U106" s="86">
        <v>0.8</v>
      </c>
      <c r="V106" s="86">
        <v>70001.0</v>
      </c>
      <c r="W106" s="86">
        <v>1.0</v>
      </c>
      <c r="X106" s="86">
        <v>1.0</v>
      </c>
      <c r="Y106" s="86">
        <v>70002.0</v>
      </c>
      <c r="Z106" s="86">
        <v>1.0</v>
      </c>
      <c r="AA106" s="86">
        <v>1.0</v>
      </c>
      <c r="AB106" s="86">
        <v>1001.0</v>
      </c>
      <c r="AC106" s="86">
        <v>300.0</v>
      </c>
      <c r="AD106" s="86">
        <v>1.0</v>
      </c>
      <c r="AE106" s="86">
        <v>8000.0</v>
      </c>
      <c r="AF106" s="86">
        <v>100.0</v>
      </c>
      <c r="AG106" s="86">
        <v>1.0</v>
      </c>
    </row>
    <row r="107" ht="38.25" customHeight="1">
      <c r="A107" s="86">
        <v>1001.0</v>
      </c>
      <c r="B107" s="86" t="s">
        <v>1605</v>
      </c>
      <c r="C107" s="86">
        <v>1.0</v>
      </c>
      <c r="D107" s="86" t="s">
        <v>1613</v>
      </c>
      <c r="E107" s="86">
        <v>1.0</v>
      </c>
      <c r="G107" s="96" t="s">
        <v>1615</v>
      </c>
      <c r="I107" s="86">
        <v>1345.0</v>
      </c>
      <c r="J107" s="95" t="s">
        <v>1610</v>
      </c>
      <c r="K107" s="86" t="s">
        <v>647</v>
      </c>
      <c r="L107" s="86">
        <v>9001.0</v>
      </c>
      <c r="M107" s="86" t="s">
        <v>1616</v>
      </c>
      <c r="O107" s="86">
        <v>0.8</v>
      </c>
      <c r="P107" s="95" t="s">
        <v>1612</v>
      </c>
      <c r="Q107" s="86" t="s">
        <v>658</v>
      </c>
      <c r="R107" s="86">
        <v>9003.0</v>
      </c>
      <c r="S107" s="86" t="s">
        <v>1618</v>
      </c>
      <c r="U107" s="86">
        <v>0.3</v>
      </c>
      <c r="V107" s="86">
        <v>70001.0</v>
      </c>
      <c r="W107" s="86">
        <v>1.0</v>
      </c>
      <c r="X107" s="86">
        <v>1.0</v>
      </c>
      <c r="Y107" s="86">
        <v>70002.0</v>
      </c>
      <c r="Z107" s="86">
        <v>1.0</v>
      </c>
      <c r="AA107" s="86">
        <v>1.0</v>
      </c>
      <c r="AB107" s="86">
        <v>1001.0</v>
      </c>
      <c r="AC107" s="86">
        <v>300.0</v>
      </c>
      <c r="AD107" s="86">
        <v>1.0</v>
      </c>
      <c r="AE107" s="86">
        <v>8000.0</v>
      </c>
      <c r="AF107" s="86">
        <v>100.0</v>
      </c>
      <c r="AG107" s="86">
        <v>1.0</v>
      </c>
    </row>
    <row r="108" ht="38.25" customHeight="1">
      <c r="A108" s="86">
        <v>1002.0</v>
      </c>
      <c r="B108" s="86" t="s">
        <v>1605</v>
      </c>
      <c r="C108" s="86">
        <v>1.0</v>
      </c>
      <c r="D108" s="86" t="s">
        <v>1620</v>
      </c>
      <c r="E108" s="86">
        <v>2.0</v>
      </c>
      <c r="G108" s="96" t="s">
        <v>1621</v>
      </c>
      <c r="I108" s="86">
        <v>1470.0</v>
      </c>
      <c r="J108" s="95" t="s">
        <v>1610</v>
      </c>
      <c r="K108" s="86" t="s">
        <v>647</v>
      </c>
      <c r="L108" s="86">
        <v>9005.0</v>
      </c>
      <c r="M108" s="86" t="s">
        <v>1622</v>
      </c>
      <c r="O108" s="86">
        <v>0.5</v>
      </c>
      <c r="P108" s="95" t="s">
        <v>1612</v>
      </c>
      <c r="Q108" s="86" t="s">
        <v>658</v>
      </c>
      <c r="R108" s="86">
        <v>9003.0</v>
      </c>
      <c r="S108" s="86" t="s">
        <v>1623</v>
      </c>
      <c r="U108" s="86">
        <v>0.9</v>
      </c>
      <c r="V108" s="86">
        <v>70001.0</v>
      </c>
      <c r="W108" s="86">
        <v>1.0</v>
      </c>
      <c r="X108" s="86">
        <v>1.0</v>
      </c>
      <c r="Y108" s="86">
        <v>70002.0</v>
      </c>
      <c r="Z108" s="86">
        <v>1.0</v>
      </c>
      <c r="AA108" s="86">
        <v>1.0</v>
      </c>
      <c r="AB108" s="86">
        <v>1001.0</v>
      </c>
      <c r="AC108" s="86">
        <v>300.0</v>
      </c>
      <c r="AD108" s="86">
        <v>1.0</v>
      </c>
      <c r="AE108" s="86">
        <v>8000.0</v>
      </c>
      <c r="AF108" s="86">
        <v>100.0</v>
      </c>
      <c r="AG108" s="86">
        <v>1.0</v>
      </c>
    </row>
    <row r="109" ht="38.25" customHeight="1">
      <c r="A109" s="86">
        <v>1003.0</v>
      </c>
      <c r="B109" s="86" t="s">
        <v>1605</v>
      </c>
      <c r="C109" s="86">
        <v>1.0</v>
      </c>
      <c r="D109" s="86" t="s">
        <v>1624</v>
      </c>
      <c r="E109" s="86">
        <v>2.0</v>
      </c>
      <c r="G109" s="96" t="s">
        <v>1626</v>
      </c>
      <c r="I109" s="86">
        <v>1595.0</v>
      </c>
      <c r="J109" s="95" t="s">
        <v>1610</v>
      </c>
      <c r="K109" s="86" t="s">
        <v>647</v>
      </c>
      <c r="L109" s="86">
        <v>9002.0</v>
      </c>
      <c r="M109" s="86" t="s">
        <v>1160</v>
      </c>
      <c r="O109" s="86">
        <v>0.9</v>
      </c>
      <c r="P109" s="95" t="s">
        <v>1612</v>
      </c>
      <c r="Q109" s="86" t="s">
        <v>658</v>
      </c>
      <c r="R109" s="86">
        <v>9007.0</v>
      </c>
      <c r="S109" s="86">
        <v>3.0</v>
      </c>
      <c r="U109" s="86">
        <v>0.6</v>
      </c>
      <c r="V109" s="86">
        <v>70001.0</v>
      </c>
      <c r="W109" s="86">
        <v>1.0</v>
      </c>
      <c r="X109" s="86">
        <v>1.0</v>
      </c>
      <c r="Y109" s="86">
        <v>70002.0</v>
      </c>
      <c r="Z109" s="86">
        <v>1.0</v>
      </c>
      <c r="AA109" s="86">
        <v>1.0</v>
      </c>
      <c r="AB109" s="86">
        <v>1001.0</v>
      </c>
      <c r="AC109" s="86">
        <v>300.0</v>
      </c>
      <c r="AD109" s="86">
        <v>1.0</v>
      </c>
      <c r="AE109" s="86">
        <v>8000.0</v>
      </c>
      <c r="AF109" s="86">
        <v>100.0</v>
      </c>
      <c r="AG109" s="86">
        <v>1.0</v>
      </c>
    </row>
    <row r="110" ht="38.25" customHeight="1">
      <c r="A110" s="86">
        <v>1004.0</v>
      </c>
      <c r="B110" s="86" t="s">
        <v>1605</v>
      </c>
      <c r="C110" s="86">
        <v>1.0</v>
      </c>
      <c r="D110" s="86" t="s">
        <v>1627</v>
      </c>
      <c r="E110" s="86">
        <v>3.0</v>
      </c>
      <c r="G110" s="96" t="s">
        <v>1629</v>
      </c>
      <c r="I110" s="86">
        <v>1720.0</v>
      </c>
      <c r="J110" s="95" t="s">
        <v>1610</v>
      </c>
      <c r="K110" s="86" t="s">
        <v>647</v>
      </c>
      <c r="L110" s="86">
        <v>9008.0</v>
      </c>
      <c r="M110" s="86">
        <v>9.0</v>
      </c>
      <c r="O110" s="86">
        <v>0.1</v>
      </c>
      <c r="P110" s="95" t="s">
        <v>1612</v>
      </c>
      <c r="Q110" s="86" t="s">
        <v>658</v>
      </c>
      <c r="R110" s="86">
        <v>9004.0</v>
      </c>
      <c r="S110" s="86" t="s">
        <v>1631</v>
      </c>
      <c r="U110" s="86">
        <v>0.4</v>
      </c>
      <c r="V110" s="86">
        <v>70001.0</v>
      </c>
      <c r="W110" s="86">
        <v>1.0</v>
      </c>
      <c r="X110" s="86">
        <v>1.0</v>
      </c>
      <c r="Y110" s="86">
        <v>70002.0</v>
      </c>
      <c r="Z110" s="86">
        <v>1.0</v>
      </c>
      <c r="AA110" s="86">
        <v>1.0</v>
      </c>
      <c r="AB110" s="86">
        <v>1001.0</v>
      </c>
      <c r="AC110" s="86">
        <v>300.0</v>
      </c>
      <c r="AD110" s="86">
        <v>1.0</v>
      </c>
      <c r="AE110" s="86">
        <v>8000.0</v>
      </c>
      <c r="AF110" s="86">
        <v>100.0</v>
      </c>
      <c r="AG110" s="86">
        <v>1.0</v>
      </c>
    </row>
    <row r="111" ht="38.25" customHeight="1">
      <c r="A111" s="86">
        <v>1005.0</v>
      </c>
      <c r="B111" s="86" t="s">
        <v>1605</v>
      </c>
      <c r="C111" s="86">
        <v>1.0</v>
      </c>
      <c r="D111" s="86" t="s">
        <v>1633</v>
      </c>
      <c r="E111" s="86">
        <v>3.0</v>
      </c>
      <c r="G111" s="96" t="s">
        <v>1635</v>
      </c>
      <c r="I111" s="86">
        <v>1845.0</v>
      </c>
      <c r="J111" s="95" t="s">
        <v>1610</v>
      </c>
      <c r="K111" s="86" t="s">
        <v>647</v>
      </c>
      <c r="L111" s="86">
        <v>9006.0</v>
      </c>
      <c r="M111" s="86" t="s">
        <v>1636</v>
      </c>
      <c r="O111" s="86">
        <v>0.8</v>
      </c>
      <c r="P111" s="95" t="s">
        <v>1612</v>
      </c>
      <c r="Q111" s="86" t="s">
        <v>658</v>
      </c>
      <c r="R111" s="86">
        <v>9003.0</v>
      </c>
      <c r="S111" s="86" t="s">
        <v>1637</v>
      </c>
      <c r="U111" s="86">
        <v>0.8</v>
      </c>
      <c r="V111" s="86">
        <v>70001.0</v>
      </c>
      <c r="W111" s="86">
        <v>1.0</v>
      </c>
      <c r="X111" s="86">
        <v>1.0</v>
      </c>
      <c r="Y111" s="86">
        <v>70002.0</v>
      </c>
      <c r="Z111" s="86">
        <v>1.0</v>
      </c>
      <c r="AA111" s="86">
        <v>1.0</v>
      </c>
      <c r="AB111" s="86">
        <v>1001.0</v>
      </c>
      <c r="AC111" s="86">
        <v>300.0</v>
      </c>
      <c r="AD111" s="86">
        <v>1.0</v>
      </c>
      <c r="AE111" s="86">
        <v>8000.0</v>
      </c>
      <c r="AF111" s="86">
        <v>100.0</v>
      </c>
      <c r="AG111" s="86">
        <v>1.0</v>
      </c>
    </row>
    <row r="112" ht="38.25" customHeight="1">
      <c r="A112" s="86">
        <v>1006.0</v>
      </c>
      <c r="B112" s="86" t="s">
        <v>1605</v>
      </c>
      <c r="C112" s="86">
        <v>1.0</v>
      </c>
      <c r="D112" s="86" t="s">
        <v>1639</v>
      </c>
      <c r="E112" s="86">
        <v>4.0</v>
      </c>
      <c r="G112" s="96" t="s">
        <v>1641</v>
      </c>
      <c r="I112" s="86">
        <v>1970.0</v>
      </c>
      <c r="J112" s="95" t="s">
        <v>1610</v>
      </c>
      <c r="K112" s="86" t="s">
        <v>647</v>
      </c>
      <c r="L112" s="86">
        <v>9005.0</v>
      </c>
      <c r="M112" s="86" t="s">
        <v>1596</v>
      </c>
      <c r="O112" s="86">
        <v>0.3</v>
      </c>
      <c r="P112" s="95" t="s">
        <v>1612</v>
      </c>
      <c r="Q112" s="86" t="s">
        <v>658</v>
      </c>
      <c r="R112" s="86">
        <v>9003.0</v>
      </c>
      <c r="S112" s="86" t="s">
        <v>1351</v>
      </c>
      <c r="U112" s="86">
        <v>0.2</v>
      </c>
      <c r="V112" s="86">
        <v>70001.0</v>
      </c>
      <c r="W112" s="86">
        <v>1.0</v>
      </c>
      <c r="X112" s="86">
        <v>1.0</v>
      </c>
      <c r="Y112" s="86">
        <v>70002.0</v>
      </c>
      <c r="Z112" s="86">
        <v>1.0</v>
      </c>
      <c r="AA112" s="86">
        <v>1.0</v>
      </c>
      <c r="AB112" s="86">
        <v>1001.0</v>
      </c>
      <c r="AC112" s="86">
        <v>300.0</v>
      </c>
      <c r="AD112" s="86">
        <v>1.0</v>
      </c>
      <c r="AE112" s="86">
        <v>8000.0</v>
      </c>
      <c r="AF112" s="86">
        <v>100.0</v>
      </c>
      <c r="AG112" s="86">
        <v>1.0</v>
      </c>
    </row>
    <row r="113" ht="38.25" customHeight="1">
      <c r="A113" s="86">
        <v>1007.0</v>
      </c>
      <c r="B113" s="86" t="s">
        <v>1605</v>
      </c>
      <c r="C113" s="86">
        <v>1.0</v>
      </c>
      <c r="D113" s="86" t="s">
        <v>1642</v>
      </c>
      <c r="E113" s="86">
        <v>4.0</v>
      </c>
      <c r="G113" s="96" t="s">
        <v>1643</v>
      </c>
      <c r="I113" s="86">
        <v>2095.0</v>
      </c>
      <c r="J113" s="95" t="s">
        <v>1610</v>
      </c>
      <c r="K113" s="86" t="s">
        <v>647</v>
      </c>
      <c r="L113" s="86">
        <v>9008.0</v>
      </c>
      <c r="M113" s="86">
        <v>10.0</v>
      </c>
      <c r="O113" s="86">
        <v>0.5</v>
      </c>
      <c r="P113" s="95" t="s">
        <v>1612</v>
      </c>
      <c r="Q113" s="86" t="s">
        <v>658</v>
      </c>
      <c r="R113" s="86">
        <v>9003.0</v>
      </c>
      <c r="S113" s="86" t="s">
        <v>1427</v>
      </c>
      <c r="U113" s="86">
        <v>0.8</v>
      </c>
      <c r="V113" s="86">
        <v>70001.0</v>
      </c>
      <c r="W113" s="86">
        <v>1.0</v>
      </c>
      <c r="X113" s="86">
        <v>1.0</v>
      </c>
      <c r="Y113" s="86">
        <v>70002.0</v>
      </c>
      <c r="Z113" s="86">
        <v>1.0</v>
      </c>
      <c r="AA113" s="86">
        <v>1.0</v>
      </c>
      <c r="AB113" s="86">
        <v>1001.0</v>
      </c>
      <c r="AC113" s="86">
        <v>300.0</v>
      </c>
      <c r="AD113" s="86">
        <v>1.0</v>
      </c>
      <c r="AE113" s="86">
        <v>8000.0</v>
      </c>
      <c r="AF113" s="86">
        <v>100.0</v>
      </c>
      <c r="AG113" s="86">
        <v>1.0</v>
      </c>
    </row>
    <row r="114" ht="38.25" customHeight="1">
      <c r="A114" s="86">
        <v>1008.0</v>
      </c>
      <c r="B114" s="86" t="s">
        <v>1605</v>
      </c>
      <c r="C114" s="86">
        <v>1.0</v>
      </c>
      <c r="D114" s="86" t="s">
        <v>1646</v>
      </c>
      <c r="E114" s="86">
        <v>5.0</v>
      </c>
      <c r="G114" s="96" t="s">
        <v>1647</v>
      </c>
      <c r="I114" s="86">
        <v>2220.0</v>
      </c>
      <c r="J114" s="95" t="s">
        <v>1610</v>
      </c>
      <c r="K114" s="86" t="s">
        <v>647</v>
      </c>
      <c r="L114" s="86">
        <v>9011.0</v>
      </c>
      <c r="M114" s="86" t="s">
        <v>1648</v>
      </c>
      <c r="O114" s="86">
        <v>0.2</v>
      </c>
      <c r="P114" s="95" t="s">
        <v>1612</v>
      </c>
      <c r="Q114" s="86" t="s">
        <v>658</v>
      </c>
      <c r="R114" s="86">
        <v>9007.0</v>
      </c>
      <c r="S114" s="86">
        <v>5.0</v>
      </c>
      <c r="U114" s="86">
        <v>0.3</v>
      </c>
      <c r="V114" s="86">
        <v>70001.0</v>
      </c>
      <c r="W114" s="86">
        <v>1.0</v>
      </c>
      <c r="X114" s="86">
        <v>1.0</v>
      </c>
      <c r="Y114" s="86">
        <v>70002.0</v>
      </c>
      <c r="Z114" s="86">
        <v>1.0</v>
      </c>
      <c r="AA114" s="86">
        <v>1.0</v>
      </c>
      <c r="AB114" s="86">
        <v>1001.0</v>
      </c>
      <c r="AC114" s="86">
        <v>300.0</v>
      </c>
      <c r="AD114" s="86">
        <v>1.0</v>
      </c>
      <c r="AE114" s="86">
        <v>8000.0</v>
      </c>
      <c r="AF114" s="86">
        <v>100.0</v>
      </c>
      <c r="AG114" s="86">
        <v>1.0</v>
      </c>
    </row>
    <row r="115" ht="38.25" customHeight="1">
      <c r="A115" s="86">
        <v>1009.0</v>
      </c>
      <c r="B115" s="86" t="s">
        <v>1605</v>
      </c>
      <c r="C115" s="86">
        <v>1.0</v>
      </c>
      <c r="D115" s="86" t="s">
        <v>1650</v>
      </c>
      <c r="E115" s="86">
        <v>5.0</v>
      </c>
      <c r="G115" s="96" t="s">
        <v>1651</v>
      </c>
      <c r="I115" s="86">
        <v>2345.0</v>
      </c>
      <c r="J115" s="95" t="s">
        <v>1610</v>
      </c>
      <c r="K115" s="86" t="s">
        <v>647</v>
      </c>
      <c r="L115" s="86">
        <v>9002.0</v>
      </c>
      <c r="M115" s="86">
        <v>2.0</v>
      </c>
      <c r="O115" s="86">
        <v>0.3</v>
      </c>
      <c r="P115" s="95" t="s">
        <v>1612</v>
      </c>
      <c r="Q115" s="86" t="s">
        <v>658</v>
      </c>
      <c r="R115" s="86">
        <v>9003.0</v>
      </c>
      <c r="S115" s="86">
        <v>12.0</v>
      </c>
      <c r="U115" s="86">
        <v>0.9</v>
      </c>
      <c r="V115" s="86">
        <v>70001.0</v>
      </c>
      <c r="W115" s="86">
        <v>1.0</v>
      </c>
      <c r="X115" s="86">
        <v>1.0</v>
      </c>
      <c r="Y115" s="86">
        <v>70002.0</v>
      </c>
      <c r="Z115" s="86">
        <v>1.0</v>
      </c>
      <c r="AA115" s="86">
        <v>1.0</v>
      </c>
      <c r="AB115" s="86">
        <v>1001.0</v>
      </c>
      <c r="AC115" s="86">
        <v>300.0</v>
      </c>
      <c r="AD115" s="86">
        <v>1.0</v>
      </c>
      <c r="AE115" s="86">
        <v>8000.0</v>
      </c>
      <c r="AF115" s="86">
        <v>100.0</v>
      </c>
      <c r="AG115" s="86">
        <v>1.0</v>
      </c>
    </row>
    <row r="116" ht="38.25" customHeight="1">
      <c r="A116" s="86">
        <v>1010.0</v>
      </c>
      <c r="B116" s="86" t="s">
        <v>1605</v>
      </c>
      <c r="C116" s="86">
        <v>1.0</v>
      </c>
      <c r="D116" s="86" t="s">
        <v>1652</v>
      </c>
      <c r="E116" s="86">
        <v>6.0</v>
      </c>
      <c r="G116" s="96" t="s">
        <v>1653</v>
      </c>
      <c r="I116" s="86">
        <v>2470.0</v>
      </c>
      <c r="J116" s="95" t="s">
        <v>1610</v>
      </c>
      <c r="K116" s="86" t="s">
        <v>647</v>
      </c>
      <c r="L116" s="86">
        <v>9002.0</v>
      </c>
      <c r="M116" s="86">
        <v>4.0</v>
      </c>
      <c r="O116" s="86">
        <v>0.6</v>
      </c>
      <c r="P116" s="95" t="s">
        <v>1612</v>
      </c>
      <c r="Q116" s="86" t="s">
        <v>658</v>
      </c>
      <c r="R116" s="86">
        <v>9008.0</v>
      </c>
      <c r="S116" s="86" t="s">
        <v>1328</v>
      </c>
      <c r="U116" s="86">
        <v>0.7</v>
      </c>
      <c r="V116" s="86">
        <v>70001.0</v>
      </c>
      <c r="W116" s="86">
        <v>1.0</v>
      </c>
      <c r="X116" s="86">
        <v>1.0</v>
      </c>
      <c r="Y116" s="86">
        <v>70002.0</v>
      </c>
      <c r="Z116" s="86">
        <v>1.0</v>
      </c>
      <c r="AA116" s="86">
        <v>1.0</v>
      </c>
      <c r="AB116" s="86">
        <v>1001.0</v>
      </c>
      <c r="AC116" s="86">
        <v>300.0</v>
      </c>
      <c r="AD116" s="86">
        <v>1.0</v>
      </c>
      <c r="AE116" s="86">
        <v>8000.0</v>
      </c>
      <c r="AF116" s="86">
        <v>100.0</v>
      </c>
      <c r="AG116" s="86">
        <v>1.0</v>
      </c>
    </row>
    <row r="117" ht="38.25" customHeight="1">
      <c r="A117" s="86">
        <v>1011.0</v>
      </c>
      <c r="B117" s="86" t="s">
        <v>1605</v>
      </c>
      <c r="C117" s="86">
        <v>1.0</v>
      </c>
      <c r="D117" s="86" t="s">
        <v>1655</v>
      </c>
      <c r="E117" s="86">
        <v>6.0</v>
      </c>
      <c r="G117" s="96" t="s">
        <v>1657</v>
      </c>
      <c r="I117" s="86">
        <v>2595.0</v>
      </c>
      <c r="J117" s="95" t="s">
        <v>1610</v>
      </c>
      <c r="K117" s="86" t="s">
        <v>647</v>
      </c>
      <c r="L117" s="86">
        <v>9006.0</v>
      </c>
      <c r="M117" s="86" t="s">
        <v>1658</v>
      </c>
      <c r="O117" s="86">
        <v>0.6</v>
      </c>
      <c r="P117" s="95" t="s">
        <v>1612</v>
      </c>
      <c r="Q117" s="86" t="s">
        <v>658</v>
      </c>
      <c r="R117" s="86">
        <v>9011.0</v>
      </c>
      <c r="S117" s="86">
        <v>3.0</v>
      </c>
      <c r="U117" s="86">
        <v>0.4</v>
      </c>
      <c r="V117" s="86">
        <v>70001.0</v>
      </c>
      <c r="W117" s="86">
        <v>1.0</v>
      </c>
      <c r="X117" s="86">
        <v>1.0</v>
      </c>
      <c r="Y117" s="86">
        <v>70002.0</v>
      </c>
      <c r="Z117" s="86">
        <v>1.0</v>
      </c>
      <c r="AA117" s="86">
        <v>1.0</v>
      </c>
      <c r="AB117" s="86">
        <v>1001.0</v>
      </c>
      <c r="AC117" s="86">
        <v>300.0</v>
      </c>
      <c r="AD117" s="86">
        <v>1.0</v>
      </c>
      <c r="AE117" s="86">
        <v>8000.0</v>
      </c>
      <c r="AF117" s="86">
        <v>100.0</v>
      </c>
      <c r="AG117" s="86">
        <v>1.0</v>
      </c>
    </row>
    <row r="118" ht="38.25" customHeight="1">
      <c r="A118" s="86">
        <v>1012.0</v>
      </c>
      <c r="B118" s="86" t="s">
        <v>1605</v>
      </c>
      <c r="C118" s="86">
        <v>1.0</v>
      </c>
      <c r="D118" s="86" t="s">
        <v>1659</v>
      </c>
      <c r="E118" s="86">
        <v>7.0</v>
      </c>
      <c r="G118" s="96" t="s">
        <v>1660</v>
      </c>
      <c r="I118" s="86">
        <v>2720.0</v>
      </c>
      <c r="J118" s="95" t="s">
        <v>1610</v>
      </c>
      <c r="K118" s="86" t="s">
        <v>647</v>
      </c>
      <c r="L118" s="86">
        <v>9002.0</v>
      </c>
      <c r="M118" s="86" t="s">
        <v>1244</v>
      </c>
      <c r="O118" s="86">
        <v>0.5</v>
      </c>
      <c r="P118" s="95" t="s">
        <v>1612</v>
      </c>
      <c r="Q118" s="86" t="s">
        <v>658</v>
      </c>
      <c r="R118" s="86">
        <v>9007.0</v>
      </c>
      <c r="S118" s="86" t="s">
        <v>1322</v>
      </c>
      <c r="U118" s="86">
        <v>0.2</v>
      </c>
      <c r="V118" s="86">
        <v>70001.0</v>
      </c>
      <c r="W118" s="86">
        <v>1.0</v>
      </c>
      <c r="X118" s="86">
        <v>1.0</v>
      </c>
      <c r="Y118" s="86">
        <v>70002.0</v>
      </c>
      <c r="Z118" s="86">
        <v>1.0</v>
      </c>
      <c r="AA118" s="86">
        <v>1.0</v>
      </c>
      <c r="AB118" s="86">
        <v>1001.0</v>
      </c>
      <c r="AC118" s="86">
        <v>300.0</v>
      </c>
      <c r="AD118" s="86">
        <v>1.0</v>
      </c>
      <c r="AE118" s="86">
        <v>8000.0</v>
      </c>
      <c r="AF118" s="86">
        <v>100.0</v>
      </c>
      <c r="AG118" s="86">
        <v>1.0</v>
      </c>
    </row>
    <row r="119" ht="38.25" customHeight="1">
      <c r="A119" s="86">
        <v>1013.0</v>
      </c>
      <c r="B119" s="86" t="s">
        <v>1605</v>
      </c>
      <c r="C119" s="86">
        <v>1.0</v>
      </c>
      <c r="D119" s="86" t="s">
        <v>1664</v>
      </c>
      <c r="E119" s="86">
        <v>7.0</v>
      </c>
      <c r="G119" s="96" t="s">
        <v>1665</v>
      </c>
      <c r="I119" s="86">
        <v>2845.0</v>
      </c>
      <c r="J119" s="95" t="s">
        <v>1610</v>
      </c>
      <c r="K119" s="86" t="s">
        <v>647</v>
      </c>
      <c r="L119" s="86">
        <v>9008.0</v>
      </c>
      <c r="M119" s="86" t="s">
        <v>1667</v>
      </c>
      <c r="O119" s="86">
        <v>0.2</v>
      </c>
      <c r="P119" s="95" t="s">
        <v>1612</v>
      </c>
      <c r="Q119" s="86" t="s">
        <v>658</v>
      </c>
      <c r="R119" s="86">
        <v>9011.0</v>
      </c>
      <c r="S119" s="86" t="s">
        <v>1668</v>
      </c>
      <c r="U119" s="86">
        <v>0.6</v>
      </c>
      <c r="V119" s="86">
        <v>70001.0</v>
      </c>
      <c r="W119" s="86">
        <v>1.0</v>
      </c>
      <c r="X119" s="86">
        <v>1.0</v>
      </c>
      <c r="Y119" s="86">
        <v>70002.0</v>
      </c>
      <c r="Z119" s="86">
        <v>1.0</v>
      </c>
      <c r="AA119" s="86">
        <v>1.0</v>
      </c>
      <c r="AB119" s="86">
        <v>1001.0</v>
      </c>
      <c r="AC119" s="86">
        <v>300.0</v>
      </c>
      <c r="AD119" s="86">
        <v>1.0</v>
      </c>
      <c r="AE119" s="86">
        <v>8000.0</v>
      </c>
      <c r="AF119" s="86">
        <v>100.0</v>
      </c>
      <c r="AG119" s="86">
        <v>1.0</v>
      </c>
    </row>
    <row r="120" ht="38.25" customHeight="1">
      <c r="A120" s="86">
        <v>1014.0</v>
      </c>
      <c r="B120" s="86" t="s">
        <v>1605</v>
      </c>
      <c r="C120" s="86">
        <v>1.0</v>
      </c>
      <c r="D120" s="86" t="s">
        <v>1670</v>
      </c>
      <c r="E120" s="86">
        <v>8.0</v>
      </c>
      <c r="G120" s="96" t="s">
        <v>1671</v>
      </c>
      <c r="I120" s="86">
        <v>2970.0</v>
      </c>
      <c r="J120" s="95" t="s">
        <v>1610</v>
      </c>
      <c r="K120" s="86" t="s">
        <v>647</v>
      </c>
      <c r="L120" s="86">
        <v>9002.0</v>
      </c>
      <c r="M120" s="86" t="s">
        <v>1421</v>
      </c>
      <c r="O120" s="86">
        <v>0.6</v>
      </c>
      <c r="P120" s="95" t="s">
        <v>1612</v>
      </c>
      <c r="Q120" s="86" t="s">
        <v>658</v>
      </c>
      <c r="R120" s="86">
        <v>9010.0</v>
      </c>
      <c r="S120" s="86" t="s">
        <v>1673</v>
      </c>
      <c r="U120" s="86">
        <v>0.9</v>
      </c>
      <c r="V120" s="86">
        <v>70001.0</v>
      </c>
      <c r="W120" s="86">
        <v>1.0</v>
      </c>
      <c r="X120" s="86">
        <v>1.0</v>
      </c>
      <c r="Y120" s="86">
        <v>70002.0</v>
      </c>
      <c r="Z120" s="86">
        <v>1.0</v>
      </c>
      <c r="AA120" s="86">
        <v>1.0</v>
      </c>
      <c r="AB120" s="86">
        <v>1001.0</v>
      </c>
      <c r="AC120" s="86">
        <v>300.0</v>
      </c>
      <c r="AD120" s="86">
        <v>1.0</v>
      </c>
      <c r="AE120" s="86">
        <v>8000.0</v>
      </c>
      <c r="AF120" s="86">
        <v>100.0</v>
      </c>
      <c r="AG120" s="86">
        <v>1.0</v>
      </c>
    </row>
    <row r="121" ht="38.25" customHeight="1">
      <c r="A121" s="86">
        <v>1015.0</v>
      </c>
      <c r="B121" s="86" t="s">
        <v>1605</v>
      </c>
      <c r="C121" s="86">
        <v>1.0</v>
      </c>
      <c r="D121" s="86" t="s">
        <v>1675</v>
      </c>
      <c r="E121" s="86">
        <v>8.0</v>
      </c>
      <c r="G121" s="96" t="s">
        <v>1676</v>
      </c>
      <c r="I121" s="86">
        <v>3095.0</v>
      </c>
      <c r="J121" s="95" t="s">
        <v>1610</v>
      </c>
      <c r="K121" s="86" t="s">
        <v>647</v>
      </c>
      <c r="L121" s="86">
        <v>9005.0</v>
      </c>
      <c r="M121" s="86">
        <v>9.0</v>
      </c>
      <c r="O121" s="86">
        <v>0.5</v>
      </c>
      <c r="P121" s="95" t="s">
        <v>1612</v>
      </c>
      <c r="Q121" s="86" t="s">
        <v>658</v>
      </c>
      <c r="R121" s="86">
        <v>9004.0</v>
      </c>
      <c r="S121" s="86" t="s">
        <v>1677</v>
      </c>
      <c r="U121" s="86">
        <v>0.5</v>
      </c>
      <c r="V121" s="86">
        <v>70001.0</v>
      </c>
      <c r="W121" s="86">
        <v>1.0</v>
      </c>
      <c r="X121" s="86">
        <v>1.0</v>
      </c>
      <c r="Y121" s="86">
        <v>70002.0</v>
      </c>
      <c r="Z121" s="86">
        <v>1.0</v>
      </c>
      <c r="AA121" s="86">
        <v>1.0</v>
      </c>
      <c r="AB121" s="86">
        <v>1001.0</v>
      </c>
      <c r="AC121" s="86">
        <v>300.0</v>
      </c>
      <c r="AD121" s="86">
        <v>1.0</v>
      </c>
      <c r="AE121" s="86">
        <v>8000.0</v>
      </c>
      <c r="AF121" s="86">
        <v>100.0</v>
      </c>
      <c r="AG121" s="86">
        <v>1.0</v>
      </c>
    </row>
    <row r="122" ht="38.25" customHeight="1">
      <c r="A122" s="86">
        <v>1016.0</v>
      </c>
      <c r="B122" s="86" t="s">
        <v>1605</v>
      </c>
      <c r="C122" s="86">
        <v>1.0</v>
      </c>
      <c r="D122" s="86" t="s">
        <v>1679</v>
      </c>
      <c r="E122" s="86">
        <v>9.0</v>
      </c>
      <c r="G122" s="96" t="s">
        <v>1681</v>
      </c>
      <c r="I122" s="86">
        <v>3220.0</v>
      </c>
      <c r="J122" s="95" t="s">
        <v>1610</v>
      </c>
      <c r="K122" s="86" t="s">
        <v>647</v>
      </c>
      <c r="L122" s="86">
        <v>9011.0</v>
      </c>
      <c r="M122" s="86">
        <v>6.0</v>
      </c>
      <c r="N122" s="86"/>
      <c r="O122" s="86">
        <v>0.7</v>
      </c>
      <c r="P122" s="95" t="s">
        <v>1612</v>
      </c>
      <c r="Q122" s="86" t="s">
        <v>658</v>
      </c>
      <c r="R122" s="86">
        <v>9012.0</v>
      </c>
      <c r="S122" s="86" t="s">
        <v>1682</v>
      </c>
      <c r="T122" s="86"/>
      <c r="U122" s="86">
        <v>0.5</v>
      </c>
      <c r="V122" s="86">
        <v>70001.0</v>
      </c>
      <c r="W122" s="86">
        <v>1.0</v>
      </c>
      <c r="X122" s="86">
        <v>1.0</v>
      </c>
      <c r="Y122" s="86">
        <v>70002.0</v>
      </c>
      <c r="Z122" s="86">
        <v>1.0</v>
      </c>
      <c r="AA122" s="86">
        <v>1.0</v>
      </c>
      <c r="AB122" s="86">
        <v>1001.0</v>
      </c>
      <c r="AC122" s="86">
        <v>300.0</v>
      </c>
      <c r="AD122" s="86">
        <v>1.0</v>
      </c>
      <c r="AE122" s="86">
        <v>8000.0</v>
      </c>
      <c r="AF122" s="86">
        <v>100.0</v>
      </c>
      <c r="AG122" s="86">
        <v>1.0</v>
      </c>
    </row>
    <row r="123" ht="38.25" customHeight="1">
      <c r="A123" s="86">
        <v>1017.0</v>
      </c>
      <c r="B123" s="86" t="s">
        <v>1605</v>
      </c>
      <c r="C123" s="86">
        <v>1.0</v>
      </c>
      <c r="D123" s="86" t="s">
        <v>1684</v>
      </c>
      <c r="E123" s="86">
        <v>9.0</v>
      </c>
      <c r="G123" s="96" t="s">
        <v>1685</v>
      </c>
      <c r="I123" s="86">
        <v>3345.0</v>
      </c>
      <c r="J123" s="95" t="s">
        <v>1610</v>
      </c>
      <c r="K123" s="86" t="s">
        <v>647</v>
      </c>
      <c r="L123" s="86">
        <v>9002.0</v>
      </c>
      <c r="M123" s="86">
        <v>10.0</v>
      </c>
      <c r="O123" s="86">
        <v>0.9</v>
      </c>
      <c r="P123" s="95" t="s">
        <v>1612</v>
      </c>
      <c r="Q123" s="86" t="s">
        <v>658</v>
      </c>
      <c r="R123" s="86">
        <v>9008.0</v>
      </c>
      <c r="S123" s="86">
        <v>1.0</v>
      </c>
      <c r="U123" s="86">
        <v>0.4</v>
      </c>
      <c r="V123" s="86">
        <v>70001.0</v>
      </c>
      <c r="W123" s="86">
        <v>1.0</v>
      </c>
      <c r="X123" s="86">
        <v>1.0</v>
      </c>
      <c r="Y123" s="86">
        <v>70002.0</v>
      </c>
      <c r="Z123" s="86">
        <v>1.0</v>
      </c>
      <c r="AA123" s="86">
        <v>1.0</v>
      </c>
      <c r="AB123" s="86">
        <v>1001.0</v>
      </c>
      <c r="AC123" s="86">
        <v>300.0</v>
      </c>
      <c r="AD123" s="86">
        <v>1.0</v>
      </c>
      <c r="AE123" s="86">
        <v>8000.0</v>
      </c>
      <c r="AF123" s="86">
        <v>150.0</v>
      </c>
      <c r="AG123" s="86">
        <v>1.0</v>
      </c>
    </row>
    <row r="124" ht="38.25" customHeight="1">
      <c r="A124" s="86">
        <v>1018.0</v>
      </c>
      <c r="B124" s="86" t="s">
        <v>1605</v>
      </c>
      <c r="C124" s="86">
        <v>1.0</v>
      </c>
      <c r="D124" s="86" t="s">
        <v>1687</v>
      </c>
      <c r="E124" s="86">
        <v>10.0</v>
      </c>
      <c r="G124" s="96" t="s">
        <v>1688</v>
      </c>
      <c r="I124" s="86">
        <v>3470.0</v>
      </c>
      <c r="J124" s="95" t="s">
        <v>1610</v>
      </c>
      <c r="K124" s="86" t="s">
        <v>647</v>
      </c>
      <c r="L124" s="86">
        <v>9002.0</v>
      </c>
      <c r="M124" s="86" t="s">
        <v>1689</v>
      </c>
      <c r="O124" s="86">
        <v>0.2</v>
      </c>
      <c r="P124" s="95" t="s">
        <v>1612</v>
      </c>
      <c r="Q124" s="86" t="s">
        <v>658</v>
      </c>
      <c r="R124" s="86">
        <v>9010.0</v>
      </c>
      <c r="S124" s="86">
        <v>11.0</v>
      </c>
      <c r="U124" s="86">
        <v>0.8</v>
      </c>
      <c r="V124" s="86">
        <v>70001.0</v>
      </c>
      <c r="W124" s="86">
        <v>1.0</v>
      </c>
      <c r="X124" s="86">
        <v>1.0</v>
      </c>
      <c r="Y124" s="86">
        <v>70002.0</v>
      </c>
      <c r="Z124" s="86">
        <v>1.0</v>
      </c>
      <c r="AA124" s="86">
        <v>1.0</v>
      </c>
      <c r="AB124" s="86">
        <v>1001.0</v>
      </c>
      <c r="AC124" s="86">
        <v>300.0</v>
      </c>
      <c r="AD124" s="86">
        <v>1.0</v>
      </c>
      <c r="AE124" s="86">
        <v>8000.0</v>
      </c>
      <c r="AF124" s="86">
        <v>150.0</v>
      </c>
      <c r="AG124" s="86">
        <v>1.0</v>
      </c>
    </row>
    <row r="125" ht="38.25" customHeight="1">
      <c r="A125" s="86">
        <v>1019.0</v>
      </c>
      <c r="B125" s="86" t="s">
        <v>1605</v>
      </c>
      <c r="C125" s="86">
        <v>1.0</v>
      </c>
      <c r="D125" s="86" t="s">
        <v>1692</v>
      </c>
      <c r="E125" s="86">
        <v>10.0</v>
      </c>
      <c r="G125" s="96" t="s">
        <v>1693</v>
      </c>
      <c r="I125" s="86">
        <v>3595.0</v>
      </c>
      <c r="J125" s="95" t="s">
        <v>1610</v>
      </c>
      <c r="K125" s="86" t="s">
        <v>647</v>
      </c>
      <c r="L125" s="86">
        <v>9002.0</v>
      </c>
      <c r="M125" s="86" t="s">
        <v>1694</v>
      </c>
      <c r="O125" s="86">
        <v>0.7</v>
      </c>
      <c r="P125" s="95" t="s">
        <v>1612</v>
      </c>
      <c r="Q125" s="86" t="s">
        <v>658</v>
      </c>
      <c r="R125" s="86">
        <v>9008.0</v>
      </c>
      <c r="S125" s="86" t="s">
        <v>1440</v>
      </c>
      <c r="U125" s="86">
        <v>0.7</v>
      </c>
      <c r="V125" s="86">
        <v>70001.0</v>
      </c>
      <c r="W125" s="86">
        <v>1.0</v>
      </c>
      <c r="X125" s="86">
        <v>1.0</v>
      </c>
      <c r="Y125" s="86">
        <v>70002.0</v>
      </c>
      <c r="Z125" s="86">
        <v>1.0</v>
      </c>
      <c r="AA125" s="86">
        <v>1.0</v>
      </c>
      <c r="AB125" s="86">
        <v>1001.0</v>
      </c>
      <c r="AC125" s="86">
        <v>300.0</v>
      </c>
      <c r="AD125" s="86">
        <v>1.0</v>
      </c>
      <c r="AE125" s="86">
        <v>8000.0</v>
      </c>
      <c r="AF125" s="86">
        <v>150.0</v>
      </c>
      <c r="AG125" s="86">
        <v>1.0</v>
      </c>
    </row>
    <row r="126" ht="38.25" customHeight="1">
      <c r="A126" s="86">
        <v>1020.0</v>
      </c>
      <c r="B126" s="86" t="s">
        <v>1605</v>
      </c>
      <c r="C126" s="86">
        <v>1.0</v>
      </c>
      <c r="D126" s="86" t="s">
        <v>1697</v>
      </c>
      <c r="E126" s="86">
        <v>11.0</v>
      </c>
      <c r="G126" s="96" t="s">
        <v>1698</v>
      </c>
      <c r="I126" s="86">
        <v>3720.0</v>
      </c>
      <c r="J126" s="95" t="s">
        <v>1610</v>
      </c>
      <c r="K126" s="86" t="s">
        <v>647</v>
      </c>
      <c r="L126" s="86">
        <v>9002.0</v>
      </c>
      <c r="M126" s="86" t="s">
        <v>1700</v>
      </c>
      <c r="O126" s="86">
        <v>0.3</v>
      </c>
      <c r="P126" s="95" t="s">
        <v>1612</v>
      </c>
      <c r="Q126" s="86" t="s">
        <v>658</v>
      </c>
      <c r="R126" s="86">
        <v>9012.0</v>
      </c>
      <c r="S126" s="86" t="s">
        <v>1701</v>
      </c>
      <c r="U126" s="86">
        <v>0.7</v>
      </c>
      <c r="V126" s="86">
        <v>70001.0</v>
      </c>
      <c r="W126" s="86">
        <v>1.0</v>
      </c>
      <c r="X126" s="86">
        <v>1.0</v>
      </c>
      <c r="Y126" s="86">
        <v>70002.0</v>
      </c>
      <c r="Z126" s="86">
        <v>1.0</v>
      </c>
      <c r="AA126" s="86">
        <v>1.0</v>
      </c>
      <c r="AB126" s="86">
        <v>1001.0</v>
      </c>
      <c r="AC126" s="86">
        <v>300.0</v>
      </c>
      <c r="AD126" s="86">
        <v>1.0</v>
      </c>
      <c r="AE126" s="86">
        <v>8000.0</v>
      </c>
      <c r="AF126" s="86">
        <v>150.0</v>
      </c>
      <c r="AG126" s="86">
        <v>1.0</v>
      </c>
    </row>
    <row r="127" ht="38.25" customHeight="1">
      <c r="A127" s="86">
        <v>1021.0</v>
      </c>
      <c r="B127" s="86" t="s">
        <v>1605</v>
      </c>
      <c r="C127" s="86">
        <v>1.0</v>
      </c>
      <c r="D127" s="86" t="s">
        <v>1702</v>
      </c>
      <c r="E127" s="86">
        <v>11.0</v>
      </c>
      <c r="G127" s="96" t="s">
        <v>1703</v>
      </c>
      <c r="I127" s="86">
        <v>3845.0</v>
      </c>
      <c r="J127" s="95" t="s">
        <v>1610</v>
      </c>
      <c r="K127" s="86" t="s">
        <v>647</v>
      </c>
      <c r="L127" s="86">
        <v>9012.0</v>
      </c>
      <c r="M127" s="86" t="s">
        <v>1704</v>
      </c>
      <c r="O127" s="86">
        <v>0.9</v>
      </c>
      <c r="P127" s="95" t="s">
        <v>1612</v>
      </c>
      <c r="Q127" s="86" t="s">
        <v>658</v>
      </c>
      <c r="R127" s="86">
        <v>9010.0</v>
      </c>
      <c r="S127" s="86" t="s">
        <v>1368</v>
      </c>
      <c r="U127" s="86">
        <v>0.7</v>
      </c>
      <c r="V127" s="86">
        <v>70001.0</v>
      </c>
      <c r="W127" s="86">
        <v>1.0</v>
      </c>
      <c r="X127" s="86">
        <v>1.0</v>
      </c>
      <c r="Y127" s="86">
        <v>70002.0</v>
      </c>
      <c r="Z127" s="86">
        <v>1.0</v>
      </c>
      <c r="AA127" s="86">
        <v>1.0</v>
      </c>
      <c r="AB127" s="86">
        <v>1001.0</v>
      </c>
      <c r="AC127" s="86">
        <v>300.0</v>
      </c>
      <c r="AD127" s="86">
        <v>1.0</v>
      </c>
      <c r="AE127" s="86">
        <v>8000.0</v>
      </c>
      <c r="AF127" s="86">
        <v>150.0</v>
      </c>
      <c r="AG127" s="86">
        <v>1.0</v>
      </c>
    </row>
    <row r="128" ht="38.25" customHeight="1">
      <c r="A128" s="86">
        <v>1022.0</v>
      </c>
      <c r="B128" s="86" t="s">
        <v>1605</v>
      </c>
      <c r="C128" s="86">
        <v>1.0</v>
      </c>
      <c r="D128" s="86" t="s">
        <v>1705</v>
      </c>
      <c r="E128" s="86">
        <v>12.0</v>
      </c>
      <c r="G128" s="96" t="s">
        <v>1708</v>
      </c>
      <c r="I128" s="86">
        <v>3970.0</v>
      </c>
      <c r="J128" s="95" t="s">
        <v>1610</v>
      </c>
      <c r="K128" s="86" t="s">
        <v>647</v>
      </c>
      <c r="L128" s="86">
        <v>9006.0</v>
      </c>
      <c r="M128" s="86" t="s">
        <v>1096</v>
      </c>
      <c r="O128" s="86">
        <v>0.2</v>
      </c>
      <c r="P128" s="95" t="s">
        <v>1612</v>
      </c>
      <c r="Q128" s="86" t="s">
        <v>658</v>
      </c>
      <c r="R128" s="86">
        <v>9010.0</v>
      </c>
      <c r="S128" s="86" t="s">
        <v>1596</v>
      </c>
      <c r="U128" s="86">
        <v>0.9</v>
      </c>
      <c r="V128" s="86">
        <v>70001.0</v>
      </c>
      <c r="W128" s="86">
        <v>1.0</v>
      </c>
      <c r="X128" s="86">
        <v>1.0</v>
      </c>
      <c r="Y128" s="86">
        <v>70002.0</v>
      </c>
      <c r="Z128" s="86">
        <v>1.0</v>
      </c>
      <c r="AA128" s="86">
        <v>1.0</v>
      </c>
      <c r="AB128" s="86">
        <v>1001.0</v>
      </c>
      <c r="AC128" s="86">
        <v>300.0</v>
      </c>
      <c r="AD128" s="86">
        <v>1.0</v>
      </c>
      <c r="AE128" s="86">
        <v>8000.0</v>
      </c>
      <c r="AF128" s="86">
        <v>200.0</v>
      </c>
      <c r="AG128" s="86">
        <v>1.0</v>
      </c>
    </row>
    <row r="129" ht="38.25" customHeight="1">
      <c r="A129" s="86">
        <v>1023.0</v>
      </c>
      <c r="B129" s="86" t="s">
        <v>1605</v>
      </c>
      <c r="C129" s="86">
        <v>1.0</v>
      </c>
      <c r="D129" s="86" t="s">
        <v>1710</v>
      </c>
      <c r="E129" s="86">
        <v>12.0</v>
      </c>
      <c r="G129" s="96" t="s">
        <v>1711</v>
      </c>
      <c r="I129" s="86">
        <v>4095.0</v>
      </c>
      <c r="J129" s="95" t="s">
        <v>1610</v>
      </c>
      <c r="K129" s="86" t="s">
        <v>647</v>
      </c>
      <c r="L129" s="86">
        <v>9007.0</v>
      </c>
      <c r="M129" s="86">
        <v>6.0</v>
      </c>
      <c r="N129" s="86"/>
      <c r="O129" s="86">
        <v>0.1</v>
      </c>
      <c r="P129" s="95" t="s">
        <v>1612</v>
      </c>
      <c r="Q129" s="86" t="s">
        <v>658</v>
      </c>
      <c r="R129" s="86">
        <v>9011.0</v>
      </c>
      <c r="S129" s="86" t="s">
        <v>1712</v>
      </c>
      <c r="T129" s="86"/>
      <c r="U129" s="86">
        <v>0.9</v>
      </c>
      <c r="V129" s="86">
        <v>70001.0</v>
      </c>
      <c r="W129" s="86">
        <v>1.0</v>
      </c>
      <c r="X129" s="86">
        <v>1.0</v>
      </c>
      <c r="Y129" s="86">
        <v>70002.0</v>
      </c>
      <c r="Z129" s="86">
        <v>1.0</v>
      </c>
      <c r="AA129" s="86">
        <v>1.0</v>
      </c>
      <c r="AB129" s="86">
        <v>1001.0</v>
      </c>
      <c r="AC129" s="86">
        <v>300.0</v>
      </c>
      <c r="AD129" s="86">
        <v>1.0</v>
      </c>
      <c r="AE129" s="86">
        <v>8000.0</v>
      </c>
      <c r="AF129" s="86">
        <v>200.0</v>
      </c>
      <c r="AG129" s="86">
        <v>1.0</v>
      </c>
    </row>
    <row r="130" ht="38.25" customHeight="1">
      <c r="A130" s="86">
        <v>1024.0</v>
      </c>
      <c r="B130" s="86" t="s">
        <v>1605</v>
      </c>
      <c r="C130" s="86">
        <v>1.0</v>
      </c>
      <c r="D130" s="86" t="s">
        <v>1714</v>
      </c>
      <c r="E130" s="86">
        <v>13.0</v>
      </c>
      <c r="G130" s="96" t="s">
        <v>1716</v>
      </c>
      <c r="I130" s="86">
        <v>4220.0</v>
      </c>
      <c r="J130" s="95" t="s">
        <v>1610</v>
      </c>
      <c r="K130" s="86" t="s">
        <v>647</v>
      </c>
      <c r="L130" s="86">
        <v>9011.0</v>
      </c>
      <c r="M130" s="86">
        <v>13.0</v>
      </c>
      <c r="O130" s="86">
        <v>0.8</v>
      </c>
      <c r="P130" s="95" t="s">
        <v>1612</v>
      </c>
      <c r="Q130" s="86" t="s">
        <v>658</v>
      </c>
      <c r="R130" s="86">
        <v>9003.0</v>
      </c>
      <c r="S130" s="86" t="s">
        <v>1616</v>
      </c>
      <c r="U130" s="86">
        <v>0.9</v>
      </c>
      <c r="V130" s="86">
        <v>70001.0</v>
      </c>
      <c r="W130" s="86">
        <v>1.0</v>
      </c>
      <c r="X130" s="86">
        <v>1.0</v>
      </c>
      <c r="Y130" s="86">
        <v>70002.0</v>
      </c>
      <c r="Z130" s="86">
        <v>1.0</v>
      </c>
      <c r="AA130" s="86">
        <v>1.0</v>
      </c>
      <c r="AB130" s="86">
        <v>1001.0</v>
      </c>
      <c r="AC130" s="86">
        <v>300.0</v>
      </c>
      <c r="AD130" s="86">
        <v>1.0</v>
      </c>
      <c r="AE130" s="86">
        <v>8000.0</v>
      </c>
      <c r="AF130" s="86">
        <v>200.0</v>
      </c>
      <c r="AG130" s="86">
        <v>1.0</v>
      </c>
    </row>
    <row r="131" ht="38.25" customHeight="1">
      <c r="A131" s="86">
        <v>1025.0</v>
      </c>
      <c r="B131" s="86" t="s">
        <v>1605</v>
      </c>
      <c r="C131" s="86">
        <v>1.0</v>
      </c>
      <c r="D131" s="86" t="s">
        <v>1717</v>
      </c>
      <c r="E131" s="86">
        <v>13.0</v>
      </c>
      <c r="G131" s="96" t="s">
        <v>1719</v>
      </c>
      <c r="I131" s="86">
        <v>4345.0</v>
      </c>
      <c r="J131" s="95" t="s">
        <v>1610</v>
      </c>
      <c r="K131" s="86" t="s">
        <v>647</v>
      </c>
      <c r="L131" s="86">
        <v>9012.0</v>
      </c>
      <c r="M131" s="86">
        <v>11.0</v>
      </c>
      <c r="O131" s="86">
        <v>0.8</v>
      </c>
      <c r="P131" s="95" t="s">
        <v>1612</v>
      </c>
      <c r="Q131" s="86" t="s">
        <v>658</v>
      </c>
      <c r="R131" s="86">
        <v>9010.0</v>
      </c>
      <c r="S131" s="86" t="s">
        <v>1721</v>
      </c>
      <c r="U131" s="86">
        <v>0.8</v>
      </c>
      <c r="V131" s="86">
        <v>70001.0</v>
      </c>
      <c r="W131" s="86">
        <v>1.0</v>
      </c>
      <c r="X131" s="86">
        <v>1.0</v>
      </c>
      <c r="Y131" s="86">
        <v>70002.0</v>
      </c>
      <c r="Z131" s="86">
        <v>1.0</v>
      </c>
      <c r="AA131" s="86">
        <v>1.0</v>
      </c>
      <c r="AB131" s="86">
        <v>1001.0</v>
      </c>
      <c r="AC131" s="86">
        <v>300.0</v>
      </c>
      <c r="AD131" s="86">
        <v>1.0</v>
      </c>
      <c r="AE131" s="86">
        <v>8000.0</v>
      </c>
      <c r="AF131" s="86">
        <v>200.0</v>
      </c>
      <c r="AG131" s="86">
        <v>1.0</v>
      </c>
    </row>
    <row r="132" ht="38.25" customHeight="1">
      <c r="A132" s="86">
        <v>1026.0</v>
      </c>
      <c r="B132" s="86" t="s">
        <v>1605</v>
      </c>
      <c r="C132" s="86">
        <v>1.0</v>
      </c>
      <c r="D132" s="86" t="s">
        <v>1722</v>
      </c>
      <c r="E132" s="86">
        <v>14.0</v>
      </c>
      <c r="G132" s="96" t="s">
        <v>1723</v>
      </c>
      <c r="I132" s="86">
        <v>4470.0</v>
      </c>
      <c r="J132" s="95" t="s">
        <v>1610</v>
      </c>
      <c r="K132" s="86" t="s">
        <v>647</v>
      </c>
      <c r="L132" s="86">
        <v>9012.0</v>
      </c>
      <c r="M132" s="86">
        <v>7.0</v>
      </c>
      <c r="O132" s="86">
        <v>0.9</v>
      </c>
      <c r="P132" s="95" t="s">
        <v>1612</v>
      </c>
      <c r="Q132" s="86" t="s">
        <v>658</v>
      </c>
      <c r="R132" s="86">
        <v>9007.0</v>
      </c>
      <c r="S132" s="86" t="s">
        <v>1726</v>
      </c>
      <c r="U132" s="86">
        <v>0.5</v>
      </c>
      <c r="V132" s="86">
        <v>70001.0</v>
      </c>
      <c r="W132" s="86">
        <v>1.0</v>
      </c>
      <c r="X132" s="86">
        <v>1.0</v>
      </c>
      <c r="Y132" s="86">
        <v>70002.0</v>
      </c>
      <c r="Z132" s="86">
        <v>1.0</v>
      </c>
      <c r="AA132" s="86">
        <v>1.0</v>
      </c>
      <c r="AB132" s="86">
        <v>1001.0</v>
      </c>
      <c r="AC132" s="86">
        <v>300.0</v>
      </c>
      <c r="AD132" s="86">
        <v>1.0</v>
      </c>
      <c r="AE132" s="86">
        <v>8000.0</v>
      </c>
      <c r="AF132" s="86">
        <v>250.0</v>
      </c>
      <c r="AG132" s="86">
        <v>1.0</v>
      </c>
    </row>
    <row r="133" ht="38.25" customHeight="1">
      <c r="A133" s="86">
        <v>1027.0</v>
      </c>
      <c r="B133" s="86" t="s">
        <v>1605</v>
      </c>
      <c r="C133" s="86">
        <v>1.0</v>
      </c>
      <c r="D133" s="86" t="s">
        <v>1727</v>
      </c>
      <c r="E133" s="86">
        <v>14.0</v>
      </c>
      <c r="G133" s="96" t="s">
        <v>1728</v>
      </c>
      <c r="I133" s="86">
        <v>4595.0</v>
      </c>
      <c r="J133" s="95" t="s">
        <v>1610</v>
      </c>
      <c r="K133" s="86" t="s">
        <v>647</v>
      </c>
      <c r="L133" s="86">
        <v>9005.0</v>
      </c>
      <c r="M133" s="86">
        <v>12.0</v>
      </c>
      <c r="O133" s="86">
        <v>0.6</v>
      </c>
      <c r="P133" s="95" t="s">
        <v>1612</v>
      </c>
      <c r="Q133" s="86" t="s">
        <v>658</v>
      </c>
      <c r="R133" s="86">
        <v>9004.0</v>
      </c>
      <c r="S133" s="86">
        <v>4.0</v>
      </c>
      <c r="U133" s="86">
        <v>0.1</v>
      </c>
      <c r="V133" s="86">
        <v>70001.0</v>
      </c>
      <c r="W133" s="86">
        <v>1.0</v>
      </c>
      <c r="X133" s="86">
        <v>1.0</v>
      </c>
      <c r="Y133" s="86">
        <v>70002.0</v>
      </c>
      <c r="Z133" s="86">
        <v>1.0</v>
      </c>
      <c r="AA133" s="86">
        <v>1.0</v>
      </c>
      <c r="AB133" s="86">
        <v>1001.0</v>
      </c>
      <c r="AC133" s="86">
        <v>300.0</v>
      </c>
      <c r="AD133" s="86">
        <v>1.0</v>
      </c>
      <c r="AE133" s="86">
        <v>8000.0</v>
      </c>
      <c r="AF133" s="86">
        <v>250.0</v>
      </c>
      <c r="AG133" s="86">
        <v>1.0</v>
      </c>
    </row>
    <row r="134" ht="38.25" customHeight="1">
      <c r="A134" s="86">
        <v>1028.0</v>
      </c>
      <c r="B134" s="86" t="s">
        <v>1605</v>
      </c>
      <c r="C134" s="86">
        <v>1.0</v>
      </c>
      <c r="D134" s="86" t="s">
        <v>1731</v>
      </c>
      <c r="E134" s="86">
        <v>15.0</v>
      </c>
      <c r="G134" s="96" t="s">
        <v>1732</v>
      </c>
      <c r="I134" s="86">
        <v>4720.0</v>
      </c>
      <c r="J134" s="95" t="s">
        <v>1610</v>
      </c>
      <c r="K134" s="86" t="s">
        <v>647</v>
      </c>
      <c r="L134" s="86">
        <v>9002.0</v>
      </c>
      <c r="M134" s="86" t="s">
        <v>1225</v>
      </c>
      <c r="O134" s="86">
        <v>0.2</v>
      </c>
      <c r="P134" s="95" t="s">
        <v>1612</v>
      </c>
      <c r="Q134" s="86" t="s">
        <v>658</v>
      </c>
      <c r="R134" s="86">
        <v>9004.0</v>
      </c>
      <c r="S134" s="86" t="s">
        <v>1733</v>
      </c>
      <c r="U134" s="86">
        <v>0.2</v>
      </c>
      <c r="V134" s="86">
        <v>70001.0</v>
      </c>
      <c r="W134" s="86">
        <v>1.0</v>
      </c>
      <c r="X134" s="86">
        <v>1.0</v>
      </c>
      <c r="Y134" s="86">
        <v>70002.0</v>
      </c>
      <c r="Z134" s="86">
        <v>1.0</v>
      </c>
      <c r="AA134" s="86">
        <v>1.0</v>
      </c>
      <c r="AB134" s="86">
        <v>1001.0</v>
      </c>
      <c r="AC134" s="86">
        <v>300.0</v>
      </c>
      <c r="AD134" s="86">
        <v>1.0</v>
      </c>
      <c r="AE134" s="86">
        <v>8000.0</v>
      </c>
      <c r="AF134" s="86">
        <v>250.0</v>
      </c>
      <c r="AG134" s="86">
        <v>1.0</v>
      </c>
    </row>
    <row r="135" ht="38.25" customHeight="1">
      <c r="A135" s="86">
        <v>1029.0</v>
      </c>
      <c r="B135" s="86" t="s">
        <v>1605</v>
      </c>
      <c r="C135" s="86">
        <v>1.0</v>
      </c>
      <c r="D135" s="86" t="s">
        <v>1734</v>
      </c>
      <c r="E135" s="86">
        <v>15.0</v>
      </c>
      <c r="G135" s="96" t="s">
        <v>1735</v>
      </c>
      <c r="I135" s="86">
        <v>4845.0</v>
      </c>
      <c r="J135" s="95" t="s">
        <v>1610</v>
      </c>
      <c r="K135" s="86" t="s">
        <v>647</v>
      </c>
      <c r="L135" s="86">
        <v>9008.0</v>
      </c>
      <c r="M135" s="86" t="s">
        <v>1460</v>
      </c>
      <c r="O135" s="86">
        <v>0.8</v>
      </c>
      <c r="P135" s="95" t="s">
        <v>1612</v>
      </c>
      <c r="Q135" s="86" t="s">
        <v>658</v>
      </c>
      <c r="R135" s="86">
        <v>9010.0</v>
      </c>
      <c r="S135" s="86">
        <v>2.0</v>
      </c>
      <c r="U135" s="86">
        <v>0.4</v>
      </c>
      <c r="V135" s="86">
        <v>70001.0</v>
      </c>
      <c r="W135" s="86">
        <v>1.0</v>
      </c>
      <c r="X135" s="86">
        <v>1.0</v>
      </c>
      <c r="Y135" s="86">
        <v>70002.0</v>
      </c>
      <c r="Z135" s="86">
        <v>1.0</v>
      </c>
      <c r="AA135" s="86">
        <v>1.0</v>
      </c>
      <c r="AB135" s="86">
        <v>1001.0</v>
      </c>
      <c r="AC135" s="86">
        <v>300.0</v>
      </c>
      <c r="AD135" s="86">
        <v>1.0</v>
      </c>
      <c r="AE135" s="86">
        <v>8000.0</v>
      </c>
      <c r="AF135" s="86">
        <v>250.0</v>
      </c>
      <c r="AG135" s="86">
        <v>1.0</v>
      </c>
    </row>
    <row r="136" ht="38.25" customHeight="1">
      <c r="A136" s="86">
        <v>1030.0</v>
      </c>
      <c r="B136" s="86" t="s">
        <v>1605</v>
      </c>
      <c r="C136" s="86">
        <v>2.0</v>
      </c>
      <c r="D136" s="86" t="s">
        <v>1737</v>
      </c>
      <c r="E136" s="86">
        <v>16.0</v>
      </c>
      <c r="G136" s="96" t="s">
        <v>1739</v>
      </c>
      <c r="I136" s="86">
        <v>4970.0</v>
      </c>
      <c r="J136" s="95" t="s">
        <v>1740</v>
      </c>
      <c r="K136" s="86" t="s">
        <v>647</v>
      </c>
      <c r="L136" s="86">
        <v>9011.0</v>
      </c>
      <c r="M136" s="86">
        <v>3.0</v>
      </c>
      <c r="O136" s="86">
        <v>0.7</v>
      </c>
      <c r="P136" s="95" t="s">
        <v>1612</v>
      </c>
      <c r="Q136" s="86" t="s">
        <v>658</v>
      </c>
      <c r="R136" s="86">
        <v>9004.0</v>
      </c>
      <c r="S136" s="86" t="s">
        <v>1742</v>
      </c>
      <c r="U136" s="86">
        <v>0.7</v>
      </c>
      <c r="V136" s="86">
        <v>70001.0</v>
      </c>
      <c r="W136" s="86">
        <v>1.0</v>
      </c>
      <c r="X136" s="86">
        <v>1.0</v>
      </c>
      <c r="Y136" s="86">
        <v>70002.0</v>
      </c>
      <c r="Z136" s="86">
        <v>1.0</v>
      </c>
      <c r="AA136" s="86">
        <v>1.0</v>
      </c>
      <c r="AB136" s="86">
        <v>1001.0</v>
      </c>
      <c r="AC136" s="86">
        <v>3000.0</v>
      </c>
      <c r="AD136" s="86">
        <v>1.0</v>
      </c>
      <c r="AE136" s="86">
        <v>8000.0</v>
      </c>
      <c r="AF136" s="86">
        <v>250.0</v>
      </c>
      <c r="AG136" s="86">
        <v>1.0</v>
      </c>
    </row>
    <row r="137" ht="38.25" customHeight="1">
      <c r="A137" s="86">
        <v>1031.0</v>
      </c>
      <c r="B137" s="86" t="s">
        <v>1605</v>
      </c>
      <c r="C137" s="86">
        <v>2.0</v>
      </c>
      <c r="D137" s="86" t="s">
        <v>1745</v>
      </c>
      <c r="E137" s="86">
        <v>16.0</v>
      </c>
      <c r="G137" s="96" t="s">
        <v>1746</v>
      </c>
      <c r="I137" s="86">
        <v>5095.0</v>
      </c>
      <c r="J137" s="95" t="s">
        <v>1740</v>
      </c>
      <c r="K137" s="86" t="s">
        <v>647</v>
      </c>
      <c r="L137" s="86">
        <v>9001.0</v>
      </c>
      <c r="M137" s="86">
        <v>13.0</v>
      </c>
      <c r="O137" s="86">
        <v>0.1</v>
      </c>
      <c r="P137" s="95" t="s">
        <v>1612</v>
      </c>
      <c r="Q137" s="86" t="s">
        <v>658</v>
      </c>
      <c r="R137" s="86">
        <v>9004.0</v>
      </c>
      <c r="S137" s="86">
        <v>7.0</v>
      </c>
      <c r="U137" s="86">
        <v>0.6</v>
      </c>
      <c r="V137" s="86">
        <v>70001.0</v>
      </c>
      <c r="W137" s="86">
        <v>1.0</v>
      </c>
      <c r="X137" s="86">
        <v>1.0</v>
      </c>
      <c r="Y137" s="86">
        <v>70002.0</v>
      </c>
      <c r="Z137" s="86">
        <v>1.0</v>
      </c>
      <c r="AA137" s="86">
        <v>1.0</v>
      </c>
      <c r="AB137" s="86">
        <v>1001.0</v>
      </c>
      <c r="AC137" s="86">
        <v>250.0</v>
      </c>
      <c r="AD137" s="86">
        <v>1.0</v>
      </c>
      <c r="AE137" s="86">
        <v>8000.0</v>
      </c>
      <c r="AF137" s="86">
        <v>300.0</v>
      </c>
      <c r="AG137" s="86">
        <v>1.0</v>
      </c>
    </row>
    <row r="138" ht="38.25" customHeight="1">
      <c r="A138" s="86">
        <v>1032.0</v>
      </c>
      <c r="B138" s="86" t="s">
        <v>1605</v>
      </c>
      <c r="C138" s="86">
        <v>2.0</v>
      </c>
      <c r="D138" s="86" t="s">
        <v>1748</v>
      </c>
      <c r="E138" s="86">
        <v>17.0</v>
      </c>
      <c r="G138" s="96" t="s">
        <v>1750</v>
      </c>
      <c r="I138" s="86">
        <v>5220.0</v>
      </c>
      <c r="J138" s="95" t="s">
        <v>1740</v>
      </c>
      <c r="K138" s="86" t="s">
        <v>647</v>
      </c>
      <c r="L138" s="86">
        <v>9005.0</v>
      </c>
      <c r="M138" s="86" t="s">
        <v>1752</v>
      </c>
      <c r="O138" s="86">
        <v>0.9</v>
      </c>
      <c r="P138" s="95" t="s">
        <v>1612</v>
      </c>
      <c r="Q138" s="86" t="s">
        <v>658</v>
      </c>
      <c r="R138" s="86">
        <v>9007.0</v>
      </c>
      <c r="S138" s="86" t="s">
        <v>1392</v>
      </c>
      <c r="U138" s="86">
        <v>0.7</v>
      </c>
      <c r="V138" s="86">
        <v>70001.0</v>
      </c>
      <c r="W138" s="86">
        <v>1.0</v>
      </c>
      <c r="X138" s="86">
        <v>1.0</v>
      </c>
      <c r="Y138" s="86">
        <v>70002.0</v>
      </c>
      <c r="Z138" s="86">
        <v>1.0</v>
      </c>
      <c r="AA138" s="86">
        <v>1.0</v>
      </c>
      <c r="AB138" s="86">
        <v>1001.0</v>
      </c>
      <c r="AC138" s="86">
        <v>250.0</v>
      </c>
      <c r="AD138" s="86">
        <v>1.0</v>
      </c>
      <c r="AE138" s="86">
        <v>8000.0</v>
      </c>
      <c r="AF138" s="86">
        <v>300.0</v>
      </c>
      <c r="AG138" s="86">
        <v>1.0</v>
      </c>
    </row>
    <row r="139" ht="38.25" customHeight="1">
      <c r="A139" s="86">
        <v>1033.0</v>
      </c>
      <c r="B139" s="86" t="s">
        <v>1605</v>
      </c>
      <c r="C139" s="86">
        <v>2.0</v>
      </c>
      <c r="D139" s="86" t="s">
        <v>1753</v>
      </c>
      <c r="E139" s="86">
        <v>17.0</v>
      </c>
      <c r="G139" s="96" t="s">
        <v>1754</v>
      </c>
      <c r="I139" s="86">
        <v>5345.0</v>
      </c>
      <c r="J139" s="95" t="s">
        <v>1740</v>
      </c>
      <c r="K139" s="86" t="s">
        <v>647</v>
      </c>
      <c r="L139" s="86">
        <v>9002.0</v>
      </c>
      <c r="M139" s="86" t="s">
        <v>1755</v>
      </c>
      <c r="O139" s="86">
        <v>0.9</v>
      </c>
      <c r="P139" s="95" t="s">
        <v>1612</v>
      </c>
      <c r="Q139" s="86" t="s">
        <v>658</v>
      </c>
      <c r="R139" s="86">
        <v>9003.0</v>
      </c>
      <c r="S139" s="86" t="s">
        <v>1756</v>
      </c>
      <c r="U139" s="86">
        <v>0.6</v>
      </c>
      <c r="V139" s="86">
        <v>70001.0</v>
      </c>
      <c r="W139" s="86">
        <v>1.0</v>
      </c>
      <c r="X139" s="86">
        <v>1.0</v>
      </c>
      <c r="Y139" s="86">
        <v>70002.0</v>
      </c>
      <c r="Z139" s="86">
        <v>1.0</v>
      </c>
      <c r="AA139" s="86">
        <v>1.0</v>
      </c>
      <c r="AB139" s="86">
        <v>1001.0</v>
      </c>
      <c r="AC139" s="86">
        <v>250.0</v>
      </c>
      <c r="AD139" s="86">
        <v>1.0</v>
      </c>
      <c r="AE139" s="86">
        <v>8000.0</v>
      </c>
      <c r="AF139" s="86">
        <v>300.0</v>
      </c>
      <c r="AG139" s="86">
        <v>1.0</v>
      </c>
    </row>
    <row r="140" ht="38.25" customHeight="1">
      <c r="A140" s="86">
        <v>1034.0</v>
      </c>
      <c r="B140" s="86" t="s">
        <v>1605</v>
      </c>
      <c r="C140" s="86">
        <v>2.0</v>
      </c>
      <c r="D140" s="86" t="s">
        <v>1758</v>
      </c>
      <c r="E140" s="86">
        <v>18.0</v>
      </c>
      <c r="G140" s="96" t="s">
        <v>1760</v>
      </c>
      <c r="I140" s="86">
        <v>5470.0</v>
      </c>
      <c r="J140" s="95" t="s">
        <v>1740</v>
      </c>
      <c r="K140" s="86" t="s">
        <v>647</v>
      </c>
      <c r="L140" s="86">
        <v>9002.0</v>
      </c>
      <c r="M140" s="86">
        <v>9.0</v>
      </c>
      <c r="O140" s="86">
        <v>0.2</v>
      </c>
      <c r="P140" s="95" t="s">
        <v>1612</v>
      </c>
      <c r="Q140" s="86" t="s">
        <v>658</v>
      </c>
      <c r="R140" s="86">
        <v>9008.0</v>
      </c>
      <c r="S140" s="86" t="s">
        <v>1761</v>
      </c>
      <c r="U140" s="86">
        <v>0.5</v>
      </c>
      <c r="V140" s="86">
        <v>70001.0</v>
      </c>
      <c r="W140" s="86">
        <v>1.0</v>
      </c>
      <c r="X140" s="86">
        <v>1.0</v>
      </c>
      <c r="Y140" s="86">
        <v>70002.0</v>
      </c>
      <c r="Z140" s="86">
        <v>1.0</v>
      </c>
      <c r="AA140" s="86">
        <v>1.0</v>
      </c>
      <c r="AB140" s="86">
        <v>1001.0</v>
      </c>
      <c r="AC140" s="86">
        <v>250.0</v>
      </c>
      <c r="AD140" s="86">
        <v>1.0</v>
      </c>
      <c r="AE140" s="86">
        <v>8000.0</v>
      </c>
      <c r="AF140" s="86">
        <v>300.0</v>
      </c>
      <c r="AG140" s="86">
        <v>1.0</v>
      </c>
    </row>
    <row r="141" ht="38.25" customHeight="1">
      <c r="A141" s="86">
        <v>1035.0</v>
      </c>
      <c r="B141" s="86" t="s">
        <v>1605</v>
      </c>
      <c r="C141" s="86">
        <v>2.0</v>
      </c>
      <c r="D141" s="86" t="s">
        <v>1762</v>
      </c>
      <c r="E141" s="86">
        <v>18.0</v>
      </c>
      <c r="G141" s="96" t="s">
        <v>1763</v>
      </c>
      <c r="I141" s="86">
        <v>5595.0</v>
      </c>
      <c r="J141" s="95" t="s">
        <v>1740</v>
      </c>
      <c r="K141" s="86" t="s">
        <v>647</v>
      </c>
      <c r="L141" s="86">
        <v>9007.0</v>
      </c>
      <c r="M141" s="86">
        <v>1.0</v>
      </c>
      <c r="O141" s="86">
        <v>0.7</v>
      </c>
      <c r="P141" s="95" t="s">
        <v>1612</v>
      </c>
      <c r="Q141" s="86" t="s">
        <v>658</v>
      </c>
      <c r="R141" s="86">
        <v>9012.0</v>
      </c>
      <c r="S141" s="86">
        <v>3.0</v>
      </c>
      <c r="U141" s="86">
        <v>0.2</v>
      </c>
      <c r="V141" s="86">
        <v>70001.0</v>
      </c>
      <c r="W141" s="86">
        <v>1.0</v>
      </c>
      <c r="X141" s="86">
        <v>1.0</v>
      </c>
      <c r="Y141" s="86">
        <v>70002.0</v>
      </c>
      <c r="Z141" s="86">
        <v>1.0</v>
      </c>
      <c r="AA141" s="86">
        <v>1.0</v>
      </c>
      <c r="AB141" s="86">
        <v>1001.0</v>
      </c>
      <c r="AC141" s="86">
        <v>250.0</v>
      </c>
      <c r="AD141" s="86">
        <v>1.0</v>
      </c>
      <c r="AE141" s="86">
        <v>8000.0</v>
      </c>
      <c r="AF141" s="86">
        <v>350.0</v>
      </c>
      <c r="AG141" s="86">
        <v>1.0</v>
      </c>
    </row>
    <row r="142" ht="38.25" customHeight="1">
      <c r="A142" s="86">
        <v>1036.0</v>
      </c>
      <c r="B142" s="86" t="s">
        <v>1605</v>
      </c>
      <c r="C142" s="86">
        <v>2.0</v>
      </c>
      <c r="D142" s="86" t="s">
        <v>1765</v>
      </c>
      <c r="E142" s="86">
        <v>19.0</v>
      </c>
      <c r="G142" s="96" t="s">
        <v>1766</v>
      </c>
      <c r="I142" s="86">
        <v>5720.0</v>
      </c>
      <c r="J142" s="95" t="s">
        <v>1740</v>
      </c>
      <c r="K142" s="86" t="s">
        <v>647</v>
      </c>
      <c r="L142" s="86">
        <v>9006.0</v>
      </c>
      <c r="M142" s="86">
        <v>13.0</v>
      </c>
      <c r="O142" s="86">
        <v>0.5</v>
      </c>
      <c r="P142" s="95" t="s">
        <v>1612</v>
      </c>
      <c r="Q142" s="86" t="s">
        <v>658</v>
      </c>
      <c r="R142" s="86">
        <v>9003.0</v>
      </c>
      <c r="S142" s="86">
        <v>4.0</v>
      </c>
      <c r="U142" s="86">
        <v>0.4</v>
      </c>
      <c r="V142" s="86">
        <v>70001.0</v>
      </c>
      <c r="W142" s="86">
        <v>1.0</v>
      </c>
      <c r="X142" s="86">
        <v>1.0</v>
      </c>
      <c r="Y142" s="86">
        <v>70002.0</v>
      </c>
      <c r="Z142" s="86">
        <v>1.0</v>
      </c>
      <c r="AA142" s="86">
        <v>1.0</v>
      </c>
      <c r="AB142" s="86">
        <v>1001.0</v>
      </c>
      <c r="AC142" s="86">
        <v>250.0</v>
      </c>
      <c r="AD142" s="86">
        <v>1.0</v>
      </c>
      <c r="AE142" s="86">
        <v>8000.0</v>
      </c>
      <c r="AF142" s="86">
        <v>350.0</v>
      </c>
      <c r="AG142" s="86">
        <v>1.0</v>
      </c>
    </row>
    <row r="143" ht="38.25" customHeight="1">
      <c r="A143" s="86">
        <v>1037.0</v>
      </c>
      <c r="B143" s="86" t="s">
        <v>1605</v>
      </c>
      <c r="C143" s="86">
        <v>2.0</v>
      </c>
      <c r="D143" s="86" t="s">
        <v>1768</v>
      </c>
      <c r="E143" s="86">
        <v>19.0</v>
      </c>
      <c r="G143" s="96" t="s">
        <v>1770</v>
      </c>
      <c r="I143" s="86">
        <v>5845.0</v>
      </c>
      <c r="J143" s="95" t="s">
        <v>1740</v>
      </c>
      <c r="K143" s="86" t="s">
        <v>647</v>
      </c>
      <c r="L143" s="86">
        <v>9007.0</v>
      </c>
      <c r="M143" s="86" t="s">
        <v>1361</v>
      </c>
      <c r="O143" s="86">
        <v>0.2</v>
      </c>
      <c r="P143" s="95" t="s">
        <v>1612</v>
      </c>
      <c r="Q143" s="86" t="s">
        <v>658</v>
      </c>
      <c r="R143" s="86">
        <v>9004.0</v>
      </c>
      <c r="S143" s="86" t="s">
        <v>1772</v>
      </c>
      <c r="U143" s="86">
        <v>0.6</v>
      </c>
      <c r="V143" s="86">
        <v>70001.0</v>
      </c>
      <c r="W143" s="86">
        <v>1.0</v>
      </c>
      <c r="X143" s="86">
        <v>1.0</v>
      </c>
      <c r="Y143" s="86">
        <v>70002.0</v>
      </c>
      <c r="Z143" s="86">
        <v>1.0</v>
      </c>
      <c r="AA143" s="86">
        <v>1.0</v>
      </c>
      <c r="AB143" s="86">
        <v>1001.0</v>
      </c>
      <c r="AC143" s="86">
        <v>250.0</v>
      </c>
      <c r="AD143" s="86">
        <v>1.0</v>
      </c>
      <c r="AE143" s="86">
        <v>8000.0</v>
      </c>
      <c r="AF143" s="86">
        <v>350.0</v>
      </c>
      <c r="AG143" s="86">
        <v>1.0</v>
      </c>
    </row>
    <row r="144" ht="38.25" customHeight="1">
      <c r="A144" s="86">
        <v>1038.0</v>
      </c>
      <c r="B144" s="86" t="s">
        <v>1605</v>
      </c>
      <c r="C144" s="86">
        <v>2.0</v>
      </c>
      <c r="D144" s="86" t="s">
        <v>1774</v>
      </c>
      <c r="E144" s="86">
        <v>20.0</v>
      </c>
      <c r="G144" s="96" t="s">
        <v>1775</v>
      </c>
      <c r="I144" s="86">
        <v>5970.0</v>
      </c>
      <c r="J144" s="95" t="s">
        <v>1740</v>
      </c>
      <c r="K144" s="86" t="s">
        <v>647</v>
      </c>
      <c r="L144" s="86">
        <v>9011.0</v>
      </c>
      <c r="M144" s="86" t="s">
        <v>1776</v>
      </c>
      <c r="O144" s="86">
        <v>0.2</v>
      </c>
      <c r="P144" s="95" t="s">
        <v>1612</v>
      </c>
      <c r="Q144" s="86" t="s">
        <v>658</v>
      </c>
      <c r="R144" s="86">
        <v>9007.0</v>
      </c>
      <c r="S144" s="86" t="s">
        <v>1380</v>
      </c>
      <c r="U144" s="86">
        <v>0.2</v>
      </c>
      <c r="V144" s="86">
        <v>70001.0</v>
      </c>
      <c r="W144" s="86">
        <v>1.0</v>
      </c>
      <c r="X144" s="86">
        <v>1.0</v>
      </c>
      <c r="Y144" s="86">
        <v>70002.0</v>
      </c>
      <c r="Z144" s="86">
        <v>1.0</v>
      </c>
      <c r="AA144" s="86">
        <v>1.0</v>
      </c>
      <c r="AB144" s="86">
        <v>1001.0</v>
      </c>
      <c r="AC144" s="86">
        <v>250.0</v>
      </c>
      <c r="AD144" s="86">
        <v>1.0</v>
      </c>
      <c r="AE144" s="86">
        <v>8000.0</v>
      </c>
      <c r="AF144" s="86">
        <v>350.0</v>
      </c>
      <c r="AG144" s="86">
        <v>1.0</v>
      </c>
    </row>
    <row r="145" ht="38.25" customHeight="1">
      <c r="A145" s="86">
        <v>1039.0</v>
      </c>
      <c r="B145" s="86" t="s">
        <v>1605</v>
      </c>
      <c r="C145" s="86">
        <v>2.0</v>
      </c>
      <c r="D145" s="86" t="s">
        <v>1778</v>
      </c>
      <c r="E145" s="86">
        <v>20.0</v>
      </c>
      <c r="G145" s="96" t="s">
        <v>1779</v>
      </c>
      <c r="I145" s="86">
        <v>6095.0</v>
      </c>
      <c r="J145" s="95" t="s">
        <v>1740</v>
      </c>
      <c r="K145" s="86" t="s">
        <v>647</v>
      </c>
      <c r="L145" s="86">
        <v>9001.0</v>
      </c>
      <c r="M145" s="86" t="s">
        <v>1780</v>
      </c>
      <c r="O145" s="86">
        <v>0.4</v>
      </c>
      <c r="P145" s="95" t="s">
        <v>1612</v>
      </c>
      <c r="Q145" s="86" t="s">
        <v>658</v>
      </c>
      <c r="R145" s="86">
        <v>9004.0</v>
      </c>
      <c r="S145" s="86" t="s">
        <v>1781</v>
      </c>
      <c r="U145" s="86">
        <v>0.8</v>
      </c>
      <c r="V145" s="86">
        <v>70001.0</v>
      </c>
      <c r="W145" s="86">
        <v>1.0</v>
      </c>
      <c r="X145" s="86">
        <v>1.0</v>
      </c>
      <c r="Y145" s="86">
        <v>70002.0</v>
      </c>
      <c r="Z145" s="86">
        <v>1.0</v>
      </c>
      <c r="AA145" s="86">
        <v>1.0</v>
      </c>
      <c r="AB145" s="86">
        <v>1001.0</v>
      </c>
      <c r="AC145" s="86">
        <v>250.0</v>
      </c>
      <c r="AD145" s="86">
        <v>1.0</v>
      </c>
      <c r="AE145" s="86">
        <v>8000.0</v>
      </c>
      <c r="AF145" s="86">
        <v>400.0</v>
      </c>
      <c r="AG145" s="86">
        <v>1.0</v>
      </c>
    </row>
    <row r="146" ht="38.25" customHeight="1">
      <c r="A146" s="86">
        <v>1040.0</v>
      </c>
      <c r="B146" s="86" t="s">
        <v>1605</v>
      </c>
      <c r="C146" s="86">
        <v>2.0</v>
      </c>
      <c r="D146" s="86" t="s">
        <v>1782</v>
      </c>
      <c r="E146" s="86">
        <v>21.0</v>
      </c>
      <c r="G146" s="96" t="s">
        <v>1783</v>
      </c>
      <c r="I146" s="86">
        <v>6220.0</v>
      </c>
      <c r="J146" s="95" t="s">
        <v>1740</v>
      </c>
      <c r="K146" s="86" t="s">
        <v>647</v>
      </c>
      <c r="L146" s="86">
        <v>9001.0</v>
      </c>
      <c r="M146" s="86" t="s">
        <v>1784</v>
      </c>
      <c r="O146" s="86">
        <v>0.4</v>
      </c>
      <c r="P146" s="95" t="s">
        <v>1612</v>
      </c>
      <c r="Q146" s="86" t="s">
        <v>658</v>
      </c>
      <c r="R146" s="86">
        <v>9008.0</v>
      </c>
      <c r="S146" s="86" t="s">
        <v>1785</v>
      </c>
      <c r="U146" s="86">
        <v>0.7</v>
      </c>
      <c r="V146" s="86">
        <v>70001.0</v>
      </c>
      <c r="W146" s="86">
        <v>1.0</v>
      </c>
      <c r="X146" s="86">
        <v>1.0</v>
      </c>
      <c r="Y146" s="86">
        <v>70002.0</v>
      </c>
      <c r="Z146" s="86">
        <v>1.0</v>
      </c>
      <c r="AA146" s="86">
        <v>1.0</v>
      </c>
      <c r="AB146" s="86">
        <v>1001.0</v>
      </c>
      <c r="AC146" s="86">
        <v>250.0</v>
      </c>
      <c r="AD146" s="86">
        <v>1.0</v>
      </c>
      <c r="AE146" s="86">
        <v>8000.0</v>
      </c>
      <c r="AF146" s="86">
        <v>400.0</v>
      </c>
      <c r="AG146" s="86">
        <v>1.0</v>
      </c>
    </row>
    <row r="147" ht="38.25" customHeight="1">
      <c r="A147" s="86">
        <v>1041.0</v>
      </c>
      <c r="B147" s="86" t="s">
        <v>1605</v>
      </c>
      <c r="C147" s="86">
        <v>2.0</v>
      </c>
      <c r="D147" s="86" t="s">
        <v>1787</v>
      </c>
      <c r="E147" s="86">
        <v>21.0</v>
      </c>
      <c r="G147" s="96" t="s">
        <v>1788</v>
      </c>
      <c r="I147" s="86">
        <v>6345.0</v>
      </c>
      <c r="J147" s="95" t="s">
        <v>1740</v>
      </c>
      <c r="K147" s="86" t="s">
        <v>647</v>
      </c>
      <c r="L147" s="86">
        <v>9008.0</v>
      </c>
      <c r="M147" s="86" t="s">
        <v>1790</v>
      </c>
      <c r="O147" s="86">
        <v>0.6</v>
      </c>
      <c r="P147" s="95" t="s">
        <v>1612</v>
      </c>
      <c r="Q147" s="86" t="s">
        <v>658</v>
      </c>
      <c r="R147" s="86">
        <v>9004.0</v>
      </c>
      <c r="S147" s="86" t="s">
        <v>1791</v>
      </c>
      <c r="U147" s="86">
        <v>0.2</v>
      </c>
      <c r="V147" s="86">
        <v>70001.0</v>
      </c>
      <c r="W147" s="86">
        <v>1.0</v>
      </c>
      <c r="X147" s="86">
        <v>1.0</v>
      </c>
      <c r="Y147" s="86">
        <v>70002.0</v>
      </c>
      <c r="Z147" s="86">
        <v>1.0</v>
      </c>
      <c r="AA147" s="86">
        <v>1.0</v>
      </c>
      <c r="AB147" s="86">
        <v>1001.0</v>
      </c>
      <c r="AC147" s="86">
        <v>250.0</v>
      </c>
      <c r="AD147" s="86">
        <v>1.0</v>
      </c>
      <c r="AE147" s="86">
        <v>8000.0</v>
      </c>
      <c r="AF147" s="86">
        <v>400.0</v>
      </c>
      <c r="AG147" s="86">
        <v>1.0</v>
      </c>
    </row>
    <row r="148" ht="38.25" customHeight="1">
      <c r="A148" s="86">
        <v>1042.0</v>
      </c>
      <c r="B148" s="86" t="s">
        <v>1605</v>
      </c>
      <c r="C148" s="86">
        <v>2.0</v>
      </c>
      <c r="D148" s="86" t="s">
        <v>1792</v>
      </c>
      <c r="E148" s="86">
        <v>22.0</v>
      </c>
      <c r="G148" s="96" t="s">
        <v>1793</v>
      </c>
      <c r="I148" s="86">
        <v>6470.0</v>
      </c>
      <c r="J148" s="95" t="s">
        <v>1740</v>
      </c>
      <c r="K148" s="86" t="s">
        <v>647</v>
      </c>
      <c r="L148" s="86">
        <v>9001.0</v>
      </c>
      <c r="M148" s="86" t="s">
        <v>1622</v>
      </c>
      <c r="O148" s="86">
        <v>0.6</v>
      </c>
      <c r="P148" s="95" t="s">
        <v>1612</v>
      </c>
      <c r="Q148" s="86" t="s">
        <v>658</v>
      </c>
      <c r="R148" s="86">
        <v>9010.0</v>
      </c>
      <c r="S148" s="86" t="s">
        <v>1132</v>
      </c>
      <c r="U148" s="86">
        <v>0.2</v>
      </c>
      <c r="V148" s="86">
        <v>70001.0</v>
      </c>
      <c r="W148" s="86">
        <v>1.0</v>
      </c>
      <c r="X148" s="86">
        <v>1.0</v>
      </c>
      <c r="Y148" s="86">
        <v>70002.0</v>
      </c>
      <c r="Z148" s="86">
        <v>1.0</v>
      </c>
      <c r="AA148" s="86">
        <v>1.0</v>
      </c>
      <c r="AB148" s="86">
        <v>1001.0</v>
      </c>
      <c r="AC148" s="86">
        <v>250.0</v>
      </c>
      <c r="AD148" s="86">
        <v>1.0</v>
      </c>
      <c r="AE148" s="86">
        <v>8000.0</v>
      </c>
      <c r="AF148" s="86">
        <v>400.0</v>
      </c>
      <c r="AG148" s="86">
        <v>1.0</v>
      </c>
    </row>
    <row r="149" ht="38.25" customHeight="1">
      <c r="A149" s="86">
        <v>1043.0</v>
      </c>
      <c r="B149" s="86" t="s">
        <v>1605</v>
      </c>
      <c r="C149" s="86">
        <v>2.0</v>
      </c>
      <c r="D149" s="86" t="s">
        <v>1796</v>
      </c>
      <c r="E149" s="86">
        <v>22.0</v>
      </c>
      <c r="G149" s="96" t="s">
        <v>1797</v>
      </c>
      <c r="I149" s="86">
        <v>6595.0</v>
      </c>
      <c r="J149" s="95" t="s">
        <v>1740</v>
      </c>
      <c r="K149" s="86" t="s">
        <v>647</v>
      </c>
      <c r="L149" s="86">
        <v>9011.0</v>
      </c>
      <c r="M149" s="86" t="s">
        <v>1798</v>
      </c>
      <c r="O149" s="86">
        <v>0.4</v>
      </c>
      <c r="P149" s="95" t="s">
        <v>1612</v>
      </c>
      <c r="Q149" s="86" t="s">
        <v>658</v>
      </c>
      <c r="R149" s="86">
        <v>9004.0</v>
      </c>
      <c r="S149" s="86" t="s">
        <v>1402</v>
      </c>
      <c r="U149" s="86">
        <v>0.7</v>
      </c>
      <c r="V149" s="86">
        <v>70001.0</v>
      </c>
      <c r="W149" s="86">
        <v>1.0</v>
      </c>
      <c r="X149" s="86">
        <v>1.0</v>
      </c>
      <c r="Y149" s="86">
        <v>70002.0</v>
      </c>
      <c r="Z149" s="86">
        <v>1.0</v>
      </c>
      <c r="AA149" s="86">
        <v>1.0</v>
      </c>
      <c r="AB149" s="86">
        <v>1001.0</v>
      </c>
      <c r="AC149" s="86">
        <v>250.0</v>
      </c>
      <c r="AD149" s="86">
        <v>1.0</v>
      </c>
      <c r="AE149" s="86">
        <v>8000.0</v>
      </c>
      <c r="AF149" s="86">
        <v>450.0</v>
      </c>
      <c r="AG149" s="86">
        <v>1.0</v>
      </c>
    </row>
    <row r="150" ht="38.25" customHeight="1">
      <c r="A150" s="86">
        <v>1044.0</v>
      </c>
      <c r="B150" s="86" t="s">
        <v>1605</v>
      </c>
      <c r="C150" s="86">
        <v>2.0</v>
      </c>
      <c r="D150" s="86" t="s">
        <v>1800</v>
      </c>
      <c r="E150" s="86">
        <v>23.0</v>
      </c>
      <c r="G150" s="96" t="s">
        <v>1801</v>
      </c>
      <c r="I150" s="86">
        <v>6720.0</v>
      </c>
      <c r="J150" s="95" t="s">
        <v>1740</v>
      </c>
      <c r="K150" s="86" t="s">
        <v>647</v>
      </c>
      <c r="L150" s="86">
        <v>9006.0</v>
      </c>
      <c r="M150" s="86">
        <v>8.0</v>
      </c>
      <c r="O150" s="86">
        <v>0.3</v>
      </c>
      <c r="P150" s="95" t="s">
        <v>1612</v>
      </c>
      <c r="Q150" s="86" t="s">
        <v>658</v>
      </c>
      <c r="R150" s="86">
        <v>9008.0</v>
      </c>
      <c r="S150" s="86" t="s">
        <v>1311</v>
      </c>
      <c r="U150" s="86">
        <v>0.5</v>
      </c>
      <c r="V150" s="86">
        <v>70001.0</v>
      </c>
      <c r="W150" s="86">
        <v>1.0</v>
      </c>
      <c r="X150" s="86">
        <v>1.0</v>
      </c>
      <c r="Y150" s="86">
        <v>70002.0</v>
      </c>
      <c r="Z150" s="86">
        <v>1.0</v>
      </c>
      <c r="AA150" s="86">
        <v>1.0</v>
      </c>
      <c r="AB150" s="86">
        <v>1001.0</v>
      </c>
      <c r="AC150" s="86">
        <v>250.0</v>
      </c>
      <c r="AD150" s="86">
        <v>1.0</v>
      </c>
      <c r="AE150" s="86">
        <v>8000.0</v>
      </c>
      <c r="AF150" s="86">
        <v>450.0</v>
      </c>
      <c r="AG150" s="86">
        <v>1.0</v>
      </c>
    </row>
    <row r="151" ht="38.25" customHeight="1">
      <c r="A151" s="86">
        <v>1045.0</v>
      </c>
      <c r="B151" s="86" t="s">
        <v>1605</v>
      </c>
      <c r="C151" s="86">
        <v>2.0</v>
      </c>
      <c r="D151" s="86" t="s">
        <v>1802</v>
      </c>
      <c r="E151" s="86">
        <v>23.0</v>
      </c>
      <c r="G151" s="96" t="s">
        <v>1803</v>
      </c>
      <c r="I151" s="86">
        <v>6845.0</v>
      </c>
      <c r="J151" s="95" t="s">
        <v>1740</v>
      </c>
      <c r="K151" s="86" t="s">
        <v>647</v>
      </c>
      <c r="L151" s="86">
        <v>9005.0</v>
      </c>
      <c r="M151" s="86" t="s">
        <v>1804</v>
      </c>
      <c r="O151" s="86">
        <v>0.6</v>
      </c>
      <c r="P151" s="95" t="s">
        <v>1612</v>
      </c>
      <c r="Q151" s="86" t="s">
        <v>658</v>
      </c>
      <c r="R151" s="86">
        <v>9011.0</v>
      </c>
      <c r="S151" s="86">
        <v>3.0</v>
      </c>
      <c r="U151" s="86">
        <v>0.5</v>
      </c>
      <c r="V151" s="86">
        <v>70001.0</v>
      </c>
      <c r="W151" s="86">
        <v>1.0</v>
      </c>
      <c r="X151" s="86">
        <v>1.0</v>
      </c>
      <c r="Y151" s="86">
        <v>70002.0</v>
      </c>
      <c r="Z151" s="86">
        <v>1.0</v>
      </c>
      <c r="AA151" s="86">
        <v>1.0</v>
      </c>
      <c r="AB151" s="86">
        <v>1001.0</v>
      </c>
      <c r="AC151" s="86">
        <v>250.0</v>
      </c>
      <c r="AD151" s="86">
        <v>1.0</v>
      </c>
      <c r="AE151" s="86">
        <v>8000.0</v>
      </c>
      <c r="AF151" s="86">
        <v>450.0</v>
      </c>
      <c r="AG151" s="86">
        <v>1.0</v>
      </c>
    </row>
    <row r="152" ht="38.25" customHeight="1">
      <c r="A152" s="86">
        <v>1046.0</v>
      </c>
      <c r="B152" s="86" t="s">
        <v>1605</v>
      </c>
      <c r="C152" s="86">
        <v>2.0</v>
      </c>
      <c r="D152" s="86" t="s">
        <v>1807</v>
      </c>
      <c r="E152" s="86">
        <v>24.0</v>
      </c>
      <c r="G152" s="96" t="s">
        <v>1808</v>
      </c>
      <c r="I152" s="86">
        <v>6970.0</v>
      </c>
      <c r="J152" s="95" t="s">
        <v>1740</v>
      </c>
      <c r="K152" s="86" t="s">
        <v>647</v>
      </c>
      <c r="L152" s="86">
        <v>9011.0</v>
      </c>
      <c r="M152" s="86" t="s">
        <v>1185</v>
      </c>
      <c r="O152" s="86">
        <v>0.6</v>
      </c>
      <c r="P152" s="95" t="s">
        <v>1612</v>
      </c>
      <c r="Q152" s="86" t="s">
        <v>658</v>
      </c>
      <c r="R152" s="86">
        <v>9007.0</v>
      </c>
      <c r="S152" s="86" t="s">
        <v>1163</v>
      </c>
      <c r="U152" s="86">
        <v>0.7</v>
      </c>
      <c r="V152" s="86">
        <v>70001.0</v>
      </c>
      <c r="W152" s="86">
        <v>1.0</v>
      </c>
      <c r="X152" s="86">
        <v>1.0</v>
      </c>
      <c r="Y152" s="86">
        <v>70002.0</v>
      </c>
      <c r="Z152" s="86">
        <v>1.0</v>
      </c>
      <c r="AA152" s="86">
        <v>1.0</v>
      </c>
      <c r="AB152" s="86">
        <v>1001.0</v>
      </c>
      <c r="AC152" s="86">
        <v>250.0</v>
      </c>
      <c r="AD152" s="86">
        <v>1.0</v>
      </c>
      <c r="AE152" s="86">
        <v>8000.0</v>
      </c>
      <c r="AF152" s="86">
        <v>500.0</v>
      </c>
      <c r="AG152" s="86">
        <v>1.0</v>
      </c>
    </row>
    <row r="153" ht="38.25" customHeight="1">
      <c r="A153" s="86">
        <v>1047.0</v>
      </c>
      <c r="B153" s="86" t="s">
        <v>1605</v>
      </c>
      <c r="C153" s="86">
        <v>2.0</v>
      </c>
      <c r="D153" s="86" t="s">
        <v>1809</v>
      </c>
      <c r="E153" s="86">
        <v>24.0</v>
      </c>
      <c r="G153" s="96" t="s">
        <v>1810</v>
      </c>
      <c r="I153" s="86">
        <v>7095.0</v>
      </c>
      <c r="J153" s="95" t="s">
        <v>1740</v>
      </c>
      <c r="K153" s="86" t="s">
        <v>647</v>
      </c>
      <c r="L153" s="86">
        <v>9007.0</v>
      </c>
      <c r="M153" s="86" t="s">
        <v>1549</v>
      </c>
      <c r="O153" s="86">
        <v>0.8</v>
      </c>
      <c r="P153" s="95" t="s">
        <v>1612</v>
      </c>
      <c r="Q153" s="86" t="s">
        <v>658</v>
      </c>
      <c r="R153" s="86">
        <v>9003.0</v>
      </c>
      <c r="S153" s="86">
        <v>11.0</v>
      </c>
      <c r="U153" s="86">
        <v>0.6</v>
      </c>
      <c r="V153" s="86">
        <v>70001.0</v>
      </c>
      <c r="W153" s="86">
        <v>1.0</v>
      </c>
      <c r="X153" s="86">
        <v>1.0</v>
      </c>
      <c r="Y153" s="86">
        <v>70002.0</v>
      </c>
      <c r="Z153" s="86">
        <v>1.0</v>
      </c>
      <c r="AA153" s="86">
        <v>1.0</v>
      </c>
      <c r="AB153" s="86">
        <v>1001.0</v>
      </c>
      <c r="AC153" s="86">
        <v>250.0</v>
      </c>
      <c r="AD153" s="86">
        <v>1.0</v>
      </c>
      <c r="AE153" s="86">
        <v>8000.0</v>
      </c>
      <c r="AF153" s="86">
        <v>500.0</v>
      </c>
      <c r="AG153" s="86">
        <v>1.0</v>
      </c>
    </row>
    <row r="154" ht="38.25" customHeight="1">
      <c r="A154" s="86">
        <v>1048.0</v>
      </c>
      <c r="B154" s="86" t="s">
        <v>1605</v>
      </c>
      <c r="C154" s="86">
        <v>2.0</v>
      </c>
      <c r="D154" s="86" t="s">
        <v>1811</v>
      </c>
      <c r="E154" s="86">
        <v>25.0</v>
      </c>
      <c r="G154" s="96" t="s">
        <v>1812</v>
      </c>
      <c r="I154" s="86">
        <v>7220.0</v>
      </c>
      <c r="J154" s="95" t="s">
        <v>1740</v>
      </c>
      <c r="K154" s="86" t="s">
        <v>647</v>
      </c>
      <c r="L154" s="86">
        <v>9007.0</v>
      </c>
      <c r="M154" s="86" t="s">
        <v>1814</v>
      </c>
      <c r="O154" s="86">
        <v>0.3</v>
      </c>
      <c r="P154" s="95" t="s">
        <v>1612</v>
      </c>
      <c r="Q154" s="86" t="s">
        <v>658</v>
      </c>
      <c r="R154" s="86">
        <v>9008.0</v>
      </c>
      <c r="S154" s="86" t="s">
        <v>1815</v>
      </c>
      <c r="U154" s="86">
        <v>0.2</v>
      </c>
      <c r="V154" s="86">
        <v>70001.0</v>
      </c>
      <c r="W154" s="86">
        <v>1.0</v>
      </c>
      <c r="X154" s="86">
        <v>1.0</v>
      </c>
      <c r="Y154" s="86">
        <v>70002.0</v>
      </c>
      <c r="Z154" s="86">
        <v>1.0</v>
      </c>
      <c r="AA154" s="86">
        <v>1.0</v>
      </c>
      <c r="AB154" s="86">
        <v>1001.0</v>
      </c>
      <c r="AC154" s="86">
        <v>250.0</v>
      </c>
      <c r="AD154" s="86">
        <v>1.0</v>
      </c>
      <c r="AE154" s="86">
        <v>8000.0</v>
      </c>
      <c r="AF154" s="86">
        <v>500.0</v>
      </c>
      <c r="AG154" s="86">
        <v>1.0</v>
      </c>
    </row>
    <row r="155" ht="38.25" customHeight="1">
      <c r="A155" s="86">
        <v>1049.0</v>
      </c>
      <c r="B155" s="86" t="s">
        <v>1605</v>
      </c>
      <c r="C155" s="86">
        <v>2.0</v>
      </c>
      <c r="D155" s="86" t="s">
        <v>1816</v>
      </c>
      <c r="E155" s="86">
        <v>25.0</v>
      </c>
      <c r="G155" s="96" t="s">
        <v>1817</v>
      </c>
      <c r="I155" s="86">
        <v>7345.0</v>
      </c>
      <c r="J155" s="95" t="s">
        <v>1740</v>
      </c>
      <c r="K155" s="86" t="s">
        <v>647</v>
      </c>
      <c r="L155" s="86">
        <v>9005.0</v>
      </c>
      <c r="M155" s="86" t="s">
        <v>1818</v>
      </c>
      <c r="O155" s="86">
        <v>0.1</v>
      </c>
      <c r="P155" s="95" t="s">
        <v>1612</v>
      </c>
      <c r="Q155" s="86" t="s">
        <v>658</v>
      </c>
      <c r="R155" s="86">
        <v>9004.0</v>
      </c>
      <c r="S155" s="86" t="s">
        <v>1560</v>
      </c>
      <c r="U155" s="86">
        <v>0.2</v>
      </c>
      <c r="V155" s="86">
        <v>70001.0</v>
      </c>
      <c r="W155" s="86">
        <v>1.0</v>
      </c>
      <c r="X155" s="86">
        <v>1.0</v>
      </c>
      <c r="Y155" s="86">
        <v>70002.0</v>
      </c>
      <c r="Z155" s="86">
        <v>1.0</v>
      </c>
      <c r="AA155" s="86">
        <v>1.0</v>
      </c>
      <c r="AB155" s="86">
        <v>1001.0</v>
      </c>
      <c r="AC155" s="86">
        <v>250.0</v>
      </c>
      <c r="AD155" s="86">
        <v>1.0</v>
      </c>
      <c r="AE155" s="86">
        <v>8000.0</v>
      </c>
      <c r="AF155" s="86">
        <v>500.0</v>
      </c>
      <c r="AG155" s="86">
        <v>1.0</v>
      </c>
    </row>
    <row r="156" ht="38.25" customHeight="1">
      <c r="A156" s="86">
        <v>1050.0</v>
      </c>
      <c r="B156" s="86" t="s">
        <v>1605</v>
      </c>
      <c r="C156" s="86">
        <v>2.0</v>
      </c>
      <c r="D156" s="86" t="s">
        <v>1820</v>
      </c>
      <c r="E156" s="86">
        <v>26.0</v>
      </c>
      <c r="G156" s="96" t="s">
        <v>1821</v>
      </c>
      <c r="I156" s="86">
        <v>7470.0</v>
      </c>
      <c r="J156" s="95" t="s">
        <v>1740</v>
      </c>
      <c r="K156" s="86" t="s">
        <v>647</v>
      </c>
      <c r="L156" s="86">
        <v>9001.0</v>
      </c>
      <c r="M156" s="86" t="s">
        <v>1822</v>
      </c>
      <c r="O156" s="86">
        <v>1.0</v>
      </c>
      <c r="P156" s="95" t="s">
        <v>1612</v>
      </c>
      <c r="Q156" s="86" t="s">
        <v>658</v>
      </c>
      <c r="R156" s="86">
        <v>9004.0</v>
      </c>
      <c r="S156" s="86">
        <v>2.0</v>
      </c>
      <c r="U156" s="86">
        <v>0.2</v>
      </c>
      <c r="V156" s="86">
        <v>70001.0</v>
      </c>
      <c r="W156" s="86">
        <v>1.0</v>
      </c>
      <c r="X156" s="86">
        <v>1.0</v>
      </c>
      <c r="Y156" s="86">
        <v>70002.0</v>
      </c>
      <c r="Z156" s="86">
        <v>1.0</v>
      </c>
      <c r="AA156" s="86">
        <v>1.0</v>
      </c>
      <c r="AB156" s="86">
        <v>1001.0</v>
      </c>
      <c r="AC156" s="86">
        <v>250.0</v>
      </c>
      <c r="AD156" s="86">
        <v>1.0</v>
      </c>
      <c r="AE156" s="86">
        <v>8000.0</v>
      </c>
      <c r="AF156" s="86">
        <v>550.0</v>
      </c>
      <c r="AG156" s="86">
        <v>1.0</v>
      </c>
    </row>
    <row r="157" ht="38.25" customHeight="1">
      <c r="A157" s="86">
        <v>1051.0</v>
      </c>
      <c r="B157" s="86" t="s">
        <v>1605</v>
      </c>
      <c r="C157" s="86">
        <v>2.0</v>
      </c>
      <c r="D157" s="86" t="s">
        <v>1823</v>
      </c>
      <c r="E157" s="86">
        <v>26.0</v>
      </c>
      <c r="G157" s="96" t="s">
        <v>1824</v>
      </c>
      <c r="I157" s="86">
        <v>7595.0</v>
      </c>
      <c r="J157" s="95" t="s">
        <v>1740</v>
      </c>
      <c r="K157" s="86" t="s">
        <v>647</v>
      </c>
      <c r="L157" s="86">
        <v>9011.0</v>
      </c>
      <c r="M157" s="86" t="s">
        <v>1826</v>
      </c>
      <c r="O157" s="86">
        <v>0.8</v>
      </c>
      <c r="P157" s="95" t="s">
        <v>1612</v>
      </c>
      <c r="Q157" s="86" t="s">
        <v>658</v>
      </c>
      <c r="R157" s="86">
        <v>9012.0</v>
      </c>
      <c r="S157" s="86">
        <v>1.0</v>
      </c>
      <c r="U157" s="86">
        <v>0.7</v>
      </c>
      <c r="V157" s="86">
        <v>70001.0</v>
      </c>
      <c r="W157" s="86">
        <v>1.0</v>
      </c>
      <c r="X157" s="86">
        <v>1.0</v>
      </c>
      <c r="Y157" s="86">
        <v>70002.0</v>
      </c>
      <c r="Z157" s="86">
        <v>1.0</v>
      </c>
      <c r="AA157" s="86">
        <v>1.0</v>
      </c>
      <c r="AB157" s="86">
        <v>1001.0</v>
      </c>
      <c r="AC157" s="86">
        <v>250.0</v>
      </c>
      <c r="AD157" s="86">
        <v>1.0</v>
      </c>
      <c r="AE157" s="86">
        <v>8000.0</v>
      </c>
      <c r="AF157" s="86">
        <v>550.0</v>
      </c>
      <c r="AG157" s="86">
        <v>1.0</v>
      </c>
    </row>
    <row r="158" ht="38.25" customHeight="1">
      <c r="A158" s="86">
        <v>1052.0</v>
      </c>
      <c r="B158" s="86" t="s">
        <v>1605</v>
      </c>
      <c r="C158" s="86">
        <v>2.0</v>
      </c>
      <c r="D158" s="86" t="s">
        <v>1827</v>
      </c>
      <c r="E158" s="86">
        <v>27.0</v>
      </c>
      <c r="G158" s="96" t="s">
        <v>1828</v>
      </c>
      <c r="I158" s="86">
        <v>7720.0</v>
      </c>
      <c r="J158" s="95" t="s">
        <v>1740</v>
      </c>
      <c r="K158" s="86" t="s">
        <v>647</v>
      </c>
      <c r="L158" s="86">
        <v>9002.0</v>
      </c>
      <c r="M158" s="86" t="s">
        <v>1190</v>
      </c>
      <c r="O158" s="86">
        <v>0.4</v>
      </c>
      <c r="P158" s="95" t="s">
        <v>1612</v>
      </c>
      <c r="Q158" s="86" t="s">
        <v>658</v>
      </c>
      <c r="R158" s="86">
        <v>9008.0</v>
      </c>
      <c r="S158" s="86" t="s">
        <v>1829</v>
      </c>
      <c r="U158" s="86">
        <v>0.6</v>
      </c>
      <c r="V158" s="86">
        <v>70001.0</v>
      </c>
      <c r="W158" s="86">
        <v>1.0</v>
      </c>
      <c r="X158" s="86">
        <v>1.0</v>
      </c>
      <c r="Y158" s="86">
        <v>70002.0</v>
      </c>
      <c r="Z158" s="86">
        <v>1.0</v>
      </c>
      <c r="AA158" s="86">
        <v>1.0</v>
      </c>
      <c r="AB158" s="86">
        <v>1001.0</v>
      </c>
      <c r="AC158" s="86">
        <v>250.0</v>
      </c>
      <c r="AD158" s="86">
        <v>1.0</v>
      </c>
      <c r="AE158" s="86">
        <v>8000.0</v>
      </c>
      <c r="AF158" s="86">
        <v>550.0</v>
      </c>
      <c r="AG158" s="86">
        <v>1.0</v>
      </c>
    </row>
    <row r="159" ht="38.25" customHeight="1">
      <c r="A159" s="86">
        <v>1053.0</v>
      </c>
      <c r="B159" s="86" t="s">
        <v>1605</v>
      </c>
      <c r="C159" s="86">
        <v>2.0</v>
      </c>
      <c r="D159" s="86" t="s">
        <v>1831</v>
      </c>
      <c r="E159" s="86">
        <v>27.0</v>
      </c>
      <c r="G159" s="96" t="s">
        <v>1832</v>
      </c>
      <c r="I159" s="86">
        <v>7845.0</v>
      </c>
      <c r="J159" s="95" t="s">
        <v>1740</v>
      </c>
      <c r="K159" s="86" t="s">
        <v>647</v>
      </c>
      <c r="L159" s="86">
        <v>9001.0</v>
      </c>
      <c r="M159" s="86">
        <v>2.0</v>
      </c>
      <c r="O159" s="86">
        <v>0.9</v>
      </c>
      <c r="P159" s="95" t="s">
        <v>1612</v>
      </c>
      <c r="Q159" s="86" t="s">
        <v>658</v>
      </c>
      <c r="R159" s="86">
        <v>9012.0</v>
      </c>
      <c r="S159" s="86">
        <v>5.0</v>
      </c>
      <c r="U159" s="86">
        <v>0.6</v>
      </c>
      <c r="V159" s="86">
        <v>70001.0</v>
      </c>
      <c r="W159" s="86">
        <v>1.0</v>
      </c>
      <c r="X159" s="86">
        <v>1.0</v>
      </c>
      <c r="Y159" s="86">
        <v>70002.0</v>
      </c>
      <c r="Z159" s="86">
        <v>1.0</v>
      </c>
      <c r="AA159" s="86">
        <v>1.0</v>
      </c>
      <c r="AB159" s="86">
        <v>1001.0</v>
      </c>
      <c r="AC159" s="86">
        <v>250.0</v>
      </c>
      <c r="AD159" s="86">
        <v>1.0</v>
      </c>
      <c r="AE159" s="86">
        <v>8000.0</v>
      </c>
      <c r="AF159" s="86">
        <v>550.0</v>
      </c>
      <c r="AG159" s="86">
        <v>1.0</v>
      </c>
    </row>
    <row r="160" ht="38.25" customHeight="1">
      <c r="A160" s="86">
        <v>1054.0</v>
      </c>
      <c r="B160" s="86" t="s">
        <v>1605</v>
      </c>
      <c r="C160" s="86">
        <v>2.0</v>
      </c>
      <c r="D160" s="86" t="s">
        <v>1834</v>
      </c>
      <c r="E160" s="86">
        <v>28.0</v>
      </c>
      <c r="G160" s="96" t="s">
        <v>1835</v>
      </c>
      <c r="I160" s="86">
        <v>7970.0</v>
      </c>
      <c r="J160" s="95" t="s">
        <v>1740</v>
      </c>
      <c r="K160" s="86" t="s">
        <v>647</v>
      </c>
      <c r="L160" s="86">
        <v>9005.0</v>
      </c>
      <c r="M160" s="86" t="s">
        <v>1790</v>
      </c>
      <c r="O160" s="86">
        <v>1.0</v>
      </c>
      <c r="P160" s="95" t="s">
        <v>1612</v>
      </c>
      <c r="Q160" s="86" t="s">
        <v>658</v>
      </c>
      <c r="R160" s="86">
        <v>9010.0</v>
      </c>
      <c r="S160" s="86">
        <v>2.0</v>
      </c>
      <c r="U160" s="86">
        <v>0.3</v>
      </c>
      <c r="V160" s="86">
        <v>70001.0</v>
      </c>
      <c r="W160" s="86">
        <v>1.0</v>
      </c>
      <c r="X160" s="86">
        <v>1.0</v>
      </c>
      <c r="Y160" s="86">
        <v>70002.0</v>
      </c>
      <c r="Z160" s="86">
        <v>1.0</v>
      </c>
      <c r="AA160" s="86">
        <v>1.0</v>
      </c>
      <c r="AB160" s="86">
        <v>1001.0</v>
      </c>
      <c r="AC160" s="86">
        <v>250.0</v>
      </c>
      <c r="AD160" s="86">
        <v>1.0</v>
      </c>
      <c r="AE160" s="86">
        <v>8000.0</v>
      </c>
      <c r="AF160" s="86">
        <v>600.0</v>
      </c>
      <c r="AG160" s="86">
        <v>1.0</v>
      </c>
    </row>
    <row r="161" ht="38.25" customHeight="1">
      <c r="A161" s="86">
        <v>1055.0</v>
      </c>
      <c r="B161" s="86" t="s">
        <v>1605</v>
      </c>
      <c r="C161" s="86">
        <v>2.0</v>
      </c>
      <c r="D161" s="86" t="s">
        <v>1836</v>
      </c>
      <c r="E161" s="86">
        <v>28.0</v>
      </c>
      <c r="G161" s="96" t="s">
        <v>1837</v>
      </c>
      <c r="I161" s="86">
        <v>8095.0</v>
      </c>
      <c r="J161" s="95" t="s">
        <v>1740</v>
      </c>
      <c r="K161" s="86" t="s">
        <v>647</v>
      </c>
      <c r="L161" s="86">
        <v>9005.0</v>
      </c>
      <c r="M161" s="86">
        <v>13.0</v>
      </c>
      <c r="O161" s="86">
        <v>0.1</v>
      </c>
      <c r="P161" s="95" t="s">
        <v>1612</v>
      </c>
      <c r="Q161" s="86" t="s">
        <v>658</v>
      </c>
      <c r="R161" s="86">
        <v>9011.0</v>
      </c>
      <c r="S161" s="86" t="s">
        <v>1838</v>
      </c>
      <c r="U161" s="86">
        <v>0.9</v>
      </c>
      <c r="V161" s="86">
        <v>70001.0</v>
      </c>
      <c r="W161" s="86">
        <v>1.0</v>
      </c>
      <c r="X161" s="86">
        <v>1.0</v>
      </c>
      <c r="Y161" s="86">
        <v>70002.0</v>
      </c>
      <c r="Z161" s="86">
        <v>1.0</v>
      </c>
      <c r="AA161" s="86">
        <v>1.0</v>
      </c>
      <c r="AB161" s="86">
        <v>1001.0</v>
      </c>
      <c r="AC161" s="86">
        <v>250.0</v>
      </c>
      <c r="AD161" s="86">
        <v>1.0</v>
      </c>
      <c r="AE161" s="86">
        <v>8000.0</v>
      </c>
      <c r="AF161" s="86">
        <v>600.0</v>
      </c>
      <c r="AG161" s="86">
        <v>1.0</v>
      </c>
    </row>
    <row r="162" ht="38.25" customHeight="1">
      <c r="A162" s="86">
        <v>1056.0</v>
      </c>
      <c r="B162" s="86" t="s">
        <v>1605</v>
      </c>
      <c r="C162" s="86">
        <v>2.0</v>
      </c>
      <c r="D162" s="86" t="s">
        <v>1839</v>
      </c>
      <c r="E162" s="86">
        <v>29.0</v>
      </c>
      <c r="G162" s="96" t="s">
        <v>1840</v>
      </c>
      <c r="I162" s="86">
        <v>8220.0</v>
      </c>
      <c r="J162" s="95" t="s">
        <v>1740</v>
      </c>
      <c r="K162" s="86" t="s">
        <v>647</v>
      </c>
      <c r="L162" s="86">
        <v>9008.0</v>
      </c>
      <c r="M162" s="86" t="s">
        <v>1790</v>
      </c>
      <c r="O162" s="86">
        <v>0.5</v>
      </c>
      <c r="P162" s="95" t="s">
        <v>1612</v>
      </c>
      <c r="Q162" s="86" t="s">
        <v>658</v>
      </c>
      <c r="R162" s="86">
        <v>9004.0</v>
      </c>
      <c r="S162" s="86">
        <v>8.0</v>
      </c>
      <c r="U162" s="86">
        <v>0.4</v>
      </c>
      <c r="V162" s="86">
        <v>70001.0</v>
      </c>
      <c r="W162" s="86">
        <v>1.0</v>
      </c>
      <c r="X162" s="86">
        <v>1.0</v>
      </c>
      <c r="Y162" s="86">
        <v>70002.0</v>
      </c>
      <c r="Z162" s="86">
        <v>1.0</v>
      </c>
      <c r="AA162" s="86">
        <v>1.0</v>
      </c>
      <c r="AB162" s="86">
        <v>1001.0</v>
      </c>
      <c r="AC162" s="86">
        <v>250.0</v>
      </c>
      <c r="AD162" s="86">
        <v>1.0</v>
      </c>
      <c r="AE162" s="86">
        <v>8000.0</v>
      </c>
      <c r="AF162" s="86">
        <v>600.0</v>
      </c>
      <c r="AG162" s="86">
        <v>1.0</v>
      </c>
    </row>
    <row r="163" ht="38.25" customHeight="1">
      <c r="A163" s="86">
        <v>1057.0</v>
      </c>
      <c r="B163" s="86" t="s">
        <v>1605</v>
      </c>
      <c r="C163" s="86">
        <v>2.0</v>
      </c>
      <c r="D163" s="86" t="s">
        <v>1841</v>
      </c>
      <c r="E163" s="86">
        <v>29.0</v>
      </c>
      <c r="G163" s="96" t="s">
        <v>1842</v>
      </c>
      <c r="I163" s="86">
        <v>8345.0</v>
      </c>
      <c r="J163" s="95" t="s">
        <v>1740</v>
      </c>
      <c r="K163" s="86" t="s">
        <v>647</v>
      </c>
      <c r="L163" s="86">
        <v>9008.0</v>
      </c>
      <c r="M163" s="86">
        <v>1.0</v>
      </c>
      <c r="O163" s="86">
        <v>0.8</v>
      </c>
      <c r="P163" s="95" t="s">
        <v>1612</v>
      </c>
      <c r="Q163" s="86" t="s">
        <v>658</v>
      </c>
      <c r="R163" s="86">
        <v>9004.0</v>
      </c>
      <c r="S163" s="86" t="s">
        <v>1421</v>
      </c>
      <c r="U163" s="86">
        <v>0.9</v>
      </c>
      <c r="V163" s="86">
        <v>70001.0</v>
      </c>
      <c r="W163" s="86">
        <v>1.0</v>
      </c>
      <c r="X163" s="86">
        <v>1.0</v>
      </c>
      <c r="Y163" s="86">
        <v>70002.0</v>
      </c>
      <c r="Z163" s="86">
        <v>1.0</v>
      </c>
      <c r="AA163" s="86">
        <v>1.0</v>
      </c>
      <c r="AB163" s="86">
        <v>1001.0</v>
      </c>
      <c r="AC163" s="86">
        <v>250.0</v>
      </c>
      <c r="AD163" s="86">
        <v>1.0</v>
      </c>
      <c r="AE163" s="86">
        <v>8000.0</v>
      </c>
      <c r="AF163" s="86">
        <v>650.0</v>
      </c>
      <c r="AG163" s="86">
        <v>1.0</v>
      </c>
    </row>
    <row r="164" ht="38.25" customHeight="1">
      <c r="A164" s="86">
        <v>1058.0</v>
      </c>
      <c r="B164" s="86" t="s">
        <v>1605</v>
      </c>
      <c r="C164" s="86">
        <v>2.0</v>
      </c>
      <c r="D164" s="86" t="s">
        <v>1844</v>
      </c>
      <c r="E164" s="86">
        <v>30.0</v>
      </c>
      <c r="G164" s="96" t="s">
        <v>1845</v>
      </c>
      <c r="I164" s="86">
        <v>8470.0</v>
      </c>
      <c r="J164" s="95" t="s">
        <v>1740</v>
      </c>
      <c r="K164" s="86" t="s">
        <v>647</v>
      </c>
      <c r="L164" s="86">
        <v>9011.0</v>
      </c>
      <c r="M164" s="86">
        <v>4.0</v>
      </c>
      <c r="O164" s="86">
        <v>0.6</v>
      </c>
      <c r="P164" s="95" t="s">
        <v>1612</v>
      </c>
      <c r="Q164" s="86" t="s">
        <v>658</v>
      </c>
      <c r="R164" s="86">
        <v>9003.0</v>
      </c>
      <c r="S164" s="86" t="s">
        <v>1847</v>
      </c>
      <c r="U164" s="86">
        <v>0.1</v>
      </c>
      <c r="V164" s="86">
        <v>70001.0</v>
      </c>
      <c r="W164" s="86">
        <v>1.0</v>
      </c>
      <c r="X164" s="86">
        <v>1.0</v>
      </c>
      <c r="Y164" s="86">
        <v>70002.0</v>
      </c>
      <c r="Z164" s="86">
        <v>1.0</v>
      </c>
      <c r="AA164" s="86">
        <v>1.0</v>
      </c>
      <c r="AB164" s="86">
        <v>1001.0</v>
      </c>
      <c r="AC164" s="86">
        <v>250.0</v>
      </c>
      <c r="AD164" s="86">
        <v>1.0</v>
      </c>
      <c r="AE164" s="86">
        <v>8000.0</v>
      </c>
      <c r="AF164" s="86">
        <v>650.0</v>
      </c>
      <c r="AG164" s="86">
        <v>1.0</v>
      </c>
    </row>
    <row r="165" ht="38.25" customHeight="1">
      <c r="A165" s="86">
        <v>1059.0</v>
      </c>
      <c r="B165" s="86" t="s">
        <v>1605</v>
      </c>
      <c r="C165" s="86">
        <v>2.0</v>
      </c>
      <c r="D165" s="86" t="s">
        <v>1848</v>
      </c>
      <c r="E165" s="86">
        <v>30.0</v>
      </c>
      <c r="G165" s="96" t="s">
        <v>1849</v>
      </c>
      <c r="I165" s="86">
        <v>8595.0</v>
      </c>
      <c r="J165" s="95" t="s">
        <v>1740</v>
      </c>
      <c r="K165" s="86" t="s">
        <v>647</v>
      </c>
      <c r="L165" s="86">
        <v>9005.0</v>
      </c>
      <c r="M165" s="86" t="s">
        <v>1113</v>
      </c>
      <c r="O165" s="86">
        <v>0.5</v>
      </c>
      <c r="P165" s="95" t="s">
        <v>1612</v>
      </c>
      <c r="Q165" s="86" t="s">
        <v>658</v>
      </c>
      <c r="R165" s="86">
        <v>9010.0</v>
      </c>
      <c r="S165" s="86">
        <v>7.0</v>
      </c>
      <c r="U165" s="86">
        <v>0.7</v>
      </c>
      <c r="V165" s="86">
        <v>70001.0</v>
      </c>
      <c r="W165" s="86">
        <v>1.0</v>
      </c>
      <c r="X165" s="86">
        <v>1.0</v>
      </c>
      <c r="Y165" s="86">
        <v>70002.0</v>
      </c>
      <c r="Z165" s="86">
        <v>1.0</v>
      </c>
      <c r="AA165" s="86">
        <v>1.0</v>
      </c>
      <c r="AB165" s="86">
        <v>1001.0</v>
      </c>
      <c r="AC165" s="86">
        <v>2500.0</v>
      </c>
      <c r="AD165" s="86">
        <v>1.0</v>
      </c>
      <c r="AE165" s="86">
        <v>8000.0</v>
      </c>
      <c r="AF165" s="86">
        <v>650.0</v>
      </c>
      <c r="AG165" s="86">
        <v>1.0</v>
      </c>
    </row>
    <row r="166" ht="38.25" customHeight="1">
      <c r="A166" s="86">
        <v>1060.0</v>
      </c>
      <c r="B166" s="86" t="s">
        <v>1605</v>
      </c>
      <c r="C166" s="86">
        <v>3.0</v>
      </c>
      <c r="D166" s="86" t="s">
        <v>1851</v>
      </c>
      <c r="E166" s="86">
        <v>31.0</v>
      </c>
      <c r="G166" s="96" t="s">
        <v>1852</v>
      </c>
      <c r="I166" s="86">
        <v>8720.0</v>
      </c>
      <c r="J166" s="95" t="s">
        <v>1853</v>
      </c>
      <c r="K166" s="86" t="s">
        <v>647</v>
      </c>
      <c r="L166" s="86">
        <v>9008.0</v>
      </c>
      <c r="M166" s="86" t="s">
        <v>1667</v>
      </c>
      <c r="O166" s="86">
        <v>0.7</v>
      </c>
      <c r="P166" s="95" t="s">
        <v>1854</v>
      </c>
      <c r="Q166" s="86" t="s">
        <v>658</v>
      </c>
      <c r="R166" s="86">
        <v>9004.0</v>
      </c>
      <c r="S166" s="86" t="s">
        <v>1855</v>
      </c>
      <c r="U166" s="86">
        <v>0.2</v>
      </c>
      <c r="V166" s="86">
        <v>70001.0</v>
      </c>
      <c r="W166" s="86">
        <v>1.0</v>
      </c>
      <c r="X166" s="86">
        <v>1.0</v>
      </c>
      <c r="Y166" s="86">
        <v>70002.0</v>
      </c>
      <c r="Z166" s="86">
        <v>1.0</v>
      </c>
      <c r="AA166" s="86">
        <v>1.0</v>
      </c>
      <c r="AB166" s="86">
        <v>1001.0</v>
      </c>
      <c r="AC166" s="86">
        <v>150.0</v>
      </c>
      <c r="AD166" s="86">
        <v>1.0</v>
      </c>
      <c r="AE166" s="86">
        <v>8000.0</v>
      </c>
      <c r="AF166" s="86">
        <v>650.0</v>
      </c>
      <c r="AG166" s="86">
        <v>1.0</v>
      </c>
    </row>
    <row r="167" ht="38.25" customHeight="1">
      <c r="A167" s="86">
        <v>1061.0</v>
      </c>
      <c r="B167" s="86" t="s">
        <v>1605</v>
      </c>
      <c r="C167" s="86">
        <v>3.0</v>
      </c>
      <c r="D167" s="86" t="s">
        <v>1856</v>
      </c>
      <c r="E167" s="86">
        <v>31.0</v>
      </c>
      <c r="G167" s="96" t="s">
        <v>1857</v>
      </c>
      <c r="I167" s="86">
        <v>8845.0</v>
      </c>
      <c r="J167" s="95" t="s">
        <v>1853</v>
      </c>
      <c r="K167" s="86" t="s">
        <v>647</v>
      </c>
      <c r="L167" s="86">
        <v>9002.0</v>
      </c>
      <c r="M167" s="86" t="s">
        <v>1190</v>
      </c>
      <c r="O167" s="86">
        <v>0.7</v>
      </c>
      <c r="P167" s="95" t="s">
        <v>1854</v>
      </c>
      <c r="Q167" s="86" t="s">
        <v>658</v>
      </c>
      <c r="R167" s="86">
        <v>9007.0</v>
      </c>
      <c r="S167" s="86" t="s">
        <v>1858</v>
      </c>
      <c r="U167" s="86">
        <v>0.7</v>
      </c>
      <c r="V167" s="86">
        <v>70001.0</v>
      </c>
      <c r="W167" s="86">
        <v>1.0</v>
      </c>
      <c r="X167" s="86">
        <v>1.0</v>
      </c>
      <c r="Y167" s="86">
        <v>70002.0</v>
      </c>
      <c r="Z167" s="86">
        <v>1.0</v>
      </c>
      <c r="AA167" s="86">
        <v>1.0</v>
      </c>
      <c r="AB167" s="86">
        <v>1001.0</v>
      </c>
      <c r="AC167" s="86">
        <v>150.0</v>
      </c>
      <c r="AD167" s="86">
        <v>1.0</v>
      </c>
      <c r="AE167" s="86">
        <v>8000.0</v>
      </c>
      <c r="AF167" s="86">
        <v>700.0</v>
      </c>
      <c r="AG167" s="86">
        <v>1.0</v>
      </c>
    </row>
    <row r="168" ht="38.25" customHeight="1">
      <c r="A168" s="86">
        <v>1062.0</v>
      </c>
      <c r="B168" s="86" t="s">
        <v>1605</v>
      </c>
      <c r="C168" s="86">
        <v>3.0</v>
      </c>
      <c r="D168" s="86" t="s">
        <v>1860</v>
      </c>
      <c r="E168" s="86">
        <v>32.0</v>
      </c>
      <c r="G168" s="96" t="s">
        <v>1861</v>
      </c>
      <c r="I168" s="86">
        <v>8970.0</v>
      </c>
      <c r="J168" s="95" t="s">
        <v>1853</v>
      </c>
      <c r="K168" s="86" t="s">
        <v>647</v>
      </c>
      <c r="L168" s="86">
        <v>9008.0</v>
      </c>
      <c r="M168" s="86" t="s">
        <v>1862</v>
      </c>
      <c r="O168" s="86">
        <v>0.4</v>
      </c>
      <c r="P168" s="95" t="s">
        <v>1854</v>
      </c>
      <c r="Q168" s="86" t="s">
        <v>658</v>
      </c>
      <c r="R168" s="86">
        <v>9004.0</v>
      </c>
      <c r="S168" s="86">
        <v>7.0</v>
      </c>
      <c r="U168" s="86">
        <v>0.6</v>
      </c>
      <c r="V168" s="86">
        <v>70001.0</v>
      </c>
      <c r="W168" s="86">
        <v>1.0</v>
      </c>
      <c r="X168" s="86">
        <v>1.0</v>
      </c>
      <c r="Y168" s="86">
        <v>70002.0</v>
      </c>
      <c r="Z168" s="86">
        <v>1.0</v>
      </c>
      <c r="AA168" s="86">
        <v>1.0</v>
      </c>
      <c r="AB168" s="86">
        <v>1001.0</v>
      </c>
      <c r="AC168" s="86">
        <v>150.0</v>
      </c>
      <c r="AD168" s="86">
        <v>1.0</v>
      </c>
      <c r="AE168" s="86">
        <v>8000.0</v>
      </c>
      <c r="AF168" s="86">
        <v>700.0</v>
      </c>
      <c r="AG168" s="86">
        <v>1.0</v>
      </c>
    </row>
    <row r="169" ht="38.25" customHeight="1">
      <c r="A169" s="86">
        <v>1063.0</v>
      </c>
      <c r="B169" s="86" t="s">
        <v>1605</v>
      </c>
      <c r="C169" s="86">
        <v>3.0</v>
      </c>
      <c r="D169" s="86" t="s">
        <v>1864</v>
      </c>
      <c r="E169" s="86">
        <v>32.0</v>
      </c>
      <c r="G169" s="96" t="s">
        <v>1865</v>
      </c>
      <c r="I169" s="86">
        <v>9095.0</v>
      </c>
      <c r="J169" s="95" t="s">
        <v>1853</v>
      </c>
      <c r="K169" s="86" t="s">
        <v>647</v>
      </c>
      <c r="L169" s="86">
        <v>9011.0</v>
      </c>
      <c r="M169" s="86" t="s">
        <v>1460</v>
      </c>
      <c r="O169" s="86">
        <v>0.8</v>
      </c>
      <c r="P169" s="95" t="s">
        <v>1854</v>
      </c>
      <c r="Q169" s="86" t="s">
        <v>658</v>
      </c>
      <c r="R169" s="86">
        <v>9004.0</v>
      </c>
      <c r="S169" s="86">
        <v>4.0</v>
      </c>
      <c r="U169" s="86">
        <v>0.5</v>
      </c>
      <c r="V169" s="86">
        <v>70001.0</v>
      </c>
      <c r="W169" s="86">
        <v>1.0</v>
      </c>
      <c r="X169" s="86">
        <v>1.0</v>
      </c>
      <c r="Y169" s="86">
        <v>70002.0</v>
      </c>
      <c r="Z169" s="86">
        <v>1.0</v>
      </c>
      <c r="AA169" s="86">
        <v>1.0</v>
      </c>
      <c r="AB169" s="86">
        <v>1001.0</v>
      </c>
      <c r="AC169" s="86">
        <v>150.0</v>
      </c>
      <c r="AD169" s="86">
        <v>1.0</v>
      </c>
      <c r="AE169" s="86">
        <v>8000.0</v>
      </c>
      <c r="AF169" s="86">
        <v>700.0</v>
      </c>
      <c r="AG169" s="86">
        <v>1.0</v>
      </c>
    </row>
    <row r="170" ht="38.25" customHeight="1">
      <c r="A170" s="86">
        <v>1064.0</v>
      </c>
      <c r="B170" s="86" t="s">
        <v>1605</v>
      </c>
      <c r="C170" s="86">
        <v>3.0</v>
      </c>
      <c r="D170" s="86" t="s">
        <v>1867</v>
      </c>
      <c r="E170" s="86">
        <v>33.0</v>
      </c>
      <c r="G170" s="96" t="s">
        <v>1869</v>
      </c>
      <c r="I170" s="86">
        <v>9220.0</v>
      </c>
      <c r="J170" s="95" t="s">
        <v>1853</v>
      </c>
      <c r="K170" s="86" t="s">
        <v>647</v>
      </c>
      <c r="L170" s="86">
        <v>9007.0</v>
      </c>
      <c r="M170" s="86">
        <v>7.0</v>
      </c>
      <c r="O170" s="86">
        <v>0.4</v>
      </c>
      <c r="P170" s="95" t="s">
        <v>1854</v>
      </c>
      <c r="Q170" s="86" t="s">
        <v>658</v>
      </c>
      <c r="R170" s="86">
        <v>9004.0</v>
      </c>
      <c r="S170" s="86">
        <v>12.0</v>
      </c>
      <c r="U170" s="86">
        <v>0.7</v>
      </c>
      <c r="V170" s="86">
        <v>70001.0</v>
      </c>
      <c r="W170" s="86">
        <v>1.0</v>
      </c>
      <c r="X170" s="86">
        <v>1.0</v>
      </c>
      <c r="Y170" s="86">
        <v>70002.0</v>
      </c>
      <c r="Z170" s="86">
        <v>1.0</v>
      </c>
      <c r="AA170" s="86">
        <v>1.0</v>
      </c>
      <c r="AB170" s="86">
        <v>1001.0</v>
      </c>
      <c r="AC170" s="86">
        <v>150.0</v>
      </c>
      <c r="AD170" s="86">
        <v>1.0</v>
      </c>
      <c r="AE170" s="86">
        <v>8000.0</v>
      </c>
      <c r="AF170" s="86">
        <v>750.0</v>
      </c>
      <c r="AG170" s="86">
        <v>1.0</v>
      </c>
    </row>
    <row r="171" ht="38.25" customHeight="1">
      <c r="A171" s="86">
        <v>1065.0</v>
      </c>
      <c r="B171" s="86" t="s">
        <v>1605</v>
      </c>
      <c r="C171" s="86">
        <v>3.0</v>
      </c>
      <c r="D171" s="86" t="s">
        <v>1870</v>
      </c>
      <c r="E171" s="86">
        <v>33.0</v>
      </c>
      <c r="G171" s="96" t="s">
        <v>1871</v>
      </c>
      <c r="I171" s="86">
        <v>9345.0</v>
      </c>
      <c r="J171" s="95" t="s">
        <v>1853</v>
      </c>
      <c r="K171" s="86" t="s">
        <v>647</v>
      </c>
      <c r="L171" s="86">
        <v>9011.0</v>
      </c>
      <c r="M171" s="86">
        <v>4.0</v>
      </c>
      <c r="O171" s="86">
        <v>0.5</v>
      </c>
      <c r="P171" s="95" t="s">
        <v>1854</v>
      </c>
      <c r="Q171" s="86" t="s">
        <v>658</v>
      </c>
      <c r="R171" s="86">
        <v>9008.0</v>
      </c>
      <c r="S171" s="86">
        <v>12.0</v>
      </c>
      <c r="U171" s="86">
        <v>0.6</v>
      </c>
      <c r="V171" s="86">
        <v>70001.0</v>
      </c>
      <c r="W171" s="86">
        <v>1.0</v>
      </c>
      <c r="X171" s="86">
        <v>1.0</v>
      </c>
      <c r="Y171" s="86">
        <v>70002.0</v>
      </c>
      <c r="Z171" s="86">
        <v>1.0</v>
      </c>
      <c r="AA171" s="86">
        <v>1.0</v>
      </c>
      <c r="AB171" s="86">
        <v>1001.0</v>
      </c>
      <c r="AC171" s="86">
        <v>150.0</v>
      </c>
      <c r="AD171" s="86">
        <v>1.0</v>
      </c>
      <c r="AE171" s="86">
        <v>8000.0</v>
      </c>
      <c r="AF171" s="86">
        <v>750.0</v>
      </c>
      <c r="AG171" s="86">
        <v>1.0</v>
      </c>
    </row>
    <row r="172" ht="38.25" customHeight="1">
      <c r="A172" s="86">
        <v>1066.0</v>
      </c>
      <c r="B172" s="86" t="s">
        <v>1605</v>
      </c>
      <c r="C172" s="86">
        <v>3.0</v>
      </c>
      <c r="D172" s="86" t="s">
        <v>1873</v>
      </c>
      <c r="E172" s="86">
        <v>34.0</v>
      </c>
      <c r="G172" s="96" t="s">
        <v>1874</v>
      </c>
      <c r="I172" s="86">
        <v>9470.0</v>
      </c>
      <c r="J172" s="95" t="s">
        <v>1853</v>
      </c>
      <c r="K172" s="86" t="s">
        <v>647</v>
      </c>
      <c r="L172" s="86">
        <v>9012.0</v>
      </c>
      <c r="M172" s="86" t="s">
        <v>1875</v>
      </c>
      <c r="O172" s="86">
        <v>0.9</v>
      </c>
      <c r="P172" s="95" t="s">
        <v>1854</v>
      </c>
      <c r="Q172" s="86" t="s">
        <v>658</v>
      </c>
      <c r="R172" s="86">
        <v>9008.0</v>
      </c>
      <c r="S172" s="86" t="s">
        <v>1677</v>
      </c>
      <c r="U172" s="86">
        <v>0.6</v>
      </c>
      <c r="V172" s="86">
        <v>70001.0</v>
      </c>
      <c r="W172" s="86">
        <v>1.0</v>
      </c>
      <c r="X172" s="86">
        <v>1.0</v>
      </c>
      <c r="Y172" s="86">
        <v>70002.0</v>
      </c>
      <c r="Z172" s="86">
        <v>1.0</v>
      </c>
      <c r="AA172" s="86">
        <v>1.0</v>
      </c>
      <c r="AB172" s="86">
        <v>1001.0</v>
      </c>
      <c r="AC172" s="86">
        <v>150.0</v>
      </c>
      <c r="AD172" s="86">
        <v>1.0</v>
      </c>
      <c r="AE172" s="86">
        <v>8000.0</v>
      </c>
      <c r="AF172" s="86">
        <v>750.0</v>
      </c>
      <c r="AG172" s="86">
        <v>1.0</v>
      </c>
    </row>
    <row r="173" ht="38.25" customHeight="1">
      <c r="A173" s="86">
        <v>1067.0</v>
      </c>
      <c r="B173" s="86" t="s">
        <v>1605</v>
      </c>
      <c r="C173" s="86">
        <v>3.0</v>
      </c>
      <c r="D173" s="86" t="s">
        <v>1877</v>
      </c>
      <c r="E173" s="86">
        <v>34.0</v>
      </c>
      <c r="G173" s="96" t="s">
        <v>1878</v>
      </c>
      <c r="I173" s="86">
        <v>9595.0</v>
      </c>
      <c r="J173" s="95" t="s">
        <v>1853</v>
      </c>
      <c r="K173" s="86" t="s">
        <v>647</v>
      </c>
      <c r="L173" s="86">
        <v>9012.0</v>
      </c>
      <c r="M173" s="86">
        <v>6.0</v>
      </c>
      <c r="O173" s="86">
        <v>0.6</v>
      </c>
      <c r="P173" s="95" t="s">
        <v>1854</v>
      </c>
      <c r="Q173" s="86" t="s">
        <v>658</v>
      </c>
      <c r="R173" s="86">
        <v>9003.0</v>
      </c>
      <c r="S173" s="86" t="s">
        <v>1880</v>
      </c>
      <c r="U173" s="86">
        <v>0.8</v>
      </c>
      <c r="V173" s="86">
        <v>70001.0</v>
      </c>
      <c r="W173" s="86">
        <v>1.0</v>
      </c>
      <c r="X173" s="86">
        <v>1.0</v>
      </c>
      <c r="Y173" s="86">
        <v>70002.0</v>
      </c>
      <c r="Z173" s="86">
        <v>1.0</v>
      </c>
      <c r="AA173" s="86">
        <v>1.0</v>
      </c>
      <c r="AB173" s="86">
        <v>1001.0</v>
      </c>
      <c r="AC173" s="86">
        <v>150.0</v>
      </c>
      <c r="AD173" s="86">
        <v>1.0</v>
      </c>
      <c r="AE173" s="86">
        <v>8000.0</v>
      </c>
      <c r="AF173" s="86">
        <v>800.0</v>
      </c>
      <c r="AG173" s="86">
        <v>1.0</v>
      </c>
    </row>
    <row r="174" ht="38.25" customHeight="1">
      <c r="A174" s="86">
        <v>1068.0</v>
      </c>
      <c r="B174" s="86" t="s">
        <v>1605</v>
      </c>
      <c r="C174" s="86">
        <v>3.0</v>
      </c>
      <c r="D174" s="86" t="s">
        <v>1882</v>
      </c>
      <c r="E174" s="86">
        <v>35.0</v>
      </c>
      <c r="G174" s="96" t="s">
        <v>1884</v>
      </c>
      <c r="I174" s="86">
        <v>9720.0</v>
      </c>
      <c r="J174" s="95" t="s">
        <v>1853</v>
      </c>
      <c r="K174" s="86" t="s">
        <v>647</v>
      </c>
      <c r="L174" s="86">
        <v>9001.0</v>
      </c>
      <c r="M174" s="86" t="s">
        <v>1402</v>
      </c>
      <c r="O174" s="86">
        <v>0.5</v>
      </c>
      <c r="P174" s="95" t="s">
        <v>1854</v>
      </c>
      <c r="Q174" s="86" t="s">
        <v>658</v>
      </c>
      <c r="R174" s="86">
        <v>9004.0</v>
      </c>
      <c r="S174" s="86" t="s">
        <v>1885</v>
      </c>
      <c r="U174" s="86">
        <v>0.5</v>
      </c>
      <c r="V174" s="86">
        <v>70001.0</v>
      </c>
      <c r="W174" s="86">
        <v>1.0</v>
      </c>
      <c r="X174" s="86">
        <v>1.0</v>
      </c>
      <c r="Y174" s="86">
        <v>70002.0</v>
      </c>
      <c r="Z174" s="86">
        <v>1.0</v>
      </c>
      <c r="AA174" s="86">
        <v>1.0</v>
      </c>
      <c r="AB174" s="86">
        <v>1001.0</v>
      </c>
      <c r="AC174" s="86">
        <v>150.0</v>
      </c>
      <c r="AD174" s="86">
        <v>1.0</v>
      </c>
      <c r="AE174" s="86">
        <v>8000.0</v>
      </c>
      <c r="AF174" s="86">
        <v>800.0</v>
      </c>
      <c r="AG174" s="86">
        <v>1.0</v>
      </c>
    </row>
    <row r="175" ht="38.25" customHeight="1">
      <c r="A175" s="86">
        <v>1069.0</v>
      </c>
      <c r="B175" s="86" t="s">
        <v>1605</v>
      </c>
      <c r="C175" s="86">
        <v>3.0</v>
      </c>
      <c r="D175" s="86" t="s">
        <v>1886</v>
      </c>
      <c r="E175" s="86">
        <v>35.0</v>
      </c>
      <c r="G175" s="96" t="s">
        <v>1887</v>
      </c>
      <c r="I175" s="86">
        <v>9845.0</v>
      </c>
      <c r="J175" s="95" t="s">
        <v>1853</v>
      </c>
      <c r="K175" s="86" t="s">
        <v>647</v>
      </c>
      <c r="L175" s="86">
        <v>9008.0</v>
      </c>
      <c r="M175" s="86" t="s">
        <v>1128</v>
      </c>
      <c r="O175" s="86">
        <v>0.9</v>
      </c>
      <c r="P175" s="95" t="s">
        <v>1854</v>
      </c>
      <c r="Q175" s="86" t="s">
        <v>658</v>
      </c>
      <c r="R175" s="86">
        <v>9010.0</v>
      </c>
      <c r="S175" s="86" t="s">
        <v>1176</v>
      </c>
      <c r="U175" s="86">
        <v>0.2</v>
      </c>
      <c r="V175" s="86">
        <v>70001.0</v>
      </c>
      <c r="W175" s="86">
        <v>1.0</v>
      </c>
      <c r="X175" s="86">
        <v>1.0</v>
      </c>
      <c r="Y175" s="86">
        <v>70002.0</v>
      </c>
      <c r="Z175" s="86">
        <v>1.0</v>
      </c>
      <c r="AA175" s="86">
        <v>1.0</v>
      </c>
      <c r="AB175" s="86">
        <v>1001.0</v>
      </c>
      <c r="AC175" s="86">
        <v>150.0</v>
      </c>
      <c r="AD175" s="86">
        <v>1.0</v>
      </c>
      <c r="AE175" s="86">
        <v>8000.0</v>
      </c>
      <c r="AF175" s="86">
        <v>800.0</v>
      </c>
      <c r="AG175" s="86">
        <v>1.0</v>
      </c>
    </row>
    <row r="176" ht="38.25" customHeight="1">
      <c r="A176" s="86">
        <v>1070.0</v>
      </c>
      <c r="B176" s="86" t="s">
        <v>1605</v>
      </c>
      <c r="C176" s="86">
        <v>3.0</v>
      </c>
      <c r="D176" s="86" t="s">
        <v>1889</v>
      </c>
      <c r="E176" s="86">
        <v>36.0</v>
      </c>
      <c r="G176" s="96" t="s">
        <v>1890</v>
      </c>
      <c r="I176" s="86">
        <v>9970.0</v>
      </c>
      <c r="J176" s="95" t="s">
        <v>1853</v>
      </c>
      <c r="K176" s="86" t="s">
        <v>647</v>
      </c>
      <c r="L176" s="86">
        <v>9002.0</v>
      </c>
      <c r="M176" s="86" t="s">
        <v>1891</v>
      </c>
      <c r="O176" s="86">
        <v>0.7</v>
      </c>
      <c r="P176" s="95" t="s">
        <v>1854</v>
      </c>
      <c r="Q176" s="86" t="s">
        <v>658</v>
      </c>
      <c r="R176" s="86">
        <v>9007.0</v>
      </c>
      <c r="S176" s="86" t="s">
        <v>1306</v>
      </c>
      <c r="U176" s="86">
        <v>1.0</v>
      </c>
      <c r="V176" s="86">
        <v>70001.0</v>
      </c>
      <c r="W176" s="86">
        <v>1.0</v>
      </c>
      <c r="X176" s="86">
        <v>1.0</v>
      </c>
      <c r="Y176" s="86">
        <v>70002.0</v>
      </c>
      <c r="Z176" s="86">
        <v>1.0</v>
      </c>
      <c r="AA176" s="86">
        <v>1.0</v>
      </c>
      <c r="AB176" s="86">
        <v>1001.0</v>
      </c>
      <c r="AC176" s="86">
        <v>150.0</v>
      </c>
      <c r="AD176" s="86">
        <v>1.0</v>
      </c>
      <c r="AE176" s="86">
        <v>8000.0</v>
      </c>
      <c r="AF176" s="86">
        <v>800.0</v>
      </c>
      <c r="AG176" s="86">
        <v>1.0</v>
      </c>
    </row>
    <row r="177" ht="38.25" customHeight="1">
      <c r="A177" s="86">
        <v>1071.0</v>
      </c>
      <c r="B177" s="86" t="s">
        <v>1605</v>
      </c>
      <c r="C177" s="86">
        <v>3.0</v>
      </c>
      <c r="D177" s="86" t="s">
        <v>1892</v>
      </c>
      <c r="E177" s="86">
        <v>36.0</v>
      </c>
      <c r="G177" s="96" t="s">
        <v>1894</v>
      </c>
      <c r="I177" s="86">
        <v>10095.0</v>
      </c>
      <c r="J177" s="95" t="s">
        <v>1853</v>
      </c>
      <c r="K177" s="86" t="s">
        <v>647</v>
      </c>
      <c r="L177" s="86">
        <v>9005.0</v>
      </c>
      <c r="M177" s="86" t="s">
        <v>1477</v>
      </c>
      <c r="O177" s="86">
        <v>0.8</v>
      </c>
      <c r="P177" s="95" t="s">
        <v>1854</v>
      </c>
      <c r="Q177" s="86" t="s">
        <v>658</v>
      </c>
      <c r="R177" s="86">
        <v>9012.0</v>
      </c>
      <c r="S177" s="86" t="s">
        <v>1895</v>
      </c>
      <c r="U177" s="86">
        <v>0.6</v>
      </c>
      <c r="V177" s="86">
        <v>70001.0</v>
      </c>
      <c r="W177" s="86">
        <v>1.0</v>
      </c>
      <c r="X177" s="86">
        <v>1.0</v>
      </c>
      <c r="Y177" s="86">
        <v>70002.0</v>
      </c>
      <c r="Z177" s="86">
        <v>1.0</v>
      </c>
      <c r="AA177" s="86">
        <v>1.0</v>
      </c>
      <c r="AB177" s="86">
        <v>1001.0</v>
      </c>
      <c r="AC177" s="86">
        <v>150.0</v>
      </c>
      <c r="AD177" s="86">
        <v>1.0</v>
      </c>
      <c r="AE177" s="86">
        <v>8000.0</v>
      </c>
      <c r="AF177" s="86">
        <v>850.0</v>
      </c>
      <c r="AG177" s="86">
        <v>1.0</v>
      </c>
    </row>
    <row r="178" ht="38.25" customHeight="1">
      <c r="A178" s="86">
        <v>1072.0</v>
      </c>
      <c r="B178" s="86" t="s">
        <v>1605</v>
      </c>
      <c r="C178" s="86">
        <v>3.0</v>
      </c>
      <c r="D178" s="86" t="s">
        <v>1896</v>
      </c>
      <c r="E178" s="86">
        <v>37.0</v>
      </c>
      <c r="G178" s="96" t="s">
        <v>1897</v>
      </c>
      <c r="I178" s="86">
        <v>10220.0</v>
      </c>
      <c r="J178" s="95" t="s">
        <v>1853</v>
      </c>
      <c r="K178" s="86" t="s">
        <v>647</v>
      </c>
      <c r="L178" s="86">
        <v>9008.0</v>
      </c>
      <c r="M178" s="86">
        <v>6.0</v>
      </c>
      <c r="O178" s="86">
        <v>0.3</v>
      </c>
      <c r="P178" s="95" t="s">
        <v>1854</v>
      </c>
      <c r="Q178" s="86" t="s">
        <v>658</v>
      </c>
      <c r="R178" s="86">
        <v>9007.0</v>
      </c>
      <c r="S178" s="86">
        <v>1.0</v>
      </c>
      <c r="U178" s="86">
        <v>0.9</v>
      </c>
      <c r="V178" s="86">
        <v>70001.0</v>
      </c>
      <c r="W178" s="86">
        <v>1.0</v>
      </c>
      <c r="X178" s="86">
        <v>1.0</v>
      </c>
      <c r="Y178" s="86">
        <v>70002.0</v>
      </c>
      <c r="Z178" s="86">
        <v>1.0</v>
      </c>
      <c r="AA178" s="86">
        <v>1.0</v>
      </c>
      <c r="AB178" s="86">
        <v>1001.0</v>
      </c>
      <c r="AC178" s="86">
        <v>150.0</v>
      </c>
      <c r="AD178" s="86">
        <v>1.0</v>
      </c>
      <c r="AE178" s="86">
        <v>8000.0</v>
      </c>
      <c r="AF178" s="86">
        <v>850.0</v>
      </c>
      <c r="AG178" s="86">
        <v>1.0</v>
      </c>
    </row>
    <row r="179" ht="38.25" customHeight="1">
      <c r="A179" s="86">
        <v>1073.0</v>
      </c>
      <c r="B179" s="86" t="s">
        <v>1605</v>
      </c>
      <c r="C179" s="86">
        <v>3.0</v>
      </c>
      <c r="D179" s="86" t="s">
        <v>1899</v>
      </c>
      <c r="E179" s="86">
        <v>37.0</v>
      </c>
      <c r="G179" s="96" t="s">
        <v>1900</v>
      </c>
      <c r="I179" s="86">
        <v>10345.0</v>
      </c>
      <c r="J179" s="95" t="s">
        <v>1853</v>
      </c>
      <c r="K179" s="86" t="s">
        <v>647</v>
      </c>
      <c r="L179" s="86">
        <v>9002.0</v>
      </c>
      <c r="M179" s="86">
        <v>4.0</v>
      </c>
      <c r="O179" s="86">
        <v>0.9</v>
      </c>
      <c r="P179" s="95" t="s">
        <v>1854</v>
      </c>
      <c r="Q179" s="86" t="s">
        <v>658</v>
      </c>
      <c r="R179" s="86">
        <v>9004.0</v>
      </c>
      <c r="S179" s="86">
        <v>6.0</v>
      </c>
      <c r="U179" s="86">
        <v>0.8</v>
      </c>
      <c r="V179" s="86">
        <v>70001.0</v>
      </c>
      <c r="W179" s="86">
        <v>1.0</v>
      </c>
      <c r="X179" s="86">
        <v>1.0</v>
      </c>
      <c r="Y179" s="86">
        <v>70002.0</v>
      </c>
      <c r="Z179" s="86">
        <v>1.0</v>
      </c>
      <c r="AA179" s="86">
        <v>1.0</v>
      </c>
      <c r="AB179" s="86">
        <v>1001.0</v>
      </c>
      <c r="AC179" s="86">
        <v>150.0</v>
      </c>
      <c r="AD179" s="86">
        <v>1.0</v>
      </c>
      <c r="AE179" s="86">
        <v>8000.0</v>
      </c>
      <c r="AF179" s="86">
        <v>850.0</v>
      </c>
      <c r="AG179" s="86">
        <v>1.0</v>
      </c>
    </row>
    <row r="180" ht="38.25" customHeight="1">
      <c r="A180" s="86">
        <v>1074.0</v>
      </c>
      <c r="B180" s="86" t="s">
        <v>1605</v>
      </c>
      <c r="C180" s="86">
        <v>3.0</v>
      </c>
      <c r="D180" s="86" t="s">
        <v>1901</v>
      </c>
      <c r="E180" s="86">
        <v>38.0</v>
      </c>
      <c r="G180" s="96" t="s">
        <v>1902</v>
      </c>
      <c r="I180" s="86">
        <v>10470.0</v>
      </c>
      <c r="J180" s="95" t="s">
        <v>1853</v>
      </c>
      <c r="K180" s="86" t="s">
        <v>647</v>
      </c>
      <c r="L180" s="86">
        <v>9011.0</v>
      </c>
      <c r="M180" s="86">
        <v>13.0</v>
      </c>
      <c r="O180" s="86">
        <v>0.4</v>
      </c>
      <c r="P180" s="95" t="s">
        <v>1854</v>
      </c>
      <c r="Q180" s="86" t="s">
        <v>658</v>
      </c>
      <c r="R180" s="86">
        <v>9007.0</v>
      </c>
      <c r="S180" s="86">
        <v>3.0</v>
      </c>
      <c r="U180" s="86">
        <v>0.3</v>
      </c>
      <c r="V180" s="86">
        <v>70001.0</v>
      </c>
      <c r="W180" s="86">
        <v>1.0</v>
      </c>
      <c r="X180" s="86">
        <v>1.0</v>
      </c>
      <c r="Y180" s="86">
        <v>70002.0</v>
      </c>
      <c r="Z180" s="86">
        <v>1.0</v>
      </c>
      <c r="AA180" s="86">
        <v>1.0</v>
      </c>
      <c r="AB180" s="86">
        <v>1001.0</v>
      </c>
      <c r="AC180" s="86">
        <v>150.0</v>
      </c>
      <c r="AD180" s="86">
        <v>1.0</v>
      </c>
      <c r="AE180" s="86">
        <v>8000.0</v>
      </c>
      <c r="AF180" s="86">
        <v>900.0</v>
      </c>
      <c r="AG180" s="86">
        <v>1.0</v>
      </c>
    </row>
    <row r="181" ht="38.25" customHeight="1">
      <c r="A181" s="86">
        <v>1075.0</v>
      </c>
      <c r="B181" s="86" t="s">
        <v>1605</v>
      </c>
      <c r="C181" s="86">
        <v>3.0</v>
      </c>
      <c r="D181" s="86" t="s">
        <v>1904</v>
      </c>
      <c r="E181" s="86">
        <v>38.0</v>
      </c>
      <c r="G181" s="96" t="s">
        <v>1905</v>
      </c>
      <c r="I181" s="86">
        <v>10595.0</v>
      </c>
      <c r="J181" s="95" t="s">
        <v>1853</v>
      </c>
      <c r="K181" s="86" t="s">
        <v>647</v>
      </c>
      <c r="L181" s="86">
        <v>9005.0</v>
      </c>
      <c r="M181" s="86" t="s">
        <v>1190</v>
      </c>
      <c r="O181" s="86">
        <v>0.7</v>
      </c>
      <c r="P181" s="95" t="s">
        <v>1854</v>
      </c>
      <c r="Q181" s="86" t="s">
        <v>658</v>
      </c>
      <c r="R181" s="86">
        <v>9004.0</v>
      </c>
      <c r="S181" s="86" t="s">
        <v>1906</v>
      </c>
      <c r="U181" s="86">
        <v>0.7</v>
      </c>
      <c r="V181" s="86">
        <v>70001.0</v>
      </c>
      <c r="W181" s="86">
        <v>1.0</v>
      </c>
      <c r="X181" s="86">
        <v>1.0</v>
      </c>
      <c r="Y181" s="86">
        <v>70002.0</v>
      </c>
      <c r="Z181" s="86">
        <v>1.0</v>
      </c>
      <c r="AA181" s="86">
        <v>1.0</v>
      </c>
      <c r="AB181" s="86">
        <v>1001.0</v>
      </c>
      <c r="AC181" s="86">
        <v>150.0</v>
      </c>
      <c r="AD181" s="86">
        <v>1.0</v>
      </c>
      <c r="AE181" s="86">
        <v>8000.0</v>
      </c>
      <c r="AF181" s="86">
        <v>900.0</v>
      </c>
      <c r="AG181" s="86">
        <v>1.0</v>
      </c>
    </row>
    <row r="182" ht="38.25" customHeight="1">
      <c r="A182" s="86">
        <v>1076.0</v>
      </c>
      <c r="B182" s="86" t="s">
        <v>1605</v>
      </c>
      <c r="C182" s="86">
        <v>3.0</v>
      </c>
      <c r="D182" s="86" t="s">
        <v>1907</v>
      </c>
      <c r="E182" s="86">
        <v>39.0</v>
      </c>
      <c r="G182" s="96" t="s">
        <v>1909</v>
      </c>
      <c r="I182" s="86">
        <v>10720.0</v>
      </c>
      <c r="J182" s="95" t="s">
        <v>1853</v>
      </c>
      <c r="K182" s="86" t="s">
        <v>647</v>
      </c>
      <c r="L182" s="86">
        <v>9006.0</v>
      </c>
      <c r="M182" s="86">
        <v>11.0</v>
      </c>
      <c r="O182" s="86">
        <v>0.2</v>
      </c>
      <c r="P182" s="95" t="s">
        <v>1854</v>
      </c>
      <c r="Q182" s="86" t="s">
        <v>658</v>
      </c>
      <c r="R182" s="86">
        <v>9007.0</v>
      </c>
      <c r="S182" s="86">
        <v>13.0</v>
      </c>
      <c r="U182" s="86">
        <v>0.3</v>
      </c>
      <c r="V182" s="86">
        <v>70001.0</v>
      </c>
      <c r="W182" s="86">
        <v>1.0</v>
      </c>
      <c r="X182" s="86">
        <v>1.0</v>
      </c>
      <c r="Y182" s="86">
        <v>70002.0</v>
      </c>
      <c r="Z182" s="86">
        <v>1.0</v>
      </c>
      <c r="AA182" s="86">
        <v>1.0</v>
      </c>
      <c r="AB182" s="86">
        <v>1001.0</v>
      </c>
      <c r="AC182" s="86">
        <v>150.0</v>
      </c>
      <c r="AD182" s="86">
        <v>1.0</v>
      </c>
      <c r="AE182" s="86">
        <v>8000.0</v>
      </c>
      <c r="AF182" s="86">
        <v>900.0</v>
      </c>
      <c r="AG182" s="86">
        <v>1.0</v>
      </c>
    </row>
    <row r="183" ht="38.25" customHeight="1">
      <c r="A183" s="86">
        <v>1077.0</v>
      </c>
      <c r="B183" s="86" t="s">
        <v>1605</v>
      </c>
      <c r="C183" s="86">
        <v>3.0</v>
      </c>
      <c r="D183" s="86" t="s">
        <v>1910</v>
      </c>
      <c r="E183" s="86">
        <v>39.0</v>
      </c>
      <c r="G183" s="96" t="s">
        <v>1911</v>
      </c>
      <c r="I183" s="86">
        <v>10845.0</v>
      </c>
      <c r="J183" s="95" t="s">
        <v>1853</v>
      </c>
      <c r="K183" s="86" t="s">
        <v>647</v>
      </c>
      <c r="L183" s="86">
        <v>9012.0</v>
      </c>
      <c r="M183" s="86" t="s">
        <v>1700</v>
      </c>
      <c r="O183" s="86">
        <v>0.6</v>
      </c>
      <c r="P183" s="95" t="s">
        <v>1854</v>
      </c>
      <c r="Q183" s="86" t="s">
        <v>658</v>
      </c>
      <c r="R183" s="86">
        <v>9004.0</v>
      </c>
      <c r="S183" s="86" t="s">
        <v>1913</v>
      </c>
      <c r="U183" s="86">
        <v>0.4</v>
      </c>
      <c r="V183" s="86">
        <v>70001.0</v>
      </c>
      <c r="W183" s="86">
        <v>1.0</v>
      </c>
      <c r="X183" s="86">
        <v>1.0</v>
      </c>
      <c r="Y183" s="86">
        <v>70002.0</v>
      </c>
      <c r="Z183" s="86">
        <v>1.0</v>
      </c>
      <c r="AA183" s="86">
        <v>1.0</v>
      </c>
      <c r="AB183" s="86">
        <v>1001.0</v>
      </c>
      <c r="AC183" s="86">
        <v>150.0</v>
      </c>
      <c r="AD183" s="86">
        <v>1.0</v>
      </c>
      <c r="AE183" s="86">
        <v>8000.0</v>
      </c>
      <c r="AF183" s="86">
        <v>950.0</v>
      </c>
      <c r="AG183" s="86">
        <v>1.0</v>
      </c>
    </row>
    <row r="184" ht="38.25" customHeight="1">
      <c r="A184" s="86">
        <v>1078.0</v>
      </c>
      <c r="B184" s="86" t="s">
        <v>1605</v>
      </c>
      <c r="C184" s="86">
        <v>3.0</v>
      </c>
      <c r="D184" s="86" t="s">
        <v>1915</v>
      </c>
      <c r="E184" s="86">
        <v>40.0</v>
      </c>
      <c r="G184" s="96" t="s">
        <v>1917</v>
      </c>
      <c r="I184" s="86">
        <v>10970.0</v>
      </c>
      <c r="J184" s="95" t="s">
        <v>1853</v>
      </c>
      <c r="K184" s="86" t="s">
        <v>647</v>
      </c>
      <c r="L184" s="86">
        <v>9008.0</v>
      </c>
      <c r="M184" s="86" t="s">
        <v>1726</v>
      </c>
      <c r="O184" s="86">
        <v>0.7</v>
      </c>
      <c r="P184" s="95" t="s">
        <v>1854</v>
      </c>
      <c r="Q184" s="86" t="s">
        <v>658</v>
      </c>
      <c r="R184" s="86">
        <v>9003.0</v>
      </c>
      <c r="S184" s="86" t="s">
        <v>1217</v>
      </c>
      <c r="U184" s="86">
        <v>0.5</v>
      </c>
      <c r="V184" s="86">
        <v>70001.0</v>
      </c>
      <c r="W184" s="86">
        <v>1.0</v>
      </c>
      <c r="X184" s="86">
        <v>1.0</v>
      </c>
      <c r="Y184" s="86">
        <v>70002.0</v>
      </c>
      <c r="Z184" s="86">
        <v>1.0</v>
      </c>
      <c r="AA184" s="86">
        <v>1.0</v>
      </c>
      <c r="AB184" s="86">
        <v>1001.0</v>
      </c>
      <c r="AC184" s="86">
        <v>150.0</v>
      </c>
      <c r="AD184" s="86">
        <v>1.0</v>
      </c>
      <c r="AE184" s="86">
        <v>8000.0</v>
      </c>
      <c r="AF184" s="86">
        <v>950.0</v>
      </c>
      <c r="AG184" s="86">
        <v>1.0</v>
      </c>
    </row>
    <row r="185" ht="38.25" customHeight="1">
      <c r="A185" s="86">
        <v>1079.0</v>
      </c>
      <c r="B185" s="86" t="s">
        <v>1605</v>
      </c>
      <c r="C185" s="86">
        <v>3.0</v>
      </c>
      <c r="D185" s="86" t="s">
        <v>1920</v>
      </c>
      <c r="E185" s="86">
        <v>40.0</v>
      </c>
      <c r="G185" s="96" t="s">
        <v>1921</v>
      </c>
      <c r="I185" s="86">
        <v>11095.0</v>
      </c>
      <c r="J185" s="95" t="s">
        <v>1853</v>
      </c>
      <c r="K185" s="86" t="s">
        <v>647</v>
      </c>
      <c r="L185" s="86">
        <v>9012.0</v>
      </c>
      <c r="M185" s="86" t="s">
        <v>1922</v>
      </c>
      <c r="O185" s="86">
        <v>0.6</v>
      </c>
      <c r="P185" s="95" t="s">
        <v>1854</v>
      </c>
      <c r="Q185" s="86" t="s">
        <v>658</v>
      </c>
      <c r="R185" s="86">
        <v>9008.0</v>
      </c>
      <c r="S185" s="86" t="s">
        <v>1689</v>
      </c>
      <c r="U185" s="86">
        <v>1.0</v>
      </c>
      <c r="V185" s="86">
        <v>70001.0</v>
      </c>
      <c r="W185" s="86">
        <v>1.0</v>
      </c>
      <c r="X185" s="86">
        <v>1.0</v>
      </c>
      <c r="Y185" s="86">
        <v>70002.0</v>
      </c>
      <c r="Z185" s="86">
        <v>1.0</v>
      </c>
      <c r="AA185" s="86">
        <v>1.0</v>
      </c>
      <c r="AB185" s="86">
        <v>1001.0</v>
      </c>
      <c r="AC185" s="86">
        <v>150.0</v>
      </c>
      <c r="AD185" s="86">
        <v>1.0</v>
      </c>
      <c r="AE185" s="86">
        <v>8000.0</v>
      </c>
      <c r="AF185" s="86">
        <v>950.0</v>
      </c>
      <c r="AG185" s="86">
        <v>1.0</v>
      </c>
    </row>
    <row r="186" ht="38.25" customHeight="1">
      <c r="A186" s="86">
        <v>1080.0</v>
      </c>
      <c r="B186" s="86" t="s">
        <v>1605</v>
      </c>
      <c r="C186" s="86">
        <v>3.0</v>
      </c>
      <c r="D186" s="86" t="s">
        <v>1923</v>
      </c>
      <c r="E186" s="86">
        <v>41.0</v>
      </c>
      <c r="G186" s="96" t="s">
        <v>1926</v>
      </c>
      <c r="I186" s="86">
        <v>11220.0</v>
      </c>
      <c r="J186" s="95" t="s">
        <v>1853</v>
      </c>
      <c r="K186" s="86" t="s">
        <v>647</v>
      </c>
      <c r="L186" s="86">
        <v>9006.0</v>
      </c>
      <c r="M186" s="86" t="s">
        <v>1128</v>
      </c>
      <c r="O186" s="86">
        <v>0.6</v>
      </c>
      <c r="P186" s="95" t="s">
        <v>1854</v>
      </c>
      <c r="Q186" s="86" t="s">
        <v>658</v>
      </c>
      <c r="R186" s="86">
        <v>9008.0</v>
      </c>
      <c r="S186" s="86" t="s">
        <v>1114</v>
      </c>
      <c r="U186" s="86">
        <v>0.4</v>
      </c>
      <c r="V186" s="86">
        <v>70001.0</v>
      </c>
      <c r="W186" s="86">
        <v>1.0</v>
      </c>
      <c r="X186" s="86">
        <v>1.0</v>
      </c>
      <c r="Y186" s="86">
        <v>70002.0</v>
      </c>
      <c r="Z186" s="86">
        <v>1.0</v>
      </c>
      <c r="AA186" s="86">
        <v>1.0</v>
      </c>
      <c r="AB186" s="86">
        <v>1001.0</v>
      </c>
      <c r="AC186" s="86">
        <v>150.0</v>
      </c>
      <c r="AD186" s="86">
        <v>1.0</v>
      </c>
      <c r="AE186" s="86">
        <v>8000.0</v>
      </c>
      <c r="AF186" s="86">
        <v>1000.0</v>
      </c>
      <c r="AG186" s="86">
        <v>1.0</v>
      </c>
    </row>
    <row r="187" ht="38.25" customHeight="1">
      <c r="A187" s="86">
        <v>1081.0</v>
      </c>
      <c r="B187" s="86" t="s">
        <v>1605</v>
      </c>
      <c r="C187" s="86">
        <v>3.0</v>
      </c>
      <c r="D187" s="86" t="s">
        <v>1930</v>
      </c>
      <c r="E187" s="86">
        <v>41.0</v>
      </c>
      <c r="G187" s="96" t="s">
        <v>1931</v>
      </c>
      <c r="I187" s="86">
        <v>11345.0</v>
      </c>
      <c r="J187" s="95" t="s">
        <v>1853</v>
      </c>
      <c r="K187" s="86" t="s">
        <v>647</v>
      </c>
      <c r="L187" s="86">
        <v>9002.0</v>
      </c>
      <c r="M187" s="86" t="s">
        <v>1312</v>
      </c>
      <c r="O187" s="86">
        <v>0.9</v>
      </c>
      <c r="P187" s="95" t="s">
        <v>1854</v>
      </c>
      <c r="Q187" s="86" t="s">
        <v>658</v>
      </c>
      <c r="R187" s="86">
        <v>9003.0</v>
      </c>
      <c r="S187" s="86" t="s">
        <v>1933</v>
      </c>
      <c r="U187" s="86">
        <v>0.2</v>
      </c>
      <c r="V187" s="86">
        <v>70001.0</v>
      </c>
      <c r="W187" s="86">
        <v>1.0</v>
      </c>
      <c r="X187" s="86">
        <v>1.0</v>
      </c>
      <c r="Y187" s="86">
        <v>70002.0</v>
      </c>
      <c r="Z187" s="86">
        <v>1.0</v>
      </c>
      <c r="AA187" s="86">
        <v>1.0</v>
      </c>
      <c r="AB187" s="86">
        <v>1001.0</v>
      </c>
      <c r="AC187" s="86">
        <v>150.0</v>
      </c>
      <c r="AD187" s="86">
        <v>1.0</v>
      </c>
      <c r="AE187" s="86">
        <v>8000.0</v>
      </c>
      <c r="AF187" s="86">
        <v>1000.0</v>
      </c>
      <c r="AG187" s="86">
        <v>1.0</v>
      </c>
    </row>
    <row r="188" ht="38.25" customHeight="1">
      <c r="A188" s="86">
        <v>1082.0</v>
      </c>
      <c r="B188" s="86" t="s">
        <v>1605</v>
      </c>
      <c r="C188" s="86">
        <v>3.0</v>
      </c>
      <c r="D188" s="86" t="s">
        <v>1936</v>
      </c>
      <c r="E188" s="86">
        <v>42.0</v>
      </c>
      <c r="G188" s="96" t="s">
        <v>1937</v>
      </c>
      <c r="I188" s="86">
        <v>11470.0</v>
      </c>
      <c r="J188" s="95" t="s">
        <v>1853</v>
      </c>
      <c r="K188" s="86" t="s">
        <v>647</v>
      </c>
      <c r="L188" s="86">
        <v>9001.0</v>
      </c>
      <c r="M188" s="86" t="s">
        <v>1939</v>
      </c>
      <c r="O188" s="86">
        <v>0.5</v>
      </c>
      <c r="P188" s="95" t="s">
        <v>1854</v>
      </c>
      <c r="Q188" s="86" t="s">
        <v>658</v>
      </c>
      <c r="R188" s="86">
        <v>9008.0</v>
      </c>
      <c r="S188" s="86" t="s">
        <v>1940</v>
      </c>
      <c r="U188" s="86">
        <v>0.2</v>
      </c>
      <c r="V188" s="86">
        <v>70001.0</v>
      </c>
      <c r="W188" s="86">
        <v>1.0</v>
      </c>
      <c r="X188" s="86">
        <v>1.0</v>
      </c>
      <c r="Y188" s="86">
        <v>70002.0</v>
      </c>
      <c r="Z188" s="86">
        <v>1.0</v>
      </c>
      <c r="AA188" s="86">
        <v>1.0</v>
      </c>
      <c r="AB188" s="86">
        <v>1001.0</v>
      </c>
      <c r="AC188" s="86">
        <v>150.0</v>
      </c>
      <c r="AD188" s="86">
        <v>1.0</v>
      </c>
      <c r="AE188" s="86">
        <v>8000.0</v>
      </c>
      <c r="AF188" s="86">
        <v>1000.0</v>
      </c>
      <c r="AG188" s="86">
        <v>1.0</v>
      </c>
    </row>
    <row r="189" ht="38.25" customHeight="1">
      <c r="A189" s="86">
        <v>1083.0</v>
      </c>
      <c r="B189" s="86" t="s">
        <v>1605</v>
      </c>
      <c r="C189" s="86">
        <v>3.0</v>
      </c>
      <c r="D189" s="86" t="s">
        <v>1942</v>
      </c>
      <c r="E189" s="86">
        <v>42.0</v>
      </c>
      <c r="G189" s="96" t="s">
        <v>1945</v>
      </c>
      <c r="I189" s="86">
        <v>11595.0</v>
      </c>
      <c r="J189" s="95" t="s">
        <v>1853</v>
      </c>
      <c r="K189" s="86" t="s">
        <v>647</v>
      </c>
      <c r="L189" s="86">
        <v>9001.0</v>
      </c>
      <c r="M189" s="86" t="s">
        <v>1287</v>
      </c>
      <c r="O189" s="86">
        <v>0.9</v>
      </c>
      <c r="P189" s="95" t="s">
        <v>1854</v>
      </c>
      <c r="Q189" s="86" t="s">
        <v>658</v>
      </c>
      <c r="R189" s="86">
        <v>9010.0</v>
      </c>
      <c r="S189" s="86" t="s">
        <v>1946</v>
      </c>
      <c r="U189" s="86">
        <v>0.8</v>
      </c>
      <c r="V189" s="86">
        <v>70001.0</v>
      </c>
      <c r="W189" s="86">
        <v>1.0</v>
      </c>
      <c r="X189" s="86">
        <v>1.0</v>
      </c>
      <c r="Y189" s="86">
        <v>70002.0</v>
      </c>
      <c r="Z189" s="86">
        <v>1.0</v>
      </c>
      <c r="AA189" s="86">
        <v>1.0</v>
      </c>
      <c r="AB189" s="86">
        <v>1001.0</v>
      </c>
      <c r="AC189" s="86">
        <v>150.0</v>
      </c>
      <c r="AD189" s="86">
        <v>1.0</v>
      </c>
      <c r="AE189" s="86">
        <v>8000.0</v>
      </c>
      <c r="AF189" s="86">
        <v>1050.0</v>
      </c>
      <c r="AG189" s="86">
        <v>1.0</v>
      </c>
    </row>
    <row r="190" ht="38.25" customHeight="1">
      <c r="A190" s="86">
        <v>1084.0</v>
      </c>
      <c r="B190" s="86" t="s">
        <v>1605</v>
      </c>
      <c r="C190" s="86">
        <v>3.0</v>
      </c>
      <c r="D190" s="86" t="s">
        <v>1947</v>
      </c>
      <c r="E190" s="86">
        <v>43.0</v>
      </c>
      <c r="G190" s="96" t="s">
        <v>1948</v>
      </c>
      <c r="I190" s="86">
        <v>11720.0</v>
      </c>
      <c r="J190" s="95" t="s">
        <v>1853</v>
      </c>
      <c r="K190" s="86" t="s">
        <v>647</v>
      </c>
      <c r="L190" s="86">
        <v>9006.0</v>
      </c>
      <c r="M190" s="86">
        <v>2.0</v>
      </c>
      <c r="O190" s="86">
        <v>0.6</v>
      </c>
      <c r="P190" s="95" t="s">
        <v>1854</v>
      </c>
      <c r="Q190" s="86" t="s">
        <v>658</v>
      </c>
      <c r="R190" s="86">
        <v>9012.0</v>
      </c>
      <c r="S190" s="86" t="s">
        <v>1504</v>
      </c>
      <c r="U190" s="86">
        <v>0.5</v>
      </c>
      <c r="V190" s="86">
        <v>70001.0</v>
      </c>
      <c r="W190" s="86">
        <v>1.0</v>
      </c>
      <c r="X190" s="86">
        <v>1.0</v>
      </c>
      <c r="Y190" s="86">
        <v>70002.0</v>
      </c>
      <c r="Z190" s="86">
        <v>1.0</v>
      </c>
      <c r="AA190" s="86">
        <v>1.0</v>
      </c>
      <c r="AB190" s="86">
        <v>1001.0</v>
      </c>
      <c r="AC190" s="86">
        <v>150.0</v>
      </c>
      <c r="AD190" s="86">
        <v>1.0</v>
      </c>
      <c r="AE190" s="86">
        <v>8000.0</v>
      </c>
      <c r="AF190" s="86">
        <v>1050.0</v>
      </c>
      <c r="AG190" s="86">
        <v>1.0</v>
      </c>
    </row>
    <row r="191" ht="38.25" customHeight="1">
      <c r="A191" s="86">
        <v>1085.0</v>
      </c>
      <c r="B191" s="86" t="s">
        <v>1605</v>
      </c>
      <c r="C191" s="86">
        <v>3.0</v>
      </c>
      <c r="D191" s="86" t="s">
        <v>1950</v>
      </c>
      <c r="E191" s="86">
        <v>43.0</v>
      </c>
      <c r="G191" s="96" t="s">
        <v>1951</v>
      </c>
      <c r="I191" s="86">
        <v>11845.0</v>
      </c>
      <c r="J191" s="95" t="s">
        <v>1853</v>
      </c>
      <c r="K191" s="86" t="s">
        <v>647</v>
      </c>
      <c r="L191" s="86">
        <v>9011.0</v>
      </c>
      <c r="M191" s="86" t="s">
        <v>1282</v>
      </c>
      <c r="O191" s="86">
        <v>1.0</v>
      </c>
      <c r="P191" s="95" t="s">
        <v>1854</v>
      </c>
      <c r="Q191" s="86" t="s">
        <v>658</v>
      </c>
      <c r="R191" s="86">
        <v>9010.0</v>
      </c>
      <c r="S191" s="86" t="s">
        <v>1667</v>
      </c>
      <c r="U191" s="86">
        <v>0.9</v>
      </c>
      <c r="V191" s="86">
        <v>70001.0</v>
      </c>
      <c r="W191" s="86">
        <v>1.0</v>
      </c>
      <c r="X191" s="86">
        <v>1.0</v>
      </c>
      <c r="Y191" s="86">
        <v>70002.0</v>
      </c>
      <c r="Z191" s="86">
        <v>1.0</v>
      </c>
      <c r="AA191" s="86">
        <v>1.0</v>
      </c>
      <c r="AB191" s="86">
        <v>1001.0</v>
      </c>
      <c r="AC191" s="86">
        <v>150.0</v>
      </c>
      <c r="AD191" s="86">
        <v>1.0</v>
      </c>
      <c r="AE191" s="86">
        <v>8000.0</v>
      </c>
      <c r="AF191" s="86">
        <v>1050.0</v>
      </c>
      <c r="AG191" s="86">
        <v>1.0</v>
      </c>
    </row>
    <row r="192" ht="38.25" customHeight="1">
      <c r="A192" s="86">
        <v>1086.0</v>
      </c>
      <c r="B192" s="86" t="s">
        <v>1605</v>
      </c>
      <c r="C192" s="86">
        <v>3.0</v>
      </c>
      <c r="D192" s="86" t="s">
        <v>1955</v>
      </c>
      <c r="E192" s="86">
        <v>44.0</v>
      </c>
      <c r="G192" s="96" t="s">
        <v>1956</v>
      </c>
      <c r="I192" s="86">
        <v>11970.0</v>
      </c>
      <c r="J192" s="95" t="s">
        <v>1853</v>
      </c>
      <c r="K192" s="86" t="s">
        <v>647</v>
      </c>
      <c r="L192" s="86">
        <v>9011.0</v>
      </c>
      <c r="M192" s="86" t="s">
        <v>1421</v>
      </c>
      <c r="O192" s="86">
        <v>0.8</v>
      </c>
      <c r="P192" s="95" t="s">
        <v>1854</v>
      </c>
      <c r="Q192" s="86" t="s">
        <v>658</v>
      </c>
      <c r="R192" s="86">
        <v>9011.0</v>
      </c>
      <c r="S192" s="86" t="s">
        <v>1960</v>
      </c>
      <c r="U192" s="86">
        <v>0.9</v>
      </c>
      <c r="V192" s="86">
        <v>70001.0</v>
      </c>
      <c r="W192" s="86">
        <v>1.0</v>
      </c>
      <c r="X192" s="86">
        <v>1.0</v>
      </c>
      <c r="Y192" s="86">
        <v>70002.0</v>
      </c>
      <c r="Z192" s="86">
        <v>1.0</v>
      </c>
      <c r="AA192" s="86">
        <v>1.0</v>
      </c>
      <c r="AB192" s="86">
        <v>1001.0</v>
      </c>
      <c r="AC192" s="86">
        <v>150.0</v>
      </c>
      <c r="AD192" s="86">
        <v>1.0</v>
      </c>
      <c r="AE192" s="86">
        <v>8000.0</v>
      </c>
      <c r="AF192" s="86">
        <v>1100.0</v>
      </c>
      <c r="AG192" s="86">
        <v>1.0</v>
      </c>
    </row>
    <row r="193" ht="38.25" customHeight="1">
      <c r="A193" s="86">
        <v>1087.0</v>
      </c>
      <c r="B193" s="86" t="s">
        <v>1605</v>
      </c>
      <c r="C193" s="86">
        <v>3.0</v>
      </c>
      <c r="D193" s="86" t="s">
        <v>1963</v>
      </c>
      <c r="E193" s="86">
        <v>44.0</v>
      </c>
      <c r="G193" s="96" t="s">
        <v>1964</v>
      </c>
      <c r="I193" s="86">
        <v>12095.0</v>
      </c>
      <c r="J193" s="95" t="s">
        <v>1853</v>
      </c>
      <c r="K193" s="86" t="s">
        <v>647</v>
      </c>
      <c r="L193" s="86">
        <v>9006.0</v>
      </c>
      <c r="M193" s="86" t="s">
        <v>1668</v>
      </c>
      <c r="O193" s="86">
        <v>0.3</v>
      </c>
      <c r="P193" s="95" t="s">
        <v>1854</v>
      </c>
      <c r="Q193" s="86" t="s">
        <v>658</v>
      </c>
      <c r="R193" s="86">
        <v>9003.0</v>
      </c>
      <c r="S193" s="86">
        <v>11.0</v>
      </c>
      <c r="U193" s="86">
        <v>0.6</v>
      </c>
      <c r="V193" s="86">
        <v>70001.0</v>
      </c>
      <c r="W193" s="86">
        <v>1.0</v>
      </c>
      <c r="X193" s="86">
        <v>1.0</v>
      </c>
      <c r="Y193" s="86">
        <v>70002.0</v>
      </c>
      <c r="Z193" s="86">
        <v>1.0</v>
      </c>
      <c r="AA193" s="86">
        <v>1.0</v>
      </c>
      <c r="AB193" s="86">
        <v>1001.0</v>
      </c>
      <c r="AC193" s="86">
        <v>150.0</v>
      </c>
      <c r="AD193" s="86">
        <v>1.0</v>
      </c>
      <c r="AE193" s="86">
        <v>8000.0</v>
      </c>
      <c r="AF193" s="86">
        <v>1100.0</v>
      </c>
      <c r="AG193" s="86">
        <v>1.0</v>
      </c>
    </row>
    <row r="194" ht="38.25" customHeight="1">
      <c r="A194" s="86">
        <v>1088.0</v>
      </c>
      <c r="B194" s="86" t="s">
        <v>1605</v>
      </c>
      <c r="C194" s="86">
        <v>3.0</v>
      </c>
      <c r="D194" s="86" t="s">
        <v>1967</v>
      </c>
      <c r="E194" s="86">
        <v>45.0</v>
      </c>
      <c r="G194" s="96" t="s">
        <v>1968</v>
      </c>
      <c r="I194" s="86">
        <v>12220.0</v>
      </c>
      <c r="J194" s="95" t="s">
        <v>1853</v>
      </c>
      <c r="K194" s="86" t="s">
        <v>647</v>
      </c>
      <c r="L194" s="86">
        <v>9001.0</v>
      </c>
      <c r="M194" s="86">
        <v>8.0</v>
      </c>
      <c r="O194" s="86">
        <v>0.6</v>
      </c>
      <c r="P194" s="95" t="s">
        <v>1854</v>
      </c>
      <c r="Q194" s="86" t="s">
        <v>658</v>
      </c>
      <c r="R194" s="86">
        <v>9010.0</v>
      </c>
      <c r="S194" s="86" t="s">
        <v>1437</v>
      </c>
      <c r="U194" s="86">
        <v>0.5</v>
      </c>
      <c r="V194" s="86">
        <v>70001.0</v>
      </c>
      <c r="W194" s="86">
        <v>1.0</v>
      </c>
      <c r="X194" s="86">
        <v>1.0</v>
      </c>
      <c r="Y194" s="86">
        <v>70002.0</v>
      </c>
      <c r="Z194" s="86">
        <v>1.0</v>
      </c>
      <c r="AA194" s="86">
        <v>1.0</v>
      </c>
      <c r="AB194" s="86">
        <v>1001.0</v>
      </c>
      <c r="AC194" s="86">
        <v>150.0</v>
      </c>
      <c r="AD194" s="86">
        <v>1.0</v>
      </c>
      <c r="AE194" s="86">
        <v>8000.0</v>
      </c>
      <c r="AF194" s="86">
        <v>1100.0</v>
      </c>
      <c r="AG194" s="86">
        <v>1.0</v>
      </c>
    </row>
    <row r="195" ht="38.25" customHeight="1">
      <c r="A195" s="86">
        <v>1089.0</v>
      </c>
      <c r="B195" s="86" t="s">
        <v>1605</v>
      </c>
      <c r="C195" s="86">
        <v>3.0</v>
      </c>
      <c r="D195" s="86" t="s">
        <v>1973</v>
      </c>
      <c r="E195" s="86">
        <v>45.0</v>
      </c>
      <c r="G195" s="96" t="s">
        <v>1974</v>
      </c>
      <c r="I195" s="86">
        <v>12345.0</v>
      </c>
      <c r="J195" s="95" t="s">
        <v>1853</v>
      </c>
      <c r="K195" s="86" t="s">
        <v>647</v>
      </c>
      <c r="L195" s="86">
        <v>9012.0</v>
      </c>
      <c r="M195" s="86">
        <v>5.0</v>
      </c>
      <c r="O195" s="86">
        <v>0.5</v>
      </c>
      <c r="P195" s="95" t="s">
        <v>1854</v>
      </c>
      <c r="Q195" s="86" t="s">
        <v>658</v>
      </c>
      <c r="R195" s="86">
        <v>9010.0</v>
      </c>
      <c r="S195" s="86" t="s">
        <v>1271</v>
      </c>
      <c r="U195" s="86">
        <v>0.7</v>
      </c>
      <c r="V195" s="86">
        <v>70001.0</v>
      </c>
      <c r="W195" s="86">
        <v>1.0</v>
      </c>
      <c r="X195" s="86">
        <v>1.0</v>
      </c>
      <c r="Y195" s="86">
        <v>70002.0</v>
      </c>
      <c r="Z195" s="86">
        <v>1.0</v>
      </c>
      <c r="AA195" s="86">
        <v>1.0</v>
      </c>
      <c r="AB195" s="86">
        <v>1001.0</v>
      </c>
      <c r="AC195" s="86">
        <v>1500.0</v>
      </c>
      <c r="AD195" s="86">
        <v>1.0</v>
      </c>
      <c r="AE195" s="86">
        <v>8000.0</v>
      </c>
      <c r="AF195" s="86">
        <v>1100.0</v>
      </c>
      <c r="AG195" s="86">
        <v>1.0</v>
      </c>
    </row>
    <row r="196" ht="38.25" customHeight="1">
      <c r="A196" s="86">
        <v>1090.0</v>
      </c>
      <c r="B196" s="86" t="s">
        <v>1605</v>
      </c>
      <c r="C196" s="86">
        <v>4.0</v>
      </c>
      <c r="D196" s="86" t="s">
        <v>1977</v>
      </c>
      <c r="E196" s="86">
        <v>46.0</v>
      </c>
      <c r="G196" s="96" t="s">
        <v>1978</v>
      </c>
      <c r="I196" s="86">
        <v>12470.0</v>
      </c>
      <c r="J196" s="95" t="s">
        <v>1980</v>
      </c>
      <c r="K196" s="86" t="s">
        <v>647</v>
      </c>
      <c r="L196" s="86">
        <v>9006.0</v>
      </c>
      <c r="M196" s="86">
        <v>6.0</v>
      </c>
      <c r="O196" s="86">
        <v>0.9</v>
      </c>
      <c r="P196" s="95" t="s">
        <v>1983</v>
      </c>
      <c r="Q196" s="86" t="s">
        <v>658</v>
      </c>
      <c r="R196" s="86">
        <v>9012.0</v>
      </c>
      <c r="S196" s="86" t="s">
        <v>1822</v>
      </c>
      <c r="U196" s="86">
        <v>0.4</v>
      </c>
      <c r="V196" s="86">
        <v>70001.0</v>
      </c>
      <c r="W196" s="86">
        <v>1.0</v>
      </c>
      <c r="X196" s="86">
        <v>1.0</v>
      </c>
      <c r="Y196" s="86">
        <v>70002.0</v>
      </c>
      <c r="Z196" s="86">
        <v>1.0</v>
      </c>
      <c r="AA196" s="86">
        <v>1.0</v>
      </c>
      <c r="AB196" s="86">
        <v>1001.0</v>
      </c>
      <c r="AC196" s="86">
        <v>100.0</v>
      </c>
      <c r="AD196" s="86">
        <v>1.0</v>
      </c>
      <c r="AE196" s="86">
        <v>8000.0</v>
      </c>
      <c r="AF196" s="86">
        <v>1150.0</v>
      </c>
      <c r="AG196" s="86">
        <v>1.0</v>
      </c>
    </row>
    <row r="197" ht="38.25" customHeight="1">
      <c r="A197" s="86">
        <v>1091.0</v>
      </c>
      <c r="B197" s="86" t="s">
        <v>1605</v>
      </c>
      <c r="C197" s="86">
        <v>4.0</v>
      </c>
      <c r="D197" s="86" t="s">
        <v>1985</v>
      </c>
      <c r="E197" s="86">
        <v>46.0</v>
      </c>
      <c r="G197" s="96" t="s">
        <v>1986</v>
      </c>
      <c r="I197" s="86">
        <v>12595.0</v>
      </c>
      <c r="J197" s="95" t="s">
        <v>1980</v>
      </c>
      <c r="K197" s="86" t="s">
        <v>647</v>
      </c>
      <c r="L197" s="86">
        <v>9001.0</v>
      </c>
      <c r="M197" s="86" t="s">
        <v>1822</v>
      </c>
      <c r="O197" s="86">
        <v>0.4</v>
      </c>
      <c r="P197" s="95" t="s">
        <v>1983</v>
      </c>
      <c r="Q197" s="86" t="s">
        <v>658</v>
      </c>
      <c r="R197" s="86">
        <v>9004.0</v>
      </c>
      <c r="S197" s="86">
        <v>9.0</v>
      </c>
      <c r="U197" s="86">
        <v>0.4</v>
      </c>
      <c r="V197" s="86">
        <v>70001.0</v>
      </c>
      <c r="W197" s="86">
        <v>1.0</v>
      </c>
      <c r="X197" s="86">
        <v>1.0</v>
      </c>
      <c r="Y197" s="86">
        <v>70002.0</v>
      </c>
      <c r="Z197" s="86">
        <v>1.0</v>
      </c>
      <c r="AA197" s="86">
        <v>1.0</v>
      </c>
      <c r="AB197" s="86">
        <v>1001.0</v>
      </c>
      <c r="AC197" s="86">
        <v>100.0</v>
      </c>
      <c r="AD197" s="86">
        <v>1.0</v>
      </c>
      <c r="AE197" s="86">
        <v>8000.0</v>
      </c>
      <c r="AF197" s="86">
        <v>1150.0</v>
      </c>
      <c r="AG197" s="86">
        <v>1.0</v>
      </c>
    </row>
    <row r="198" ht="38.25" customHeight="1">
      <c r="A198" s="86">
        <v>1092.0</v>
      </c>
      <c r="B198" s="86" t="s">
        <v>1605</v>
      </c>
      <c r="C198" s="86">
        <v>4.0</v>
      </c>
      <c r="D198" s="86" t="s">
        <v>1989</v>
      </c>
      <c r="E198" s="86">
        <v>47.0</v>
      </c>
      <c r="G198" s="96" t="s">
        <v>1990</v>
      </c>
      <c r="I198" s="86">
        <v>12720.0</v>
      </c>
      <c r="J198" s="95" t="s">
        <v>1980</v>
      </c>
      <c r="K198" s="86" t="s">
        <v>647</v>
      </c>
      <c r="L198" s="86">
        <v>9002.0</v>
      </c>
      <c r="M198" s="86" t="s">
        <v>1991</v>
      </c>
      <c r="O198" s="86">
        <v>0.9</v>
      </c>
      <c r="P198" s="95" t="s">
        <v>1983</v>
      </c>
      <c r="Q198" s="86" t="s">
        <v>658</v>
      </c>
      <c r="R198" s="86">
        <v>9008.0</v>
      </c>
      <c r="S198" s="86">
        <v>4.0</v>
      </c>
      <c r="U198" s="86">
        <v>0.9</v>
      </c>
      <c r="V198" s="86">
        <v>70001.0</v>
      </c>
      <c r="W198" s="86">
        <v>1.0</v>
      </c>
      <c r="X198" s="86">
        <v>1.0</v>
      </c>
      <c r="Y198" s="86">
        <v>70002.0</v>
      </c>
      <c r="Z198" s="86">
        <v>1.0</v>
      </c>
      <c r="AA198" s="86">
        <v>1.0</v>
      </c>
      <c r="AB198" s="86">
        <v>1001.0</v>
      </c>
      <c r="AC198" s="86">
        <v>100.0</v>
      </c>
      <c r="AD198" s="86">
        <v>1.0</v>
      </c>
      <c r="AE198" s="86">
        <v>8000.0</v>
      </c>
      <c r="AF198" s="86">
        <v>1150.0</v>
      </c>
      <c r="AG198" s="86">
        <v>1.0</v>
      </c>
    </row>
    <row r="199" ht="38.25" customHeight="1">
      <c r="A199" s="86">
        <v>1093.0</v>
      </c>
      <c r="B199" s="86" t="s">
        <v>1605</v>
      </c>
      <c r="C199" s="86">
        <v>4.0</v>
      </c>
      <c r="D199" s="86" t="s">
        <v>1992</v>
      </c>
      <c r="E199" s="86">
        <v>47.0</v>
      </c>
      <c r="G199" s="96" t="s">
        <v>1993</v>
      </c>
      <c r="I199" s="86">
        <v>12845.0</v>
      </c>
      <c r="J199" s="95" t="s">
        <v>1980</v>
      </c>
      <c r="K199" s="86" t="s">
        <v>647</v>
      </c>
      <c r="L199" s="86">
        <v>9001.0</v>
      </c>
      <c r="M199" s="86">
        <v>11.0</v>
      </c>
      <c r="O199" s="86">
        <v>0.5</v>
      </c>
      <c r="P199" s="95" t="s">
        <v>1983</v>
      </c>
      <c r="Q199" s="86" t="s">
        <v>658</v>
      </c>
      <c r="R199" s="86">
        <v>9011.0</v>
      </c>
      <c r="S199" s="86" t="s">
        <v>1460</v>
      </c>
      <c r="U199" s="86">
        <v>0.7</v>
      </c>
      <c r="V199" s="86">
        <v>70001.0</v>
      </c>
      <c r="W199" s="86">
        <v>1.0</v>
      </c>
      <c r="X199" s="86">
        <v>1.0</v>
      </c>
      <c r="Y199" s="86">
        <v>70002.0</v>
      </c>
      <c r="Z199" s="86">
        <v>1.0</v>
      </c>
      <c r="AA199" s="86">
        <v>1.0</v>
      </c>
      <c r="AB199" s="86">
        <v>1001.0</v>
      </c>
      <c r="AC199" s="86">
        <v>100.0</v>
      </c>
      <c r="AD199" s="86">
        <v>1.0</v>
      </c>
      <c r="AE199" s="86">
        <v>8000.0</v>
      </c>
      <c r="AF199" s="86">
        <v>1200.0</v>
      </c>
      <c r="AG199" s="86">
        <v>1.0</v>
      </c>
    </row>
    <row r="200" ht="38.25" customHeight="1">
      <c r="A200" s="86">
        <v>1094.0</v>
      </c>
      <c r="B200" s="86" t="s">
        <v>1605</v>
      </c>
      <c r="C200" s="86">
        <v>4.0</v>
      </c>
      <c r="D200" s="86" t="s">
        <v>1994</v>
      </c>
      <c r="E200" s="86">
        <v>48.0</v>
      </c>
      <c r="G200" s="96" t="s">
        <v>1995</v>
      </c>
      <c r="I200" s="86">
        <v>12970.0</v>
      </c>
      <c r="J200" s="95" t="s">
        <v>1980</v>
      </c>
      <c r="K200" s="86" t="s">
        <v>647</v>
      </c>
      <c r="L200" s="86">
        <v>9012.0</v>
      </c>
      <c r="M200" s="86">
        <v>8.0</v>
      </c>
      <c r="O200" s="86">
        <v>0.2</v>
      </c>
      <c r="P200" s="95" t="s">
        <v>1983</v>
      </c>
      <c r="Q200" s="86" t="s">
        <v>658</v>
      </c>
      <c r="R200" s="86">
        <v>9004.0</v>
      </c>
      <c r="S200" s="86">
        <v>12.0</v>
      </c>
      <c r="U200" s="86">
        <v>0.5</v>
      </c>
      <c r="V200" s="86">
        <v>70001.0</v>
      </c>
      <c r="W200" s="86">
        <v>1.0</v>
      </c>
      <c r="X200" s="86">
        <v>1.0</v>
      </c>
      <c r="Y200" s="86">
        <v>70002.0</v>
      </c>
      <c r="Z200" s="86">
        <v>1.0</v>
      </c>
      <c r="AA200" s="86">
        <v>1.0</v>
      </c>
      <c r="AB200" s="86">
        <v>1001.0</v>
      </c>
      <c r="AC200" s="86">
        <v>100.0</v>
      </c>
      <c r="AD200" s="86">
        <v>1.0</v>
      </c>
      <c r="AE200" s="86">
        <v>8000.0</v>
      </c>
      <c r="AF200" s="86">
        <v>1200.0</v>
      </c>
      <c r="AG200" s="86">
        <v>1.0</v>
      </c>
    </row>
    <row r="201" ht="38.25" customHeight="1">
      <c r="A201" s="86">
        <v>1095.0</v>
      </c>
      <c r="B201" s="86" t="s">
        <v>1605</v>
      </c>
      <c r="C201" s="86">
        <v>4.0</v>
      </c>
      <c r="D201" s="86" t="s">
        <v>1998</v>
      </c>
      <c r="E201" s="86">
        <v>48.0</v>
      </c>
      <c r="G201" s="96" t="s">
        <v>1999</v>
      </c>
      <c r="I201" s="86">
        <v>13095.0</v>
      </c>
      <c r="J201" s="95" t="s">
        <v>1980</v>
      </c>
      <c r="K201" s="86" t="s">
        <v>647</v>
      </c>
      <c r="L201" s="86">
        <v>9001.0</v>
      </c>
      <c r="M201" s="86" t="s">
        <v>1287</v>
      </c>
      <c r="O201" s="86">
        <v>0.9</v>
      </c>
      <c r="P201" s="95" t="s">
        <v>1983</v>
      </c>
      <c r="Q201" s="86" t="s">
        <v>658</v>
      </c>
      <c r="R201" s="86">
        <v>9010.0</v>
      </c>
      <c r="S201" s="86" t="s">
        <v>1885</v>
      </c>
      <c r="U201" s="86">
        <v>0.9</v>
      </c>
      <c r="V201" s="86">
        <v>70001.0</v>
      </c>
      <c r="W201" s="86">
        <v>1.0</v>
      </c>
      <c r="X201" s="86">
        <v>1.0</v>
      </c>
      <c r="Y201" s="86">
        <v>70002.0</v>
      </c>
      <c r="Z201" s="86">
        <v>1.0</v>
      </c>
      <c r="AA201" s="86">
        <v>1.0</v>
      </c>
      <c r="AB201" s="86">
        <v>1001.0</v>
      </c>
      <c r="AC201" s="86">
        <v>100.0</v>
      </c>
      <c r="AD201" s="86">
        <v>1.0</v>
      </c>
      <c r="AE201" s="86">
        <v>8000.0</v>
      </c>
      <c r="AF201" s="86">
        <v>1200.0</v>
      </c>
      <c r="AG201" s="86">
        <v>1.0</v>
      </c>
    </row>
    <row r="202" ht="38.25" customHeight="1">
      <c r="A202" s="86">
        <v>1096.0</v>
      </c>
      <c r="B202" s="86" t="s">
        <v>1605</v>
      </c>
      <c r="C202" s="86">
        <v>4.0</v>
      </c>
      <c r="D202" s="86" t="s">
        <v>2000</v>
      </c>
      <c r="E202" s="86">
        <v>49.0</v>
      </c>
      <c r="G202" s="96" t="s">
        <v>2001</v>
      </c>
      <c r="I202" s="86">
        <v>13220.0</v>
      </c>
      <c r="J202" s="95" t="s">
        <v>1980</v>
      </c>
      <c r="K202" s="86" t="s">
        <v>647</v>
      </c>
      <c r="L202" s="86">
        <v>9011.0</v>
      </c>
      <c r="M202" s="86">
        <v>8.0</v>
      </c>
      <c r="O202" s="86">
        <v>0.3</v>
      </c>
      <c r="P202" s="95" t="s">
        <v>1983</v>
      </c>
      <c r="Q202" s="86" t="s">
        <v>658</v>
      </c>
      <c r="R202" s="86">
        <v>9010.0</v>
      </c>
      <c r="S202" s="86" t="s">
        <v>1517</v>
      </c>
      <c r="U202" s="86">
        <v>0.8</v>
      </c>
      <c r="V202" s="86">
        <v>70001.0</v>
      </c>
      <c r="W202" s="86">
        <v>1.0</v>
      </c>
      <c r="X202" s="86">
        <v>1.0</v>
      </c>
      <c r="Y202" s="86">
        <v>70002.0</v>
      </c>
      <c r="Z202" s="86">
        <v>1.0</v>
      </c>
      <c r="AA202" s="86">
        <v>1.0</v>
      </c>
      <c r="AB202" s="86">
        <v>1001.0</v>
      </c>
      <c r="AC202" s="86">
        <v>100.0</v>
      </c>
      <c r="AD202" s="86">
        <v>1.0</v>
      </c>
      <c r="AE202" s="86">
        <v>8000.0</v>
      </c>
      <c r="AF202" s="86">
        <v>1250.0</v>
      </c>
      <c r="AG202" s="86">
        <v>1.0</v>
      </c>
    </row>
    <row r="203" ht="38.25" customHeight="1">
      <c r="A203" s="86">
        <v>1097.0</v>
      </c>
      <c r="B203" s="86" t="s">
        <v>1605</v>
      </c>
      <c r="C203" s="86">
        <v>4.0</v>
      </c>
      <c r="D203" s="86" t="s">
        <v>2003</v>
      </c>
      <c r="E203" s="86">
        <v>49.0</v>
      </c>
      <c r="G203" s="96" t="s">
        <v>2004</v>
      </c>
      <c r="I203" s="86">
        <v>13345.0</v>
      </c>
      <c r="J203" s="95" t="s">
        <v>1980</v>
      </c>
      <c r="K203" s="86" t="s">
        <v>647</v>
      </c>
      <c r="L203" s="86">
        <v>9008.0</v>
      </c>
      <c r="M203" s="86" t="s">
        <v>1361</v>
      </c>
      <c r="O203" s="86">
        <v>0.3</v>
      </c>
      <c r="P203" s="95" t="s">
        <v>1983</v>
      </c>
      <c r="Q203" s="86" t="s">
        <v>658</v>
      </c>
      <c r="R203" s="86">
        <v>9012.0</v>
      </c>
      <c r="S203" s="86">
        <v>4.0</v>
      </c>
      <c r="U203" s="86">
        <v>0.9</v>
      </c>
      <c r="V203" s="86">
        <v>70001.0</v>
      </c>
      <c r="W203" s="86">
        <v>1.0</v>
      </c>
      <c r="X203" s="86">
        <v>1.0</v>
      </c>
      <c r="Y203" s="86">
        <v>70002.0</v>
      </c>
      <c r="Z203" s="86">
        <v>1.0</v>
      </c>
      <c r="AA203" s="86">
        <v>1.0</v>
      </c>
      <c r="AB203" s="86">
        <v>1001.0</v>
      </c>
      <c r="AC203" s="86">
        <v>100.0</v>
      </c>
      <c r="AD203" s="86">
        <v>1.0</v>
      </c>
      <c r="AE203" s="86">
        <v>8000.0</v>
      </c>
      <c r="AF203" s="86">
        <v>1250.0</v>
      </c>
      <c r="AG203" s="86">
        <v>1.0</v>
      </c>
    </row>
    <row r="204" ht="38.25" customHeight="1">
      <c r="A204" s="86">
        <v>1098.0</v>
      </c>
      <c r="B204" s="86" t="s">
        <v>1605</v>
      </c>
      <c r="C204" s="86">
        <v>4.0</v>
      </c>
      <c r="D204" s="86" t="s">
        <v>2007</v>
      </c>
      <c r="E204" s="86">
        <v>50.0</v>
      </c>
      <c r="G204" s="96" t="s">
        <v>2008</v>
      </c>
      <c r="I204" s="86">
        <v>13470.0</v>
      </c>
      <c r="J204" s="95" t="s">
        <v>1980</v>
      </c>
      <c r="K204" s="86" t="s">
        <v>647</v>
      </c>
      <c r="L204" s="86">
        <v>9012.0</v>
      </c>
      <c r="M204" s="86" t="s">
        <v>1677</v>
      </c>
      <c r="O204" s="86">
        <v>1.0</v>
      </c>
      <c r="P204" s="95" t="s">
        <v>1983</v>
      </c>
      <c r="Q204" s="86" t="s">
        <v>658</v>
      </c>
      <c r="R204" s="86">
        <v>9012.0</v>
      </c>
      <c r="S204" s="86" t="s">
        <v>1114</v>
      </c>
      <c r="U204" s="86">
        <v>0.9</v>
      </c>
      <c r="V204" s="86">
        <v>70001.0</v>
      </c>
      <c r="W204" s="86">
        <v>1.0</v>
      </c>
      <c r="X204" s="86">
        <v>1.0</v>
      </c>
      <c r="Y204" s="86">
        <v>70002.0</v>
      </c>
      <c r="Z204" s="86">
        <v>1.0</v>
      </c>
      <c r="AA204" s="86">
        <v>1.0</v>
      </c>
      <c r="AB204" s="86">
        <v>1001.0</v>
      </c>
      <c r="AC204" s="86">
        <v>100.0</v>
      </c>
      <c r="AD204" s="86">
        <v>1.0</v>
      </c>
      <c r="AE204" s="86">
        <v>8000.0</v>
      </c>
      <c r="AF204" s="86">
        <v>1250.0</v>
      </c>
      <c r="AG204" s="86">
        <v>1.0</v>
      </c>
    </row>
    <row r="205" ht="38.25" customHeight="1">
      <c r="A205" s="86">
        <v>1099.0</v>
      </c>
      <c r="B205" s="86" t="s">
        <v>1605</v>
      </c>
      <c r="C205" s="86">
        <v>4.0</v>
      </c>
      <c r="D205" s="86" t="s">
        <v>2010</v>
      </c>
      <c r="E205" s="86">
        <v>50.0</v>
      </c>
      <c r="G205" s="96" t="s">
        <v>2011</v>
      </c>
      <c r="I205" s="86">
        <v>13595.0</v>
      </c>
      <c r="J205" s="95" t="s">
        <v>1980</v>
      </c>
      <c r="K205" s="86" t="s">
        <v>647</v>
      </c>
      <c r="L205" s="86">
        <v>9007.0</v>
      </c>
      <c r="M205" s="86" t="s">
        <v>2012</v>
      </c>
      <c r="O205" s="86">
        <v>0.6</v>
      </c>
      <c r="P205" s="95" t="s">
        <v>1983</v>
      </c>
      <c r="Q205" s="86" t="s">
        <v>658</v>
      </c>
      <c r="R205" s="86">
        <v>9012.0</v>
      </c>
      <c r="S205" s="86" t="s">
        <v>2013</v>
      </c>
      <c r="U205" s="86">
        <v>0.1</v>
      </c>
      <c r="V205" s="86">
        <v>70001.0</v>
      </c>
      <c r="W205" s="86">
        <v>1.0</v>
      </c>
      <c r="X205" s="86">
        <v>1.0</v>
      </c>
      <c r="Y205" s="86">
        <v>70002.0</v>
      </c>
      <c r="Z205" s="86">
        <v>1.0</v>
      </c>
      <c r="AA205" s="86">
        <v>1.0</v>
      </c>
      <c r="AB205" s="86">
        <v>1001.0</v>
      </c>
      <c r="AC205" s="86">
        <v>100.0</v>
      </c>
      <c r="AD205" s="86">
        <v>1.0</v>
      </c>
      <c r="AE205" s="86">
        <v>8000.0</v>
      </c>
      <c r="AF205" s="86">
        <v>1300.0</v>
      </c>
      <c r="AG205" s="86">
        <v>1.0</v>
      </c>
    </row>
    <row r="206" ht="38.25" customHeight="1">
      <c r="A206" s="86">
        <v>1100.0</v>
      </c>
      <c r="B206" s="86" t="s">
        <v>1605</v>
      </c>
      <c r="C206" s="86">
        <v>4.0</v>
      </c>
      <c r="D206" s="86" t="s">
        <v>2015</v>
      </c>
      <c r="E206" s="86">
        <v>51.0</v>
      </c>
      <c r="G206" s="96" t="s">
        <v>2016</v>
      </c>
      <c r="I206" s="86">
        <v>13720.0</v>
      </c>
      <c r="J206" s="95" t="s">
        <v>1980</v>
      </c>
      <c r="K206" s="86" t="s">
        <v>647</v>
      </c>
      <c r="L206" s="86">
        <v>9011.0</v>
      </c>
      <c r="M206" s="86" t="s">
        <v>2017</v>
      </c>
      <c r="O206" s="86">
        <v>0.2</v>
      </c>
      <c r="P206" s="95" t="s">
        <v>1983</v>
      </c>
      <c r="Q206" s="86" t="s">
        <v>658</v>
      </c>
      <c r="R206" s="86">
        <v>9010.0</v>
      </c>
      <c r="S206" s="86">
        <v>4.0</v>
      </c>
      <c r="U206" s="86">
        <v>0.7</v>
      </c>
      <c r="V206" s="86">
        <v>70001.0</v>
      </c>
      <c r="W206" s="86">
        <v>1.0</v>
      </c>
      <c r="X206" s="86">
        <v>1.0</v>
      </c>
      <c r="Y206" s="86">
        <v>70002.0</v>
      </c>
      <c r="Z206" s="86">
        <v>1.0</v>
      </c>
      <c r="AA206" s="86">
        <v>1.0</v>
      </c>
      <c r="AB206" s="86">
        <v>1001.0</v>
      </c>
      <c r="AC206" s="86">
        <v>100.0</v>
      </c>
      <c r="AD206" s="86">
        <v>1.0</v>
      </c>
      <c r="AE206" s="86">
        <v>8000.0</v>
      </c>
      <c r="AF206" s="86">
        <v>1300.0</v>
      </c>
      <c r="AG206" s="86">
        <v>1.0</v>
      </c>
    </row>
    <row r="207" ht="38.25" customHeight="1">
      <c r="A207" s="86">
        <v>1101.0</v>
      </c>
      <c r="B207" s="86" t="s">
        <v>1605</v>
      </c>
      <c r="C207" s="86">
        <v>4.0</v>
      </c>
      <c r="D207" s="86" t="s">
        <v>2019</v>
      </c>
      <c r="E207" s="86">
        <v>51.0</v>
      </c>
      <c r="G207" s="96" t="s">
        <v>2020</v>
      </c>
      <c r="I207" s="86">
        <v>13845.0</v>
      </c>
      <c r="J207" s="95" t="s">
        <v>1980</v>
      </c>
      <c r="K207" s="86" t="s">
        <v>647</v>
      </c>
      <c r="L207" s="86">
        <v>9008.0</v>
      </c>
      <c r="M207" s="86" t="s">
        <v>2021</v>
      </c>
      <c r="O207" s="86">
        <v>0.3</v>
      </c>
      <c r="P207" s="95" t="s">
        <v>1983</v>
      </c>
      <c r="Q207" s="86" t="s">
        <v>658</v>
      </c>
      <c r="R207" s="86">
        <v>9010.0</v>
      </c>
      <c r="S207" s="86" t="s">
        <v>1244</v>
      </c>
      <c r="U207" s="86">
        <v>0.8</v>
      </c>
      <c r="V207" s="86">
        <v>70001.0</v>
      </c>
      <c r="W207" s="86">
        <v>1.0</v>
      </c>
      <c r="X207" s="86">
        <v>1.0</v>
      </c>
      <c r="Y207" s="86">
        <v>70002.0</v>
      </c>
      <c r="Z207" s="86">
        <v>1.0</v>
      </c>
      <c r="AA207" s="86">
        <v>1.0</v>
      </c>
      <c r="AB207" s="86">
        <v>1001.0</v>
      </c>
      <c r="AC207" s="86">
        <v>100.0</v>
      </c>
      <c r="AD207" s="86">
        <v>1.0</v>
      </c>
      <c r="AE207" s="86">
        <v>8000.0</v>
      </c>
      <c r="AF207" s="86">
        <v>1350.0</v>
      </c>
      <c r="AG207" s="86">
        <v>1.0</v>
      </c>
    </row>
    <row r="208" ht="38.25" customHeight="1">
      <c r="A208" s="86">
        <v>1102.0</v>
      </c>
      <c r="B208" s="86" t="s">
        <v>1605</v>
      </c>
      <c r="C208" s="86">
        <v>4.0</v>
      </c>
      <c r="D208" s="86" t="s">
        <v>2023</v>
      </c>
      <c r="E208" s="86">
        <v>52.0</v>
      </c>
      <c r="G208" s="96" t="s">
        <v>2024</v>
      </c>
      <c r="I208" s="86">
        <v>13970.0</v>
      </c>
      <c r="J208" s="95" t="s">
        <v>1980</v>
      </c>
      <c r="K208" s="86" t="s">
        <v>647</v>
      </c>
      <c r="L208" s="86">
        <v>9001.0</v>
      </c>
      <c r="M208" s="86" t="s">
        <v>1132</v>
      </c>
      <c r="O208" s="86">
        <v>0.9</v>
      </c>
      <c r="P208" s="95" t="s">
        <v>1983</v>
      </c>
      <c r="Q208" s="86" t="s">
        <v>658</v>
      </c>
      <c r="R208" s="86">
        <v>9003.0</v>
      </c>
      <c r="S208" s="86" t="s">
        <v>1549</v>
      </c>
      <c r="U208" s="86">
        <v>0.6</v>
      </c>
      <c r="V208" s="86">
        <v>70001.0</v>
      </c>
      <c r="W208" s="86">
        <v>1.0</v>
      </c>
      <c r="X208" s="86">
        <v>1.0</v>
      </c>
      <c r="Y208" s="86">
        <v>70002.0</v>
      </c>
      <c r="Z208" s="86">
        <v>1.0</v>
      </c>
      <c r="AA208" s="86">
        <v>1.0</v>
      </c>
      <c r="AB208" s="86">
        <v>1001.0</v>
      </c>
      <c r="AC208" s="86">
        <v>100.0</v>
      </c>
      <c r="AD208" s="86">
        <v>1.0</v>
      </c>
      <c r="AE208" s="86">
        <v>8000.0</v>
      </c>
      <c r="AF208" s="86">
        <v>1350.0</v>
      </c>
      <c r="AG208" s="86">
        <v>1.0</v>
      </c>
    </row>
    <row r="209" ht="38.25" customHeight="1">
      <c r="A209" s="86">
        <v>1103.0</v>
      </c>
      <c r="B209" s="86" t="s">
        <v>1605</v>
      </c>
      <c r="C209" s="86">
        <v>4.0</v>
      </c>
      <c r="D209" s="86" t="s">
        <v>2025</v>
      </c>
      <c r="E209" s="86">
        <v>52.0</v>
      </c>
      <c r="G209" s="96" t="s">
        <v>2026</v>
      </c>
      <c r="I209" s="86">
        <v>14095.0</v>
      </c>
      <c r="J209" s="95" t="s">
        <v>1980</v>
      </c>
      <c r="K209" s="86" t="s">
        <v>647</v>
      </c>
      <c r="L209" s="86">
        <v>9012.0</v>
      </c>
      <c r="M209" s="86" t="s">
        <v>2028</v>
      </c>
      <c r="O209" s="86">
        <v>0.3</v>
      </c>
      <c r="P209" s="95" t="s">
        <v>1983</v>
      </c>
      <c r="Q209" s="86" t="s">
        <v>658</v>
      </c>
      <c r="R209" s="86">
        <v>9011.0</v>
      </c>
      <c r="S209" s="86">
        <v>12.0</v>
      </c>
      <c r="U209" s="86">
        <v>0.7</v>
      </c>
      <c r="V209" s="86">
        <v>70001.0</v>
      </c>
      <c r="W209" s="86">
        <v>1.0</v>
      </c>
      <c r="X209" s="86">
        <v>1.0</v>
      </c>
      <c r="Y209" s="86">
        <v>70002.0</v>
      </c>
      <c r="Z209" s="86">
        <v>1.0</v>
      </c>
      <c r="AA209" s="86">
        <v>1.0</v>
      </c>
      <c r="AB209" s="86">
        <v>1001.0</v>
      </c>
      <c r="AC209" s="86">
        <v>100.0</v>
      </c>
      <c r="AD209" s="86">
        <v>1.0</v>
      </c>
      <c r="AE209" s="86">
        <v>8000.0</v>
      </c>
      <c r="AF209" s="86">
        <v>1350.0</v>
      </c>
      <c r="AG209" s="86">
        <v>1.0</v>
      </c>
    </row>
    <row r="210" ht="38.25" customHeight="1">
      <c r="A210" s="86">
        <v>1104.0</v>
      </c>
      <c r="B210" s="86" t="s">
        <v>1605</v>
      </c>
      <c r="C210" s="86">
        <v>4.0</v>
      </c>
      <c r="D210" s="86" t="s">
        <v>2029</v>
      </c>
      <c r="E210" s="86">
        <v>53.0</v>
      </c>
      <c r="G210" s="96" t="s">
        <v>2031</v>
      </c>
      <c r="I210" s="86">
        <v>14220.0</v>
      </c>
      <c r="J210" s="95" t="s">
        <v>1980</v>
      </c>
      <c r="K210" s="86" t="s">
        <v>647</v>
      </c>
      <c r="L210" s="86">
        <v>9008.0</v>
      </c>
      <c r="M210" s="86" t="s">
        <v>1592</v>
      </c>
      <c r="O210" s="86">
        <v>0.3</v>
      </c>
      <c r="P210" s="95" t="s">
        <v>1983</v>
      </c>
      <c r="Q210" s="86" t="s">
        <v>658</v>
      </c>
      <c r="R210" s="86">
        <v>9007.0</v>
      </c>
      <c r="S210" s="86" t="s">
        <v>1386</v>
      </c>
      <c r="U210" s="86">
        <v>0.7</v>
      </c>
      <c r="V210" s="86">
        <v>70001.0</v>
      </c>
      <c r="W210" s="86">
        <v>1.0</v>
      </c>
      <c r="X210" s="86">
        <v>1.0</v>
      </c>
      <c r="Y210" s="86">
        <v>70002.0</v>
      </c>
      <c r="Z210" s="86">
        <v>1.0</v>
      </c>
      <c r="AA210" s="86">
        <v>1.0</v>
      </c>
      <c r="AB210" s="86">
        <v>1001.0</v>
      </c>
      <c r="AC210" s="86">
        <v>100.0</v>
      </c>
      <c r="AD210" s="86">
        <v>1.0</v>
      </c>
      <c r="AE210" s="86">
        <v>8000.0</v>
      </c>
      <c r="AF210" s="86">
        <v>1400.0</v>
      </c>
      <c r="AG210" s="86">
        <v>1.0</v>
      </c>
    </row>
    <row r="211" ht="38.25" customHeight="1">
      <c r="A211" s="86">
        <v>1105.0</v>
      </c>
      <c r="B211" s="86" t="s">
        <v>1605</v>
      </c>
      <c r="C211" s="86">
        <v>4.0</v>
      </c>
      <c r="D211" s="86" t="s">
        <v>2033</v>
      </c>
      <c r="E211" s="86">
        <v>53.0</v>
      </c>
      <c r="G211" s="96" t="s">
        <v>2034</v>
      </c>
      <c r="I211" s="86">
        <v>14345.0</v>
      </c>
      <c r="J211" s="95" t="s">
        <v>1980</v>
      </c>
      <c r="K211" s="86" t="s">
        <v>647</v>
      </c>
      <c r="L211" s="86">
        <v>9011.0</v>
      </c>
      <c r="M211" s="86">
        <v>2.0</v>
      </c>
      <c r="O211" s="86">
        <v>0.9</v>
      </c>
      <c r="P211" s="95" t="s">
        <v>1983</v>
      </c>
      <c r="Q211" s="86" t="s">
        <v>658</v>
      </c>
      <c r="R211" s="86">
        <v>9010.0</v>
      </c>
      <c r="S211" s="86" t="s">
        <v>1323</v>
      </c>
      <c r="U211" s="86">
        <v>0.6</v>
      </c>
      <c r="V211" s="86">
        <v>70001.0</v>
      </c>
      <c r="W211" s="86">
        <v>1.0</v>
      </c>
      <c r="X211" s="86">
        <v>1.0</v>
      </c>
      <c r="Y211" s="86">
        <v>70002.0</v>
      </c>
      <c r="Z211" s="86">
        <v>1.0</v>
      </c>
      <c r="AA211" s="86">
        <v>1.0</v>
      </c>
      <c r="AB211" s="86">
        <v>1001.0</v>
      </c>
      <c r="AC211" s="86">
        <v>100.0</v>
      </c>
      <c r="AD211" s="86">
        <v>1.0</v>
      </c>
      <c r="AE211" s="86">
        <v>8000.0</v>
      </c>
      <c r="AF211" s="86">
        <v>1400.0</v>
      </c>
      <c r="AG211" s="86">
        <v>1.0</v>
      </c>
    </row>
    <row r="212" ht="38.25" customHeight="1">
      <c r="A212" s="86">
        <v>1106.0</v>
      </c>
      <c r="B212" s="86" t="s">
        <v>1605</v>
      </c>
      <c r="C212" s="86">
        <v>4.0</v>
      </c>
      <c r="D212" s="86" t="s">
        <v>2035</v>
      </c>
      <c r="E212" s="86">
        <v>54.0</v>
      </c>
      <c r="G212" s="96" t="s">
        <v>2036</v>
      </c>
      <c r="I212" s="86">
        <v>14470.0</v>
      </c>
      <c r="J212" s="95" t="s">
        <v>1980</v>
      </c>
      <c r="K212" s="86" t="s">
        <v>647</v>
      </c>
      <c r="L212" s="86">
        <v>9011.0</v>
      </c>
      <c r="M212" s="86" t="s">
        <v>1190</v>
      </c>
      <c r="O212" s="86">
        <v>0.8</v>
      </c>
      <c r="P212" s="95" t="s">
        <v>1983</v>
      </c>
      <c r="Q212" s="86" t="s">
        <v>658</v>
      </c>
      <c r="R212" s="86">
        <v>9011.0</v>
      </c>
      <c r="S212" s="86" t="s">
        <v>2037</v>
      </c>
      <c r="U212" s="86">
        <v>0.5</v>
      </c>
      <c r="V212" s="86">
        <v>70001.0</v>
      </c>
      <c r="W212" s="86">
        <v>1.0</v>
      </c>
      <c r="X212" s="86">
        <v>1.0</v>
      </c>
      <c r="Y212" s="86">
        <v>70002.0</v>
      </c>
      <c r="Z212" s="86">
        <v>1.0</v>
      </c>
      <c r="AA212" s="86">
        <v>1.0</v>
      </c>
      <c r="AB212" s="86">
        <v>1001.0</v>
      </c>
      <c r="AC212" s="86">
        <v>100.0</v>
      </c>
      <c r="AD212" s="86">
        <v>1.0</v>
      </c>
      <c r="AE212" s="86">
        <v>8000.0</v>
      </c>
      <c r="AF212" s="86">
        <v>1400.0</v>
      </c>
      <c r="AG212" s="86">
        <v>1.0</v>
      </c>
    </row>
    <row r="213" ht="38.25" customHeight="1">
      <c r="A213" s="86">
        <v>1107.0</v>
      </c>
      <c r="B213" s="86" t="s">
        <v>1605</v>
      </c>
      <c r="C213" s="86">
        <v>4.0</v>
      </c>
      <c r="D213" s="86" t="s">
        <v>2039</v>
      </c>
      <c r="E213" s="86">
        <v>54.0</v>
      </c>
      <c r="G213" s="96" t="s">
        <v>2040</v>
      </c>
      <c r="I213" s="86">
        <v>14595.0</v>
      </c>
      <c r="J213" s="95" t="s">
        <v>1980</v>
      </c>
      <c r="K213" s="86" t="s">
        <v>647</v>
      </c>
      <c r="L213" s="86">
        <v>9006.0</v>
      </c>
      <c r="M213" s="86" t="s">
        <v>1163</v>
      </c>
      <c r="O213" s="86">
        <v>0.3</v>
      </c>
      <c r="P213" s="95" t="s">
        <v>1983</v>
      </c>
      <c r="Q213" s="86" t="s">
        <v>658</v>
      </c>
      <c r="R213" s="86">
        <v>9011.0</v>
      </c>
      <c r="S213" s="86" t="s">
        <v>2042</v>
      </c>
      <c r="U213" s="86">
        <v>0.7</v>
      </c>
      <c r="V213" s="86">
        <v>70001.0</v>
      </c>
      <c r="W213" s="86">
        <v>1.0</v>
      </c>
      <c r="X213" s="86">
        <v>1.0</v>
      </c>
      <c r="Y213" s="86">
        <v>70002.0</v>
      </c>
      <c r="Z213" s="86">
        <v>1.0</v>
      </c>
      <c r="AA213" s="86">
        <v>1.0</v>
      </c>
      <c r="AB213" s="86">
        <v>1001.0</v>
      </c>
      <c r="AC213" s="86">
        <v>100.0</v>
      </c>
      <c r="AD213" s="86">
        <v>1.0</v>
      </c>
      <c r="AE213" s="86">
        <v>8000.0</v>
      </c>
      <c r="AF213" s="86">
        <v>1450.0</v>
      </c>
      <c r="AG213" s="86">
        <v>1.0</v>
      </c>
    </row>
    <row r="214" ht="38.25" customHeight="1">
      <c r="A214" s="86">
        <v>1108.0</v>
      </c>
      <c r="B214" s="86" t="s">
        <v>1605</v>
      </c>
      <c r="C214" s="86">
        <v>4.0</v>
      </c>
      <c r="D214" s="86" t="s">
        <v>2043</v>
      </c>
      <c r="E214" s="86">
        <v>55.0</v>
      </c>
      <c r="G214" s="96" t="s">
        <v>2044</v>
      </c>
      <c r="I214" s="86">
        <v>14720.0</v>
      </c>
      <c r="J214" s="95" t="s">
        <v>1980</v>
      </c>
      <c r="K214" s="86" t="s">
        <v>647</v>
      </c>
      <c r="L214" s="86">
        <v>9005.0</v>
      </c>
      <c r="M214" s="86" t="s">
        <v>1440</v>
      </c>
      <c r="O214" s="86">
        <v>0.3</v>
      </c>
      <c r="P214" s="95" t="s">
        <v>1983</v>
      </c>
      <c r="Q214" s="86" t="s">
        <v>658</v>
      </c>
      <c r="R214" s="86">
        <v>9012.0</v>
      </c>
      <c r="S214" s="86" t="s">
        <v>1323</v>
      </c>
      <c r="U214" s="86">
        <v>0.8</v>
      </c>
      <c r="V214" s="86">
        <v>70001.0</v>
      </c>
      <c r="W214" s="86">
        <v>1.0</v>
      </c>
      <c r="X214" s="86">
        <v>1.0</v>
      </c>
      <c r="Y214" s="86">
        <v>70002.0</v>
      </c>
      <c r="Z214" s="86">
        <v>1.0</v>
      </c>
      <c r="AA214" s="86">
        <v>1.0</v>
      </c>
      <c r="AB214" s="86">
        <v>1001.0</v>
      </c>
      <c r="AC214" s="86">
        <v>100.0</v>
      </c>
      <c r="AD214" s="86">
        <v>1.0</v>
      </c>
      <c r="AE214" s="86">
        <v>8000.0</v>
      </c>
      <c r="AF214" s="86">
        <v>1450.0</v>
      </c>
      <c r="AG214" s="86">
        <v>1.0</v>
      </c>
    </row>
    <row r="215" ht="38.25" customHeight="1">
      <c r="A215" s="86">
        <v>1109.0</v>
      </c>
      <c r="B215" s="86" t="s">
        <v>1605</v>
      </c>
      <c r="C215" s="86">
        <v>4.0</v>
      </c>
      <c r="D215" s="86" t="s">
        <v>2046</v>
      </c>
      <c r="E215" s="86">
        <v>55.0</v>
      </c>
      <c r="G215" s="96" t="s">
        <v>2047</v>
      </c>
      <c r="I215" s="86">
        <v>14845.0</v>
      </c>
      <c r="J215" s="95" t="s">
        <v>1980</v>
      </c>
      <c r="K215" s="86" t="s">
        <v>647</v>
      </c>
      <c r="L215" s="86">
        <v>9002.0</v>
      </c>
      <c r="M215" s="86" t="s">
        <v>2049</v>
      </c>
      <c r="O215" s="86">
        <v>0.9</v>
      </c>
      <c r="P215" s="95" t="s">
        <v>1983</v>
      </c>
      <c r="Q215" s="86" t="s">
        <v>658</v>
      </c>
      <c r="R215" s="86">
        <v>9004.0</v>
      </c>
      <c r="S215" s="86" t="s">
        <v>2050</v>
      </c>
      <c r="U215" s="86">
        <v>1.0</v>
      </c>
      <c r="V215" s="86">
        <v>70001.0</v>
      </c>
      <c r="W215" s="86">
        <v>1.0</v>
      </c>
      <c r="X215" s="86">
        <v>1.0</v>
      </c>
      <c r="Y215" s="86">
        <v>70002.0</v>
      </c>
      <c r="Z215" s="86">
        <v>1.0</v>
      </c>
      <c r="AA215" s="86">
        <v>1.0</v>
      </c>
      <c r="AB215" s="86">
        <v>1001.0</v>
      </c>
      <c r="AC215" s="86">
        <v>100.0</v>
      </c>
      <c r="AD215" s="86">
        <v>1.0</v>
      </c>
      <c r="AE215" s="86">
        <v>8000.0</v>
      </c>
      <c r="AF215" s="86">
        <v>1450.0</v>
      </c>
      <c r="AG215" s="86">
        <v>1.0</v>
      </c>
    </row>
    <row r="216" ht="38.25" customHeight="1">
      <c r="A216" s="86">
        <v>1110.0</v>
      </c>
      <c r="B216" s="86" t="s">
        <v>1605</v>
      </c>
      <c r="C216" s="86">
        <v>4.0</v>
      </c>
      <c r="D216" s="86" t="s">
        <v>2051</v>
      </c>
      <c r="E216" s="86">
        <v>56.0</v>
      </c>
      <c r="G216" s="96" t="s">
        <v>2052</v>
      </c>
      <c r="I216" s="86">
        <v>14970.0</v>
      </c>
      <c r="J216" s="95" t="s">
        <v>1980</v>
      </c>
      <c r="K216" s="86" t="s">
        <v>647</v>
      </c>
      <c r="L216" s="86">
        <v>9001.0</v>
      </c>
      <c r="M216" s="86">
        <v>3.0</v>
      </c>
      <c r="O216" s="86">
        <v>0.9</v>
      </c>
      <c r="P216" s="95" t="s">
        <v>1983</v>
      </c>
      <c r="Q216" s="86" t="s">
        <v>658</v>
      </c>
      <c r="R216" s="86">
        <v>9003.0</v>
      </c>
      <c r="S216" s="86">
        <v>11.0</v>
      </c>
      <c r="U216" s="86">
        <v>0.5</v>
      </c>
      <c r="V216" s="86">
        <v>70001.0</v>
      </c>
      <c r="W216" s="86">
        <v>1.0</v>
      </c>
      <c r="X216" s="86">
        <v>1.0</v>
      </c>
      <c r="Y216" s="86">
        <v>70002.0</v>
      </c>
      <c r="Z216" s="86">
        <v>1.0</v>
      </c>
      <c r="AA216" s="86">
        <v>1.0</v>
      </c>
      <c r="AB216" s="86">
        <v>1001.0</v>
      </c>
      <c r="AC216" s="86">
        <v>100.0</v>
      </c>
      <c r="AD216" s="86">
        <v>1.0</v>
      </c>
      <c r="AE216" s="86">
        <v>8000.0</v>
      </c>
      <c r="AF216" s="86">
        <v>1500.0</v>
      </c>
      <c r="AG216" s="86">
        <v>1.0</v>
      </c>
    </row>
    <row r="217" ht="38.25" customHeight="1">
      <c r="A217" s="86">
        <v>1111.0</v>
      </c>
      <c r="B217" s="86" t="s">
        <v>1605</v>
      </c>
      <c r="C217" s="86">
        <v>4.0</v>
      </c>
      <c r="D217" s="86" t="s">
        <v>2053</v>
      </c>
      <c r="E217" s="86">
        <v>56.0</v>
      </c>
      <c r="G217" s="96" t="s">
        <v>2054</v>
      </c>
      <c r="I217" s="86">
        <v>15095.0</v>
      </c>
      <c r="J217" s="95" t="s">
        <v>1980</v>
      </c>
      <c r="K217" s="86" t="s">
        <v>647</v>
      </c>
      <c r="L217" s="86">
        <v>9006.0</v>
      </c>
      <c r="M217" s="86" t="s">
        <v>1527</v>
      </c>
      <c r="O217" s="86">
        <v>0.4</v>
      </c>
      <c r="P217" s="95" t="s">
        <v>1983</v>
      </c>
      <c r="Q217" s="86" t="s">
        <v>658</v>
      </c>
      <c r="R217" s="86">
        <v>9004.0</v>
      </c>
      <c r="S217" s="86" t="s">
        <v>2055</v>
      </c>
      <c r="U217" s="86">
        <v>0.7</v>
      </c>
      <c r="V217" s="86">
        <v>70001.0</v>
      </c>
      <c r="W217" s="86">
        <v>1.0</v>
      </c>
      <c r="X217" s="86">
        <v>1.0</v>
      </c>
      <c r="Y217" s="86">
        <v>70002.0</v>
      </c>
      <c r="Z217" s="86">
        <v>1.0</v>
      </c>
      <c r="AA217" s="86">
        <v>1.0</v>
      </c>
      <c r="AB217" s="86">
        <v>1001.0</v>
      </c>
      <c r="AC217" s="86">
        <v>100.0</v>
      </c>
      <c r="AD217" s="86">
        <v>1.0</v>
      </c>
      <c r="AE217" s="86">
        <v>8000.0</v>
      </c>
      <c r="AF217" s="86">
        <v>1500.0</v>
      </c>
      <c r="AG217" s="86">
        <v>1.0</v>
      </c>
    </row>
    <row r="218" ht="38.25" customHeight="1">
      <c r="A218" s="86">
        <v>1112.0</v>
      </c>
      <c r="B218" s="86" t="s">
        <v>1605</v>
      </c>
      <c r="C218" s="86">
        <v>4.0</v>
      </c>
      <c r="D218" s="86" t="s">
        <v>2057</v>
      </c>
      <c r="E218" s="86">
        <v>57.0</v>
      </c>
      <c r="G218" s="96" t="s">
        <v>2058</v>
      </c>
      <c r="I218" s="86">
        <v>15220.0</v>
      </c>
      <c r="J218" s="95" t="s">
        <v>1980</v>
      </c>
      <c r="K218" s="86" t="s">
        <v>647</v>
      </c>
      <c r="L218" s="86">
        <v>9006.0</v>
      </c>
      <c r="M218" s="86" t="s">
        <v>2028</v>
      </c>
      <c r="O218" s="86">
        <v>0.1</v>
      </c>
      <c r="P218" s="95" t="s">
        <v>1983</v>
      </c>
      <c r="Q218" s="86" t="s">
        <v>658</v>
      </c>
      <c r="R218" s="86">
        <v>9012.0</v>
      </c>
      <c r="S218" s="86" t="s">
        <v>2060</v>
      </c>
      <c r="U218" s="86">
        <v>0.9</v>
      </c>
      <c r="V218" s="86">
        <v>70001.0</v>
      </c>
      <c r="W218" s="86">
        <v>1.0</v>
      </c>
      <c r="X218" s="86">
        <v>1.0</v>
      </c>
      <c r="Y218" s="86">
        <v>70002.0</v>
      </c>
      <c r="Z218" s="86">
        <v>1.0</v>
      </c>
      <c r="AA218" s="86">
        <v>1.0</v>
      </c>
      <c r="AB218" s="86">
        <v>1001.0</v>
      </c>
      <c r="AC218" s="86">
        <v>100.0</v>
      </c>
      <c r="AD218" s="86">
        <v>1.0</v>
      </c>
      <c r="AE218" s="86">
        <v>8000.0</v>
      </c>
      <c r="AF218" s="86">
        <v>1500.0</v>
      </c>
      <c r="AG218" s="86">
        <v>1.0</v>
      </c>
    </row>
    <row r="219" ht="38.25" customHeight="1">
      <c r="A219" s="86">
        <v>1113.0</v>
      </c>
      <c r="B219" s="86" t="s">
        <v>1605</v>
      </c>
      <c r="C219" s="86">
        <v>4.0</v>
      </c>
      <c r="D219" s="86" t="s">
        <v>2061</v>
      </c>
      <c r="E219" s="86">
        <v>57.0</v>
      </c>
      <c r="G219" s="96" t="s">
        <v>2062</v>
      </c>
      <c r="I219" s="86">
        <v>15345.0</v>
      </c>
      <c r="J219" s="95" t="s">
        <v>1980</v>
      </c>
      <c r="K219" s="86" t="s">
        <v>647</v>
      </c>
      <c r="L219" s="86">
        <v>9011.0</v>
      </c>
      <c r="M219" s="86" t="s">
        <v>1323</v>
      </c>
      <c r="O219" s="86">
        <v>0.4</v>
      </c>
      <c r="P219" s="95" t="s">
        <v>1983</v>
      </c>
      <c r="Q219" s="86" t="s">
        <v>658</v>
      </c>
      <c r="R219" s="86">
        <v>9011.0</v>
      </c>
      <c r="S219" s="86" t="s">
        <v>1190</v>
      </c>
      <c r="U219" s="86">
        <v>0.8</v>
      </c>
      <c r="V219" s="86">
        <v>70001.0</v>
      </c>
      <c r="W219" s="86">
        <v>1.0</v>
      </c>
      <c r="X219" s="86">
        <v>1.0</v>
      </c>
      <c r="Y219" s="86">
        <v>70002.0</v>
      </c>
      <c r="Z219" s="86">
        <v>1.0</v>
      </c>
      <c r="AA219" s="86">
        <v>1.0</v>
      </c>
      <c r="AB219" s="86">
        <v>1001.0</v>
      </c>
      <c r="AC219" s="86">
        <v>100.0</v>
      </c>
      <c r="AD219" s="86">
        <v>1.0</v>
      </c>
      <c r="AE219" s="86">
        <v>8000.0</v>
      </c>
      <c r="AF219" s="86">
        <v>1550.0</v>
      </c>
      <c r="AG219" s="86">
        <v>1.0</v>
      </c>
    </row>
    <row r="220" ht="38.25" customHeight="1">
      <c r="A220" s="86">
        <v>1114.0</v>
      </c>
      <c r="B220" s="86" t="s">
        <v>1605</v>
      </c>
      <c r="C220" s="86">
        <v>4.0</v>
      </c>
      <c r="D220" s="86" t="s">
        <v>2064</v>
      </c>
      <c r="E220" s="86">
        <v>58.0</v>
      </c>
      <c r="G220" s="96" t="s">
        <v>2065</v>
      </c>
      <c r="I220" s="86">
        <v>15470.0</v>
      </c>
      <c r="J220" s="95" t="s">
        <v>1980</v>
      </c>
      <c r="K220" s="86" t="s">
        <v>647</v>
      </c>
      <c r="L220" s="86">
        <v>9011.0</v>
      </c>
      <c r="M220" s="86">
        <v>7.0</v>
      </c>
      <c r="O220" s="86">
        <v>0.3</v>
      </c>
      <c r="P220" s="95" t="s">
        <v>1983</v>
      </c>
      <c r="Q220" s="86" t="s">
        <v>658</v>
      </c>
      <c r="R220" s="86">
        <v>9011.0</v>
      </c>
      <c r="S220" s="86" t="s">
        <v>2066</v>
      </c>
      <c r="U220" s="86">
        <v>0.9</v>
      </c>
      <c r="V220" s="86">
        <v>70001.0</v>
      </c>
      <c r="W220" s="86">
        <v>1.0</v>
      </c>
      <c r="X220" s="86">
        <v>1.0</v>
      </c>
      <c r="Y220" s="86">
        <v>70002.0</v>
      </c>
      <c r="Z220" s="86">
        <v>1.0</v>
      </c>
      <c r="AA220" s="86">
        <v>1.0</v>
      </c>
      <c r="AB220" s="86">
        <v>1001.0</v>
      </c>
      <c r="AC220" s="86">
        <v>100.0</v>
      </c>
      <c r="AD220" s="86">
        <v>1.0</v>
      </c>
      <c r="AE220" s="86">
        <v>8000.0</v>
      </c>
      <c r="AF220" s="86">
        <v>1550.0</v>
      </c>
      <c r="AG220" s="86">
        <v>1.0</v>
      </c>
    </row>
    <row r="221" ht="38.25" customHeight="1">
      <c r="A221" s="86">
        <v>1115.0</v>
      </c>
      <c r="B221" s="86" t="s">
        <v>1605</v>
      </c>
      <c r="C221" s="86">
        <v>4.0</v>
      </c>
      <c r="D221" s="86" t="s">
        <v>2068</v>
      </c>
      <c r="E221" s="86">
        <v>58.0</v>
      </c>
      <c r="G221" s="96" t="s">
        <v>2069</v>
      </c>
      <c r="I221" s="86">
        <v>15595.0</v>
      </c>
      <c r="J221" s="95" t="s">
        <v>1980</v>
      </c>
      <c r="K221" s="86" t="s">
        <v>647</v>
      </c>
      <c r="L221" s="86">
        <v>9002.0</v>
      </c>
      <c r="M221" s="86">
        <v>4.0</v>
      </c>
      <c r="O221" s="86">
        <v>0.1</v>
      </c>
      <c r="P221" s="95" t="s">
        <v>1983</v>
      </c>
      <c r="Q221" s="86" t="s">
        <v>658</v>
      </c>
      <c r="R221" s="86">
        <v>9003.0</v>
      </c>
      <c r="S221" s="86">
        <v>7.0</v>
      </c>
      <c r="U221" s="86">
        <v>0.3</v>
      </c>
      <c r="V221" s="86">
        <v>70001.0</v>
      </c>
      <c r="W221" s="86">
        <v>1.0</v>
      </c>
      <c r="X221" s="86">
        <v>1.0</v>
      </c>
      <c r="Y221" s="86">
        <v>70002.0</v>
      </c>
      <c r="Z221" s="86">
        <v>1.0</v>
      </c>
      <c r="AA221" s="86">
        <v>1.0</v>
      </c>
      <c r="AB221" s="86">
        <v>1001.0</v>
      </c>
      <c r="AC221" s="86">
        <v>100.0</v>
      </c>
      <c r="AD221" s="86">
        <v>1.0</v>
      </c>
      <c r="AE221" s="86">
        <v>8000.0</v>
      </c>
      <c r="AF221" s="86">
        <v>1550.0</v>
      </c>
      <c r="AG221" s="86">
        <v>1.0</v>
      </c>
    </row>
    <row r="222" ht="38.25" customHeight="1">
      <c r="A222" s="86">
        <v>1116.0</v>
      </c>
      <c r="B222" s="86" t="s">
        <v>1605</v>
      </c>
      <c r="C222" s="86">
        <v>4.0</v>
      </c>
      <c r="D222" s="86" t="s">
        <v>2072</v>
      </c>
      <c r="E222" s="86">
        <v>59.0</v>
      </c>
      <c r="G222" s="96" t="s">
        <v>2073</v>
      </c>
      <c r="I222" s="86">
        <v>15720.0</v>
      </c>
      <c r="J222" s="95" t="s">
        <v>1980</v>
      </c>
      <c r="K222" s="86" t="s">
        <v>647</v>
      </c>
      <c r="L222" s="86">
        <v>9005.0</v>
      </c>
      <c r="M222" s="86">
        <v>6.0</v>
      </c>
      <c r="O222" s="86">
        <v>0.6</v>
      </c>
      <c r="P222" s="95" t="s">
        <v>1983</v>
      </c>
      <c r="Q222" s="86" t="s">
        <v>658</v>
      </c>
      <c r="R222" s="86">
        <v>9003.0</v>
      </c>
      <c r="S222" s="86" t="s">
        <v>1386</v>
      </c>
      <c r="U222" s="86">
        <v>0.8</v>
      </c>
      <c r="V222" s="86">
        <v>70001.0</v>
      </c>
      <c r="W222" s="86">
        <v>1.0</v>
      </c>
      <c r="X222" s="86">
        <v>1.0</v>
      </c>
      <c r="Y222" s="86">
        <v>70002.0</v>
      </c>
      <c r="Z222" s="86">
        <v>1.0</v>
      </c>
      <c r="AA222" s="86">
        <v>1.0</v>
      </c>
      <c r="AB222" s="86">
        <v>1001.0</v>
      </c>
      <c r="AC222" s="86">
        <v>100.0</v>
      </c>
      <c r="AD222" s="86">
        <v>1.0</v>
      </c>
      <c r="AE222" s="86">
        <v>8000.0</v>
      </c>
      <c r="AF222" s="86">
        <v>1600.0</v>
      </c>
      <c r="AG222" s="86">
        <v>1.0</v>
      </c>
    </row>
    <row r="223" ht="38.25" customHeight="1">
      <c r="A223" s="86">
        <v>1117.0</v>
      </c>
      <c r="B223" s="86" t="s">
        <v>1605</v>
      </c>
      <c r="C223" s="86">
        <v>4.0</v>
      </c>
      <c r="D223" s="86" t="s">
        <v>2074</v>
      </c>
      <c r="E223" s="86">
        <v>59.0</v>
      </c>
      <c r="G223" s="96" t="s">
        <v>2075</v>
      </c>
      <c r="I223" s="86">
        <v>15845.0</v>
      </c>
      <c r="J223" s="95" t="s">
        <v>1980</v>
      </c>
      <c r="K223" s="86" t="s">
        <v>647</v>
      </c>
      <c r="L223" s="86">
        <v>9011.0</v>
      </c>
      <c r="M223" s="86" t="s">
        <v>2076</v>
      </c>
      <c r="O223" s="86">
        <v>0.7</v>
      </c>
      <c r="P223" s="95" t="s">
        <v>1983</v>
      </c>
      <c r="Q223" s="86" t="s">
        <v>658</v>
      </c>
      <c r="R223" s="86">
        <v>9003.0</v>
      </c>
      <c r="S223" s="86" t="s">
        <v>1128</v>
      </c>
      <c r="U223" s="86">
        <v>0.5</v>
      </c>
      <c r="V223" s="86">
        <v>70001.0</v>
      </c>
      <c r="W223" s="86">
        <v>1.0</v>
      </c>
      <c r="X223" s="86">
        <v>1.0</v>
      </c>
      <c r="Y223" s="86">
        <v>70002.0</v>
      </c>
      <c r="Z223" s="86">
        <v>1.0</v>
      </c>
      <c r="AA223" s="86">
        <v>1.0</v>
      </c>
      <c r="AB223" s="86">
        <v>1001.0</v>
      </c>
      <c r="AC223" s="86">
        <v>100.0</v>
      </c>
      <c r="AD223" s="86">
        <v>1.0</v>
      </c>
      <c r="AE223" s="86">
        <v>8000.0</v>
      </c>
      <c r="AF223" s="86">
        <v>1600.0</v>
      </c>
      <c r="AG223" s="86">
        <v>1.0</v>
      </c>
    </row>
    <row r="224" ht="38.25" customHeight="1">
      <c r="A224" s="86">
        <v>1118.0</v>
      </c>
      <c r="B224" s="86" t="s">
        <v>1605</v>
      </c>
      <c r="C224" s="86">
        <v>4.0</v>
      </c>
      <c r="D224" s="86" t="s">
        <v>2078</v>
      </c>
      <c r="E224" s="86">
        <v>60.0</v>
      </c>
      <c r="G224" s="96" t="s">
        <v>2079</v>
      </c>
      <c r="I224" s="86">
        <v>15970.0</v>
      </c>
      <c r="J224" s="95" t="s">
        <v>1980</v>
      </c>
      <c r="K224" s="86" t="s">
        <v>647</v>
      </c>
      <c r="L224" s="86">
        <v>9007.0</v>
      </c>
      <c r="M224" s="86" t="s">
        <v>2081</v>
      </c>
      <c r="O224" s="86">
        <v>0.6</v>
      </c>
      <c r="P224" s="95" t="s">
        <v>1983</v>
      </c>
      <c r="Q224" s="86" t="s">
        <v>658</v>
      </c>
      <c r="R224" s="86">
        <v>9008.0</v>
      </c>
      <c r="S224" s="86">
        <v>12.0</v>
      </c>
      <c r="U224" s="86">
        <v>0.3</v>
      </c>
      <c r="V224" s="86">
        <v>70001.0</v>
      </c>
      <c r="W224" s="86">
        <v>1.0</v>
      </c>
      <c r="X224" s="86">
        <v>1.0</v>
      </c>
      <c r="Y224" s="86">
        <v>70002.0</v>
      </c>
      <c r="Z224" s="86">
        <v>1.0</v>
      </c>
      <c r="AA224" s="86">
        <v>1.0</v>
      </c>
      <c r="AB224" s="86">
        <v>1001.0</v>
      </c>
      <c r="AC224" s="86">
        <v>100.0</v>
      </c>
      <c r="AD224" s="86">
        <v>1.0</v>
      </c>
      <c r="AE224" s="86">
        <v>8000.0</v>
      </c>
      <c r="AF224" s="86">
        <v>1600.0</v>
      </c>
      <c r="AG224" s="86">
        <v>1.0</v>
      </c>
    </row>
    <row r="225" ht="38.25" customHeight="1">
      <c r="A225" s="86">
        <v>1119.0</v>
      </c>
      <c r="B225" s="86" t="s">
        <v>1605</v>
      </c>
      <c r="C225" s="86">
        <v>4.0</v>
      </c>
      <c r="D225" s="86" t="s">
        <v>2082</v>
      </c>
      <c r="E225" s="86">
        <v>60.0</v>
      </c>
      <c r="G225" s="96" t="s">
        <v>2083</v>
      </c>
      <c r="I225" s="86">
        <v>16095.0</v>
      </c>
      <c r="J225" s="95" t="s">
        <v>1980</v>
      </c>
      <c r="K225" s="86" t="s">
        <v>647</v>
      </c>
      <c r="L225" s="86">
        <v>9012.0</v>
      </c>
      <c r="M225" s="86" t="s">
        <v>2084</v>
      </c>
      <c r="O225" s="86">
        <v>0.7</v>
      </c>
      <c r="P225" s="95" t="s">
        <v>1983</v>
      </c>
      <c r="Q225" s="86" t="s">
        <v>658</v>
      </c>
      <c r="R225" s="86">
        <v>9004.0</v>
      </c>
      <c r="S225" s="86">
        <v>4.0</v>
      </c>
      <c r="U225" s="86">
        <v>0.7</v>
      </c>
      <c r="V225" s="86">
        <v>70001.0</v>
      </c>
      <c r="W225" s="86">
        <v>1.0</v>
      </c>
      <c r="X225" s="86">
        <v>1.0</v>
      </c>
      <c r="Y225" s="86">
        <v>70002.0</v>
      </c>
      <c r="Z225" s="86">
        <v>1.0</v>
      </c>
      <c r="AA225" s="86">
        <v>1.0</v>
      </c>
      <c r="AB225" s="86">
        <v>1001.0</v>
      </c>
      <c r="AC225" s="86">
        <v>500.0</v>
      </c>
      <c r="AD225" s="86">
        <v>1.0</v>
      </c>
      <c r="AE225" s="86">
        <v>8000.0</v>
      </c>
      <c r="AF225" s="86">
        <v>1650.0</v>
      </c>
      <c r="AG225" s="86">
        <v>1.0</v>
      </c>
    </row>
    <row r="226" ht="38.25" customHeight="1">
      <c r="A226" s="86">
        <v>1120.0</v>
      </c>
      <c r="B226" s="86" t="s">
        <v>1605</v>
      </c>
      <c r="C226" s="86">
        <v>5.0</v>
      </c>
      <c r="D226" s="86" t="s">
        <v>2086</v>
      </c>
      <c r="E226" s="86">
        <v>61.0</v>
      </c>
      <c r="G226" s="96" t="s">
        <v>2087</v>
      </c>
      <c r="I226" s="86">
        <v>16220.0</v>
      </c>
      <c r="J226" s="95" t="s">
        <v>2088</v>
      </c>
      <c r="K226" s="86" t="s">
        <v>647</v>
      </c>
      <c r="L226" s="86">
        <v>9011.0</v>
      </c>
      <c r="M226" s="86" t="s">
        <v>2089</v>
      </c>
      <c r="O226" s="86">
        <v>0.6</v>
      </c>
      <c r="P226" s="95" t="s">
        <v>2090</v>
      </c>
      <c r="Q226" s="86" t="s">
        <v>658</v>
      </c>
      <c r="R226" s="86">
        <v>9010.0</v>
      </c>
      <c r="S226" s="86" t="s">
        <v>2091</v>
      </c>
      <c r="U226" s="86">
        <v>0.4</v>
      </c>
      <c r="V226" s="86">
        <v>70001.0</v>
      </c>
      <c r="W226" s="86">
        <v>1.0</v>
      </c>
      <c r="X226" s="86">
        <v>1.0</v>
      </c>
      <c r="Y226" s="86">
        <v>70002.0</v>
      </c>
      <c r="Z226" s="86">
        <v>1.0</v>
      </c>
      <c r="AA226" s="86">
        <v>1.0</v>
      </c>
      <c r="AB226" s="86">
        <v>1001.0</v>
      </c>
      <c r="AC226" s="86">
        <v>100.0</v>
      </c>
      <c r="AD226" s="86">
        <v>1.0</v>
      </c>
      <c r="AE226" s="86">
        <v>8000.0</v>
      </c>
      <c r="AF226" s="86">
        <v>1650.0</v>
      </c>
      <c r="AG226" s="86">
        <v>1.0</v>
      </c>
    </row>
    <row r="227" ht="38.25" customHeight="1">
      <c r="A227" s="86">
        <v>1121.0</v>
      </c>
      <c r="B227" s="86" t="s">
        <v>1605</v>
      </c>
      <c r="C227" s="86">
        <v>5.0</v>
      </c>
      <c r="D227" s="86" t="s">
        <v>2092</v>
      </c>
      <c r="E227" s="86">
        <v>61.0</v>
      </c>
      <c r="G227" s="96" t="s">
        <v>2093</v>
      </c>
      <c r="I227" s="86">
        <v>16345.0</v>
      </c>
      <c r="J227" s="95" t="s">
        <v>2088</v>
      </c>
      <c r="K227" s="86" t="s">
        <v>647</v>
      </c>
      <c r="L227" s="86">
        <v>9001.0</v>
      </c>
      <c r="M227" s="86">
        <v>6.0</v>
      </c>
      <c r="O227" s="86">
        <v>0.3</v>
      </c>
      <c r="P227" s="95" t="s">
        <v>2090</v>
      </c>
      <c r="Q227" s="86" t="s">
        <v>658</v>
      </c>
      <c r="R227" s="86">
        <v>9007.0</v>
      </c>
      <c r="S227" s="86" t="s">
        <v>1895</v>
      </c>
      <c r="U227" s="86">
        <v>0.4</v>
      </c>
      <c r="V227" s="86">
        <v>70001.0</v>
      </c>
      <c r="W227" s="86">
        <v>1.0</v>
      </c>
      <c r="X227" s="86">
        <v>1.0</v>
      </c>
      <c r="Y227" s="86">
        <v>70002.0</v>
      </c>
      <c r="Z227" s="86">
        <v>1.0</v>
      </c>
      <c r="AA227" s="86">
        <v>1.0</v>
      </c>
      <c r="AB227" s="86">
        <v>1001.0</v>
      </c>
      <c r="AC227" s="86">
        <v>100.0</v>
      </c>
      <c r="AD227" s="86">
        <v>1.0</v>
      </c>
      <c r="AE227" s="86">
        <v>8000.0</v>
      </c>
      <c r="AF227" s="86">
        <v>1700.0</v>
      </c>
      <c r="AG227" s="86">
        <v>1.0</v>
      </c>
    </row>
    <row r="228" ht="38.25" customHeight="1">
      <c r="A228" s="86">
        <v>1122.0</v>
      </c>
      <c r="B228" s="86" t="s">
        <v>1605</v>
      </c>
      <c r="C228" s="86">
        <v>5.0</v>
      </c>
      <c r="D228" s="86" t="s">
        <v>2095</v>
      </c>
      <c r="E228" s="86">
        <v>62.0</v>
      </c>
      <c r="G228" s="96" t="s">
        <v>2096</v>
      </c>
      <c r="I228" s="86">
        <v>16470.0</v>
      </c>
      <c r="J228" s="95" t="s">
        <v>2088</v>
      </c>
      <c r="K228" s="86" t="s">
        <v>647</v>
      </c>
      <c r="L228" s="86">
        <v>9006.0</v>
      </c>
      <c r="M228" s="86" t="s">
        <v>2097</v>
      </c>
      <c r="O228" s="86">
        <v>0.8</v>
      </c>
      <c r="P228" s="95" t="s">
        <v>2090</v>
      </c>
      <c r="Q228" s="86" t="s">
        <v>658</v>
      </c>
      <c r="R228" s="86">
        <v>9012.0</v>
      </c>
      <c r="S228" s="86">
        <v>5.0</v>
      </c>
      <c r="U228" s="86">
        <v>0.7</v>
      </c>
      <c r="V228" s="86">
        <v>70001.0</v>
      </c>
      <c r="W228" s="86">
        <v>1.0</v>
      </c>
      <c r="X228" s="86">
        <v>1.0</v>
      </c>
      <c r="Y228" s="86">
        <v>70002.0</v>
      </c>
      <c r="Z228" s="86">
        <v>1.0</v>
      </c>
      <c r="AA228" s="86">
        <v>1.0</v>
      </c>
      <c r="AB228" s="86">
        <v>1001.0</v>
      </c>
      <c r="AC228" s="86">
        <v>100.0</v>
      </c>
      <c r="AD228" s="86">
        <v>1.0</v>
      </c>
      <c r="AE228" s="86">
        <v>8000.0</v>
      </c>
      <c r="AF228" s="86">
        <v>1700.0</v>
      </c>
      <c r="AG228" s="86">
        <v>1.0</v>
      </c>
    </row>
    <row r="229" ht="38.25" customHeight="1">
      <c r="A229" s="86">
        <v>1123.0</v>
      </c>
      <c r="B229" s="86" t="s">
        <v>1605</v>
      </c>
      <c r="C229" s="86">
        <v>5.0</v>
      </c>
      <c r="D229" s="86" t="s">
        <v>2099</v>
      </c>
      <c r="E229" s="86">
        <v>62.0</v>
      </c>
      <c r="G229" s="96" t="s">
        <v>2100</v>
      </c>
      <c r="I229" s="86">
        <v>16595.0</v>
      </c>
      <c r="J229" s="95" t="s">
        <v>2088</v>
      </c>
      <c r="K229" s="86" t="s">
        <v>647</v>
      </c>
      <c r="L229" s="86">
        <v>9012.0</v>
      </c>
      <c r="M229" s="86" t="s">
        <v>1427</v>
      </c>
      <c r="O229" s="86">
        <v>1.0</v>
      </c>
      <c r="P229" s="95" t="s">
        <v>2090</v>
      </c>
      <c r="Q229" s="86" t="s">
        <v>658</v>
      </c>
      <c r="R229" s="86">
        <v>9008.0</v>
      </c>
      <c r="S229" s="86" t="s">
        <v>1689</v>
      </c>
      <c r="U229" s="86">
        <v>0.8</v>
      </c>
      <c r="V229" s="86">
        <v>70001.0</v>
      </c>
      <c r="W229" s="86">
        <v>1.0</v>
      </c>
      <c r="X229" s="86">
        <v>1.0</v>
      </c>
      <c r="Y229" s="86">
        <v>70002.0</v>
      </c>
      <c r="Z229" s="86">
        <v>1.0</v>
      </c>
      <c r="AA229" s="86">
        <v>1.0</v>
      </c>
      <c r="AB229" s="86">
        <v>1001.0</v>
      </c>
      <c r="AC229" s="86">
        <v>100.0</v>
      </c>
      <c r="AD229" s="86">
        <v>1.0</v>
      </c>
      <c r="AE229" s="86">
        <v>8000.0</v>
      </c>
      <c r="AF229" s="86">
        <v>1700.0</v>
      </c>
      <c r="AG229" s="86">
        <v>1.0</v>
      </c>
    </row>
    <row r="230" ht="38.25" customHeight="1">
      <c r="A230" s="86">
        <v>1124.0</v>
      </c>
      <c r="B230" s="86" t="s">
        <v>1605</v>
      </c>
      <c r="C230" s="86">
        <v>5.0</v>
      </c>
      <c r="D230" s="86" t="s">
        <v>2101</v>
      </c>
      <c r="E230" s="86">
        <v>63.0</v>
      </c>
      <c r="G230" s="96" t="s">
        <v>2102</v>
      </c>
      <c r="I230" s="86">
        <v>16720.0</v>
      </c>
      <c r="J230" s="95" t="s">
        <v>2088</v>
      </c>
      <c r="K230" s="86" t="s">
        <v>647</v>
      </c>
      <c r="L230" s="86">
        <v>9011.0</v>
      </c>
      <c r="M230" s="86" t="s">
        <v>2103</v>
      </c>
      <c r="O230" s="86">
        <v>0.9</v>
      </c>
      <c r="P230" s="95" t="s">
        <v>2090</v>
      </c>
      <c r="Q230" s="86" t="s">
        <v>658</v>
      </c>
      <c r="R230" s="86">
        <v>9007.0</v>
      </c>
      <c r="S230" s="86">
        <v>10.0</v>
      </c>
      <c r="U230" s="86">
        <v>0.6</v>
      </c>
      <c r="V230" s="86">
        <v>70001.0</v>
      </c>
      <c r="W230" s="86">
        <v>1.0</v>
      </c>
      <c r="X230" s="86">
        <v>1.0</v>
      </c>
      <c r="Y230" s="86">
        <v>70002.0</v>
      </c>
      <c r="Z230" s="86">
        <v>1.0</v>
      </c>
      <c r="AA230" s="86">
        <v>1.0</v>
      </c>
      <c r="AB230" s="86">
        <v>1001.0</v>
      </c>
      <c r="AC230" s="86">
        <v>100.0</v>
      </c>
      <c r="AD230" s="86">
        <v>1.0</v>
      </c>
      <c r="AE230" s="86">
        <v>8000.0</v>
      </c>
      <c r="AF230" s="86">
        <v>1750.0</v>
      </c>
      <c r="AG230" s="86">
        <v>1.0</v>
      </c>
    </row>
    <row r="231" ht="38.25" customHeight="1">
      <c r="A231" s="86">
        <v>1125.0</v>
      </c>
      <c r="B231" s="86" t="s">
        <v>1605</v>
      </c>
      <c r="C231" s="86">
        <v>5.0</v>
      </c>
      <c r="D231" s="86" t="s">
        <v>2105</v>
      </c>
      <c r="E231" s="86">
        <v>63.0</v>
      </c>
      <c r="G231" s="96" t="s">
        <v>2106</v>
      </c>
      <c r="I231" s="86">
        <v>16845.0</v>
      </c>
      <c r="J231" s="95" t="s">
        <v>2088</v>
      </c>
      <c r="K231" s="86" t="s">
        <v>647</v>
      </c>
      <c r="L231" s="86">
        <v>9001.0</v>
      </c>
      <c r="M231" s="86">
        <v>1.0</v>
      </c>
      <c r="O231" s="86">
        <v>0.5</v>
      </c>
      <c r="P231" s="95" t="s">
        <v>2090</v>
      </c>
      <c r="Q231" s="86" t="s">
        <v>658</v>
      </c>
      <c r="R231" s="86">
        <v>9008.0</v>
      </c>
      <c r="S231" s="86">
        <v>3.0</v>
      </c>
      <c r="U231" s="86">
        <v>0.3</v>
      </c>
      <c r="V231" s="86">
        <v>70001.0</v>
      </c>
      <c r="W231" s="86">
        <v>1.0</v>
      </c>
      <c r="X231" s="86">
        <v>1.0</v>
      </c>
      <c r="Y231" s="86">
        <v>70002.0</v>
      </c>
      <c r="Z231" s="86">
        <v>1.0</v>
      </c>
      <c r="AA231" s="86">
        <v>1.0</v>
      </c>
      <c r="AB231" s="86">
        <v>1001.0</v>
      </c>
      <c r="AC231" s="86">
        <v>100.0</v>
      </c>
      <c r="AD231" s="86">
        <v>1.0</v>
      </c>
      <c r="AE231" s="86">
        <v>8000.0</v>
      </c>
      <c r="AF231" s="86">
        <v>1750.0</v>
      </c>
      <c r="AG231" s="86">
        <v>1.0</v>
      </c>
    </row>
    <row r="232" ht="38.25" customHeight="1">
      <c r="A232" s="86">
        <v>1126.0</v>
      </c>
      <c r="B232" s="86" t="s">
        <v>1605</v>
      </c>
      <c r="C232" s="86">
        <v>5.0</v>
      </c>
      <c r="D232" s="86" t="s">
        <v>2109</v>
      </c>
      <c r="E232" s="86">
        <v>64.0</v>
      </c>
      <c r="G232" s="96" t="s">
        <v>2110</v>
      </c>
      <c r="I232" s="86">
        <v>16970.0</v>
      </c>
      <c r="J232" s="95" t="s">
        <v>2088</v>
      </c>
      <c r="K232" s="86" t="s">
        <v>647</v>
      </c>
      <c r="L232" s="86">
        <v>9008.0</v>
      </c>
      <c r="M232" s="86">
        <v>3.0</v>
      </c>
      <c r="O232" s="86">
        <v>0.7</v>
      </c>
      <c r="P232" s="95" t="s">
        <v>2090</v>
      </c>
      <c r="Q232" s="86" t="s">
        <v>658</v>
      </c>
      <c r="R232" s="86">
        <v>9004.0</v>
      </c>
      <c r="S232" s="86" t="s">
        <v>1885</v>
      </c>
      <c r="U232" s="86">
        <v>0.4</v>
      </c>
      <c r="V232" s="86">
        <v>70001.0</v>
      </c>
      <c r="W232" s="86">
        <v>1.0</v>
      </c>
      <c r="X232" s="86">
        <v>1.0</v>
      </c>
      <c r="Y232" s="86">
        <v>70002.0</v>
      </c>
      <c r="Z232" s="86">
        <v>1.0</v>
      </c>
      <c r="AA232" s="86">
        <v>1.0</v>
      </c>
      <c r="AB232" s="86">
        <v>1001.0</v>
      </c>
      <c r="AC232" s="86">
        <v>100.0</v>
      </c>
      <c r="AD232" s="86">
        <v>1.0</v>
      </c>
      <c r="AE232" s="86">
        <v>8000.0</v>
      </c>
      <c r="AF232" s="86">
        <v>1750.0</v>
      </c>
      <c r="AG232" s="86">
        <v>1.0</v>
      </c>
    </row>
    <row r="233" ht="38.25" customHeight="1">
      <c r="A233" s="86">
        <v>1127.0</v>
      </c>
      <c r="B233" s="86" t="s">
        <v>1605</v>
      </c>
      <c r="C233" s="86">
        <v>5.0</v>
      </c>
      <c r="D233" s="86" t="s">
        <v>2111</v>
      </c>
      <c r="E233" s="86">
        <v>64.0</v>
      </c>
      <c r="G233" s="96" t="s">
        <v>2112</v>
      </c>
      <c r="I233" s="86">
        <v>17095.0</v>
      </c>
      <c r="J233" s="95" t="s">
        <v>2088</v>
      </c>
      <c r="K233" s="86" t="s">
        <v>647</v>
      </c>
      <c r="L233" s="86">
        <v>9011.0</v>
      </c>
      <c r="M233" s="86">
        <v>2.0</v>
      </c>
      <c r="O233" s="86">
        <v>0.3</v>
      </c>
      <c r="P233" s="95" t="s">
        <v>2090</v>
      </c>
      <c r="Q233" s="86" t="s">
        <v>658</v>
      </c>
      <c r="R233" s="86">
        <v>9010.0</v>
      </c>
      <c r="S233" s="86" t="s">
        <v>1933</v>
      </c>
      <c r="U233" s="86">
        <v>0.9</v>
      </c>
      <c r="V233" s="86">
        <v>70001.0</v>
      </c>
      <c r="W233" s="86">
        <v>1.0</v>
      </c>
      <c r="X233" s="86">
        <v>1.0</v>
      </c>
      <c r="Y233" s="86">
        <v>70002.0</v>
      </c>
      <c r="Z233" s="86">
        <v>1.0</v>
      </c>
      <c r="AA233" s="86">
        <v>1.0</v>
      </c>
      <c r="AB233" s="86">
        <v>1001.0</v>
      </c>
      <c r="AC233" s="86">
        <v>100.0</v>
      </c>
      <c r="AD233" s="86">
        <v>1.0</v>
      </c>
      <c r="AE233" s="86">
        <v>8000.0</v>
      </c>
      <c r="AF233" s="86">
        <v>1800.0</v>
      </c>
      <c r="AG233" s="86">
        <v>1.0</v>
      </c>
    </row>
    <row r="234" ht="38.25" customHeight="1">
      <c r="A234" s="86">
        <v>1128.0</v>
      </c>
      <c r="B234" s="86" t="s">
        <v>1605</v>
      </c>
      <c r="C234" s="86">
        <v>5.0</v>
      </c>
      <c r="D234" s="86" t="s">
        <v>2114</v>
      </c>
      <c r="E234" s="86">
        <v>65.0</v>
      </c>
      <c r="G234" s="96" t="s">
        <v>2115</v>
      </c>
      <c r="I234" s="86">
        <v>17220.0</v>
      </c>
      <c r="J234" s="95" t="s">
        <v>2088</v>
      </c>
      <c r="K234" s="86" t="s">
        <v>647</v>
      </c>
      <c r="L234" s="86">
        <v>9006.0</v>
      </c>
      <c r="M234" s="86" t="s">
        <v>2116</v>
      </c>
      <c r="O234" s="86">
        <v>0.7</v>
      </c>
      <c r="P234" s="95" t="s">
        <v>2090</v>
      </c>
      <c r="Q234" s="86" t="s">
        <v>658</v>
      </c>
      <c r="R234" s="86">
        <v>9011.0</v>
      </c>
      <c r="S234" s="86" t="s">
        <v>2118</v>
      </c>
      <c r="U234" s="86">
        <v>0.6</v>
      </c>
      <c r="V234" s="86">
        <v>70001.0</v>
      </c>
      <c r="W234" s="86">
        <v>1.0</v>
      </c>
      <c r="X234" s="86">
        <v>1.0</v>
      </c>
      <c r="Y234" s="86">
        <v>70002.0</v>
      </c>
      <c r="Z234" s="86">
        <v>1.0</v>
      </c>
      <c r="AA234" s="86">
        <v>1.0</v>
      </c>
      <c r="AB234" s="86">
        <v>1001.0</v>
      </c>
      <c r="AC234" s="86">
        <v>100.0</v>
      </c>
      <c r="AD234" s="86">
        <v>1.0</v>
      </c>
      <c r="AE234" s="86">
        <v>8000.0</v>
      </c>
      <c r="AF234" s="86">
        <v>1800.0</v>
      </c>
      <c r="AG234" s="86">
        <v>1.0</v>
      </c>
    </row>
    <row r="235" ht="38.25" customHeight="1">
      <c r="A235" s="86">
        <v>1129.0</v>
      </c>
      <c r="B235" s="86" t="s">
        <v>1605</v>
      </c>
      <c r="C235" s="86">
        <v>5.0</v>
      </c>
      <c r="D235" s="86" t="s">
        <v>2119</v>
      </c>
      <c r="E235" s="86">
        <v>65.0</v>
      </c>
      <c r="G235" s="96" t="s">
        <v>2120</v>
      </c>
      <c r="I235" s="86">
        <v>17345.0</v>
      </c>
      <c r="J235" s="95" t="s">
        <v>2088</v>
      </c>
      <c r="K235" s="86" t="s">
        <v>647</v>
      </c>
      <c r="L235" s="86">
        <v>9008.0</v>
      </c>
      <c r="M235" s="86">
        <v>2.0</v>
      </c>
      <c r="O235" s="86">
        <v>0.6</v>
      </c>
      <c r="P235" s="95" t="s">
        <v>2090</v>
      </c>
      <c r="Q235" s="86" t="s">
        <v>658</v>
      </c>
      <c r="R235" s="86">
        <v>9003.0</v>
      </c>
      <c r="S235" s="86" t="s">
        <v>2121</v>
      </c>
      <c r="U235" s="86">
        <v>1.0</v>
      </c>
      <c r="V235" s="86">
        <v>70001.0</v>
      </c>
      <c r="W235" s="86">
        <v>1.0</v>
      </c>
      <c r="X235" s="86">
        <v>1.0</v>
      </c>
      <c r="Y235" s="86">
        <v>70002.0</v>
      </c>
      <c r="Z235" s="86">
        <v>1.0</v>
      </c>
      <c r="AA235" s="86">
        <v>1.0</v>
      </c>
      <c r="AB235" s="86">
        <v>1001.0</v>
      </c>
      <c r="AC235" s="86">
        <v>100.0</v>
      </c>
      <c r="AD235" s="86">
        <v>1.0</v>
      </c>
      <c r="AE235" s="86">
        <v>8000.0</v>
      </c>
      <c r="AF235" s="86">
        <v>1800.0</v>
      </c>
      <c r="AG235" s="86">
        <v>1.0</v>
      </c>
    </row>
    <row r="236" ht="38.25" customHeight="1">
      <c r="A236" s="86">
        <v>1130.0</v>
      </c>
      <c r="B236" s="86" t="s">
        <v>1605</v>
      </c>
      <c r="C236" s="86">
        <v>5.0</v>
      </c>
      <c r="D236" s="86" t="s">
        <v>2123</v>
      </c>
      <c r="E236" s="86">
        <v>66.0</v>
      </c>
      <c r="G236" s="96" t="s">
        <v>2124</v>
      </c>
      <c r="I236" s="86">
        <v>17470.0</v>
      </c>
      <c r="J236" s="95" t="s">
        <v>2088</v>
      </c>
      <c r="K236" s="86" t="s">
        <v>647</v>
      </c>
      <c r="L236" s="86">
        <v>9008.0</v>
      </c>
      <c r="M236" s="86" t="s">
        <v>2125</v>
      </c>
      <c r="O236" s="86">
        <v>0.8</v>
      </c>
      <c r="P236" s="95" t="s">
        <v>2090</v>
      </c>
      <c r="Q236" s="86" t="s">
        <v>658</v>
      </c>
      <c r="R236" s="86">
        <v>9008.0</v>
      </c>
      <c r="S236" s="86" t="s">
        <v>1490</v>
      </c>
      <c r="U236" s="86">
        <v>0.9</v>
      </c>
      <c r="V236" s="86">
        <v>70001.0</v>
      </c>
      <c r="W236" s="86">
        <v>1.0</v>
      </c>
      <c r="X236" s="86">
        <v>1.0</v>
      </c>
      <c r="Y236" s="86">
        <v>70002.0</v>
      </c>
      <c r="Z236" s="86">
        <v>1.0</v>
      </c>
      <c r="AA236" s="86">
        <v>1.0</v>
      </c>
      <c r="AB236" s="86">
        <v>1001.0</v>
      </c>
      <c r="AC236" s="86">
        <v>100.0</v>
      </c>
      <c r="AD236" s="86">
        <v>1.0</v>
      </c>
      <c r="AE236" s="86">
        <v>8000.0</v>
      </c>
      <c r="AF236" s="86">
        <v>1850.0</v>
      </c>
      <c r="AG236" s="86">
        <v>1.0</v>
      </c>
    </row>
    <row r="237" ht="38.25" customHeight="1">
      <c r="A237" s="86">
        <v>1131.0</v>
      </c>
      <c r="B237" s="86" t="s">
        <v>1605</v>
      </c>
      <c r="C237" s="86">
        <v>5.0</v>
      </c>
      <c r="D237" s="86" t="s">
        <v>2127</v>
      </c>
      <c r="E237" s="86">
        <v>66.0</v>
      </c>
      <c r="G237" s="96" t="s">
        <v>2129</v>
      </c>
      <c r="I237" s="86">
        <v>17595.0</v>
      </c>
      <c r="J237" s="95" t="s">
        <v>2088</v>
      </c>
      <c r="K237" s="86" t="s">
        <v>647</v>
      </c>
      <c r="L237" s="86">
        <v>9005.0</v>
      </c>
      <c r="M237" s="86" t="s">
        <v>1673</v>
      </c>
      <c r="O237" s="86">
        <v>0.8</v>
      </c>
      <c r="P237" s="95" t="s">
        <v>2090</v>
      </c>
      <c r="Q237" s="86" t="s">
        <v>658</v>
      </c>
      <c r="R237" s="86">
        <v>9004.0</v>
      </c>
      <c r="S237" s="86">
        <v>1.0</v>
      </c>
      <c r="U237" s="86">
        <v>0.3</v>
      </c>
      <c r="V237" s="86">
        <v>70001.0</v>
      </c>
      <c r="W237" s="86">
        <v>1.0</v>
      </c>
      <c r="X237" s="86">
        <v>1.0</v>
      </c>
      <c r="Y237" s="86">
        <v>70002.0</v>
      </c>
      <c r="Z237" s="86">
        <v>1.0</v>
      </c>
      <c r="AA237" s="86">
        <v>1.0</v>
      </c>
      <c r="AB237" s="86">
        <v>1001.0</v>
      </c>
      <c r="AC237" s="86">
        <v>100.0</v>
      </c>
      <c r="AD237" s="86">
        <v>1.0</v>
      </c>
      <c r="AE237" s="86">
        <v>8000.0</v>
      </c>
      <c r="AF237" s="86">
        <v>1850.0</v>
      </c>
      <c r="AG237" s="86">
        <v>1.0</v>
      </c>
    </row>
    <row r="238" ht="38.25" customHeight="1">
      <c r="A238" s="86">
        <v>1132.0</v>
      </c>
      <c r="B238" s="86" t="s">
        <v>1605</v>
      </c>
      <c r="C238" s="86">
        <v>5.0</v>
      </c>
      <c r="D238" s="86" t="s">
        <v>2131</v>
      </c>
      <c r="E238" s="86">
        <v>67.0</v>
      </c>
      <c r="G238" s="96" t="s">
        <v>2132</v>
      </c>
      <c r="I238" s="86">
        <v>17720.0</v>
      </c>
      <c r="J238" s="95" t="s">
        <v>2088</v>
      </c>
      <c r="K238" s="86" t="s">
        <v>647</v>
      </c>
      <c r="L238" s="86">
        <v>9011.0</v>
      </c>
      <c r="M238" s="86" t="s">
        <v>1517</v>
      </c>
      <c r="O238" s="86">
        <v>0.6</v>
      </c>
      <c r="P238" s="95" t="s">
        <v>2090</v>
      </c>
      <c r="Q238" s="86" t="s">
        <v>658</v>
      </c>
      <c r="R238" s="86">
        <v>9010.0</v>
      </c>
      <c r="S238" s="86" t="s">
        <v>1380</v>
      </c>
      <c r="U238" s="86">
        <v>0.4</v>
      </c>
      <c r="V238" s="86">
        <v>70001.0</v>
      </c>
      <c r="W238" s="86">
        <v>1.0</v>
      </c>
      <c r="X238" s="86">
        <v>1.0</v>
      </c>
      <c r="Y238" s="86">
        <v>70002.0</v>
      </c>
      <c r="Z238" s="86">
        <v>1.0</v>
      </c>
      <c r="AA238" s="86">
        <v>1.0</v>
      </c>
      <c r="AB238" s="86">
        <v>1001.0</v>
      </c>
      <c r="AC238" s="86">
        <v>100.0</v>
      </c>
      <c r="AD238" s="86">
        <v>1.0</v>
      </c>
      <c r="AE238" s="86">
        <v>8000.0</v>
      </c>
      <c r="AF238" s="86">
        <v>1900.0</v>
      </c>
      <c r="AG238" s="86">
        <v>1.0</v>
      </c>
    </row>
    <row r="239" ht="38.25" customHeight="1">
      <c r="A239" s="86">
        <v>1133.0</v>
      </c>
      <c r="B239" s="86" t="s">
        <v>1605</v>
      </c>
      <c r="C239" s="86">
        <v>5.0</v>
      </c>
      <c r="D239" s="86" t="s">
        <v>2133</v>
      </c>
      <c r="E239" s="86">
        <v>67.0</v>
      </c>
      <c r="G239" s="96" t="s">
        <v>2135</v>
      </c>
      <c r="I239" s="86">
        <v>17845.0</v>
      </c>
      <c r="J239" s="95" t="s">
        <v>2088</v>
      </c>
      <c r="K239" s="86" t="s">
        <v>647</v>
      </c>
      <c r="L239" s="86">
        <v>9001.0</v>
      </c>
      <c r="M239" s="86" t="s">
        <v>1407</v>
      </c>
      <c r="O239" s="86">
        <v>0.4</v>
      </c>
      <c r="P239" s="95" t="s">
        <v>2090</v>
      </c>
      <c r="Q239" s="86" t="s">
        <v>658</v>
      </c>
      <c r="R239" s="86">
        <v>9008.0</v>
      </c>
      <c r="S239" s="86" t="s">
        <v>1220</v>
      </c>
      <c r="U239" s="86">
        <v>0.8</v>
      </c>
      <c r="V239" s="86">
        <v>70001.0</v>
      </c>
      <c r="W239" s="86">
        <v>1.0</v>
      </c>
      <c r="X239" s="86">
        <v>1.0</v>
      </c>
      <c r="Y239" s="86">
        <v>70002.0</v>
      </c>
      <c r="Z239" s="86">
        <v>1.0</v>
      </c>
      <c r="AA239" s="86">
        <v>1.0</v>
      </c>
      <c r="AB239" s="86">
        <v>1001.0</v>
      </c>
      <c r="AC239" s="86">
        <v>100.0</v>
      </c>
      <c r="AD239" s="86">
        <v>1.0</v>
      </c>
      <c r="AE239" s="86">
        <v>8000.0</v>
      </c>
      <c r="AF239" s="86">
        <v>1900.0</v>
      </c>
      <c r="AG239" s="86">
        <v>1.0</v>
      </c>
    </row>
    <row r="240" ht="38.25" customHeight="1">
      <c r="A240" s="86">
        <v>1134.0</v>
      </c>
      <c r="B240" s="86" t="s">
        <v>1605</v>
      </c>
      <c r="C240" s="86">
        <v>5.0</v>
      </c>
      <c r="D240" s="86" t="s">
        <v>2136</v>
      </c>
      <c r="E240" s="86">
        <v>68.0</v>
      </c>
      <c r="G240" s="96" t="s">
        <v>2137</v>
      </c>
      <c r="I240" s="86">
        <v>17970.0</v>
      </c>
      <c r="J240" s="95" t="s">
        <v>2088</v>
      </c>
      <c r="K240" s="86" t="s">
        <v>647</v>
      </c>
      <c r="L240" s="86">
        <v>9007.0</v>
      </c>
      <c r="M240" s="86" t="s">
        <v>2138</v>
      </c>
      <c r="O240" s="86">
        <v>0.5</v>
      </c>
      <c r="P240" s="95" t="s">
        <v>2090</v>
      </c>
      <c r="Q240" s="86" t="s">
        <v>658</v>
      </c>
      <c r="R240" s="86">
        <v>9011.0</v>
      </c>
      <c r="S240" s="86">
        <v>10.0</v>
      </c>
      <c r="U240" s="86">
        <v>0.9</v>
      </c>
      <c r="V240" s="86">
        <v>70001.0</v>
      </c>
      <c r="W240" s="86">
        <v>1.0</v>
      </c>
      <c r="X240" s="86">
        <v>1.0</v>
      </c>
      <c r="Y240" s="86">
        <v>70002.0</v>
      </c>
      <c r="Z240" s="86">
        <v>1.0</v>
      </c>
      <c r="AA240" s="86">
        <v>1.0</v>
      </c>
      <c r="AB240" s="86">
        <v>1001.0</v>
      </c>
      <c r="AC240" s="86">
        <v>100.0</v>
      </c>
      <c r="AD240" s="86">
        <v>1.0</v>
      </c>
      <c r="AE240" s="86">
        <v>8000.0</v>
      </c>
      <c r="AF240" s="86">
        <v>1900.0</v>
      </c>
      <c r="AG240" s="86">
        <v>1.0</v>
      </c>
    </row>
    <row r="241" ht="38.25" customHeight="1">
      <c r="A241" s="86">
        <v>1135.0</v>
      </c>
      <c r="B241" s="86" t="s">
        <v>1605</v>
      </c>
      <c r="C241" s="86">
        <v>5.0</v>
      </c>
      <c r="D241" s="86" t="s">
        <v>2139</v>
      </c>
      <c r="E241" s="86">
        <v>68.0</v>
      </c>
      <c r="G241" s="96" t="s">
        <v>2140</v>
      </c>
      <c r="I241" s="86">
        <v>18095.0</v>
      </c>
      <c r="J241" s="95" t="s">
        <v>2088</v>
      </c>
      <c r="K241" s="86" t="s">
        <v>647</v>
      </c>
      <c r="L241" s="86">
        <v>9011.0</v>
      </c>
      <c r="M241" s="86">
        <v>3.0</v>
      </c>
      <c r="O241" s="86">
        <v>0.9</v>
      </c>
      <c r="P241" s="95" t="s">
        <v>2090</v>
      </c>
      <c r="Q241" s="86" t="s">
        <v>658</v>
      </c>
      <c r="R241" s="86">
        <v>9010.0</v>
      </c>
      <c r="S241" s="86" t="s">
        <v>1668</v>
      </c>
      <c r="U241" s="86">
        <v>0.5</v>
      </c>
      <c r="V241" s="86">
        <v>70001.0</v>
      </c>
      <c r="W241" s="86">
        <v>1.0</v>
      </c>
      <c r="X241" s="86">
        <v>1.0</v>
      </c>
      <c r="Y241" s="86">
        <v>70002.0</v>
      </c>
      <c r="Z241" s="86">
        <v>1.0</v>
      </c>
      <c r="AA241" s="86">
        <v>1.0</v>
      </c>
      <c r="AB241" s="86">
        <v>1001.0</v>
      </c>
      <c r="AC241" s="86">
        <v>100.0</v>
      </c>
      <c r="AD241" s="86">
        <v>1.0</v>
      </c>
      <c r="AE241" s="86">
        <v>8000.0</v>
      </c>
      <c r="AF241" s="86">
        <v>1950.0</v>
      </c>
      <c r="AG241" s="86">
        <v>1.0</v>
      </c>
    </row>
    <row r="242" ht="38.25" customHeight="1">
      <c r="A242" s="86">
        <v>1136.0</v>
      </c>
      <c r="B242" s="86" t="s">
        <v>1605</v>
      </c>
      <c r="C242" s="86">
        <v>5.0</v>
      </c>
      <c r="D242" s="86" t="s">
        <v>2143</v>
      </c>
      <c r="E242" s="86">
        <v>69.0</v>
      </c>
      <c r="G242" s="96" t="s">
        <v>2144</v>
      </c>
      <c r="I242" s="86">
        <v>18220.0</v>
      </c>
      <c r="J242" s="95" t="s">
        <v>2088</v>
      </c>
      <c r="K242" s="86" t="s">
        <v>647</v>
      </c>
      <c r="L242" s="86">
        <v>9011.0</v>
      </c>
      <c r="M242" s="86" t="s">
        <v>2145</v>
      </c>
      <c r="O242" s="86">
        <v>0.3</v>
      </c>
      <c r="P242" s="95" t="s">
        <v>2090</v>
      </c>
      <c r="Q242" s="86" t="s">
        <v>658</v>
      </c>
      <c r="R242" s="86">
        <v>9012.0</v>
      </c>
      <c r="S242" s="86" t="s">
        <v>2146</v>
      </c>
      <c r="U242" s="86">
        <v>0.6</v>
      </c>
      <c r="V242" s="86">
        <v>70001.0</v>
      </c>
      <c r="W242" s="86">
        <v>1.0</v>
      </c>
      <c r="X242" s="86">
        <v>1.0</v>
      </c>
      <c r="Y242" s="86">
        <v>70002.0</v>
      </c>
      <c r="Z242" s="86">
        <v>1.0</v>
      </c>
      <c r="AA242" s="86">
        <v>1.0</v>
      </c>
      <c r="AB242" s="86">
        <v>1001.0</v>
      </c>
      <c r="AC242" s="86">
        <v>100.0</v>
      </c>
      <c r="AD242" s="86">
        <v>1.0</v>
      </c>
      <c r="AE242" s="86">
        <v>8000.0</v>
      </c>
      <c r="AF242" s="86">
        <v>1950.0</v>
      </c>
      <c r="AG242" s="86">
        <v>1.0</v>
      </c>
    </row>
    <row r="243" ht="38.25" customHeight="1">
      <c r="A243" s="86">
        <v>1137.0</v>
      </c>
      <c r="B243" s="86" t="s">
        <v>1605</v>
      </c>
      <c r="C243" s="86">
        <v>5.0</v>
      </c>
      <c r="D243" s="86" t="s">
        <v>2147</v>
      </c>
      <c r="E243" s="86">
        <v>69.0</v>
      </c>
      <c r="G243" s="96" t="s">
        <v>2148</v>
      </c>
      <c r="I243" s="86">
        <v>18345.0</v>
      </c>
      <c r="J243" s="95" t="s">
        <v>2088</v>
      </c>
      <c r="K243" s="86" t="s">
        <v>647</v>
      </c>
      <c r="L243" s="86">
        <v>9006.0</v>
      </c>
      <c r="M243" s="86">
        <v>12.0</v>
      </c>
      <c r="O243" s="86">
        <v>0.7</v>
      </c>
      <c r="P243" s="95" t="s">
        <v>2090</v>
      </c>
      <c r="Q243" s="86" t="s">
        <v>658</v>
      </c>
      <c r="R243" s="86">
        <v>9004.0</v>
      </c>
      <c r="S243" s="86" t="s">
        <v>2149</v>
      </c>
      <c r="U243" s="86">
        <v>0.8</v>
      </c>
      <c r="V243" s="86">
        <v>70001.0</v>
      </c>
      <c r="W243" s="86">
        <v>1.0</v>
      </c>
      <c r="X243" s="86">
        <v>1.0</v>
      </c>
      <c r="Y243" s="86">
        <v>70002.0</v>
      </c>
      <c r="Z243" s="86">
        <v>1.0</v>
      </c>
      <c r="AA243" s="86">
        <v>1.0</v>
      </c>
      <c r="AB243" s="86">
        <v>1001.0</v>
      </c>
      <c r="AC243" s="86">
        <v>100.0</v>
      </c>
      <c r="AD243" s="86">
        <v>1.0</v>
      </c>
      <c r="AE243" s="86">
        <v>8000.0</v>
      </c>
      <c r="AF243" s="86">
        <v>1950.0</v>
      </c>
      <c r="AG243" s="86">
        <v>1.0</v>
      </c>
    </row>
    <row r="244" ht="38.25" customHeight="1">
      <c r="A244" s="86">
        <v>1138.0</v>
      </c>
      <c r="B244" s="86" t="s">
        <v>1605</v>
      </c>
      <c r="C244" s="86">
        <v>5.0</v>
      </c>
      <c r="D244" s="86" t="s">
        <v>2150</v>
      </c>
      <c r="E244" s="86">
        <v>70.0</v>
      </c>
      <c r="G244" s="96" t="s">
        <v>2151</v>
      </c>
      <c r="I244" s="86">
        <v>18470.0</v>
      </c>
      <c r="J244" s="95" t="s">
        <v>2088</v>
      </c>
      <c r="K244" s="86" t="s">
        <v>647</v>
      </c>
      <c r="L244" s="86">
        <v>9007.0</v>
      </c>
      <c r="M244" s="86" t="s">
        <v>1549</v>
      </c>
      <c r="O244" s="86">
        <v>0.6</v>
      </c>
      <c r="P244" s="95" t="s">
        <v>2090</v>
      </c>
      <c r="Q244" s="86" t="s">
        <v>658</v>
      </c>
      <c r="R244" s="86">
        <v>9004.0</v>
      </c>
      <c r="S244" s="86">
        <v>2.0</v>
      </c>
      <c r="U244" s="86">
        <v>0.7</v>
      </c>
      <c r="V244" s="86">
        <v>70001.0</v>
      </c>
      <c r="W244" s="86">
        <v>1.0</v>
      </c>
      <c r="X244" s="86">
        <v>1.0</v>
      </c>
      <c r="Y244" s="86">
        <v>70002.0</v>
      </c>
      <c r="Z244" s="86">
        <v>1.0</v>
      </c>
      <c r="AA244" s="86">
        <v>1.0</v>
      </c>
      <c r="AB244" s="86">
        <v>1001.0</v>
      </c>
      <c r="AC244" s="86">
        <v>100.0</v>
      </c>
      <c r="AD244" s="86">
        <v>1.0</v>
      </c>
      <c r="AE244" s="86">
        <v>8000.0</v>
      </c>
      <c r="AF244" s="86">
        <v>2000.0</v>
      </c>
      <c r="AG244" s="86">
        <v>1.0</v>
      </c>
    </row>
    <row r="245" ht="38.25" customHeight="1">
      <c r="A245" s="86">
        <v>1139.0</v>
      </c>
      <c r="B245" s="86" t="s">
        <v>1605</v>
      </c>
      <c r="C245" s="86">
        <v>5.0</v>
      </c>
      <c r="D245" s="86" t="s">
        <v>2153</v>
      </c>
      <c r="E245" s="86">
        <v>70.0</v>
      </c>
      <c r="G245" s="96" t="s">
        <v>2154</v>
      </c>
      <c r="I245" s="86">
        <v>18595.0</v>
      </c>
      <c r="J245" s="95" t="s">
        <v>2088</v>
      </c>
      <c r="K245" s="86" t="s">
        <v>647</v>
      </c>
      <c r="L245" s="86">
        <v>9005.0</v>
      </c>
      <c r="M245" s="86">
        <v>5.0</v>
      </c>
      <c r="O245" s="86">
        <v>0.7</v>
      </c>
      <c r="P245" s="95" t="s">
        <v>2090</v>
      </c>
      <c r="Q245" s="86" t="s">
        <v>658</v>
      </c>
      <c r="R245" s="86">
        <v>9010.0</v>
      </c>
      <c r="S245" s="86" t="s">
        <v>2076</v>
      </c>
      <c r="U245" s="86">
        <v>0.5</v>
      </c>
      <c r="V245" s="86">
        <v>70001.0</v>
      </c>
      <c r="W245" s="86">
        <v>1.0</v>
      </c>
      <c r="X245" s="86">
        <v>1.0</v>
      </c>
      <c r="Y245" s="86">
        <v>70002.0</v>
      </c>
      <c r="Z245" s="86">
        <v>1.0</v>
      </c>
      <c r="AA245" s="86">
        <v>1.0</v>
      </c>
      <c r="AB245" s="86">
        <v>1001.0</v>
      </c>
      <c r="AC245" s="86">
        <v>100.0</v>
      </c>
      <c r="AD245" s="86">
        <v>1.0</v>
      </c>
      <c r="AE245" s="86">
        <v>8000.0</v>
      </c>
      <c r="AF245" s="86">
        <v>2000.0</v>
      </c>
      <c r="AG245" s="86">
        <v>1.0</v>
      </c>
    </row>
    <row r="246" ht="38.25" customHeight="1">
      <c r="A246" s="86">
        <v>1140.0</v>
      </c>
      <c r="B246" s="86" t="s">
        <v>1605</v>
      </c>
      <c r="C246" s="86">
        <v>5.0</v>
      </c>
      <c r="D246" s="86" t="s">
        <v>2155</v>
      </c>
      <c r="E246" s="86">
        <v>71.0</v>
      </c>
      <c r="G246" s="96" t="s">
        <v>2156</v>
      </c>
      <c r="I246" s="86">
        <v>18720.0</v>
      </c>
      <c r="J246" s="95" t="s">
        <v>2088</v>
      </c>
      <c r="K246" s="86" t="s">
        <v>647</v>
      </c>
      <c r="L246" s="86">
        <v>9001.0</v>
      </c>
      <c r="M246" s="86">
        <v>1.0</v>
      </c>
      <c r="O246" s="86">
        <v>0.5</v>
      </c>
      <c r="P246" s="95" t="s">
        <v>2090</v>
      </c>
      <c r="Q246" s="86" t="s">
        <v>658</v>
      </c>
      <c r="R246" s="86">
        <v>9008.0</v>
      </c>
      <c r="S246" s="86" t="s">
        <v>2158</v>
      </c>
      <c r="U246" s="86">
        <v>0.9</v>
      </c>
      <c r="V246" s="86">
        <v>70001.0</v>
      </c>
      <c r="W246" s="86">
        <v>1.0</v>
      </c>
      <c r="X246" s="86">
        <v>1.0</v>
      </c>
      <c r="Y246" s="86">
        <v>70002.0</v>
      </c>
      <c r="Z246" s="86">
        <v>1.0</v>
      </c>
      <c r="AA246" s="86">
        <v>1.0</v>
      </c>
      <c r="AB246" s="86">
        <v>1001.0</v>
      </c>
      <c r="AC246" s="86">
        <v>100.0</v>
      </c>
      <c r="AD246" s="86">
        <v>1.0</v>
      </c>
      <c r="AE246" s="86">
        <v>8000.0</v>
      </c>
      <c r="AF246" s="86">
        <v>2050.0</v>
      </c>
      <c r="AG246" s="86">
        <v>1.0</v>
      </c>
    </row>
    <row r="247" ht="38.25" customHeight="1">
      <c r="A247" s="86">
        <v>1141.0</v>
      </c>
      <c r="B247" s="86" t="s">
        <v>1605</v>
      </c>
      <c r="C247" s="86">
        <v>5.0</v>
      </c>
      <c r="D247" s="86" t="s">
        <v>2159</v>
      </c>
      <c r="E247" s="86">
        <v>71.0</v>
      </c>
      <c r="G247" s="96" t="s">
        <v>2161</v>
      </c>
      <c r="I247" s="86">
        <v>18845.0</v>
      </c>
      <c r="J247" s="95" t="s">
        <v>2088</v>
      </c>
      <c r="K247" s="86" t="s">
        <v>647</v>
      </c>
      <c r="L247" s="86">
        <v>9007.0</v>
      </c>
      <c r="M247" s="86" t="s">
        <v>1386</v>
      </c>
      <c r="O247" s="86">
        <v>0.6</v>
      </c>
      <c r="P247" s="95" t="s">
        <v>2090</v>
      </c>
      <c r="Q247" s="86" t="s">
        <v>658</v>
      </c>
      <c r="R247" s="86">
        <v>9008.0</v>
      </c>
      <c r="S247" s="86" t="s">
        <v>1312</v>
      </c>
      <c r="U247" s="86">
        <v>0.6</v>
      </c>
      <c r="V247" s="86">
        <v>70001.0</v>
      </c>
      <c r="W247" s="86">
        <v>1.0</v>
      </c>
      <c r="X247" s="86">
        <v>1.0</v>
      </c>
      <c r="Y247" s="86">
        <v>70002.0</v>
      </c>
      <c r="Z247" s="86">
        <v>1.0</v>
      </c>
      <c r="AA247" s="86">
        <v>1.0</v>
      </c>
      <c r="AB247" s="86">
        <v>1001.0</v>
      </c>
      <c r="AC247" s="86">
        <v>100.0</v>
      </c>
      <c r="AD247" s="86">
        <v>1.0</v>
      </c>
      <c r="AE247" s="86">
        <v>8000.0</v>
      </c>
      <c r="AF247" s="86">
        <v>2050.0</v>
      </c>
      <c r="AG247" s="86">
        <v>1.0</v>
      </c>
    </row>
    <row r="248" ht="38.25" customHeight="1">
      <c r="A248" s="86">
        <v>1142.0</v>
      </c>
      <c r="B248" s="86" t="s">
        <v>1605</v>
      </c>
      <c r="C248" s="86">
        <v>5.0</v>
      </c>
      <c r="D248" s="86" t="s">
        <v>2162</v>
      </c>
      <c r="E248" s="86">
        <v>72.0</v>
      </c>
      <c r="G248" s="96" t="s">
        <v>2163</v>
      </c>
      <c r="I248" s="86">
        <v>18970.0</v>
      </c>
      <c r="J248" s="95" t="s">
        <v>2088</v>
      </c>
      <c r="K248" s="86" t="s">
        <v>647</v>
      </c>
      <c r="L248" s="86">
        <v>9012.0</v>
      </c>
      <c r="M248" s="86" t="s">
        <v>1335</v>
      </c>
      <c r="O248" s="86">
        <v>1.0</v>
      </c>
      <c r="P248" s="95" t="s">
        <v>2090</v>
      </c>
      <c r="Q248" s="86" t="s">
        <v>658</v>
      </c>
      <c r="R248" s="86">
        <v>9003.0</v>
      </c>
      <c r="S248" s="86" t="s">
        <v>1421</v>
      </c>
      <c r="U248" s="86">
        <v>0.2</v>
      </c>
      <c r="V248" s="86">
        <v>70001.0</v>
      </c>
      <c r="W248" s="86">
        <v>1.0</v>
      </c>
      <c r="X248" s="86">
        <v>1.0</v>
      </c>
      <c r="Y248" s="86">
        <v>70002.0</v>
      </c>
      <c r="Z248" s="86">
        <v>1.0</v>
      </c>
      <c r="AA248" s="86">
        <v>1.0</v>
      </c>
      <c r="AB248" s="86">
        <v>1001.0</v>
      </c>
      <c r="AC248" s="86">
        <v>100.0</v>
      </c>
      <c r="AD248" s="86">
        <v>1.0</v>
      </c>
      <c r="AE248" s="86">
        <v>8000.0</v>
      </c>
      <c r="AF248" s="86">
        <v>2050.0</v>
      </c>
      <c r="AG248" s="86">
        <v>1.0</v>
      </c>
    </row>
    <row r="249" ht="38.25" customHeight="1">
      <c r="A249" s="86">
        <v>1143.0</v>
      </c>
      <c r="B249" s="86" t="s">
        <v>1605</v>
      </c>
      <c r="C249" s="86">
        <v>5.0</v>
      </c>
      <c r="D249" s="86" t="s">
        <v>2164</v>
      </c>
      <c r="E249" s="86">
        <v>72.0</v>
      </c>
      <c r="G249" s="96" t="s">
        <v>2165</v>
      </c>
      <c r="I249" s="86">
        <v>19095.0</v>
      </c>
      <c r="J249" s="95" t="s">
        <v>2088</v>
      </c>
      <c r="K249" s="86" t="s">
        <v>647</v>
      </c>
      <c r="L249" s="86">
        <v>9008.0</v>
      </c>
      <c r="M249" s="86" t="s">
        <v>2167</v>
      </c>
      <c r="O249" s="86">
        <v>0.8</v>
      </c>
      <c r="P249" s="95" t="s">
        <v>2090</v>
      </c>
      <c r="Q249" s="86" t="s">
        <v>658</v>
      </c>
      <c r="R249" s="86">
        <v>9010.0</v>
      </c>
      <c r="S249" s="86" t="s">
        <v>2168</v>
      </c>
      <c r="U249" s="86">
        <v>0.4</v>
      </c>
      <c r="V249" s="86">
        <v>70001.0</v>
      </c>
      <c r="W249" s="86">
        <v>1.0</v>
      </c>
      <c r="X249" s="86">
        <v>1.0</v>
      </c>
      <c r="Y249" s="86">
        <v>70002.0</v>
      </c>
      <c r="Z249" s="86">
        <v>1.0</v>
      </c>
      <c r="AA249" s="86">
        <v>1.0</v>
      </c>
      <c r="AB249" s="86">
        <v>1001.0</v>
      </c>
      <c r="AC249" s="86">
        <v>100.0</v>
      </c>
      <c r="AD249" s="86">
        <v>1.0</v>
      </c>
      <c r="AE249" s="86">
        <v>8000.0</v>
      </c>
      <c r="AF249" s="86">
        <v>2100.0</v>
      </c>
      <c r="AG249" s="86">
        <v>1.0</v>
      </c>
    </row>
    <row r="250" ht="38.25" customHeight="1">
      <c r="A250" s="86">
        <v>1144.0</v>
      </c>
      <c r="B250" s="86" t="s">
        <v>1605</v>
      </c>
      <c r="C250" s="86">
        <v>5.0</v>
      </c>
      <c r="D250" s="86" t="s">
        <v>2170</v>
      </c>
      <c r="E250" s="86">
        <v>73.0</v>
      </c>
      <c r="G250" s="96" t="s">
        <v>2171</v>
      </c>
      <c r="I250" s="86">
        <v>19220.0</v>
      </c>
      <c r="J250" s="95" t="s">
        <v>2088</v>
      </c>
      <c r="K250" s="86" t="s">
        <v>647</v>
      </c>
      <c r="L250" s="86">
        <v>9006.0</v>
      </c>
      <c r="M250" s="86" t="s">
        <v>2172</v>
      </c>
      <c r="O250" s="86">
        <v>0.3</v>
      </c>
      <c r="P250" s="95" t="s">
        <v>2090</v>
      </c>
      <c r="Q250" s="86" t="s">
        <v>658</v>
      </c>
      <c r="R250" s="86">
        <v>9004.0</v>
      </c>
      <c r="S250" s="86" t="s">
        <v>2173</v>
      </c>
      <c r="U250" s="86">
        <v>0.7</v>
      </c>
      <c r="V250" s="86">
        <v>70001.0</v>
      </c>
      <c r="W250" s="86">
        <v>1.0</v>
      </c>
      <c r="X250" s="86">
        <v>1.0</v>
      </c>
      <c r="Y250" s="86">
        <v>70002.0</v>
      </c>
      <c r="Z250" s="86">
        <v>1.0</v>
      </c>
      <c r="AA250" s="86">
        <v>1.0</v>
      </c>
      <c r="AB250" s="86">
        <v>1001.0</v>
      </c>
      <c r="AC250" s="86">
        <v>100.0</v>
      </c>
      <c r="AD250" s="86">
        <v>1.0</v>
      </c>
      <c r="AE250" s="86">
        <v>8000.0</v>
      </c>
      <c r="AF250" s="86">
        <v>2100.0</v>
      </c>
      <c r="AG250" s="86">
        <v>1.0</v>
      </c>
    </row>
    <row r="251" ht="38.25" customHeight="1">
      <c r="A251" s="86">
        <v>1145.0</v>
      </c>
      <c r="B251" s="86" t="s">
        <v>1605</v>
      </c>
      <c r="C251" s="86">
        <v>5.0</v>
      </c>
      <c r="D251" s="86" t="s">
        <v>2175</v>
      </c>
      <c r="E251" s="86">
        <v>73.0</v>
      </c>
      <c r="G251" s="96" t="s">
        <v>2176</v>
      </c>
      <c r="I251" s="86">
        <v>19345.0</v>
      </c>
      <c r="J251" s="95" t="s">
        <v>2088</v>
      </c>
      <c r="K251" s="86" t="s">
        <v>647</v>
      </c>
      <c r="L251" s="86">
        <v>9011.0</v>
      </c>
      <c r="M251" s="86">
        <v>11.0</v>
      </c>
      <c r="O251" s="86">
        <v>0.1</v>
      </c>
      <c r="P251" s="95" t="s">
        <v>2090</v>
      </c>
      <c r="Q251" s="86" t="s">
        <v>658</v>
      </c>
      <c r="R251" s="86">
        <v>9007.0</v>
      </c>
      <c r="S251" s="86" t="s">
        <v>1755</v>
      </c>
      <c r="U251" s="86">
        <v>0.4</v>
      </c>
      <c r="V251" s="86">
        <v>70001.0</v>
      </c>
      <c r="W251" s="86">
        <v>1.0</v>
      </c>
      <c r="X251" s="86">
        <v>1.0</v>
      </c>
      <c r="Y251" s="86">
        <v>70002.0</v>
      </c>
      <c r="Z251" s="86">
        <v>1.0</v>
      </c>
      <c r="AA251" s="86">
        <v>1.0</v>
      </c>
      <c r="AB251" s="86">
        <v>1001.0</v>
      </c>
      <c r="AC251" s="86">
        <v>100.0</v>
      </c>
      <c r="AD251" s="86">
        <v>1.0</v>
      </c>
      <c r="AE251" s="86">
        <v>8000.0</v>
      </c>
      <c r="AF251" s="86">
        <v>2100.0</v>
      </c>
      <c r="AG251" s="86">
        <v>1.0</v>
      </c>
    </row>
    <row r="252" ht="38.25" customHeight="1">
      <c r="A252" s="86">
        <v>1146.0</v>
      </c>
      <c r="B252" s="86" t="s">
        <v>1605</v>
      </c>
      <c r="C252" s="86">
        <v>5.0</v>
      </c>
      <c r="D252" s="86" t="s">
        <v>2177</v>
      </c>
      <c r="E252" s="86">
        <v>74.0</v>
      </c>
      <c r="G252" s="96" t="s">
        <v>2178</v>
      </c>
      <c r="I252" s="86">
        <v>19470.0</v>
      </c>
      <c r="J252" s="95" t="s">
        <v>2088</v>
      </c>
      <c r="K252" s="86" t="s">
        <v>647</v>
      </c>
      <c r="L252" s="86">
        <v>9001.0</v>
      </c>
      <c r="M252" s="86" t="s">
        <v>2180</v>
      </c>
      <c r="O252" s="86">
        <v>0.6</v>
      </c>
      <c r="P252" s="95" t="s">
        <v>2090</v>
      </c>
      <c r="Q252" s="86" t="s">
        <v>658</v>
      </c>
      <c r="R252" s="86">
        <v>9008.0</v>
      </c>
      <c r="S252" s="86" t="s">
        <v>2181</v>
      </c>
      <c r="U252" s="86">
        <v>0.8</v>
      </c>
      <c r="V252" s="86">
        <v>70001.0</v>
      </c>
      <c r="W252" s="86">
        <v>1.0</v>
      </c>
      <c r="X252" s="86">
        <v>1.0</v>
      </c>
      <c r="Y252" s="86">
        <v>70002.0</v>
      </c>
      <c r="Z252" s="86">
        <v>1.0</v>
      </c>
      <c r="AA252" s="86">
        <v>1.0</v>
      </c>
      <c r="AB252" s="86">
        <v>1001.0</v>
      </c>
      <c r="AC252" s="86">
        <v>100.0</v>
      </c>
      <c r="AD252" s="86">
        <v>1.0</v>
      </c>
      <c r="AE252" s="86">
        <v>8000.0</v>
      </c>
      <c r="AF252" s="86">
        <v>2150.0</v>
      </c>
      <c r="AG252" s="86">
        <v>1.0</v>
      </c>
    </row>
    <row r="253" ht="38.25" customHeight="1">
      <c r="A253" s="86">
        <v>1147.0</v>
      </c>
      <c r="B253" s="86" t="s">
        <v>1605</v>
      </c>
      <c r="C253" s="86">
        <v>5.0</v>
      </c>
      <c r="D253" s="86" t="s">
        <v>2182</v>
      </c>
      <c r="E253" s="86">
        <v>74.0</v>
      </c>
      <c r="G253" s="96" t="s">
        <v>2183</v>
      </c>
      <c r="I253" s="86">
        <v>19595.0</v>
      </c>
      <c r="J253" s="95" t="s">
        <v>2088</v>
      </c>
      <c r="K253" s="86" t="s">
        <v>647</v>
      </c>
      <c r="L253" s="86">
        <v>9011.0</v>
      </c>
      <c r="M253" s="86">
        <v>2.0</v>
      </c>
      <c r="O253" s="86">
        <v>1.0</v>
      </c>
      <c r="P253" s="95" t="s">
        <v>2090</v>
      </c>
      <c r="Q253" s="86" t="s">
        <v>658</v>
      </c>
      <c r="R253" s="86">
        <v>9007.0</v>
      </c>
      <c r="S253" s="86">
        <v>4.0</v>
      </c>
      <c r="U253" s="86">
        <v>0.9</v>
      </c>
      <c r="V253" s="86">
        <v>70001.0</v>
      </c>
      <c r="W253" s="86">
        <v>1.0</v>
      </c>
      <c r="X253" s="86">
        <v>1.0</v>
      </c>
      <c r="Y253" s="86">
        <v>70002.0</v>
      </c>
      <c r="Z253" s="86">
        <v>1.0</v>
      </c>
      <c r="AA253" s="86">
        <v>1.0</v>
      </c>
      <c r="AB253" s="86">
        <v>1001.0</v>
      </c>
      <c r="AC253" s="86">
        <v>100.0</v>
      </c>
      <c r="AD253" s="86">
        <v>1.0</v>
      </c>
      <c r="AE253" s="86">
        <v>8000.0</v>
      </c>
      <c r="AF253" s="86">
        <v>2150.0</v>
      </c>
      <c r="AG253" s="86">
        <v>1.0</v>
      </c>
    </row>
    <row r="254" ht="38.25" customHeight="1">
      <c r="A254" s="86">
        <v>1148.0</v>
      </c>
      <c r="B254" s="86" t="s">
        <v>1605</v>
      </c>
      <c r="C254" s="86">
        <v>5.0</v>
      </c>
      <c r="D254" s="86" t="s">
        <v>2185</v>
      </c>
      <c r="E254" s="86">
        <v>75.0</v>
      </c>
      <c r="G254" s="96" t="s">
        <v>2186</v>
      </c>
      <c r="I254" s="86">
        <v>19720.0</v>
      </c>
      <c r="J254" s="95" t="s">
        <v>2088</v>
      </c>
      <c r="K254" s="86" t="s">
        <v>647</v>
      </c>
      <c r="L254" s="86">
        <v>9007.0</v>
      </c>
      <c r="M254" s="86">
        <v>10.0</v>
      </c>
      <c r="O254" s="86">
        <v>0.5</v>
      </c>
      <c r="P254" s="95" t="s">
        <v>2090</v>
      </c>
      <c r="Q254" s="86" t="s">
        <v>658</v>
      </c>
      <c r="R254" s="86">
        <v>9003.0</v>
      </c>
      <c r="S254" s="86" t="s">
        <v>2028</v>
      </c>
      <c r="U254" s="86">
        <v>0.9</v>
      </c>
      <c r="V254" s="86">
        <v>70001.0</v>
      </c>
      <c r="W254" s="86">
        <v>1.0</v>
      </c>
      <c r="X254" s="86">
        <v>1.0</v>
      </c>
      <c r="Y254" s="86">
        <v>70002.0</v>
      </c>
      <c r="Z254" s="86">
        <v>1.0</v>
      </c>
      <c r="AA254" s="86">
        <v>1.0</v>
      </c>
      <c r="AB254" s="86">
        <v>1001.0</v>
      </c>
      <c r="AC254" s="86">
        <v>100.0</v>
      </c>
      <c r="AD254" s="86">
        <v>1.0</v>
      </c>
      <c r="AE254" s="86">
        <v>8000.0</v>
      </c>
      <c r="AF254" s="86">
        <v>2200.0</v>
      </c>
      <c r="AG254" s="86">
        <v>1.0</v>
      </c>
    </row>
    <row r="255" ht="38.25" customHeight="1">
      <c r="A255" s="86">
        <v>1149.0</v>
      </c>
      <c r="B255" s="86" t="s">
        <v>1605</v>
      </c>
      <c r="C255" s="86">
        <v>5.0</v>
      </c>
      <c r="D255" s="86" t="s">
        <v>2188</v>
      </c>
      <c r="E255" s="86">
        <v>75.0</v>
      </c>
      <c r="G255" s="96" t="s">
        <v>2189</v>
      </c>
      <c r="I255" s="86">
        <v>19845.0</v>
      </c>
      <c r="J255" s="95" t="s">
        <v>2088</v>
      </c>
      <c r="K255" s="86" t="s">
        <v>647</v>
      </c>
      <c r="L255" s="86">
        <v>9002.0</v>
      </c>
      <c r="M255" s="86" t="s">
        <v>1504</v>
      </c>
      <c r="O255" s="86">
        <v>0.7</v>
      </c>
      <c r="P255" s="95" t="s">
        <v>2090</v>
      </c>
      <c r="Q255" s="86" t="s">
        <v>658</v>
      </c>
      <c r="R255" s="86">
        <v>9007.0</v>
      </c>
      <c r="S255" s="86" t="s">
        <v>2190</v>
      </c>
      <c r="U255" s="86">
        <v>0.1</v>
      </c>
      <c r="V255" s="86">
        <v>70001.0</v>
      </c>
      <c r="W255" s="86">
        <v>1.0</v>
      </c>
      <c r="X255" s="86">
        <v>1.0</v>
      </c>
      <c r="Y255" s="86">
        <v>70002.0</v>
      </c>
      <c r="Z255" s="86">
        <v>1.0</v>
      </c>
      <c r="AA255" s="86">
        <v>1.0</v>
      </c>
      <c r="AB255" s="86">
        <v>1001.0</v>
      </c>
      <c r="AC255" s="86">
        <v>500.0</v>
      </c>
      <c r="AD255" s="86">
        <v>1.0</v>
      </c>
      <c r="AE255" s="86">
        <v>8000.0</v>
      </c>
      <c r="AF255" s="86">
        <v>2200.0</v>
      </c>
      <c r="AG255" s="86">
        <v>1.0</v>
      </c>
    </row>
    <row r="256" ht="38.25" customHeight="1">
      <c r="A256" s="86">
        <v>1150.0</v>
      </c>
      <c r="B256" s="86" t="s">
        <v>1605</v>
      </c>
      <c r="C256" s="86">
        <v>6.0</v>
      </c>
      <c r="D256" s="86" t="s">
        <v>2191</v>
      </c>
      <c r="E256" s="86">
        <v>76.0</v>
      </c>
      <c r="G256" s="96" t="s">
        <v>2192</v>
      </c>
      <c r="I256" s="86">
        <v>19970.0</v>
      </c>
      <c r="J256" s="95" t="s">
        <v>2193</v>
      </c>
      <c r="K256" s="86" t="s">
        <v>647</v>
      </c>
      <c r="L256" s="86">
        <v>9006.0</v>
      </c>
      <c r="M256" s="86">
        <v>4.0</v>
      </c>
      <c r="O256" s="86">
        <v>0.8</v>
      </c>
      <c r="P256" s="95" t="s">
        <v>2194</v>
      </c>
      <c r="Q256" s="86" t="s">
        <v>658</v>
      </c>
      <c r="R256" s="86">
        <v>9008.0</v>
      </c>
      <c r="S256" s="86" t="s">
        <v>2118</v>
      </c>
      <c r="U256" s="86">
        <v>0.9</v>
      </c>
      <c r="V256" s="86">
        <v>70001.0</v>
      </c>
      <c r="W256" s="86">
        <v>2.0</v>
      </c>
      <c r="X256" s="86">
        <v>1.0</v>
      </c>
      <c r="Y256" s="86">
        <v>70002.0</v>
      </c>
      <c r="Z256" s="86">
        <v>2.0</v>
      </c>
      <c r="AA256" s="86">
        <v>1.0</v>
      </c>
      <c r="AB256" s="86">
        <v>1001.0</v>
      </c>
      <c r="AC256" s="86">
        <v>100.0</v>
      </c>
      <c r="AD256" s="86">
        <v>1.0</v>
      </c>
      <c r="AE256" s="86">
        <v>8000.0</v>
      </c>
      <c r="AF256" s="86">
        <v>2200.0</v>
      </c>
      <c r="AG256" s="86">
        <v>1.0</v>
      </c>
    </row>
    <row r="257" ht="38.25" customHeight="1">
      <c r="A257" s="86">
        <v>1151.0</v>
      </c>
      <c r="B257" s="86" t="s">
        <v>1605</v>
      </c>
      <c r="C257" s="86">
        <v>6.0</v>
      </c>
      <c r="D257" s="86" t="s">
        <v>2195</v>
      </c>
      <c r="E257" s="86">
        <v>76.0</v>
      </c>
      <c r="G257" s="96" t="s">
        <v>2196</v>
      </c>
      <c r="I257" s="86">
        <v>20095.0</v>
      </c>
      <c r="J257" s="95" t="s">
        <v>2193</v>
      </c>
      <c r="K257" s="86" t="s">
        <v>647</v>
      </c>
      <c r="L257" s="86">
        <v>9002.0</v>
      </c>
      <c r="M257" s="86">
        <v>5.0</v>
      </c>
      <c r="O257" s="86">
        <v>0.1</v>
      </c>
      <c r="P257" s="95" t="s">
        <v>2194</v>
      </c>
      <c r="Q257" s="86" t="s">
        <v>658</v>
      </c>
      <c r="R257" s="86">
        <v>9008.0</v>
      </c>
      <c r="S257" s="86">
        <v>5.0</v>
      </c>
      <c r="U257" s="86">
        <v>0.4</v>
      </c>
      <c r="V257" s="86">
        <v>70001.0</v>
      </c>
      <c r="W257" s="86">
        <v>2.0</v>
      </c>
      <c r="X257" s="86">
        <v>1.0</v>
      </c>
      <c r="Y257" s="86">
        <v>70002.0</v>
      </c>
      <c r="Z257" s="86">
        <v>2.0</v>
      </c>
      <c r="AA257" s="86">
        <v>1.0</v>
      </c>
      <c r="AB257" s="86">
        <v>1001.0</v>
      </c>
      <c r="AC257" s="86">
        <v>100.0</v>
      </c>
      <c r="AD257" s="86">
        <v>1.0</v>
      </c>
      <c r="AE257" s="86">
        <v>8000.0</v>
      </c>
      <c r="AF257" s="86">
        <v>2250.0</v>
      </c>
      <c r="AG257" s="86">
        <v>1.0</v>
      </c>
    </row>
    <row r="258" ht="38.25" customHeight="1">
      <c r="A258" s="86">
        <v>1152.0</v>
      </c>
      <c r="B258" s="86" t="s">
        <v>1605</v>
      </c>
      <c r="C258" s="86">
        <v>6.0</v>
      </c>
      <c r="D258" s="86" t="s">
        <v>2199</v>
      </c>
      <c r="E258" s="86">
        <v>77.0</v>
      </c>
      <c r="G258" s="96" t="s">
        <v>2200</v>
      </c>
      <c r="I258" s="86">
        <v>20220.0</v>
      </c>
      <c r="J258" s="95" t="s">
        <v>2193</v>
      </c>
      <c r="K258" s="86" t="s">
        <v>647</v>
      </c>
      <c r="L258" s="86">
        <v>9007.0</v>
      </c>
      <c r="M258" s="86" t="s">
        <v>1096</v>
      </c>
      <c r="O258" s="86">
        <v>0.4</v>
      </c>
      <c r="P258" s="95" t="s">
        <v>2194</v>
      </c>
      <c r="Q258" s="86" t="s">
        <v>658</v>
      </c>
      <c r="R258" s="86">
        <v>9012.0</v>
      </c>
      <c r="S258" s="86" t="s">
        <v>1798</v>
      </c>
      <c r="U258" s="86">
        <v>0.4</v>
      </c>
      <c r="V258" s="86">
        <v>70001.0</v>
      </c>
      <c r="W258" s="86">
        <v>2.0</v>
      </c>
      <c r="X258" s="86">
        <v>1.0</v>
      </c>
      <c r="Y258" s="86">
        <v>70002.0</v>
      </c>
      <c r="Z258" s="86">
        <v>2.0</v>
      </c>
      <c r="AA258" s="86">
        <v>1.0</v>
      </c>
      <c r="AB258" s="86">
        <v>1001.0</v>
      </c>
      <c r="AC258" s="86">
        <v>100.0</v>
      </c>
      <c r="AD258" s="86">
        <v>1.0</v>
      </c>
      <c r="AE258" s="86">
        <v>8000.0</v>
      </c>
      <c r="AF258" s="86">
        <v>2250.0</v>
      </c>
      <c r="AG258" s="86">
        <v>1.0</v>
      </c>
    </row>
    <row r="259" ht="38.25" customHeight="1">
      <c r="A259" s="86">
        <v>1153.0</v>
      </c>
      <c r="B259" s="86" t="s">
        <v>1605</v>
      </c>
      <c r="C259" s="86">
        <v>6.0</v>
      </c>
      <c r="D259" s="86" t="s">
        <v>2201</v>
      </c>
      <c r="E259" s="86">
        <v>77.0</v>
      </c>
      <c r="G259" s="96" t="s">
        <v>2202</v>
      </c>
      <c r="I259" s="86">
        <v>20345.0</v>
      </c>
      <c r="J259" s="95" t="s">
        <v>2193</v>
      </c>
      <c r="K259" s="86" t="s">
        <v>647</v>
      </c>
      <c r="L259" s="86">
        <v>9011.0</v>
      </c>
      <c r="M259" s="86" t="s">
        <v>2204</v>
      </c>
      <c r="O259" s="86">
        <v>0.6</v>
      </c>
      <c r="P259" s="95" t="s">
        <v>2194</v>
      </c>
      <c r="Q259" s="86" t="s">
        <v>658</v>
      </c>
      <c r="R259" s="86">
        <v>9011.0</v>
      </c>
      <c r="S259" s="86" t="s">
        <v>1190</v>
      </c>
      <c r="U259" s="86">
        <v>1.0</v>
      </c>
      <c r="V259" s="86">
        <v>70001.0</v>
      </c>
      <c r="W259" s="86">
        <v>2.0</v>
      </c>
      <c r="X259" s="86">
        <v>1.0</v>
      </c>
      <c r="Y259" s="86">
        <v>70002.0</v>
      </c>
      <c r="Z259" s="86">
        <v>2.0</v>
      </c>
      <c r="AA259" s="86">
        <v>1.0</v>
      </c>
      <c r="AB259" s="86">
        <v>1001.0</v>
      </c>
      <c r="AC259" s="86">
        <v>100.0</v>
      </c>
      <c r="AD259" s="86">
        <v>1.0</v>
      </c>
      <c r="AE259" s="86">
        <v>8000.0</v>
      </c>
      <c r="AF259" s="86">
        <v>2250.0</v>
      </c>
      <c r="AG259" s="86">
        <v>1.0</v>
      </c>
    </row>
    <row r="260" ht="38.25" customHeight="1">
      <c r="A260" s="86">
        <v>1154.0</v>
      </c>
      <c r="B260" s="86" t="s">
        <v>1605</v>
      </c>
      <c r="C260" s="86">
        <v>6.0</v>
      </c>
      <c r="D260" s="86" t="s">
        <v>2206</v>
      </c>
      <c r="E260" s="86">
        <v>78.0</v>
      </c>
      <c r="G260" s="96" t="s">
        <v>2207</v>
      </c>
      <c r="I260" s="86">
        <v>20470.0</v>
      </c>
      <c r="J260" s="95" t="s">
        <v>2193</v>
      </c>
      <c r="K260" s="86" t="s">
        <v>647</v>
      </c>
      <c r="L260" s="86">
        <v>9011.0</v>
      </c>
      <c r="M260" s="86">
        <v>3.0</v>
      </c>
      <c r="O260" s="86">
        <v>0.9</v>
      </c>
      <c r="P260" s="95" t="s">
        <v>2194</v>
      </c>
      <c r="Q260" s="86" t="s">
        <v>658</v>
      </c>
      <c r="R260" s="86">
        <v>9004.0</v>
      </c>
      <c r="S260" s="86" t="s">
        <v>1755</v>
      </c>
      <c r="U260" s="86">
        <v>1.0</v>
      </c>
      <c r="V260" s="86">
        <v>70001.0</v>
      </c>
      <c r="W260" s="86">
        <v>2.0</v>
      </c>
      <c r="X260" s="86">
        <v>1.0</v>
      </c>
      <c r="Y260" s="86">
        <v>70002.0</v>
      </c>
      <c r="Z260" s="86">
        <v>2.0</v>
      </c>
      <c r="AA260" s="86">
        <v>1.0</v>
      </c>
      <c r="AB260" s="86">
        <v>1001.0</v>
      </c>
      <c r="AC260" s="86">
        <v>100.0</v>
      </c>
      <c r="AD260" s="86">
        <v>1.0</v>
      </c>
      <c r="AE260" s="86">
        <v>8000.0</v>
      </c>
      <c r="AF260" s="86">
        <v>2300.0</v>
      </c>
      <c r="AG260" s="86">
        <v>1.0</v>
      </c>
    </row>
    <row r="261" ht="38.25" customHeight="1">
      <c r="A261" s="86">
        <v>1155.0</v>
      </c>
      <c r="B261" s="86" t="s">
        <v>1605</v>
      </c>
      <c r="C261" s="86">
        <v>6.0</v>
      </c>
      <c r="D261" s="86" t="s">
        <v>2208</v>
      </c>
      <c r="E261" s="86">
        <v>78.0</v>
      </c>
      <c r="G261" s="96" t="s">
        <v>2209</v>
      </c>
      <c r="I261" s="86">
        <v>20595.0</v>
      </c>
      <c r="J261" s="95" t="s">
        <v>2193</v>
      </c>
      <c r="K261" s="86" t="s">
        <v>647</v>
      </c>
      <c r="L261" s="86">
        <v>9012.0</v>
      </c>
      <c r="M261" s="86" t="s">
        <v>1368</v>
      </c>
      <c r="O261" s="86">
        <v>0.9</v>
      </c>
      <c r="P261" s="95" t="s">
        <v>2194</v>
      </c>
      <c r="Q261" s="86" t="s">
        <v>658</v>
      </c>
      <c r="R261" s="86">
        <v>9012.0</v>
      </c>
      <c r="S261" s="86">
        <v>4.0</v>
      </c>
      <c r="U261" s="86">
        <v>0.5</v>
      </c>
      <c r="V261" s="86">
        <v>70001.0</v>
      </c>
      <c r="W261" s="86">
        <v>2.0</v>
      </c>
      <c r="X261" s="86">
        <v>1.0</v>
      </c>
      <c r="Y261" s="86">
        <v>70002.0</v>
      </c>
      <c r="Z261" s="86">
        <v>2.0</v>
      </c>
      <c r="AA261" s="86">
        <v>1.0</v>
      </c>
      <c r="AB261" s="86">
        <v>1001.0</v>
      </c>
      <c r="AC261" s="86">
        <v>100.0</v>
      </c>
      <c r="AD261" s="86">
        <v>1.0</v>
      </c>
      <c r="AE261" s="86">
        <v>8000.0</v>
      </c>
      <c r="AF261" s="86">
        <v>2300.0</v>
      </c>
      <c r="AG261" s="86">
        <v>1.0</v>
      </c>
    </row>
    <row r="262" ht="38.25" customHeight="1">
      <c r="A262" s="86">
        <v>1156.0</v>
      </c>
      <c r="B262" s="86" t="s">
        <v>1605</v>
      </c>
      <c r="C262" s="86">
        <v>6.0</v>
      </c>
      <c r="D262" s="86" t="s">
        <v>2210</v>
      </c>
      <c r="E262" s="86">
        <v>79.0</v>
      </c>
      <c r="G262" s="96" t="s">
        <v>2212</v>
      </c>
      <c r="I262" s="86">
        <v>20720.0</v>
      </c>
      <c r="J262" s="95" t="s">
        <v>2193</v>
      </c>
      <c r="K262" s="86" t="s">
        <v>647</v>
      </c>
      <c r="L262" s="86">
        <v>9012.0</v>
      </c>
      <c r="M262" s="86">
        <v>6.0</v>
      </c>
      <c r="O262" s="86">
        <v>0.9</v>
      </c>
      <c r="P262" s="95" t="s">
        <v>2194</v>
      </c>
      <c r="Q262" s="86" t="s">
        <v>658</v>
      </c>
      <c r="R262" s="86">
        <v>9012.0</v>
      </c>
      <c r="S262" s="86" t="s">
        <v>2084</v>
      </c>
      <c r="U262" s="86">
        <v>1.0</v>
      </c>
      <c r="V262" s="86">
        <v>70001.0</v>
      </c>
      <c r="W262" s="86">
        <v>2.0</v>
      </c>
      <c r="X262" s="86">
        <v>1.0</v>
      </c>
      <c r="Y262" s="86">
        <v>70002.0</v>
      </c>
      <c r="Z262" s="86">
        <v>2.0</v>
      </c>
      <c r="AA262" s="86">
        <v>1.0</v>
      </c>
      <c r="AB262" s="86">
        <v>1001.0</v>
      </c>
      <c r="AC262" s="86">
        <v>100.0</v>
      </c>
      <c r="AD262" s="86">
        <v>1.0</v>
      </c>
      <c r="AE262" s="86">
        <v>8000.0</v>
      </c>
      <c r="AF262" s="86">
        <v>2350.0</v>
      </c>
      <c r="AG262" s="86">
        <v>1.0</v>
      </c>
    </row>
    <row r="263" ht="38.25" customHeight="1">
      <c r="A263" s="86">
        <v>1157.0</v>
      </c>
      <c r="B263" s="86" t="s">
        <v>1605</v>
      </c>
      <c r="C263" s="86">
        <v>6.0</v>
      </c>
      <c r="D263" s="86" t="s">
        <v>2213</v>
      </c>
      <c r="E263" s="86">
        <v>79.0</v>
      </c>
      <c r="G263" s="96" t="s">
        <v>2214</v>
      </c>
      <c r="I263" s="86">
        <v>20845.0</v>
      </c>
      <c r="J263" s="95" t="s">
        <v>2193</v>
      </c>
      <c r="K263" s="86" t="s">
        <v>647</v>
      </c>
      <c r="L263" s="86">
        <v>9011.0</v>
      </c>
      <c r="M263" s="86" t="s">
        <v>2215</v>
      </c>
      <c r="O263" s="86">
        <v>0.5</v>
      </c>
      <c r="P263" s="95" t="s">
        <v>2194</v>
      </c>
      <c r="Q263" s="86" t="s">
        <v>658</v>
      </c>
      <c r="R263" s="86">
        <v>9008.0</v>
      </c>
      <c r="S263" s="86">
        <v>10.0</v>
      </c>
      <c r="U263" s="86">
        <v>0.7</v>
      </c>
      <c r="V263" s="86">
        <v>70001.0</v>
      </c>
      <c r="W263" s="86">
        <v>2.0</v>
      </c>
      <c r="X263" s="86">
        <v>1.0</v>
      </c>
      <c r="Y263" s="86">
        <v>70002.0</v>
      </c>
      <c r="Z263" s="86">
        <v>2.0</v>
      </c>
      <c r="AA263" s="86">
        <v>1.0</v>
      </c>
      <c r="AB263" s="86">
        <v>1001.0</v>
      </c>
      <c r="AC263" s="86">
        <v>100.0</v>
      </c>
      <c r="AD263" s="86">
        <v>1.0</v>
      </c>
      <c r="AE263" s="86">
        <v>8000.0</v>
      </c>
      <c r="AF263" s="86">
        <v>2350.0</v>
      </c>
      <c r="AG263" s="86">
        <v>1.0</v>
      </c>
    </row>
    <row r="264" ht="38.25" customHeight="1">
      <c r="A264" s="86">
        <v>1158.0</v>
      </c>
      <c r="B264" s="86" t="s">
        <v>1605</v>
      </c>
      <c r="C264" s="86">
        <v>6.0</v>
      </c>
      <c r="D264" s="86" t="s">
        <v>2217</v>
      </c>
      <c r="E264" s="86">
        <v>80.0</v>
      </c>
      <c r="G264" s="96" t="s">
        <v>2218</v>
      </c>
      <c r="I264" s="86">
        <v>20970.0</v>
      </c>
      <c r="J264" s="95" t="s">
        <v>2193</v>
      </c>
      <c r="K264" s="86" t="s">
        <v>647</v>
      </c>
      <c r="L264" s="86">
        <v>9006.0</v>
      </c>
      <c r="M264" s="86" t="s">
        <v>2220</v>
      </c>
      <c r="O264" s="86">
        <v>0.3</v>
      </c>
      <c r="P264" s="95" t="s">
        <v>2194</v>
      </c>
      <c r="Q264" s="86" t="s">
        <v>658</v>
      </c>
      <c r="R264" s="86">
        <v>9007.0</v>
      </c>
      <c r="S264" s="86">
        <v>5.0</v>
      </c>
      <c r="U264" s="86">
        <v>0.2</v>
      </c>
      <c r="V264" s="86">
        <v>70001.0</v>
      </c>
      <c r="W264" s="86">
        <v>2.0</v>
      </c>
      <c r="X264" s="86">
        <v>1.0</v>
      </c>
      <c r="Y264" s="86">
        <v>70002.0</v>
      </c>
      <c r="Z264" s="86">
        <v>2.0</v>
      </c>
      <c r="AA264" s="86">
        <v>1.0</v>
      </c>
      <c r="AB264" s="86">
        <v>1001.0</v>
      </c>
      <c r="AC264" s="86">
        <v>100.0</v>
      </c>
      <c r="AD264" s="86">
        <v>1.0</v>
      </c>
      <c r="AE264" s="86">
        <v>8000.0</v>
      </c>
      <c r="AF264" s="86">
        <v>2350.0</v>
      </c>
      <c r="AG264" s="86">
        <v>1.0</v>
      </c>
    </row>
    <row r="265" ht="38.25" customHeight="1">
      <c r="A265" s="86">
        <v>1159.0</v>
      </c>
      <c r="B265" s="86" t="s">
        <v>1605</v>
      </c>
      <c r="C265" s="86">
        <v>6.0</v>
      </c>
      <c r="D265" s="86" t="s">
        <v>2221</v>
      </c>
      <c r="E265" s="86">
        <v>80.0</v>
      </c>
      <c r="G265" s="96" t="s">
        <v>2222</v>
      </c>
      <c r="I265" s="86">
        <v>21095.0</v>
      </c>
      <c r="J265" s="95" t="s">
        <v>2193</v>
      </c>
      <c r="K265" s="86" t="s">
        <v>647</v>
      </c>
      <c r="L265" s="86">
        <v>9002.0</v>
      </c>
      <c r="M265" s="86">
        <v>1.0</v>
      </c>
      <c r="O265" s="86">
        <v>0.7</v>
      </c>
      <c r="P265" s="95" t="s">
        <v>2194</v>
      </c>
      <c r="Q265" s="86" t="s">
        <v>658</v>
      </c>
      <c r="R265" s="86">
        <v>9007.0</v>
      </c>
      <c r="S265" s="86" t="s">
        <v>2223</v>
      </c>
      <c r="U265" s="86">
        <v>0.3</v>
      </c>
      <c r="V265" s="86">
        <v>70001.0</v>
      </c>
      <c r="W265" s="86">
        <v>2.0</v>
      </c>
      <c r="X265" s="86">
        <v>1.0</v>
      </c>
      <c r="Y265" s="86">
        <v>70002.0</v>
      </c>
      <c r="Z265" s="86">
        <v>2.0</v>
      </c>
      <c r="AA265" s="86">
        <v>1.0</v>
      </c>
      <c r="AB265" s="86">
        <v>1001.0</v>
      </c>
      <c r="AC265" s="86">
        <v>100.0</v>
      </c>
      <c r="AD265" s="86">
        <v>1.0</v>
      </c>
      <c r="AE265" s="86">
        <v>8000.0</v>
      </c>
      <c r="AF265" s="86">
        <v>2400.0</v>
      </c>
      <c r="AG265" s="86">
        <v>1.0</v>
      </c>
    </row>
    <row r="266" ht="38.25" customHeight="1">
      <c r="A266" s="86">
        <v>1160.0</v>
      </c>
      <c r="B266" s="86" t="s">
        <v>1605</v>
      </c>
      <c r="C266" s="86">
        <v>6.0</v>
      </c>
      <c r="D266" s="86" t="s">
        <v>2224</v>
      </c>
      <c r="E266" s="86">
        <v>81.0</v>
      </c>
      <c r="G266" s="96" t="s">
        <v>2225</v>
      </c>
      <c r="I266" s="86">
        <v>21220.0</v>
      </c>
      <c r="J266" s="95" t="s">
        <v>2193</v>
      </c>
      <c r="K266" s="86" t="s">
        <v>647</v>
      </c>
      <c r="L266" s="86">
        <v>9002.0</v>
      </c>
      <c r="M266" s="86" t="s">
        <v>1323</v>
      </c>
      <c r="O266" s="86">
        <v>0.5</v>
      </c>
      <c r="P266" s="95" t="s">
        <v>2194</v>
      </c>
      <c r="Q266" s="86" t="s">
        <v>658</v>
      </c>
      <c r="R266" s="86">
        <v>9004.0</v>
      </c>
      <c r="S266" s="86" t="s">
        <v>1822</v>
      </c>
      <c r="U266" s="86">
        <v>0.1</v>
      </c>
      <c r="V266" s="86">
        <v>70001.0</v>
      </c>
      <c r="W266" s="86">
        <v>2.0</v>
      </c>
      <c r="X266" s="86">
        <v>1.0</v>
      </c>
      <c r="Y266" s="86">
        <v>70002.0</v>
      </c>
      <c r="Z266" s="86">
        <v>2.0</v>
      </c>
      <c r="AA266" s="86">
        <v>1.0</v>
      </c>
      <c r="AB266" s="86">
        <v>1001.0</v>
      </c>
      <c r="AC266" s="86">
        <v>100.0</v>
      </c>
      <c r="AD266" s="86">
        <v>1.0</v>
      </c>
      <c r="AE266" s="86">
        <v>8000.0</v>
      </c>
      <c r="AF266" s="86">
        <v>2400.0</v>
      </c>
      <c r="AG266" s="86">
        <v>1.0</v>
      </c>
    </row>
    <row r="267" ht="38.25" customHeight="1">
      <c r="A267" s="86">
        <v>1161.0</v>
      </c>
      <c r="B267" s="86" t="s">
        <v>1605</v>
      </c>
      <c r="C267" s="86">
        <v>6.0</v>
      </c>
      <c r="D267" s="86" t="s">
        <v>2227</v>
      </c>
      <c r="E267" s="86">
        <v>81.0</v>
      </c>
      <c r="G267" s="96" t="s">
        <v>2228</v>
      </c>
      <c r="I267" s="86">
        <v>21345.0</v>
      </c>
      <c r="J267" s="95" t="s">
        <v>2193</v>
      </c>
      <c r="K267" s="86" t="s">
        <v>647</v>
      </c>
      <c r="L267" s="86">
        <v>9008.0</v>
      </c>
      <c r="M267" s="86">
        <v>4.0</v>
      </c>
      <c r="O267" s="86">
        <v>1.0</v>
      </c>
      <c r="P267" s="95" t="s">
        <v>2194</v>
      </c>
      <c r="Q267" s="86" t="s">
        <v>658</v>
      </c>
      <c r="R267" s="86">
        <v>9008.0</v>
      </c>
      <c r="S267" s="86" t="s">
        <v>1922</v>
      </c>
      <c r="U267" s="86">
        <v>0.8</v>
      </c>
      <c r="V267" s="86">
        <v>70001.0</v>
      </c>
      <c r="W267" s="86">
        <v>2.0</v>
      </c>
      <c r="X267" s="86">
        <v>1.0</v>
      </c>
      <c r="Y267" s="86">
        <v>70002.0</v>
      </c>
      <c r="Z267" s="86">
        <v>2.0</v>
      </c>
      <c r="AA267" s="86">
        <v>1.0</v>
      </c>
      <c r="AB267" s="86">
        <v>1001.0</v>
      </c>
      <c r="AC267" s="86">
        <v>100.0</v>
      </c>
      <c r="AD267" s="86">
        <v>1.0</v>
      </c>
      <c r="AE267" s="86">
        <v>8000.0</v>
      </c>
      <c r="AF267" s="86">
        <v>2450.0</v>
      </c>
      <c r="AG267" s="86">
        <v>1.0</v>
      </c>
    </row>
    <row r="268" ht="38.25" customHeight="1">
      <c r="A268" s="86">
        <v>1162.0</v>
      </c>
      <c r="B268" s="86" t="s">
        <v>1605</v>
      </c>
      <c r="C268" s="86">
        <v>6.0</v>
      </c>
      <c r="D268" s="86" t="s">
        <v>2230</v>
      </c>
      <c r="E268" s="86">
        <v>82.0</v>
      </c>
      <c r="G268" s="96" t="s">
        <v>2231</v>
      </c>
      <c r="I268" s="86">
        <v>21470.0</v>
      </c>
      <c r="J268" s="95" t="s">
        <v>2193</v>
      </c>
      <c r="K268" s="86" t="s">
        <v>647</v>
      </c>
      <c r="L268" s="86">
        <v>9012.0</v>
      </c>
      <c r="M268" s="86">
        <v>5.0</v>
      </c>
      <c r="O268" s="86">
        <v>0.4</v>
      </c>
      <c r="P268" s="95" t="s">
        <v>2194</v>
      </c>
      <c r="Q268" s="86" t="s">
        <v>658</v>
      </c>
      <c r="R268" s="86">
        <v>9008.0</v>
      </c>
      <c r="S268" s="86">
        <v>8.0</v>
      </c>
      <c r="U268" s="86">
        <v>0.1</v>
      </c>
      <c r="V268" s="86">
        <v>70001.0</v>
      </c>
      <c r="W268" s="86">
        <v>2.0</v>
      </c>
      <c r="X268" s="86">
        <v>1.0</v>
      </c>
      <c r="Y268" s="86">
        <v>70002.0</v>
      </c>
      <c r="Z268" s="86">
        <v>2.0</v>
      </c>
      <c r="AA268" s="86">
        <v>1.0</v>
      </c>
      <c r="AB268" s="86">
        <v>1001.0</v>
      </c>
      <c r="AC268" s="86">
        <v>100.0</v>
      </c>
      <c r="AD268" s="86">
        <v>1.0</v>
      </c>
      <c r="AE268" s="86">
        <v>8000.0</v>
      </c>
      <c r="AF268" s="86">
        <v>2450.0</v>
      </c>
      <c r="AG268" s="86">
        <v>1.0</v>
      </c>
    </row>
    <row r="269" ht="38.25" customHeight="1">
      <c r="A269" s="86">
        <v>1163.0</v>
      </c>
      <c r="B269" s="86" t="s">
        <v>1605</v>
      </c>
      <c r="C269" s="86">
        <v>6.0</v>
      </c>
      <c r="D269" s="86" t="s">
        <v>2233</v>
      </c>
      <c r="E269" s="86">
        <v>82.0</v>
      </c>
      <c r="G269" s="96" t="s">
        <v>2234</v>
      </c>
      <c r="I269" s="86">
        <v>21595.0</v>
      </c>
      <c r="J269" s="95" t="s">
        <v>2193</v>
      </c>
      <c r="K269" s="86" t="s">
        <v>647</v>
      </c>
      <c r="L269" s="86">
        <v>9007.0</v>
      </c>
      <c r="M269" s="86">
        <v>3.0</v>
      </c>
      <c r="O269" s="86">
        <v>0.7</v>
      </c>
      <c r="P269" s="95" t="s">
        <v>2194</v>
      </c>
      <c r="Q269" s="86" t="s">
        <v>658</v>
      </c>
      <c r="R269" s="86">
        <v>9012.0</v>
      </c>
      <c r="S269" s="86" t="s">
        <v>1322</v>
      </c>
      <c r="U269" s="86">
        <v>0.5</v>
      </c>
      <c r="V269" s="86">
        <v>70001.0</v>
      </c>
      <c r="W269" s="86">
        <v>2.0</v>
      </c>
      <c r="X269" s="86">
        <v>1.0</v>
      </c>
      <c r="Y269" s="86">
        <v>70002.0</v>
      </c>
      <c r="Z269" s="86">
        <v>2.0</v>
      </c>
      <c r="AA269" s="86">
        <v>1.0</v>
      </c>
      <c r="AB269" s="86">
        <v>1001.0</v>
      </c>
      <c r="AC269" s="86">
        <v>100.0</v>
      </c>
      <c r="AD269" s="86">
        <v>1.0</v>
      </c>
      <c r="AE269" s="86">
        <v>8000.0</v>
      </c>
      <c r="AF269" s="86">
        <v>2450.0</v>
      </c>
      <c r="AG269" s="86">
        <v>1.0</v>
      </c>
    </row>
    <row r="270" ht="38.25" customHeight="1">
      <c r="A270" s="86">
        <v>1164.0</v>
      </c>
      <c r="B270" s="86" t="s">
        <v>1605</v>
      </c>
      <c r="C270" s="86">
        <v>6.0</v>
      </c>
      <c r="D270" s="86" t="s">
        <v>2235</v>
      </c>
      <c r="E270" s="86">
        <v>83.0</v>
      </c>
      <c r="G270" s="96" t="s">
        <v>2236</v>
      </c>
      <c r="I270" s="86">
        <v>21720.0</v>
      </c>
      <c r="J270" s="95" t="s">
        <v>2193</v>
      </c>
      <c r="K270" s="86" t="s">
        <v>647</v>
      </c>
      <c r="L270" s="86">
        <v>9006.0</v>
      </c>
      <c r="M270" s="86">
        <v>4.0</v>
      </c>
      <c r="O270" s="86">
        <v>0.5</v>
      </c>
      <c r="P270" s="95" t="s">
        <v>2194</v>
      </c>
      <c r="Q270" s="86" t="s">
        <v>658</v>
      </c>
      <c r="R270" s="86">
        <v>9010.0</v>
      </c>
      <c r="S270" s="86" t="s">
        <v>2237</v>
      </c>
      <c r="U270" s="86">
        <v>0.3</v>
      </c>
      <c r="V270" s="86">
        <v>70001.0</v>
      </c>
      <c r="W270" s="86">
        <v>2.0</v>
      </c>
      <c r="X270" s="86">
        <v>1.0</v>
      </c>
      <c r="Y270" s="86">
        <v>70002.0</v>
      </c>
      <c r="Z270" s="86">
        <v>2.0</v>
      </c>
      <c r="AA270" s="86">
        <v>1.0</v>
      </c>
      <c r="AB270" s="86">
        <v>1001.0</v>
      </c>
      <c r="AC270" s="86">
        <v>100.0</v>
      </c>
      <c r="AD270" s="86">
        <v>1.0</v>
      </c>
      <c r="AE270" s="86">
        <v>8000.0</v>
      </c>
      <c r="AF270" s="86">
        <v>2500.0</v>
      </c>
      <c r="AG270" s="86">
        <v>1.0</v>
      </c>
    </row>
    <row r="271" ht="38.25" customHeight="1">
      <c r="A271" s="86">
        <v>1165.0</v>
      </c>
      <c r="B271" s="86" t="s">
        <v>1605</v>
      </c>
      <c r="C271" s="86">
        <v>6.0</v>
      </c>
      <c r="D271" s="86" t="s">
        <v>2239</v>
      </c>
      <c r="E271" s="86">
        <v>83.0</v>
      </c>
      <c r="G271" s="96" t="s">
        <v>2240</v>
      </c>
      <c r="I271" s="86">
        <v>21845.0</v>
      </c>
      <c r="J271" s="95" t="s">
        <v>2193</v>
      </c>
      <c r="K271" s="86" t="s">
        <v>647</v>
      </c>
      <c r="L271" s="86">
        <v>9002.0</v>
      </c>
      <c r="M271" s="86" t="s">
        <v>1601</v>
      </c>
      <c r="O271" s="86">
        <v>1.0</v>
      </c>
      <c r="P271" s="95" t="s">
        <v>2194</v>
      </c>
      <c r="Q271" s="86" t="s">
        <v>658</v>
      </c>
      <c r="R271" s="86">
        <v>9011.0</v>
      </c>
      <c r="S271" s="86">
        <v>9.0</v>
      </c>
      <c r="U271" s="86">
        <v>0.9</v>
      </c>
      <c r="V271" s="86">
        <v>70001.0</v>
      </c>
      <c r="W271" s="86">
        <v>2.0</v>
      </c>
      <c r="X271" s="86">
        <v>1.0</v>
      </c>
      <c r="Y271" s="86">
        <v>70002.0</v>
      </c>
      <c r="Z271" s="86">
        <v>2.0</v>
      </c>
      <c r="AA271" s="86">
        <v>1.0</v>
      </c>
      <c r="AB271" s="86">
        <v>1001.0</v>
      </c>
      <c r="AC271" s="86">
        <v>100.0</v>
      </c>
      <c r="AD271" s="86">
        <v>1.0</v>
      </c>
      <c r="AE271" s="86">
        <v>8000.0</v>
      </c>
      <c r="AF271" s="86">
        <v>2500.0</v>
      </c>
      <c r="AG271" s="86">
        <v>1.0</v>
      </c>
    </row>
    <row r="272" ht="38.25" customHeight="1">
      <c r="A272" s="86">
        <v>1166.0</v>
      </c>
      <c r="B272" s="86" t="s">
        <v>1605</v>
      </c>
      <c r="C272" s="86">
        <v>6.0</v>
      </c>
      <c r="D272" s="86" t="s">
        <v>2241</v>
      </c>
      <c r="E272" s="86">
        <v>84.0</v>
      </c>
      <c r="G272" s="96" t="s">
        <v>2242</v>
      </c>
      <c r="I272" s="86">
        <v>21970.0</v>
      </c>
      <c r="J272" s="95" t="s">
        <v>2193</v>
      </c>
      <c r="K272" s="86" t="s">
        <v>647</v>
      </c>
      <c r="L272" s="86">
        <v>9001.0</v>
      </c>
      <c r="M272" s="86" t="s">
        <v>1380</v>
      </c>
      <c r="O272" s="86">
        <v>0.3</v>
      </c>
      <c r="P272" s="95" t="s">
        <v>2194</v>
      </c>
      <c r="Q272" s="86" t="s">
        <v>658</v>
      </c>
      <c r="R272" s="86">
        <v>9011.0</v>
      </c>
      <c r="S272" s="86" t="s">
        <v>1535</v>
      </c>
      <c r="U272" s="86">
        <v>0.6</v>
      </c>
      <c r="V272" s="86">
        <v>70001.0</v>
      </c>
      <c r="W272" s="86">
        <v>2.0</v>
      </c>
      <c r="X272" s="86">
        <v>1.0</v>
      </c>
      <c r="Y272" s="86">
        <v>70002.0</v>
      </c>
      <c r="Z272" s="86">
        <v>2.0</v>
      </c>
      <c r="AA272" s="86">
        <v>1.0</v>
      </c>
      <c r="AB272" s="86">
        <v>1001.0</v>
      </c>
      <c r="AC272" s="86">
        <v>100.0</v>
      </c>
      <c r="AD272" s="86">
        <v>1.0</v>
      </c>
      <c r="AE272" s="86">
        <v>8000.0</v>
      </c>
      <c r="AF272" s="86">
        <v>2550.0</v>
      </c>
      <c r="AG272" s="86">
        <v>1.0</v>
      </c>
    </row>
    <row r="273" ht="38.25" customHeight="1">
      <c r="A273" s="86">
        <v>1167.0</v>
      </c>
      <c r="B273" s="86" t="s">
        <v>1605</v>
      </c>
      <c r="C273" s="86">
        <v>6.0</v>
      </c>
      <c r="D273" s="86" t="s">
        <v>2243</v>
      </c>
      <c r="E273" s="86">
        <v>84.0</v>
      </c>
      <c r="G273" s="96" t="s">
        <v>2244</v>
      </c>
      <c r="I273" s="86">
        <v>22095.0</v>
      </c>
      <c r="J273" s="95" t="s">
        <v>2193</v>
      </c>
      <c r="K273" s="86" t="s">
        <v>647</v>
      </c>
      <c r="L273" s="86">
        <v>9005.0</v>
      </c>
      <c r="M273" s="86" t="s">
        <v>1477</v>
      </c>
      <c r="O273" s="86">
        <v>0.9</v>
      </c>
      <c r="P273" s="95" t="s">
        <v>2194</v>
      </c>
      <c r="Q273" s="86" t="s">
        <v>658</v>
      </c>
      <c r="R273" s="86">
        <v>9007.0</v>
      </c>
      <c r="S273" s="86" t="s">
        <v>2060</v>
      </c>
      <c r="U273" s="86">
        <v>0.9</v>
      </c>
      <c r="V273" s="86">
        <v>70001.0</v>
      </c>
      <c r="W273" s="86">
        <v>2.0</v>
      </c>
      <c r="X273" s="86">
        <v>1.0</v>
      </c>
      <c r="Y273" s="86">
        <v>70002.0</v>
      </c>
      <c r="Z273" s="86">
        <v>2.0</v>
      </c>
      <c r="AA273" s="86">
        <v>1.0</v>
      </c>
      <c r="AB273" s="86">
        <v>1001.0</v>
      </c>
      <c r="AC273" s="86">
        <v>100.0</v>
      </c>
      <c r="AD273" s="86">
        <v>1.0</v>
      </c>
      <c r="AE273" s="86">
        <v>8000.0</v>
      </c>
      <c r="AF273" s="86">
        <v>2550.0</v>
      </c>
      <c r="AG273" s="86">
        <v>1.0</v>
      </c>
    </row>
    <row r="274" ht="38.25" customHeight="1">
      <c r="A274" s="86">
        <v>1168.0</v>
      </c>
      <c r="B274" s="86" t="s">
        <v>1605</v>
      </c>
      <c r="C274" s="86">
        <v>6.0</v>
      </c>
      <c r="D274" s="86" t="s">
        <v>2246</v>
      </c>
      <c r="E274" s="86">
        <v>85.0</v>
      </c>
      <c r="G274" s="96" t="s">
        <v>2248</v>
      </c>
      <c r="I274" s="86">
        <v>22220.0</v>
      </c>
      <c r="J274" s="95" t="s">
        <v>2193</v>
      </c>
      <c r="K274" s="86" t="s">
        <v>647</v>
      </c>
      <c r="L274" s="86">
        <v>9002.0</v>
      </c>
      <c r="M274" s="86" t="s">
        <v>1755</v>
      </c>
      <c r="O274" s="86">
        <v>1.0</v>
      </c>
      <c r="P274" s="95" t="s">
        <v>2194</v>
      </c>
      <c r="Q274" s="86" t="s">
        <v>658</v>
      </c>
      <c r="R274" s="86">
        <v>9004.0</v>
      </c>
      <c r="S274" s="86">
        <v>11.0</v>
      </c>
      <c r="U274" s="86">
        <v>0.7</v>
      </c>
      <c r="V274" s="86">
        <v>70001.0</v>
      </c>
      <c r="W274" s="86">
        <v>2.0</v>
      </c>
      <c r="X274" s="86">
        <v>1.0</v>
      </c>
      <c r="Y274" s="86">
        <v>70002.0</v>
      </c>
      <c r="Z274" s="86">
        <v>2.0</v>
      </c>
      <c r="AA274" s="86">
        <v>1.0</v>
      </c>
      <c r="AB274" s="86">
        <v>1001.0</v>
      </c>
      <c r="AC274" s="86">
        <v>100.0</v>
      </c>
      <c r="AD274" s="86">
        <v>1.0</v>
      </c>
      <c r="AE274" s="86">
        <v>8000.0</v>
      </c>
      <c r="AF274" s="86">
        <v>2550.0</v>
      </c>
      <c r="AG274" s="86">
        <v>1.0</v>
      </c>
    </row>
    <row r="275" ht="38.25" customHeight="1">
      <c r="A275" s="86">
        <v>1169.0</v>
      </c>
      <c r="B275" s="86" t="s">
        <v>1605</v>
      </c>
      <c r="C275" s="86">
        <v>6.0</v>
      </c>
      <c r="D275" s="86" t="s">
        <v>2250</v>
      </c>
      <c r="E275" s="86">
        <v>85.0</v>
      </c>
      <c r="G275" s="96" t="s">
        <v>2251</v>
      </c>
      <c r="I275" s="86">
        <v>22345.0</v>
      </c>
      <c r="J275" s="95" t="s">
        <v>2193</v>
      </c>
      <c r="K275" s="86" t="s">
        <v>647</v>
      </c>
      <c r="L275" s="86">
        <v>9002.0</v>
      </c>
      <c r="M275" s="86" t="s">
        <v>2253</v>
      </c>
      <c r="O275" s="86">
        <v>1.0</v>
      </c>
      <c r="P275" s="95" t="s">
        <v>2194</v>
      </c>
      <c r="Q275" s="86" t="s">
        <v>658</v>
      </c>
      <c r="R275" s="86">
        <v>9004.0</v>
      </c>
      <c r="S275" s="86" t="s">
        <v>1250</v>
      </c>
      <c r="U275" s="86">
        <v>0.6</v>
      </c>
      <c r="V275" s="86">
        <v>70001.0</v>
      </c>
      <c r="W275" s="86">
        <v>2.0</v>
      </c>
      <c r="X275" s="86">
        <v>1.0</v>
      </c>
      <c r="Y275" s="86">
        <v>70002.0</v>
      </c>
      <c r="Z275" s="86">
        <v>2.0</v>
      </c>
      <c r="AA275" s="86">
        <v>1.0</v>
      </c>
      <c r="AB275" s="86">
        <v>1001.0</v>
      </c>
      <c r="AC275" s="86">
        <v>100.0</v>
      </c>
      <c r="AD275" s="86">
        <v>1.0</v>
      </c>
      <c r="AE275" s="86">
        <v>8000.0</v>
      </c>
      <c r="AF275" s="86">
        <v>2600.0</v>
      </c>
      <c r="AG275" s="86">
        <v>1.0</v>
      </c>
    </row>
    <row r="276" ht="38.25" customHeight="1">
      <c r="A276" s="86">
        <v>1170.0</v>
      </c>
      <c r="B276" s="86" t="s">
        <v>1605</v>
      </c>
      <c r="C276" s="86">
        <v>6.0</v>
      </c>
      <c r="D276" s="86" t="s">
        <v>2255</v>
      </c>
      <c r="E276" s="86">
        <v>86.0</v>
      </c>
      <c r="G276" s="96" t="s">
        <v>2256</v>
      </c>
      <c r="I276" s="86">
        <v>22470.0</v>
      </c>
      <c r="J276" s="95" t="s">
        <v>2193</v>
      </c>
      <c r="K276" s="86" t="s">
        <v>647</v>
      </c>
      <c r="L276" s="86">
        <v>9007.0</v>
      </c>
      <c r="M276" s="86" t="s">
        <v>2257</v>
      </c>
      <c r="O276" s="86">
        <v>0.1</v>
      </c>
      <c r="P276" s="95" t="s">
        <v>2194</v>
      </c>
      <c r="Q276" s="86" t="s">
        <v>658</v>
      </c>
      <c r="R276" s="86">
        <v>9004.0</v>
      </c>
      <c r="S276" s="86" t="s">
        <v>2258</v>
      </c>
      <c r="U276" s="86">
        <v>0.7</v>
      </c>
      <c r="V276" s="86">
        <v>70001.0</v>
      </c>
      <c r="W276" s="86">
        <v>2.0</v>
      </c>
      <c r="X276" s="86">
        <v>1.0</v>
      </c>
      <c r="Y276" s="86">
        <v>70002.0</v>
      </c>
      <c r="Z276" s="86">
        <v>2.0</v>
      </c>
      <c r="AA276" s="86">
        <v>1.0</v>
      </c>
      <c r="AB276" s="86">
        <v>1001.0</v>
      </c>
      <c r="AC276" s="86">
        <v>100.0</v>
      </c>
      <c r="AD276" s="86">
        <v>1.0</v>
      </c>
      <c r="AE276" s="86">
        <v>8000.0</v>
      </c>
      <c r="AF276" s="86">
        <v>2600.0</v>
      </c>
      <c r="AG276" s="86">
        <v>1.0</v>
      </c>
    </row>
    <row r="277" ht="38.25" customHeight="1">
      <c r="A277" s="86">
        <v>1171.0</v>
      </c>
      <c r="B277" s="86" t="s">
        <v>1605</v>
      </c>
      <c r="C277" s="86">
        <v>6.0</v>
      </c>
      <c r="D277" s="86" t="s">
        <v>2259</v>
      </c>
      <c r="E277" s="86">
        <v>86.0</v>
      </c>
      <c r="G277" s="96" t="s">
        <v>2260</v>
      </c>
      <c r="I277" s="86">
        <v>22595.0</v>
      </c>
      <c r="J277" s="95" t="s">
        <v>2193</v>
      </c>
      <c r="K277" s="86" t="s">
        <v>647</v>
      </c>
      <c r="L277" s="86">
        <v>9011.0</v>
      </c>
      <c r="M277" s="86" t="s">
        <v>1875</v>
      </c>
      <c r="O277" s="86">
        <v>0.6</v>
      </c>
      <c r="P277" s="95" t="s">
        <v>2194</v>
      </c>
      <c r="Q277" s="86" t="s">
        <v>658</v>
      </c>
      <c r="R277" s="86">
        <v>9008.0</v>
      </c>
      <c r="S277" s="86" t="s">
        <v>1160</v>
      </c>
      <c r="U277" s="86">
        <v>1.0</v>
      </c>
      <c r="V277" s="86">
        <v>70001.0</v>
      </c>
      <c r="W277" s="86">
        <v>2.0</v>
      </c>
      <c r="X277" s="86">
        <v>1.0</v>
      </c>
      <c r="Y277" s="86">
        <v>70002.0</v>
      </c>
      <c r="Z277" s="86">
        <v>2.0</v>
      </c>
      <c r="AA277" s="86">
        <v>1.0</v>
      </c>
      <c r="AB277" s="86">
        <v>1001.0</v>
      </c>
      <c r="AC277" s="86">
        <v>100.0</v>
      </c>
      <c r="AD277" s="86">
        <v>1.0</v>
      </c>
      <c r="AE277" s="86">
        <v>8000.0</v>
      </c>
      <c r="AF277" s="86">
        <v>2650.0</v>
      </c>
      <c r="AG277" s="86">
        <v>1.0</v>
      </c>
    </row>
    <row r="278" ht="38.25" customHeight="1">
      <c r="A278" s="86">
        <v>1172.0</v>
      </c>
      <c r="B278" s="86" t="s">
        <v>1605</v>
      </c>
      <c r="C278" s="86">
        <v>6.0</v>
      </c>
      <c r="D278" s="86" t="s">
        <v>2263</v>
      </c>
      <c r="E278" s="86">
        <v>87.0</v>
      </c>
      <c r="G278" s="96" t="s">
        <v>2264</v>
      </c>
      <c r="I278" s="86">
        <v>22720.0</v>
      </c>
      <c r="J278" s="95" t="s">
        <v>2193</v>
      </c>
      <c r="K278" s="86" t="s">
        <v>647</v>
      </c>
      <c r="L278" s="86">
        <v>9002.0</v>
      </c>
      <c r="M278" s="86" t="s">
        <v>2265</v>
      </c>
      <c r="O278" s="86">
        <v>0.3</v>
      </c>
      <c r="P278" s="95" t="s">
        <v>2194</v>
      </c>
      <c r="Q278" s="86" t="s">
        <v>658</v>
      </c>
      <c r="R278" s="86">
        <v>9012.0</v>
      </c>
      <c r="S278" s="86" t="s">
        <v>2266</v>
      </c>
      <c r="U278" s="86">
        <v>0.7</v>
      </c>
      <c r="V278" s="86">
        <v>70001.0</v>
      </c>
      <c r="W278" s="86">
        <v>2.0</v>
      </c>
      <c r="X278" s="86">
        <v>1.0</v>
      </c>
      <c r="Y278" s="86">
        <v>70002.0</v>
      </c>
      <c r="Z278" s="86">
        <v>2.0</v>
      </c>
      <c r="AA278" s="86">
        <v>1.0</v>
      </c>
      <c r="AB278" s="86">
        <v>1001.0</v>
      </c>
      <c r="AC278" s="86">
        <v>100.0</v>
      </c>
      <c r="AD278" s="86">
        <v>1.0</v>
      </c>
      <c r="AE278" s="86">
        <v>8000.0</v>
      </c>
      <c r="AF278" s="86">
        <v>2650.0</v>
      </c>
      <c r="AG278" s="86">
        <v>1.0</v>
      </c>
    </row>
    <row r="279" ht="38.25" customHeight="1">
      <c r="A279" s="86">
        <v>1173.0</v>
      </c>
      <c r="B279" s="86" t="s">
        <v>1605</v>
      </c>
      <c r="C279" s="86">
        <v>6.0</v>
      </c>
      <c r="D279" s="86" t="s">
        <v>2267</v>
      </c>
      <c r="E279" s="86">
        <v>87.0</v>
      </c>
      <c r="G279" s="96" t="s">
        <v>2268</v>
      </c>
      <c r="I279" s="86">
        <v>22845.0</v>
      </c>
      <c r="J279" s="95" t="s">
        <v>2193</v>
      </c>
      <c r="K279" s="86" t="s">
        <v>647</v>
      </c>
      <c r="L279" s="86">
        <v>9011.0</v>
      </c>
      <c r="M279" s="86">
        <v>4.0</v>
      </c>
      <c r="O279" s="86">
        <v>0.5</v>
      </c>
      <c r="P279" s="95" t="s">
        <v>2194</v>
      </c>
      <c r="Q279" s="86" t="s">
        <v>658</v>
      </c>
      <c r="R279" s="86">
        <v>9008.0</v>
      </c>
      <c r="S279" s="86" t="s">
        <v>1554</v>
      </c>
      <c r="U279" s="86">
        <v>0.7</v>
      </c>
      <c r="V279" s="86">
        <v>70001.0</v>
      </c>
      <c r="W279" s="86">
        <v>2.0</v>
      </c>
      <c r="X279" s="86">
        <v>1.0</v>
      </c>
      <c r="Y279" s="86">
        <v>70002.0</v>
      </c>
      <c r="Z279" s="86">
        <v>2.0</v>
      </c>
      <c r="AA279" s="86">
        <v>1.0</v>
      </c>
      <c r="AB279" s="86">
        <v>1001.0</v>
      </c>
      <c r="AC279" s="86">
        <v>100.0</v>
      </c>
      <c r="AD279" s="86">
        <v>1.0</v>
      </c>
      <c r="AE279" s="86">
        <v>8000.0</v>
      </c>
      <c r="AF279" s="86">
        <v>2650.0</v>
      </c>
      <c r="AG279" s="86">
        <v>1.0</v>
      </c>
    </row>
    <row r="280" ht="38.25" customHeight="1">
      <c r="A280" s="86">
        <v>1174.0</v>
      </c>
      <c r="B280" s="86" t="s">
        <v>1605</v>
      </c>
      <c r="C280" s="86">
        <v>6.0</v>
      </c>
      <c r="D280" s="86" t="s">
        <v>2270</v>
      </c>
      <c r="E280" s="86">
        <v>88.0</v>
      </c>
      <c r="G280" s="96" t="s">
        <v>2271</v>
      </c>
      <c r="I280" s="86">
        <v>22970.0</v>
      </c>
      <c r="J280" s="95" t="s">
        <v>2193</v>
      </c>
      <c r="K280" s="86" t="s">
        <v>647</v>
      </c>
      <c r="L280" s="86">
        <v>9001.0</v>
      </c>
      <c r="M280" s="86" t="s">
        <v>2220</v>
      </c>
      <c r="O280" s="86">
        <v>0.4</v>
      </c>
      <c r="P280" s="95" t="s">
        <v>2194</v>
      </c>
      <c r="Q280" s="86" t="s">
        <v>658</v>
      </c>
      <c r="R280" s="86">
        <v>9012.0</v>
      </c>
      <c r="S280" s="86">
        <v>10.0</v>
      </c>
      <c r="U280" s="86">
        <v>0.3</v>
      </c>
      <c r="V280" s="86">
        <v>70001.0</v>
      </c>
      <c r="W280" s="86">
        <v>2.0</v>
      </c>
      <c r="X280" s="86">
        <v>1.0</v>
      </c>
      <c r="Y280" s="86">
        <v>70002.0</v>
      </c>
      <c r="Z280" s="86">
        <v>2.0</v>
      </c>
      <c r="AA280" s="86">
        <v>1.0</v>
      </c>
      <c r="AB280" s="86">
        <v>1001.0</v>
      </c>
      <c r="AC280" s="86">
        <v>100.0</v>
      </c>
      <c r="AD280" s="86">
        <v>1.0</v>
      </c>
      <c r="AE280" s="86">
        <v>8000.0</v>
      </c>
      <c r="AF280" s="86">
        <v>2700.0</v>
      </c>
      <c r="AG280" s="86">
        <v>1.0</v>
      </c>
    </row>
    <row r="281" ht="38.25" customHeight="1">
      <c r="A281" s="86">
        <v>1175.0</v>
      </c>
      <c r="B281" s="86" t="s">
        <v>1605</v>
      </c>
      <c r="C281" s="86">
        <v>6.0</v>
      </c>
      <c r="D281" s="86" t="s">
        <v>2273</v>
      </c>
      <c r="E281" s="86">
        <v>88.0</v>
      </c>
      <c r="G281" s="96" t="s">
        <v>2274</v>
      </c>
      <c r="I281" s="86">
        <v>23095.0</v>
      </c>
      <c r="J281" s="95" t="s">
        <v>2193</v>
      </c>
      <c r="K281" s="86" t="s">
        <v>647</v>
      </c>
      <c r="L281" s="86">
        <v>9007.0</v>
      </c>
      <c r="M281" s="86">
        <v>4.0</v>
      </c>
      <c r="O281" s="86">
        <v>0.6</v>
      </c>
      <c r="P281" s="95" t="s">
        <v>2194</v>
      </c>
      <c r="Q281" s="86" t="s">
        <v>658</v>
      </c>
      <c r="R281" s="86">
        <v>9011.0</v>
      </c>
      <c r="S281" s="86" t="s">
        <v>2275</v>
      </c>
      <c r="U281" s="86">
        <v>0.6</v>
      </c>
      <c r="V281" s="86">
        <v>70001.0</v>
      </c>
      <c r="W281" s="86">
        <v>2.0</v>
      </c>
      <c r="X281" s="86">
        <v>1.0</v>
      </c>
      <c r="Y281" s="86">
        <v>70002.0</v>
      </c>
      <c r="Z281" s="86">
        <v>2.0</v>
      </c>
      <c r="AA281" s="86">
        <v>1.0</v>
      </c>
      <c r="AB281" s="86">
        <v>1001.0</v>
      </c>
      <c r="AC281" s="86">
        <v>100.0</v>
      </c>
      <c r="AD281" s="86">
        <v>1.0</v>
      </c>
      <c r="AE281" s="86">
        <v>8000.0</v>
      </c>
      <c r="AF281" s="86">
        <v>2700.0</v>
      </c>
      <c r="AG281" s="86">
        <v>1.0</v>
      </c>
    </row>
    <row r="282" ht="38.25" customHeight="1">
      <c r="A282" s="86">
        <v>1176.0</v>
      </c>
      <c r="B282" s="86" t="s">
        <v>1605</v>
      </c>
      <c r="C282" s="86">
        <v>6.0</v>
      </c>
      <c r="D282" s="86" t="s">
        <v>2276</v>
      </c>
      <c r="E282" s="86">
        <v>89.0</v>
      </c>
      <c r="G282" s="96" t="s">
        <v>2277</v>
      </c>
      <c r="I282" s="86">
        <v>23220.0</v>
      </c>
      <c r="J282" s="95" t="s">
        <v>2193</v>
      </c>
      <c r="K282" s="86" t="s">
        <v>647</v>
      </c>
      <c r="L282" s="86">
        <v>9011.0</v>
      </c>
      <c r="M282" s="86" t="s">
        <v>2278</v>
      </c>
      <c r="O282" s="86">
        <v>0.8</v>
      </c>
      <c r="P282" s="95" t="s">
        <v>2194</v>
      </c>
      <c r="Q282" s="86" t="s">
        <v>658</v>
      </c>
      <c r="R282" s="86">
        <v>9011.0</v>
      </c>
      <c r="S282" s="86" t="s">
        <v>1742</v>
      </c>
      <c r="U282" s="86">
        <v>0.9</v>
      </c>
      <c r="V282" s="86">
        <v>70001.0</v>
      </c>
      <c r="W282" s="86">
        <v>2.0</v>
      </c>
      <c r="X282" s="86">
        <v>1.0</v>
      </c>
      <c r="Y282" s="86">
        <v>70002.0</v>
      </c>
      <c r="Z282" s="86">
        <v>2.0</v>
      </c>
      <c r="AA282" s="86">
        <v>1.0</v>
      </c>
      <c r="AB282" s="86">
        <v>1001.0</v>
      </c>
      <c r="AC282" s="86">
        <v>100.0</v>
      </c>
      <c r="AD282" s="86">
        <v>1.0</v>
      </c>
      <c r="AE282" s="86">
        <v>8000.0</v>
      </c>
      <c r="AF282" s="86">
        <v>2750.0</v>
      </c>
      <c r="AG282" s="86">
        <v>1.0</v>
      </c>
    </row>
    <row r="283" ht="38.25" customHeight="1">
      <c r="A283" s="86">
        <v>1177.0</v>
      </c>
      <c r="B283" s="86" t="s">
        <v>1605</v>
      </c>
      <c r="C283" s="86">
        <v>6.0</v>
      </c>
      <c r="D283" s="86" t="s">
        <v>2281</v>
      </c>
      <c r="E283" s="86">
        <v>89.0</v>
      </c>
      <c r="G283" s="96" t="s">
        <v>2282</v>
      </c>
      <c r="I283" s="86">
        <v>23345.0</v>
      </c>
      <c r="J283" s="95" t="s">
        <v>2193</v>
      </c>
      <c r="K283" s="86" t="s">
        <v>647</v>
      </c>
      <c r="L283" s="86">
        <v>9001.0</v>
      </c>
      <c r="M283" s="86" t="s">
        <v>1163</v>
      </c>
      <c r="O283" s="86">
        <v>0.2</v>
      </c>
      <c r="P283" s="95" t="s">
        <v>2194</v>
      </c>
      <c r="Q283" s="86" t="s">
        <v>658</v>
      </c>
      <c r="R283" s="86">
        <v>9010.0</v>
      </c>
      <c r="S283" s="86" t="s">
        <v>2283</v>
      </c>
      <c r="U283" s="86">
        <v>1.0</v>
      </c>
      <c r="V283" s="86">
        <v>70001.0</v>
      </c>
      <c r="W283" s="86">
        <v>2.0</v>
      </c>
      <c r="X283" s="86">
        <v>1.0</v>
      </c>
      <c r="Y283" s="86">
        <v>70002.0</v>
      </c>
      <c r="Z283" s="86">
        <v>2.0</v>
      </c>
      <c r="AA283" s="86">
        <v>1.0</v>
      </c>
      <c r="AB283" s="86">
        <v>1001.0</v>
      </c>
      <c r="AC283" s="86">
        <v>100.0</v>
      </c>
      <c r="AD283" s="86">
        <v>1.0</v>
      </c>
      <c r="AE283" s="86">
        <v>8000.0</v>
      </c>
      <c r="AF283" s="86">
        <v>2750.0</v>
      </c>
      <c r="AG283" s="86">
        <v>1.0</v>
      </c>
    </row>
    <row r="284" ht="38.25" customHeight="1">
      <c r="A284" s="86">
        <v>1178.0</v>
      </c>
      <c r="B284" s="86" t="s">
        <v>1605</v>
      </c>
      <c r="C284" s="86">
        <v>6.0</v>
      </c>
      <c r="D284" s="86" t="s">
        <v>2284</v>
      </c>
      <c r="E284" s="86">
        <v>90.0</v>
      </c>
      <c r="G284" s="96" t="s">
        <v>2285</v>
      </c>
      <c r="I284" s="86">
        <v>23470.0</v>
      </c>
      <c r="J284" s="95" t="s">
        <v>2193</v>
      </c>
      <c r="K284" s="86" t="s">
        <v>647</v>
      </c>
      <c r="L284" s="86">
        <v>9008.0</v>
      </c>
      <c r="M284" s="86" t="s">
        <v>2286</v>
      </c>
      <c r="O284" s="86">
        <v>0.2</v>
      </c>
      <c r="P284" s="95" t="s">
        <v>2194</v>
      </c>
      <c r="Q284" s="86" t="s">
        <v>658</v>
      </c>
      <c r="R284" s="86">
        <v>9010.0</v>
      </c>
      <c r="S284" s="86" t="s">
        <v>1601</v>
      </c>
      <c r="U284" s="86">
        <v>0.5</v>
      </c>
      <c r="V284" s="86">
        <v>70001.0</v>
      </c>
      <c r="W284" s="86">
        <v>2.0</v>
      </c>
      <c r="X284" s="86">
        <v>1.0</v>
      </c>
      <c r="Y284" s="86">
        <v>70002.0</v>
      </c>
      <c r="Z284" s="86">
        <v>2.0</v>
      </c>
      <c r="AA284" s="86">
        <v>1.0</v>
      </c>
      <c r="AB284" s="86">
        <v>1001.0</v>
      </c>
      <c r="AC284" s="86">
        <v>100.0</v>
      </c>
      <c r="AD284" s="86">
        <v>1.0</v>
      </c>
      <c r="AE284" s="86">
        <v>8000.0</v>
      </c>
      <c r="AF284" s="86">
        <v>2750.0</v>
      </c>
      <c r="AG284" s="86">
        <v>1.0</v>
      </c>
    </row>
    <row r="285" ht="38.25" customHeight="1">
      <c r="A285" s="86">
        <v>1179.0</v>
      </c>
      <c r="B285" s="86" t="s">
        <v>1605</v>
      </c>
      <c r="C285" s="86">
        <v>6.0</v>
      </c>
      <c r="D285" s="86" t="s">
        <v>2287</v>
      </c>
      <c r="E285" s="86">
        <v>90.0</v>
      </c>
      <c r="G285" s="96" t="s">
        <v>2288</v>
      </c>
      <c r="I285" s="86">
        <v>23595.0</v>
      </c>
      <c r="J285" s="95" t="s">
        <v>2193</v>
      </c>
      <c r="K285" s="86" t="s">
        <v>647</v>
      </c>
      <c r="L285" s="86">
        <v>9011.0</v>
      </c>
      <c r="M285" s="86">
        <v>8.0</v>
      </c>
      <c r="O285" s="86">
        <v>0.4</v>
      </c>
      <c r="P285" s="95" t="s">
        <v>2194</v>
      </c>
      <c r="Q285" s="86" t="s">
        <v>658</v>
      </c>
      <c r="R285" s="86">
        <v>9012.0</v>
      </c>
      <c r="S285" s="86">
        <v>11.0</v>
      </c>
      <c r="U285" s="86">
        <v>0.8</v>
      </c>
      <c r="V285" s="86">
        <v>70001.0</v>
      </c>
      <c r="W285" s="86">
        <v>2.0</v>
      </c>
      <c r="X285" s="86">
        <v>1.0</v>
      </c>
      <c r="Y285" s="86">
        <v>70002.0</v>
      </c>
      <c r="Z285" s="86">
        <v>2.0</v>
      </c>
      <c r="AA285" s="86">
        <v>1.0</v>
      </c>
      <c r="AB285" s="86">
        <v>1001.0</v>
      </c>
      <c r="AC285" s="86">
        <v>500.0</v>
      </c>
      <c r="AD285" s="86">
        <v>1.0</v>
      </c>
      <c r="AE285" s="86">
        <v>8000.0</v>
      </c>
      <c r="AF285" s="86">
        <v>2800.0</v>
      </c>
      <c r="AG285" s="86">
        <v>1.0</v>
      </c>
    </row>
    <row r="286" ht="38.25" customHeight="1">
      <c r="A286" s="86">
        <v>1180.0</v>
      </c>
      <c r="B286" s="86" t="s">
        <v>1605</v>
      </c>
      <c r="C286" s="86">
        <v>6.0</v>
      </c>
      <c r="D286" s="86" t="s">
        <v>2290</v>
      </c>
      <c r="E286" s="86">
        <v>91.0</v>
      </c>
      <c r="G286" s="96" t="s">
        <v>2291</v>
      </c>
      <c r="I286" s="86">
        <v>23720.0</v>
      </c>
      <c r="J286" s="95" t="s">
        <v>2193</v>
      </c>
      <c r="K286" s="86" t="s">
        <v>647</v>
      </c>
      <c r="L286" s="86">
        <v>9012.0</v>
      </c>
      <c r="M286" s="86" t="s">
        <v>2292</v>
      </c>
      <c r="O286" s="86">
        <v>0.9</v>
      </c>
      <c r="P286" s="95" t="s">
        <v>2194</v>
      </c>
      <c r="Q286" s="86" t="s">
        <v>658</v>
      </c>
      <c r="R286" s="86">
        <v>9012.0</v>
      </c>
      <c r="S286" s="86">
        <v>8.0</v>
      </c>
      <c r="U286" s="86">
        <v>0.5</v>
      </c>
      <c r="V286" s="86">
        <v>70001.0</v>
      </c>
      <c r="W286" s="86">
        <v>2.0</v>
      </c>
      <c r="X286" s="86">
        <v>1.0</v>
      </c>
      <c r="Y286" s="86">
        <v>70002.0</v>
      </c>
      <c r="Z286" s="86">
        <v>2.0</v>
      </c>
      <c r="AA286" s="86">
        <v>1.0</v>
      </c>
      <c r="AB286" s="86">
        <v>1001.0</v>
      </c>
      <c r="AC286" s="86">
        <v>100.0</v>
      </c>
      <c r="AD286" s="86">
        <v>1.0</v>
      </c>
      <c r="AE286" s="86">
        <v>8000.0</v>
      </c>
      <c r="AF286" s="86">
        <v>2800.0</v>
      </c>
      <c r="AG286" s="86">
        <v>1.0</v>
      </c>
    </row>
    <row r="287" ht="38.25" customHeight="1">
      <c r="A287" s="86">
        <v>1181.0</v>
      </c>
      <c r="B287" s="86" t="s">
        <v>1605</v>
      </c>
      <c r="C287" s="86">
        <v>6.0</v>
      </c>
      <c r="D287" s="86" t="s">
        <v>2293</v>
      </c>
      <c r="E287" s="86">
        <v>91.0</v>
      </c>
      <c r="G287" s="96" t="s">
        <v>2294</v>
      </c>
      <c r="I287" s="86">
        <v>23845.0</v>
      </c>
      <c r="J287" s="95" t="s">
        <v>2193</v>
      </c>
      <c r="K287" s="86" t="s">
        <v>647</v>
      </c>
      <c r="L287" s="86">
        <v>9007.0</v>
      </c>
      <c r="M287" s="86" t="s">
        <v>1517</v>
      </c>
      <c r="O287" s="86">
        <v>0.8</v>
      </c>
      <c r="P287" s="95" t="s">
        <v>2194</v>
      </c>
      <c r="Q287" s="86" t="s">
        <v>658</v>
      </c>
      <c r="R287" s="86">
        <v>9010.0</v>
      </c>
      <c r="S287" s="86">
        <v>12.0</v>
      </c>
      <c r="U287" s="86">
        <v>0.2</v>
      </c>
      <c r="V287" s="86">
        <v>70001.0</v>
      </c>
      <c r="W287" s="86">
        <v>2.0</v>
      </c>
      <c r="X287" s="86">
        <v>1.0</v>
      </c>
      <c r="Y287" s="86">
        <v>70002.0</v>
      </c>
      <c r="Z287" s="86">
        <v>2.0</v>
      </c>
      <c r="AA287" s="86">
        <v>1.0</v>
      </c>
      <c r="AB287" s="86">
        <v>1001.0</v>
      </c>
      <c r="AC287" s="86">
        <v>100.0</v>
      </c>
      <c r="AD287" s="86">
        <v>1.0</v>
      </c>
      <c r="AE287" s="86">
        <v>8000.0</v>
      </c>
      <c r="AF287" s="86">
        <v>2850.0</v>
      </c>
      <c r="AG287" s="86">
        <v>1.0</v>
      </c>
    </row>
    <row r="288" ht="38.25" customHeight="1">
      <c r="A288" s="86">
        <v>1182.0</v>
      </c>
      <c r="B288" s="86" t="s">
        <v>1605</v>
      </c>
      <c r="C288" s="86">
        <v>6.0</v>
      </c>
      <c r="D288" s="86" t="s">
        <v>2296</v>
      </c>
      <c r="E288" s="86">
        <v>92.0</v>
      </c>
      <c r="G288" s="96" t="s">
        <v>2297</v>
      </c>
      <c r="I288" s="86">
        <v>23970.0</v>
      </c>
      <c r="J288" s="95" t="s">
        <v>2193</v>
      </c>
      <c r="K288" s="86" t="s">
        <v>647</v>
      </c>
      <c r="L288" s="86">
        <v>9007.0</v>
      </c>
      <c r="M288" s="86" t="s">
        <v>1322</v>
      </c>
      <c r="O288" s="86">
        <v>0.1</v>
      </c>
      <c r="P288" s="95" t="s">
        <v>2194</v>
      </c>
      <c r="Q288" s="86" t="s">
        <v>658</v>
      </c>
      <c r="R288" s="86">
        <v>9012.0</v>
      </c>
      <c r="S288" s="86" t="s">
        <v>2298</v>
      </c>
      <c r="U288" s="86">
        <v>0.4</v>
      </c>
      <c r="V288" s="86">
        <v>70001.0</v>
      </c>
      <c r="W288" s="86">
        <v>2.0</v>
      </c>
      <c r="X288" s="86">
        <v>1.0</v>
      </c>
      <c r="Y288" s="86">
        <v>70002.0</v>
      </c>
      <c r="Z288" s="86">
        <v>2.0</v>
      </c>
      <c r="AA288" s="86">
        <v>1.0</v>
      </c>
      <c r="AB288" s="86">
        <v>1001.0</v>
      </c>
      <c r="AC288" s="86">
        <v>100.0</v>
      </c>
      <c r="AD288" s="86">
        <v>1.0</v>
      </c>
      <c r="AE288" s="86">
        <v>8000.0</v>
      </c>
      <c r="AF288" s="86">
        <v>2850.0</v>
      </c>
      <c r="AG288" s="86">
        <v>1.0</v>
      </c>
    </row>
    <row r="289" ht="38.25" customHeight="1">
      <c r="A289" s="86">
        <v>1183.0</v>
      </c>
      <c r="B289" s="86" t="s">
        <v>1605</v>
      </c>
      <c r="C289" s="86">
        <v>6.0</v>
      </c>
      <c r="D289" s="86" t="s">
        <v>2299</v>
      </c>
      <c r="E289" s="86">
        <v>92.0</v>
      </c>
      <c r="G289" s="96" t="s">
        <v>2300</v>
      </c>
      <c r="I289" s="86">
        <v>24095.0</v>
      </c>
      <c r="J289" s="95" t="s">
        <v>2193</v>
      </c>
      <c r="K289" s="86" t="s">
        <v>647</v>
      </c>
      <c r="L289" s="86">
        <v>9001.0</v>
      </c>
      <c r="M289" s="86" t="s">
        <v>1885</v>
      </c>
      <c r="O289" s="86">
        <v>0.7</v>
      </c>
      <c r="P289" s="95" t="s">
        <v>2194</v>
      </c>
      <c r="Q289" s="86" t="s">
        <v>658</v>
      </c>
      <c r="R289" s="86">
        <v>9011.0</v>
      </c>
      <c r="S289" s="86" t="s">
        <v>2302</v>
      </c>
      <c r="U289" s="86">
        <v>0.6</v>
      </c>
      <c r="V289" s="86">
        <v>70001.0</v>
      </c>
      <c r="W289" s="86">
        <v>2.0</v>
      </c>
      <c r="X289" s="86">
        <v>1.0</v>
      </c>
      <c r="Y289" s="86">
        <v>70002.0</v>
      </c>
      <c r="Z289" s="86">
        <v>2.0</v>
      </c>
      <c r="AA289" s="86">
        <v>1.0</v>
      </c>
      <c r="AB289" s="86">
        <v>1001.0</v>
      </c>
      <c r="AC289" s="86">
        <v>100.0</v>
      </c>
      <c r="AD289" s="86">
        <v>1.0</v>
      </c>
      <c r="AE289" s="86">
        <v>8000.0</v>
      </c>
      <c r="AF289" s="86">
        <v>2850.0</v>
      </c>
      <c r="AG289" s="86">
        <v>1.0</v>
      </c>
    </row>
    <row r="290" ht="38.25" customHeight="1">
      <c r="A290" s="86">
        <v>1184.0</v>
      </c>
      <c r="B290" s="86" t="s">
        <v>1605</v>
      </c>
      <c r="C290" s="86">
        <v>6.0</v>
      </c>
      <c r="D290" s="86" t="s">
        <v>2303</v>
      </c>
      <c r="E290" s="86">
        <v>93.0</v>
      </c>
      <c r="G290" s="96" t="s">
        <v>2304</v>
      </c>
      <c r="I290" s="86">
        <v>24220.0</v>
      </c>
      <c r="J290" s="95" t="s">
        <v>2193</v>
      </c>
      <c r="K290" s="86" t="s">
        <v>647</v>
      </c>
      <c r="L290" s="86">
        <v>9002.0</v>
      </c>
      <c r="M290" s="86" t="s">
        <v>1328</v>
      </c>
      <c r="O290" s="86">
        <v>0.2</v>
      </c>
      <c r="P290" s="95" t="s">
        <v>2194</v>
      </c>
      <c r="Q290" s="86" t="s">
        <v>658</v>
      </c>
      <c r="R290" s="86">
        <v>9011.0</v>
      </c>
      <c r="S290" s="86" t="s">
        <v>1091</v>
      </c>
      <c r="U290" s="86">
        <v>0.9</v>
      </c>
      <c r="V290" s="86">
        <v>70001.0</v>
      </c>
      <c r="W290" s="86">
        <v>2.0</v>
      </c>
      <c r="X290" s="86">
        <v>1.0</v>
      </c>
      <c r="Y290" s="86">
        <v>70002.0</v>
      </c>
      <c r="Z290" s="86">
        <v>2.0</v>
      </c>
      <c r="AA290" s="86">
        <v>1.0</v>
      </c>
      <c r="AB290" s="86">
        <v>1001.0</v>
      </c>
      <c r="AC290" s="86">
        <v>100.0</v>
      </c>
      <c r="AD290" s="86">
        <v>1.0</v>
      </c>
      <c r="AE290" s="86">
        <v>8000.0</v>
      </c>
      <c r="AF290" s="86">
        <v>2900.0</v>
      </c>
      <c r="AG290" s="86">
        <v>1.0</v>
      </c>
    </row>
    <row r="291" ht="38.25" customHeight="1">
      <c r="A291" s="86">
        <v>1185.0</v>
      </c>
      <c r="B291" s="86" t="s">
        <v>1605</v>
      </c>
      <c r="C291" s="86">
        <v>6.0</v>
      </c>
      <c r="D291" s="86" t="s">
        <v>2306</v>
      </c>
      <c r="E291" s="86">
        <v>93.0</v>
      </c>
      <c r="G291" s="96" t="s">
        <v>2307</v>
      </c>
      <c r="I291" s="86">
        <v>24345.0</v>
      </c>
      <c r="J291" s="95" t="s">
        <v>2193</v>
      </c>
      <c r="K291" s="86" t="s">
        <v>647</v>
      </c>
      <c r="L291" s="86">
        <v>9006.0</v>
      </c>
      <c r="M291" s="86" t="s">
        <v>1427</v>
      </c>
      <c r="O291" s="86">
        <v>0.9</v>
      </c>
      <c r="P291" s="95" t="s">
        <v>2194</v>
      </c>
      <c r="Q291" s="86" t="s">
        <v>658</v>
      </c>
      <c r="R291" s="86">
        <v>9010.0</v>
      </c>
      <c r="S291" s="86">
        <v>12.0</v>
      </c>
      <c r="U291" s="86">
        <v>0.9</v>
      </c>
      <c r="V291" s="86">
        <v>70001.0</v>
      </c>
      <c r="W291" s="86">
        <v>2.0</v>
      </c>
      <c r="X291" s="86">
        <v>1.0</v>
      </c>
      <c r="Y291" s="86">
        <v>70002.0</v>
      </c>
      <c r="Z291" s="86">
        <v>2.0</v>
      </c>
      <c r="AA291" s="86">
        <v>1.0</v>
      </c>
      <c r="AB291" s="86">
        <v>1001.0</v>
      </c>
      <c r="AC291" s="86">
        <v>100.0</v>
      </c>
      <c r="AD291" s="86">
        <v>1.0</v>
      </c>
      <c r="AE291" s="86">
        <v>8000.0</v>
      </c>
      <c r="AF291" s="86">
        <v>2900.0</v>
      </c>
      <c r="AG291" s="86">
        <v>1.0</v>
      </c>
    </row>
    <row r="292" ht="38.25" customHeight="1">
      <c r="A292" s="86">
        <v>1186.0</v>
      </c>
      <c r="B292" s="86" t="s">
        <v>1605</v>
      </c>
      <c r="C292" s="86">
        <v>6.0</v>
      </c>
      <c r="D292" s="86" t="s">
        <v>2308</v>
      </c>
      <c r="E292" s="86">
        <v>94.0</v>
      </c>
      <c r="G292" s="96" t="s">
        <v>2309</v>
      </c>
      <c r="I292" s="86">
        <v>24470.0</v>
      </c>
      <c r="J292" s="95" t="s">
        <v>2193</v>
      </c>
      <c r="K292" s="86" t="s">
        <v>647</v>
      </c>
      <c r="L292" s="86">
        <v>9001.0</v>
      </c>
      <c r="M292" s="86" t="s">
        <v>1176</v>
      </c>
      <c r="O292" s="86">
        <v>0.9</v>
      </c>
      <c r="P292" s="95" t="s">
        <v>2194</v>
      </c>
      <c r="Q292" s="86" t="s">
        <v>658</v>
      </c>
      <c r="R292" s="86">
        <v>9012.0</v>
      </c>
      <c r="S292" s="86">
        <v>12.0</v>
      </c>
      <c r="U292" s="86">
        <v>0.5</v>
      </c>
      <c r="V292" s="86">
        <v>70001.0</v>
      </c>
      <c r="W292" s="86">
        <v>2.0</v>
      </c>
      <c r="X292" s="86">
        <v>1.0</v>
      </c>
      <c r="Y292" s="86">
        <v>70002.0</v>
      </c>
      <c r="Z292" s="86">
        <v>2.0</v>
      </c>
      <c r="AA292" s="86">
        <v>1.0</v>
      </c>
      <c r="AB292" s="86">
        <v>1001.0</v>
      </c>
      <c r="AC292" s="86">
        <v>100.0</v>
      </c>
      <c r="AD292" s="86">
        <v>1.0</v>
      </c>
      <c r="AE292" s="86">
        <v>8000.0</v>
      </c>
      <c r="AF292" s="86">
        <v>2950.0</v>
      </c>
      <c r="AG292" s="86">
        <v>1.0</v>
      </c>
    </row>
    <row r="293" ht="38.25" customHeight="1">
      <c r="A293" s="86">
        <v>1187.0</v>
      </c>
      <c r="B293" s="86" t="s">
        <v>1605</v>
      </c>
      <c r="C293" s="86">
        <v>6.0</v>
      </c>
      <c r="D293" s="86" t="s">
        <v>2311</v>
      </c>
      <c r="E293" s="86">
        <v>94.0</v>
      </c>
      <c r="G293" s="96" t="s">
        <v>2312</v>
      </c>
      <c r="I293" s="86">
        <v>24595.0</v>
      </c>
      <c r="J293" s="95" t="s">
        <v>2193</v>
      </c>
      <c r="K293" s="86" t="s">
        <v>647</v>
      </c>
      <c r="L293" s="86">
        <v>9012.0</v>
      </c>
      <c r="M293" s="86" t="s">
        <v>2257</v>
      </c>
      <c r="O293" s="86">
        <v>0.7</v>
      </c>
      <c r="P293" s="95" t="s">
        <v>2194</v>
      </c>
      <c r="Q293" s="86" t="s">
        <v>658</v>
      </c>
      <c r="R293" s="86">
        <v>9007.0</v>
      </c>
      <c r="S293" s="86">
        <v>1.0</v>
      </c>
      <c r="U293" s="86">
        <v>0.8</v>
      </c>
      <c r="V293" s="86">
        <v>70001.0</v>
      </c>
      <c r="W293" s="86">
        <v>2.0</v>
      </c>
      <c r="X293" s="86">
        <v>1.0</v>
      </c>
      <c r="Y293" s="86">
        <v>70002.0</v>
      </c>
      <c r="Z293" s="86">
        <v>2.0</v>
      </c>
      <c r="AA293" s="86">
        <v>1.0</v>
      </c>
      <c r="AB293" s="86">
        <v>1001.0</v>
      </c>
      <c r="AC293" s="86">
        <v>100.0</v>
      </c>
      <c r="AD293" s="86">
        <v>1.0</v>
      </c>
      <c r="AE293" s="86">
        <v>8000.0</v>
      </c>
      <c r="AF293" s="86">
        <v>2950.0</v>
      </c>
      <c r="AG293" s="86">
        <v>1.0</v>
      </c>
    </row>
    <row r="294" ht="38.25" customHeight="1">
      <c r="A294" s="86">
        <v>1188.0</v>
      </c>
      <c r="B294" s="86" t="s">
        <v>1605</v>
      </c>
      <c r="C294" s="86">
        <v>6.0</v>
      </c>
      <c r="D294" s="86" t="s">
        <v>2313</v>
      </c>
      <c r="E294" s="86">
        <v>95.0</v>
      </c>
      <c r="G294" s="96" t="s">
        <v>2314</v>
      </c>
      <c r="I294" s="86">
        <v>24720.0</v>
      </c>
      <c r="J294" s="95" t="s">
        <v>2193</v>
      </c>
      <c r="K294" s="86" t="s">
        <v>647</v>
      </c>
      <c r="L294" s="86">
        <v>9005.0</v>
      </c>
      <c r="M294" s="86">
        <v>13.0</v>
      </c>
      <c r="O294" s="86">
        <v>0.2</v>
      </c>
      <c r="P294" s="95" t="s">
        <v>2194</v>
      </c>
      <c r="Q294" s="86" t="s">
        <v>658</v>
      </c>
      <c r="R294" s="86">
        <v>9003.0</v>
      </c>
      <c r="S294" s="86" t="s">
        <v>2315</v>
      </c>
      <c r="U294" s="86">
        <v>0.6</v>
      </c>
      <c r="V294" s="86">
        <v>70001.0</v>
      </c>
      <c r="W294" s="86">
        <v>2.0</v>
      </c>
      <c r="X294" s="86">
        <v>1.0</v>
      </c>
      <c r="Y294" s="86">
        <v>70002.0</v>
      </c>
      <c r="Z294" s="86">
        <v>2.0</v>
      </c>
      <c r="AA294" s="86">
        <v>1.0</v>
      </c>
      <c r="AB294" s="86">
        <v>1001.0</v>
      </c>
      <c r="AC294" s="86">
        <v>100.0</v>
      </c>
      <c r="AD294" s="86">
        <v>1.0</v>
      </c>
      <c r="AE294" s="86">
        <v>8000.0</v>
      </c>
      <c r="AF294" s="86">
        <v>2950.0</v>
      </c>
      <c r="AG294" s="86">
        <v>1.0</v>
      </c>
    </row>
    <row r="295" ht="38.25" customHeight="1">
      <c r="A295" s="86">
        <v>1189.0</v>
      </c>
      <c r="B295" s="86" t="s">
        <v>1605</v>
      </c>
      <c r="C295" s="86">
        <v>6.0</v>
      </c>
      <c r="D295" s="86" t="s">
        <v>2317</v>
      </c>
      <c r="E295" s="86">
        <v>95.0</v>
      </c>
      <c r="G295" s="96" t="s">
        <v>2318</v>
      </c>
      <c r="I295" s="86">
        <v>24845.0</v>
      </c>
      <c r="J295" s="95" t="s">
        <v>2193</v>
      </c>
      <c r="K295" s="86" t="s">
        <v>647</v>
      </c>
      <c r="L295" s="86">
        <v>9001.0</v>
      </c>
      <c r="M295" s="86">
        <v>2.0</v>
      </c>
      <c r="O295" s="86">
        <v>0.3</v>
      </c>
      <c r="P295" s="95" t="s">
        <v>2194</v>
      </c>
      <c r="Q295" s="86" t="s">
        <v>658</v>
      </c>
      <c r="R295" s="86">
        <v>9012.0</v>
      </c>
      <c r="S295" s="86" t="s">
        <v>2319</v>
      </c>
      <c r="U295" s="86">
        <v>0.2</v>
      </c>
      <c r="V295" s="86">
        <v>70001.0</v>
      </c>
      <c r="W295" s="86">
        <v>2.0</v>
      </c>
      <c r="X295" s="86">
        <v>1.0</v>
      </c>
      <c r="Y295" s="86">
        <v>70002.0</v>
      </c>
      <c r="Z295" s="86">
        <v>2.0</v>
      </c>
      <c r="AA295" s="86">
        <v>1.0</v>
      </c>
      <c r="AB295" s="86">
        <v>1001.0</v>
      </c>
      <c r="AC295" s="86">
        <v>100.0</v>
      </c>
      <c r="AD295" s="86">
        <v>1.0</v>
      </c>
      <c r="AE295" s="86">
        <v>8000.0</v>
      </c>
      <c r="AF295" s="86">
        <v>3000.0</v>
      </c>
      <c r="AG295" s="86">
        <v>1.0</v>
      </c>
    </row>
    <row r="296" ht="38.25" customHeight="1">
      <c r="A296" s="86">
        <v>1190.0</v>
      </c>
      <c r="B296" s="86" t="s">
        <v>1605</v>
      </c>
      <c r="C296" s="86">
        <v>7.0</v>
      </c>
      <c r="D296" s="86" t="s">
        <v>2321</v>
      </c>
      <c r="E296" s="86">
        <v>96.0</v>
      </c>
      <c r="G296" s="96" t="s">
        <v>2322</v>
      </c>
      <c r="I296" s="86">
        <v>24970.0</v>
      </c>
      <c r="J296" s="95" t="s">
        <v>2323</v>
      </c>
      <c r="K296" s="86" t="s">
        <v>647</v>
      </c>
      <c r="L296" s="86">
        <v>9005.0</v>
      </c>
      <c r="M296" s="86" t="s">
        <v>1431</v>
      </c>
      <c r="O296" s="86">
        <v>0.6</v>
      </c>
      <c r="P296" s="95" t="s">
        <v>2325</v>
      </c>
      <c r="Q296" s="86" t="s">
        <v>658</v>
      </c>
      <c r="R296" s="86">
        <v>9007.0</v>
      </c>
      <c r="S296" s="86" t="s">
        <v>2326</v>
      </c>
      <c r="U296" s="86">
        <v>0.5</v>
      </c>
      <c r="V296" s="86">
        <v>70001.0</v>
      </c>
      <c r="W296" s="86">
        <v>2.0</v>
      </c>
      <c r="X296" s="86">
        <v>1.0</v>
      </c>
      <c r="Y296" s="86">
        <v>70002.0</v>
      </c>
      <c r="Z296" s="86">
        <v>2.0</v>
      </c>
      <c r="AA296" s="86">
        <v>1.0</v>
      </c>
      <c r="AB296" s="86">
        <v>1001.0</v>
      </c>
      <c r="AC296" s="86">
        <v>100.0</v>
      </c>
      <c r="AD296" s="86">
        <v>1.0</v>
      </c>
      <c r="AE296" s="86">
        <v>8000.0</v>
      </c>
      <c r="AF296" s="86">
        <v>3000.0</v>
      </c>
      <c r="AG296" s="86">
        <v>1.0</v>
      </c>
    </row>
    <row r="297" ht="38.25" customHeight="1">
      <c r="A297" s="86">
        <v>1191.0</v>
      </c>
      <c r="B297" s="86" t="s">
        <v>1605</v>
      </c>
      <c r="C297" s="86">
        <v>7.0</v>
      </c>
      <c r="D297" s="86" t="s">
        <v>2328</v>
      </c>
      <c r="E297" s="86">
        <v>96.0</v>
      </c>
      <c r="G297" s="96" t="s">
        <v>2329</v>
      </c>
      <c r="I297" s="86">
        <v>25095.0</v>
      </c>
      <c r="J297" s="95" t="s">
        <v>2323</v>
      </c>
      <c r="K297" s="86" t="s">
        <v>647</v>
      </c>
      <c r="L297" s="86">
        <v>9001.0</v>
      </c>
      <c r="M297" s="86" t="s">
        <v>2173</v>
      </c>
      <c r="O297" s="86">
        <v>0.9</v>
      </c>
      <c r="P297" s="95" t="s">
        <v>2325</v>
      </c>
      <c r="Q297" s="86" t="s">
        <v>658</v>
      </c>
      <c r="R297" s="86">
        <v>9003.0</v>
      </c>
      <c r="S297" s="86" t="s">
        <v>2330</v>
      </c>
      <c r="U297" s="86">
        <v>0.7</v>
      </c>
      <c r="V297" s="86">
        <v>70001.0</v>
      </c>
      <c r="W297" s="86">
        <v>2.0</v>
      </c>
      <c r="X297" s="86">
        <v>1.0</v>
      </c>
      <c r="Y297" s="86">
        <v>70002.0</v>
      </c>
      <c r="Z297" s="86">
        <v>2.0</v>
      </c>
      <c r="AA297" s="86">
        <v>1.0</v>
      </c>
      <c r="AB297" s="86">
        <v>1001.0</v>
      </c>
      <c r="AC297" s="86">
        <v>100.0</v>
      </c>
      <c r="AD297" s="86">
        <v>1.0</v>
      </c>
      <c r="AE297" s="86">
        <v>8000.0</v>
      </c>
      <c r="AF297" s="86">
        <v>3050.0</v>
      </c>
      <c r="AG297" s="86">
        <v>1.0</v>
      </c>
    </row>
    <row r="298" ht="38.25" customHeight="1">
      <c r="A298" s="86">
        <v>1192.0</v>
      </c>
      <c r="B298" s="86" t="s">
        <v>1605</v>
      </c>
      <c r="C298" s="86">
        <v>7.0</v>
      </c>
      <c r="D298" s="86" t="s">
        <v>2332</v>
      </c>
      <c r="E298" s="86">
        <v>97.0</v>
      </c>
      <c r="G298" s="96" t="s">
        <v>2334</v>
      </c>
      <c r="I298" s="86">
        <v>25220.0</v>
      </c>
      <c r="J298" s="95" t="s">
        <v>2323</v>
      </c>
      <c r="K298" s="86" t="s">
        <v>647</v>
      </c>
      <c r="L298" s="86">
        <v>9007.0</v>
      </c>
      <c r="M298" s="86">
        <v>11.0</v>
      </c>
      <c r="O298" s="86">
        <v>0.6</v>
      </c>
      <c r="P298" s="95" t="s">
        <v>2325</v>
      </c>
      <c r="Q298" s="86" t="s">
        <v>658</v>
      </c>
      <c r="R298" s="86">
        <v>9007.0</v>
      </c>
      <c r="S298" s="86">
        <v>6.0</v>
      </c>
      <c r="U298" s="86">
        <v>0.2</v>
      </c>
      <c r="V298" s="86">
        <v>70001.0</v>
      </c>
      <c r="W298" s="86">
        <v>2.0</v>
      </c>
      <c r="X298" s="86">
        <v>1.0</v>
      </c>
      <c r="Y298" s="86">
        <v>70002.0</v>
      </c>
      <c r="Z298" s="86">
        <v>2.0</v>
      </c>
      <c r="AA298" s="86">
        <v>1.0</v>
      </c>
      <c r="AB298" s="86">
        <v>1001.0</v>
      </c>
      <c r="AC298" s="86">
        <v>100.0</v>
      </c>
      <c r="AD298" s="86">
        <v>1.0</v>
      </c>
      <c r="AE298" s="86">
        <v>8000.0</v>
      </c>
      <c r="AF298" s="86">
        <v>3050.0</v>
      </c>
      <c r="AG298" s="86">
        <v>1.0</v>
      </c>
    </row>
    <row r="299" ht="38.25" customHeight="1">
      <c r="A299" s="86">
        <v>1193.0</v>
      </c>
      <c r="B299" s="86" t="s">
        <v>1605</v>
      </c>
      <c r="C299" s="86">
        <v>7.0</v>
      </c>
      <c r="D299" s="86" t="s">
        <v>2335</v>
      </c>
      <c r="E299" s="86">
        <v>97.0</v>
      </c>
      <c r="G299" s="96" t="s">
        <v>2336</v>
      </c>
      <c r="I299" s="86">
        <v>25345.0</v>
      </c>
      <c r="J299" s="95" t="s">
        <v>2323</v>
      </c>
      <c r="K299" s="86" t="s">
        <v>647</v>
      </c>
      <c r="L299" s="86">
        <v>9012.0</v>
      </c>
      <c r="M299" s="86" t="s">
        <v>1440</v>
      </c>
      <c r="O299" s="86">
        <v>0.4</v>
      </c>
      <c r="P299" s="95" t="s">
        <v>2325</v>
      </c>
      <c r="Q299" s="86" t="s">
        <v>658</v>
      </c>
      <c r="R299" s="86">
        <v>9003.0</v>
      </c>
      <c r="S299" s="86" t="s">
        <v>1306</v>
      </c>
      <c r="U299" s="86">
        <v>1.0</v>
      </c>
      <c r="V299" s="86">
        <v>70001.0</v>
      </c>
      <c r="W299" s="86">
        <v>2.0</v>
      </c>
      <c r="X299" s="86">
        <v>1.0</v>
      </c>
      <c r="Y299" s="86">
        <v>70002.0</v>
      </c>
      <c r="Z299" s="86">
        <v>2.0</v>
      </c>
      <c r="AA299" s="86">
        <v>1.0</v>
      </c>
      <c r="AB299" s="86">
        <v>1001.0</v>
      </c>
      <c r="AC299" s="86">
        <v>100.0</v>
      </c>
      <c r="AD299" s="86">
        <v>1.0</v>
      </c>
      <c r="AE299" s="86">
        <v>8000.0</v>
      </c>
      <c r="AF299" s="86">
        <v>3100.0</v>
      </c>
      <c r="AG299" s="86">
        <v>1.0</v>
      </c>
    </row>
    <row r="300" ht="38.25" customHeight="1">
      <c r="A300" s="86">
        <v>1194.0</v>
      </c>
      <c r="B300" s="86" t="s">
        <v>1605</v>
      </c>
      <c r="C300" s="86">
        <v>7.0</v>
      </c>
      <c r="D300" s="86" t="s">
        <v>2338</v>
      </c>
      <c r="E300" s="86">
        <v>98.0</v>
      </c>
      <c r="G300" s="96" t="s">
        <v>2339</v>
      </c>
      <c r="I300" s="86">
        <v>25470.0</v>
      </c>
      <c r="J300" s="95" t="s">
        <v>2323</v>
      </c>
      <c r="K300" s="86" t="s">
        <v>647</v>
      </c>
      <c r="L300" s="86">
        <v>9001.0</v>
      </c>
      <c r="M300" s="86" t="s">
        <v>2341</v>
      </c>
      <c r="O300" s="86">
        <v>1.0</v>
      </c>
      <c r="P300" s="95" t="s">
        <v>2325</v>
      </c>
      <c r="Q300" s="86" t="s">
        <v>658</v>
      </c>
      <c r="R300" s="86">
        <v>9010.0</v>
      </c>
      <c r="S300" s="86">
        <v>13.0</v>
      </c>
      <c r="U300" s="86">
        <v>0.3</v>
      </c>
      <c r="V300" s="86">
        <v>70001.0</v>
      </c>
      <c r="W300" s="86">
        <v>2.0</v>
      </c>
      <c r="X300" s="86">
        <v>1.0</v>
      </c>
      <c r="Y300" s="86">
        <v>70002.0</v>
      </c>
      <c r="Z300" s="86">
        <v>2.0</v>
      </c>
      <c r="AA300" s="86">
        <v>1.0</v>
      </c>
      <c r="AB300" s="86">
        <v>1001.0</v>
      </c>
      <c r="AC300" s="86">
        <v>100.0</v>
      </c>
      <c r="AD300" s="86">
        <v>1.0</v>
      </c>
      <c r="AE300" s="86">
        <v>8000.0</v>
      </c>
      <c r="AF300" s="86">
        <v>3100.0</v>
      </c>
      <c r="AG300" s="86">
        <v>1.0</v>
      </c>
    </row>
    <row r="301" ht="38.25" customHeight="1">
      <c r="A301" s="86">
        <v>1195.0</v>
      </c>
      <c r="B301" s="86" t="s">
        <v>1605</v>
      </c>
      <c r="C301" s="86">
        <v>7.0</v>
      </c>
      <c r="D301" s="86" t="s">
        <v>2342</v>
      </c>
      <c r="E301" s="86">
        <v>98.0</v>
      </c>
      <c r="G301" s="96" t="s">
        <v>2344</v>
      </c>
      <c r="I301" s="86">
        <v>25595.0</v>
      </c>
      <c r="J301" s="95" t="s">
        <v>2323</v>
      </c>
      <c r="K301" s="86" t="s">
        <v>647</v>
      </c>
      <c r="L301" s="86">
        <v>9008.0</v>
      </c>
      <c r="M301" s="86">
        <v>3.0</v>
      </c>
      <c r="O301" s="86">
        <v>0.7</v>
      </c>
      <c r="P301" s="95" t="s">
        <v>2325</v>
      </c>
      <c r="Q301" s="86" t="s">
        <v>658</v>
      </c>
      <c r="R301" s="86">
        <v>9007.0</v>
      </c>
      <c r="S301" s="86" t="s">
        <v>2345</v>
      </c>
      <c r="U301" s="86">
        <v>0.9</v>
      </c>
      <c r="V301" s="86">
        <v>70001.0</v>
      </c>
      <c r="W301" s="86">
        <v>2.0</v>
      </c>
      <c r="X301" s="86">
        <v>1.0</v>
      </c>
      <c r="Y301" s="86">
        <v>70002.0</v>
      </c>
      <c r="Z301" s="86">
        <v>2.0</v>
      </c>
      <c r="AA301" s="86">
        <v>1.0</v>
      </c>
      <c r="AB301" s="86">
        <v>1001.0</v>
      </c>
      <c r="AC301" s="86">
        <v>100.0</v>
      </c>
      <c r="AD301" s="86">
        <v>1.0</v>
      </c>
      <c r="AE301" s="86">
        <v>8000.0</v>
      </c>
      <c r="AF301" s="86">
        <v>3100.0</v>
      </c>
      <c r="AG301" s="86">
        <v>1.0</v>
      </c>
    </row>
    <row r="302" ht="38.25" customHeight="1">
      <c r="A302" s="86">
        <v>1196.0</v>
      </c>
      <c r="B302" s="86" t="s">
        <v>1605</v>
      </c>
      <c r="C302" s="86">
        <v>7.0</v>
      </c>
      <c r="D302" s="86" t="s">
        <v>2347</v>
      </c>
      <c r="E302" s="86">
        <v>99.0</v>
      </c>
      <c r="G302" s="96" t="s">
        <v>2349</v>
      </c>
      <c r="I302" s="86">
        <v>25720.0</v>
      </c>
      <c r="J302" s="95" t="s">
        <v>2323</v>
      </c>
      <c r="K302" s="86" t="s">
        <v>647</v>
      </c>
      <c r="L302" s="86">
        <v>9002.0</v>
      </c>
      <c r="M302" s="86" t="s">
        <v>2350</v>
      </c>
      <c r="O302" s="86">
        <v>0.6</v>
      </c>
      <c r="P302" s="95" t="s">
        <v>2325</v>
      </c>
      <c r="Q302" s="86" t="s">
        <v>658</v>
      </c>
      <c r="R302" s="86">
        <v>9012.0</v>
      </c>
      <c r="S302" s="86">
        <v>6.0</v>
      </c>
      <c r="U302" s="86">
        <v>0.3</v>
      </c>
      <c r="V302" s="86">
        <v>70001.0</v>
      </c>
      <c r="W302" s="86">
        <v>2.0</v>
      </c>
      <c r="X302" s="86">
        <v>1.0</v>
      </c>
      <c r="Y302" s="86">
        <v>70002.0</v>
      </c>
      <c r="Z302" s="86">
        <v>2.0</v>
      </c>
      <c r="AA302" s="86">
        <v>1.0</v>
      </c>
      <c r="AB302" s="86">
        <v>1001.0</v>
      </c>
      <c r="AC302" s="86">
        <v>100.0</v>
      </c>
      <c r="AD302" s="86">
        <v>1.0</v>
      </c>
      <c r="AE302" s="86">
        <v>8000.0</v>
      </c>
      <c r="AF302" s="86">
        <v>3150.0</v>
      </c>
      <c r="AG302" s="86">
        <v>1.0</v>
      </c>
    </row>
    <row r="303" ht="38.25" customHeight="1">
      <c r="A303" s="86">
        <v>1197.0</v>
      </c>
      <c r="B303" s="86" t="s">
        <v>1605</v>
      </c>
      <c r="C303" s="86">
        <v>7.0</v>
      </c>
      <c r="D303" s="86" t="s">
        <v>2354</v>
      </c>
      <c r="E303" s="86">
        <v>99.0</v>
      </c>
      <c r="G303" s="96" t="s">
        <v>2356</v>
      </c>
      <c r="I303" s="86">
        <v>25845.0</v>
      </c>
      <c r="J303" s="95" t="s">
        <v>2323</v>
      </c>
      <c r="K303" s="86" t="s">
        <v>647</v>
      </c>
      <c r="L303" s="86">
        <v>9002.0</v>
      </c>
      <c r="M303" s="86" t="s">
        <v>1460</v>
      </c>
      <c r="O303" s="86">
        <v>0.6</v>
      </c>
      <c r="P303" s="95" t="s">
        <v>2325</v>
      </c>
      <c r="Q303" s="86" t="s">
        <v>658</v>
      </c>
      <c r="R303" s="86">
        <v>9008.0</v>
      </c>
      <c r="S303" s="86" t="s">
        <v>2076</v>
      </c>
      <c r="U303" s="86">
        <v>0.2</v>
      </c>
      <c r="V303" s="86">
        <v>70001.0</v>
      </c>
      <c r="W303" s="86">
        <v>2.0</v>
      </c>
      <c r="X303" s="86">
        <v>1.0</v>
      </c>
      <c r="Y303" s="86">
        <v>70002.0</v>
      </c>
      <c r="Z303" s="86">
        <v>2.0</v>
      </c>
      <c r="AA303" s="86">
        <v>1.0</v>
      </c>
      <c r="AB303" s="86">
        <v>1001.0</v>
      </c>
      <c r="AC303" s="86">
        <v>100.0</v>
      </c>
      <c r="AD303" s="86">
        <v>1.0</v>
      </c>
      <c r="AE303" s="86">
        <v>8000.0</v>
      </c>
      <c r="AF303" s="86">
        <v>3150.0</v>
      </c>
      <c r="AG303" s="86">
        <v>1.0</v>
      </c>
    </row>
    <row r="304" ht="38.25" customHeight="1">
      <c r="A304" s="86">
        <v>1198.0</v>
      </c>
      <c r="B304" s="86" t="s">
        <v>1605</v>
      </c>
      <c r="C304" s="86">
        <v>7.0</v>
      </c>
      <c r="D304" s="86" t="s">
        <v>2361</v>
      </c>
      <c r="E304" s="86">
        <v>100.0</v>
      </c>
      <c r="G304" s="96" t="s">
        <v>2363</v>
      </c>
      <c r="I304" s="86">
        <v>25970.0</v>
      </c>
      <c r="J304" s="95" t="s">
        <v>2323</v>
      </c>
      <c r="K304" s="86" t="s">
        <v>647</v>
      </c>
      <c r="L304" s="86">
        <v>9012.0</v>
      </c>
      <c r="M304" s="86" t="s">
        <v>1504</v>
      </c>
      <c r="O304" s="86">
        <v>0.3</v>
      </c>
      <c r="P304" s="95" t="s">
        <v>2325</v>
      </c>
      <c r="Q304" s="86" t="s">
        <v>658</v>
      </c>
      <c r="R304" s="86">
        <v>9007.0</v>
      </c>
      <c r="S304" s="86" t="s">
        <v>2013</v>
      </c>
      <c r="U304" s="86">
        <v>0.4</v>
      </c>
      <c r="V304" s="86">
        <v>70001.0</v>
      </c>
      <c r="W304" s="86">
        <v>2.0</v>
      </c>
      <c r="X304" s="86">
        <v>1.0</v>
      </c>
      <c r="Y304" s="86">
        <v>70002.0</v>
      </c>
      <c r="Z304" s="86">
        <v>2.0</v>
      </c>
      <c r="AA304" s="86">
        <v>1.0</v>
      </c>
      <c r="AB304" s="86">
        <v>1001.0</v>
      </c>
      <c r="AC304" s="86">
        <v>100.0</v>
      </c>
      <c r="AD304" s="86">
        <v>1.0</v>
      </c>
      <c r="AE304" s="86">
        <v>8000.0</v>
      </c>
      <c r="AF304" s="86">
        <v>3200.0</v>
      </c>
      <c r="AG304" s="86">
        <v>1.0</v>
      </c>
    </row>
    <row r="305" ht="38.25" customHeight="1">
      <c r="A305" s="86">
        <v>1199.0</v>
      </c>
      <c r="B305" s="86" t="s">
        <v>1605</v>
      </c>
      <c r="C305" s="86">
        <v>7.0</v>
      </c>
      <c r="D305" s="86" t="s">
        <v>2365</v>
      </c>
      <c r="E305" s="86">
        <v>100.0</v>
      </c>
      <c r="G305" s="96" t="s">
        <v>2367</v>
      </c>
      <c r="I305" s="86">
        <v>26095.0</v>
      </c>
      <c r="J305" s="95" t="s">
        <v>2323</v>
      </c>
      <c r="K305" s="86" t="s">
        <v>647</v>
      </c>
      <c r="L305" s="86">
        <v>9012.0</v>
      </c>
      <c r="M305" s="86" t="s">
        <v>1306</v>
      </c>
      <c r="O305" s="86">
        <v>0.7</v>
      </c>
      <c r="P305" s="95" t="s">
        <v>2325</v>
      </c>
      <c r="Q305" s="86" t="s">
        <v>658</v>
      </c>
      <c r="R305" s="86">
        <v>9008.0</v>
      </c>
      <c r="S305" s="86" t="s">
        <v>1440</v>
      </c>
      <c r="U305" s="86">
        <v>0.8</v>
      </c>
      <c r="V305" s="86">
        <v>70001.0</v>
      </c>
      <c r="W305" s="86">
        <v>2.0</v>
      </c>
      <c r="X305" s="86">
        <v>1.0</v>
      </c>
      <c r="Y305" s="86">
        <v>70002.0</v>
      </c>
      <c r="Z305" s="86">
        <v>2.0</v>
      </c>
      <c r="AA305" s="86">
        <v>1.0</v>
      </c>
      <c r="AB305" s="86">
        <v>1001.0</v>
      </c>
      <c r="AC305" s="86">
        <v>100.0</v>
      </c>
      <c r="AD305" s="86">
        <v>1.0</v>
      </c>
      <c r="AE305" s="86">
        <v>8000.0</v>
      </c>
      <c r="AF305" s="86">
        <v>3200.0</v>
      </c>
      <c r="AG305" s="86">
        <v>1.0</v>
      </c>
    </row>
    <row r="306" ht="38.25" customHeight="1">
      <c r="A306" s="86">
        <v>1200.0</v>
      </c>
      <c r="B306" s="86" t="s">
        <v>1605</v>
      </c>
      <c r="C306" s="86">
        <v>7.0</v>
      </c>
      <c r="D306" s="86" t="s">
        <v>2378</v>
      </c>
      <c r="E306" s="86">
        <v>101.0</v>
      </c>
      <c r="G306" s="96" t="s">
        <v>2380</v>
      </c>
      <c r="I306" s="86">
        <v>26220.0</v>
      </c>
      <c r="J306" s="95" t="s">
        <v>2323</v>
      </c>
      <c r="K306" s="86" t="s">
        <v>647</v>
      </c>
      <c r="L306" s="86">
        <v>9011.0</v>
      </c>
      <c r="M306" s="86" t="s">
        <v>2286</v>
      </c>
      <c r="O306" s="86">
        <v>0.6</v>
      </c>
      <c r="P306" s="95" t="s">
        <v>2325</v>
      </c>
      <c r="Q306" s="86" t="s">
        <v>658</v>
      </c>
      <c r="R306" s="86">
        <v>9003.0</v>
      </c>
      <c r="S306" s="86" t="s">
        <v>2382</v>
      </c>
      <c r="U306" s="86">
        <v>0.6</v>
      </c>
      <c r="V306" s="86">
        <v>70001.0</v>
      </c>
      <c r="W306" s="86">
        <v>2.0</v>
      </c>
      <c r="X306" s="86">
        <v>1.0</v>
      </c>
      <c r="Y306" s="86">
        <v>70002.0</v>
      </c>
      <c r="Z306" s="86">
        <v>2.0</v>
      </c>
      <c r="AA306" s="86">
        <v>1.0</v>
      </c>
      <c r="AB306" s="86">
        <v>1001.0</v>
      </c>
      <c r="AC306" s="86">
        <v>100.0</v>
      </c>
      <c r="AD306" s="86">
        <v>1.0</v>
      </c>
      <c r="AE306" s="86">
        <v>8000.0</v>
      </c>
      <c r="AF306" s="86">
        <v>3200.0</v>
      </c>
      <c r="AG306" s="86">
        <v>1.0</v>
      </c>
    </row>
    <row r="307" ht="38.25" customHeight="1">
      <c r="A307" s="86">
        <v>1201.0</v>
      </c>
      <c r="B307" s="86" t="s">
        <v>1605</v>
      </c>
      <c r="C307" s="86">
        <v>7.0</v>
      </c>
      <c r="D307" s="86" t="s">
        <v>2387</v>
      </c>
      <c r="E307" s="86">
        <v>101.0</v>
      </c>
      <c r="G307" s="96" t="s">
        <v>2388</v>
      </c>
      <c r="I307" s="86">
        <v>26345.0</v>
      </c>
      <c r="J307" s="95" t="s">
        <v>2323</v>
      </c>
      <c r="K307" s="86" t="s">
        <v>647</v>
      </c>
      <c r="L307" s="86">
        <v>9006.0</v>
      </c>
      <c r="M307" s="86" t="s">
        <v>1440</v>
      </c>
      <c r="O307" s="86">
        <v>0.3</v>
      </c>
      <c r="P307" s="95" t="s">
        <v>2325</v>
      </c>
      <c r="Q307" s="86" t="s">
        <v>658</v>
      </c>
      <c r="R307" s="86">
        <v>9010.0</v>
      </c>
      <c r="S307" s="86" t="s">
        <v>1312</v>
      </c>
      <c r="U307" s="86">
        <v>0.4</v>
      </c>
      <c r="V307" s="86">
        <v>70001.0</v>
      </c>
      <c r="W307" s="86">
        <v>2.0</v>
      </c>
      <c r="X307" s="86">
        <v>1.0</v>
      </c>
      <c r="Y307" s="86">
        <v>70002.0</v>
      </c>
      <c r="Z307" s="86">
        <v>2.0</v>
      </c>
      <c r="AA307" s="86">
        <v>1.0</v>
      </c>
      <c r="AB307" s="86">
        <v>1001.0</v>
      </c>
      <c r="AC307" s="86">
        <v>100.0</v>
      </c>
      <c r="AD307" s="86">
        <v>1.0</v>
      </c>
      <c r="AE307" s="86">
        <v>8000.0</v>
      </c>
      <c r="AF307" s="86">
        <v>3250.0</v>
      </c>
      <c r="AG307" s="86">
        <v>1.0</v>
      </c>
    </row>
    <row r="308" ht="38.25" customHeight="1">
      <c r="A308" s="86">
        <v>1202.0</v>
      </c>
      <c r="B308" s="86" t="s">
        <v>1605</v>
      </c>
      <c r="C308" s="86">
        <v>7.0</v>
      </c>
      <c r="D308" s="86" t="s">
        <v>2394</v>
      </c>
      <c r="E308" s="86">
        <v>102.0</v>
      </c>
      <c r="G308" s="96" t="s">
        <v>2395</v>
      </c>
      <c r="I308" s="86">
        <v>26470.0</v>
      </c>
      <c r="J308" s="95" t="s">
        <v>2323</v>
      </c>
      <c r="K308" s="86" t="s">
        <v>647</v>
      </c>
      <c r="L308" s="86">
        <v>9001.0</v>
      </c>
      <c r="M308" s="86" t="s">
        <v>2396</v>
      </c>
      <c r="O308" s="86">
        <v>0.7</v>
      </c>
      <c r="P308" s="95" t="s">
        <v>2325</v>
      </c>
      <c r="Q308" s="86" t="s">
        <v>658</v>
      </c>
      <c r="R308" s="86">
        <v>9004.0</v>
      </c>
      <c r="S308" s="86" t="s">
        <v>1271</v>
      </c>
      <c r="U308" s="86">
        <v>0.1</v>
      </c>
      <c r="V308" s="86">
        <v>70001.0</v>
      </c>
      <c r="W308" s="86">
        <v>2.0</v>
      </c>
      <c r="X308" s="86">
        <v>1.0</v>
      </c>
      <c r="Y308" s="86">
        <v>70002.0</v>
      </c>
      <c r="Z308" s="86">
        <v>2.0</v>
      </c>
      <c r="AA308" s="86">
        <v>1.0</v>
      </c>
      <c r="AB308" s="86">
        <v>1001.0</v>
      </c>
      <c r="AC308" s="86">
        <v>100.0</v>
      </c>
      <c r="AD308" s="86">
        <v>1.0</v>
      </c>
      <c r="AE308" s="86">
        <v>8000.0</v>
      </c>
      <c r="AF308" s="86">
        <v>3250.0</v>
      </c>
      <c r="AG308" s="86">
        <v>1.0</v>
      </c>
    </row>
    <row r="309" ht="38.25" customHeight="1">
      <c r="A309" s="86">
        <v>1203.0</v>
      </c>
      <c r="B309" s="86" t="s">
        <v>1605</v>
      </c>
      <c r="C309" s="86">
        <v>7.0</v>
      </c>
      <c r="D309" s="86" t="s">
        <v>2401</v>
      </c>
      <c r="E309" s="86">
        <v>102.0</v>
      </c>
      <c r="G309" s="96" t="s">
        <v>2402</v>
      </c>
      <c r="I309" s="86">
        <v>26595.0</v>
      </c>
      <c r="J309" s="95" t="s">
        <v>2323</v>
      </c>
      <c r="K309" s="86" t="s">
        <v>647</v>
      </c>
      <c r="L309" s="86">
        <v>9005.0</v>
      </c>
      <c r="M309" s="86">
        <v>5.0</v>
      </c>
      <c r="O309" s="86">
        <v>0.9</v>
      </c>
      <c r="P309" s="95" t="s">
        <v>2325</v>
      </c>
      <c r="Q309" s="86" t="s">
        <v>658</v>
      </c>
      <c r="R309" s="86">
        <v>9008.0</v>
      </c>
      <c r="S309" s="86" t="s">
        <v>1289</v>
      </c>
      <c r="U309" s="86">
        <v>0.4</v>
      </c>
      <c r="V309" s="86">
        <v>70001.0</v>
      </c>
      <c r="W309" s="86">
        <v>2.0</v>
      </c>
      <c r="X309" s="86">
        <v>1.0</v>
      </c>
      <c r="Y309" s="86">
        <v>70002.0</v>
      </c>
      <c r="Z309" s="86">
        <v>2.0</v>
      </c>
      <c r="AA309" s="86">
        <v>1.0</v>
      </c>
      <c r="AB309" s="86">
        <v>1001.0</v>
      </c>
      <c r="AC309" s="86">
        <v>100.0</v>
      </c>
      <c r="AD309" s="86">
        <v>1.0</v>
      </c>
      <c r="AE309" s="86">
        <v>8000.0</v>
      </c>
      <c r="AF309" s="86">
        <v>3300.0</v>
      </c>
      <c r="AG309" s="86">
        <v>1.0</v>
      </c>
    </row>
    <row r="310" ht="38.25" customHeight="1">
      <c r="A310" s="86">
        <v>1204.0</v>
      </c>
      <c r="B310" s="86" t="s">
        <v>1605</v>
      </c>
      <c r="C310" s="86">
        <v>7.0</v>
      </c>
      <c r="D310" s="86" t="s">
        <v>2406</v>
      </c>
      <c r="E310" s="86">
        <v>103.0</v>
      </c>
      <c r="G310" s="96" t="s">
        <v>2407</v>
      </c>
      <c r="I310" s="86">
        <v>26720.0</v>
      </c>
      <c r="J310" s="95" t="s">
        <v>2323</v>
      </c>
      <c r="K310" s="86" t="s">
        <v>647</v>
      </c>
      <c r="L310" s="86">
        <v>9005.0</v>
      </c>
      <c r="M310" s="86" t="s">
        <v>1323</v>
      </c>
      <c r="O310" s="86">
        <v>0.9</v>
      </c>
      <c r="P310" s="95" t="s">
        <v>2325</v>
      </c>
      <c r="Q310" s="86" t="s">
        <v>658</v>
      </c>
      <c r="R310" s="86">
        <v>9012.0</v>
      </c>
      <c r="S310" s="86" t="s">
        <v>1742</v>
      </c>
      <c r="U310" s="86">
        <v>0.4</v>
      </c>
      <c r="V310" s="86">
        <v>70001.0</v>
      </c>
      <c r="W310" s="86">
        <v>2.0</v>
      </c>
      <c r="X310" s="86">
        <v>1.0</v>
      </c>
      <c r="Y310" s="86">
        <v>70002.0</v>
      </c>
      <c r="Z310" s="86">
        <v>2.0</v>
      </c>
      <c r="AA310" s="86">
        <v>1.0</v>
      </c>
      <c r="AB310" s="86">
        <v>1001.0</v>
      </c>
      <c r="AC310" s="86">
        <v>100.0</v>
      </c>
      <c r="AD310" s="86">
        <v>1.0</v>
      </c>
      <c r="AE310" s="86">
        <v>8000.0</v>
      </c>
      <c r="AF310" s="86">
        <v>3300.0</v>
      </c>
      <c r="AG310" s="86">
        <v>1.0</v>
      </c>
    </row>
    <row r="311" ht="38.25" customHeight="1">
      <c r="A311" s="86">
        <v>1205.0</v>
      </c>
      <c r="B311" s="86" t="s">
        <v>1605</v>
      </c>
      <c r="C311" s="86">
        <v>7.0</v>
      </c>
      <c r="D311" s="86" t="s">
        <v>2411</v>
      </c>
      <c r="E311" s="86">
        <v>103.0</v>
      </c>
      <c r="G311" s="96" t="s">
        <v>2412</v>
      </c>
      <c r="I311" s="86">
        <v>26845.0</v>
      </c>
      <c r="J311" s="95" t="s">
        <v>2323</v>
      </c>
      <c r="K311" s="86" t="s">
        <v>647</v>
      </c>
      <c r="L311" s="86">
        <v>9011.0</v>
      </c>
      <c r="M311" s="86">
        <v>13.0</v>
      </c>
      <c r="O311" s="86">
        <v>1.0</v>
      </c>
      <c r="P311" s="95" t="s">
        <v>2325</v>
      </c>
      <c r="Q311" s="86" t="s">
        <v>658</v>
      </c>
      <c r="R311" s="86">
        <v>9010.0</v>
      </c>
      <c r="S311" s="86">
        <v>2.0</v>
      </c>
      <c r="U311" s="86">
        <v>0.8</v>
      </c>
      <c r="V311" s="86">
        <v>70001.0</v>
      </c>
      <c r="W311" s="86">
        <v>2.0</v>
      </c>
      <c r="X311" s="86">
        <v>1.0</v>
      </c>
      <c r="Y311" s="86">
        <v>70002.0</v>
      </c>
      <c r="Z311" s="86">
        <v>2.0</v>
      </c>
      <c r="AA311" s="86">
        <v>1.0</v>
      </c>
      <c r="AB311" s="86">
        <v>1001.0</v>
      </c>
      <c r="AC311" s="86">
        <v>100.0</v>
      </c>
      <c r="AD311" s="86">
        <v>1.0</v>
      </c>
      <c r="AE311" s="86">
        <v>8000.0</v>
      </c>
      <c r="AF311" s="86">
        <v>3350.0</v>
      </c>
      <c r="AG311" s="86">
        <v>1.0</v>
      </c>
    </row>
    <row r="312" ht="38.25" customHeight="1">
      <c r="A312" s="86">
        <v>1206.0</v>
      </c>
      <c r="B312" s="86" t="s">
        <v>1605</v>
      </c>
      <c r="C312" s="86">
        <v>7.0</v>
      </c>
      <c r="D312" s="86" t="s">
        <v>2415</v>
      </c>
      <c r="E312" s="86">
        <v>104.0</v>
      </c>
      <c r="G312" s="96" t="s">
        <v>2416</v>
      </c>
      <c r="I312" s="86">
        <v>26970.0</v>
      </c>
      <c r="J312" s="95" t="s">
        <v>2323</v>
      </c>
      <c r="K312" s="86" t="s">
        <v>647</v>
      </c>
      <c r="L312" s="86">
        <v>9002.0</v>
      </c>
      <c r="M312" s="86">
        <v>12.0</v>
      </c>
      <c r="O312" s="86">
        <v>0.2</v>
      </c>
      <c r="P312" s="95" t="s">
        <v>2325</v>
      </c>
      <c r="Q312" s="86" t="s">
        <v>658</v>
      </c>
      <c r="R312" s="86">
        <v>9007.0</v>
      </c>
      <c r="S312" s="86" t="s">
        <v>1875</v>
      </c>
      <c r="U312" s="86">
        <v>0.6</v>
      </c>
      <c r="V312" s="86">
        <v>70001.0</v>
      </c>
      <c r="W312" s="86">
        <v>2.0</v>
      </c>
      <c r="X312" s="86">
        <v>1.0</v>
      </c>
      <c r="Y312" s="86">
        <v>70002.0</v>
      </c>
      <c r="Z312" s="86">
        <v>2.0</v>
      </c>
      <c r="AA312" s="86">
        <v>1.0</v>
      </c>
      <c r="AB312" s="86">
        <v>1001.0</v>
      </c>
      <c r="AC312" s="86">
        <v>100.0</v>
      </c>
      <c r="AD312" s="86">
        <v>1.0</v>
      </c>
      <c r="AE312" s="86">
        <v>8000.0</v>
      </c>
      <c r="AF312" s="86">
        <v>3350.0</v>
      </c>
      <c r="AG312" s="86">
        <v>1.0</v>
      </c>
    </row>
    <row r="313" ht="38.25" customHeight="1">
      <c r="A313" s="86">
        <v>1207.0</v>
      </c>
      <c r="B313" s="86" t="s">
        <v>1605</v>
      </c>
      <c r="C313" s="86">
        <v>7.0</v>
      </c>
      <c r="D313" s="86" t="s">
        <v>2419</v>
      </c>
      <c r="E313" s="86">
        <v>104.0</v>
      </c>
      <c r="G313" s="96" t="s">
        <v>2420</v>
      </c>
      <c r="I313" s="86">
        <v>27095.0</v>
      </c>
      <c r="J313" s="95" t="s">
        <v>2323</v>
      </c>
      <c r="K313" s="86" t="s">
        <v>647</v>
      </c>
      <c r="L313" s="86">
        <v>9008.0</v>
      </c>
      <c r="M313" s="86" t="s">
        <v>1368</v>
      </c>
      <c r="O313" s="86">
        <v>0.3</v>
      </c>
      <c r="P313" s="95" t="s">
        <v>2325</v>
      </c>
      <c r="Q313" s="86" t="s">
        <v>658</v>
      </c>
      <c r="R313" s="86">
        <v>9004.0</v>
      </c>
      <c r="S313" s="86" t="s">
        <v>2422</v>
      </c>
      <c r="U313" s="86">
        <v>0.8</v>
      </c>
      <c r="V313" s="86">
        <v>70001.0</v>
      </c>
      <c r="W313" s="86">
        <v>2.0</v>
      </c>
      <c r="X313" s="86">
        <v>1.0</v>
      </c>
      <c r="Y313" s="86">
        <v>70002.0</v>
      </c>
      <c r="Z313" s="86">
        <v>2.0</v>
      </c>
      <c r="AA313" s="86">
        <v>1.0</v>
      </c>
      <c r="AB313" s="86">
        <v>1001.0</v>
      </c>
      <c r="AC313" s="86">
        <v>100.0</v>
      </c>
      <c r="AD313" s="86">
        <v>1.0</v>
      </c>
      <c r="AE313" s="86">
        <v>8000.0</v>
      </c>
      <c r="AF313" s="86">
        <v>3350.0</v>
      </c>
      <c r="AG313" s="86">
        <v>1.0</v>
      </c>
    </row>
    <row r="314" ht="38.25" customHeight="1">
      <c r="A314" s="86">
        <v>1208.0</v>
      </c>
      <c r="B314" s="86" t="s">
        <v>1605</v>
      </c>
      <c r="C314" s="86">
        <v>7.0</v>
      </c>
      <c r="D314" s="86" t="s">
        <v>2427</v>
      </c>
      <c r="E314" s="86">
        <v>105.0</v>
      </c>
      <c r="G314" s="96" t="s">
        <v>2429</v>
      </c>
      <c r="I314" s="86">
        <v>27220.0</v>
      </c>
      <c r="J314" s="95" t="s">
        <v>2323</v>
      </c>
      <c r="K314" s="86" t="s">
        <v>647</v>
      </c>
      <c r="L314" s="86">
        <v>9012.0</v>
      </c>
      <c r="M314" s="86">
        <v>8.0</v>
      </c>
      <c r="O314" s="86">
        <v>0.7</v>
      </c>
      <c r="P314" s="95" t="s">
        <v>2325</v>
      </c>
      <c r="Q314" s="86" t="s">
        <v>658</v>
      </c>
      <c r="R314" s="86">
        <v>9004.0</v>
      </c>
      <c r="S314" s="86" t="s">
        <v>1287</v>
      </c>
      <c r="U314" s="86">
        <v>0.7</v>
      </c>
      <c r="V314" s="86">
        <v>70001.0</v>
      </c>
      <c r="W314" s="86">
        <v>2.0</v>
      </c>
      <c r="X314" s="86">
        <v>1.0</v>
      </c>
      <c r="Y314" s="86">
        <v>70002.0</v>
      </c>
      <c r="Z314" s="86">
        <v>2.0</v>
      </c>
      <c r="AA314" s="86">
        <v>1.0</v>
      </c>
      <c r="AB314" s="86">
        <v>1001.0</v>
      </c>
      <c r="AC314" s="86">
        <v>100.0</v>
      </c>
      <c r="AD314" s="86">
        <v>1.0</v>
      </c>
      <c r="AE314" s="86">
        <v>8000.0</v>
      </c>
      <c r="AF314" s="86">
        <v>3400.0</v>
      </c>
      <c r="AG314" s="86">
        <v>1.0</v>
      </c>
    </row>
    <row r="315" ht="38.25" customHeight="1">
      <c r="A315" s="86">
        <v>1209.0</v>
      </c>
      <c r="B315" s="86" t="s">
        <v>1605</v>
      </c>
      <c r="C315" s="86">
        <v>7.0</v>
      </c>
      <c r="D315" s="86" t="s">
        <v>2432</v>
      </c>
      <c r="E315" s="86">
        <v>105.0</v>
      </c>
      <c r="G315" s="96" t="s">
        <v>2433</v>
      </c>
      <c r="I315" s="86">
        <v>27345.0</v>
      </c>
      <c r="J315" s="95" t="s">
        <v>2323</v>
      </c>
      <c r="K315" s="86" t="s">
        <v>647</v>
      </c>
      <c r="L315" s="86">
        <v>9012.0</v>
      </c>
      <c r="M315" s="86" t="s">
        <v>1100</v>
      </c>
      <c r="O315" s="86">
        <v>0.8</v>
      </c>
      <c r="P315" s="95" t="s">
        <v>2325</v>
      </c>
      <c r="Q315" s="86" t="s">
        <v>658</v>
      </c>
      <c r="R315" s="86">
        <v>9011.0</v>
      </c>
      <c r="S315" s="86">
        <v>2.0</v>
      </c>
      <c r="U315" s="86">
        <v>0.7</v>
      </c>
      <c r="V315" s="86">
        <v>70001.0</v>
      </c>
      <c r="W315" s="86">
        <v>2.0</v>
      </c>
      <c r="X315" s="86">
        <v>1.0</v>
      </c>
      <c r="Y315" s="86">
        <v>70002.0</v>
      </c>
      <c r="Z315" s="86">
        <v>2.0</v>
      </c>
      <c r="AA315" s="86">
        <v>1.0</v>
      </c>
      <c r="AB315" s="86">
        <v>1001.0</v>
      </c>
      <c r="AC315" s="86">
        <v>500.0</v>
      </c>
      <c r="AD315" s="86">
        <v>1.0</v>
      </c>
      <c r="AE315" s="86">
        <v>8000.0</v>
      </c>
      <c r="AF315" s="86">
        <v>3400.0</v>
      </c>
      <c r="AG315" s="86">
        <v>1.0</v>
      </c>
    </row>
    <row r="316" ht="38.25" customHeight="1">
      <c r="A316" s="86">
        <v>1210.0</v>
      </c>
      <c r="B316" s="86" t="s">
        <v>1605</v>
      </c>
      <c r="C316" s="86">
        <v>7.0</v>
      </c>
      <c r="D316" s="86" t="s">
        <v>2437</v>
      </c>
      <c r="E316" s="86">
        <v>106.0</v>
      </c>
      <c r="G316" s="96" t="s">
        <v>2438</v>
      </c>
      <c r="I316" s="86">
        <v>27470.0</v>
      </c>
      <c r="J316" s="95" t="s">
        <v>2323</v>
      </c>
      <c r="K316" s="86" t="s">
        <v>647</v>
      </c>
      <c r="L316" s="86">
        <v>9011.0</v>
      </c>
      <c r="M316" s="86" t="s">
        <v>2441</v>
      </c>
      <c r="O316" s="86">
        <v>0.3</v>
      </c>
      <c r="P316" s="95" t="s">
        <v>2325</v>
      </c>
      <c r="Q316" s="86" t="s">
        <v>658</v>
      </c>
      <c r="R316" s="86">
        <v>9007.0</v>
      </c>
      <c r="S316" s="86">
        <v>9.0</v>
      </c>
      <c r="U316" s="86">
        <v>0.4</v>
      </c>
      <c r="V316" s="86">
        <v>70001.0</v>
      </c>
      <c r="W316" s="86">
        <v>2.0</v>
      </c>
      <c r="X316" s="86">
        <v>1.0</v>
      </c>
      <c r="Y316" s="86">
        <v>70002.0</v>
      </c>
      <c r="Z316" s="86">
        <v>2.0</v>
      </c>
      <c r="AA316" s="86">
        <v>1.0</v>
      </c>
      <c r="AB316" s="86">
        <v>1001.0</v>
      </c>
      <c r="AC316" s="86">
        <v>100.0</v>
      </c>
      <c r="AD316" s="86">
        <v>1.0</v>
      </c>
      <c r="AE316" s="86">
        <v>8000.0</v>
      </c>
      <c r="AF316" s="86">
        <v>3450.0</v>
      </c>
      <c r="AG316" s="86">
        <v>1.0</v>
      </c>
    </row>
    <row r="317" ht="38.25" customHeight="1">
      <c r="A317" s="86">
        <v>1211.0</v>
      </c>
      <c r="B317" s="86" t="s">
        <v>1605</v>
      </c>
      <c r="C317" s="86">
        <v>7.0</v>
      </c>
      <c r="D317" s="86" t="s">
        <v>2443</v>
      </c>
      <c r="E317" s="86">
        <v>106.0</v>
      </c>
      <c r="G317" s="96" t="s">
        <v>2445</v>
      </c>
      <c r="I317" s="86">
        <v>27595.0</v>
      </c>
      <c r="J317" s="95" t="s">
        <v>2323</v>
      </c>
      <c r="K317" s="86" t="s">
        <v>647</v>
      </c>
      <c r="L317" s="86">
        <v>9002.0</v>
      </c>
      <c r="M317" s="86" t="s">
        <v>1913</v>
      </c>
      <c r="O317" s="86">
        <v>0.2</v>
      </c>
      <c r="P317" s="95" t="s">
        <v>2325</v>
      </c>
      <c r="Q317" s="86" t="s">
        <v>658</v>
      </c>
      <c r="R317" s="86">
        <v>9003.0</v>
      </c>
      <c r="S317" s="86" t="s">
        <v>1386</v>
      </c>
      <c r="U317" s="86">
        <v>0.3</v>
      </c>
      <c r="V317" s="86">
        <v>70001.0</v>
      </c>
      <c r="W317" s="86">
        <v>2.0</v>
      </c>
      <c r="X317" s="86">
        <v>1.0</v>
      </c>
      <c r="Y317" s="86">
        <v>70002.0</v>
      </c>
      <c r="Z317" s="86">
        <v>2.0</v>
      </c>
      <c r="AA317" s="86">
        <v>1.0</v>
      </c>
      <c r="AB317" s="86">
        <v>1001.0</v>
      </c>
      <c r="AC317" s="86">
        <v>100.0</v>
      </c>
      <c r="AD317" s="86">
        <v>1.0</v>
      </c>
      <c r="AE317" s="86">
        <v>8000.0</v>
      </c>
      <c r="AF317" s="86">
        <v>3450.0</v>
      </c>
      <c r="AG317" s="86">
        <v>1.0</v>
      </c>
    </row>
    <row r="318" ht="38.25" customHeight="1">
      <c r="A318" s="86">
        <v>1212.0</v>
      </c>
      <c r="B318" s="86" t="s">
        <v>1605</v>
      </c>
      <c r="C318" s="86">
        <v>7.0</v>
      </c>
      <c r="D318" s="86" t="s">
        <v>2449</v>
      </c>
      <c r="E318" s="86">
        <v>107.0</v>
      </c>
      <c r="G318" s="96" t="s">
        <v>2450</v>
      </c>
      <c r="I318" s="86">
        <v>27720.0</v>
      </c>
      <c r="J318" s="95" t="s">
        <v>2323</v>
      </c>
      <c r="K318" s="86" t="s">
        <v>647</v>
      </c>
      <c r="L318" s="86">
        <v>9012.0</v>
      </c>
      <c r="M318" s="86" t="s">
        <v>1940</v>
      </c>
      <c r="O318" s="86">
        <v>0.9</v>
      </c>
      <c r="P318" s="95" t="s">
        <v>2325</v>
      </c>
      <c r="Q318" s="86" t="s">
        <v>658</v>
      </c>
      <c r="R318" s="86">
        <v>9008.0</v>
      </c>
      <c r="S318" s="86" t="s">
        <v>2451</v>
      </c>
      <c r="U318" s="86">
        <v>0.9</v>
      </c>
      <c r="V318" s="86">
        <v>70001.0</v>
      </c>
      <c r="W318" s="86">
        <v>2.0</v>
      </c>
      <c r="X318" s="86">
        <v>1.0</v>
      </c>
      <c r="Y318" s="86">
        <v>70002.0</v>
      </c>
      <c r="Z318" s="86">
        <v>2.0</v>
      </c>
      <c r="AA318" s="86">
        <v>1.0</v>
      </c>
      <c r="AB318" s="86">
        <v>1001.0</v>
      </c>
      <c r="AC318" s="86">
        <v>100.0</v>
      </c>
      <c r="AD318" s="86">
        <v>1.0</v>
      </c>
      <c r="AE318" s="86">
        <v>8000.0</v>
      </c>
      <c r="AF318" s="86">
        <v>3500.0</v>
      </c>
      <c r="AG318" s="86">
        <v>1.0</v>
      </c>
    </row>
    <row r="319" ht="38.25" customHeight="1">
      <c r="A319" s="86">
        <v>1213.0</v>
      </c>
      <c r="B319" s="86" t="s">
        <v>1605</v>
      </c>
      <c r="C319" s="86">
        <v>7.0</v>
      </c>
      <c r="D319" s="86" t="s">
        <v>2453</v>
      </c>
      <c r="E319" s="86">
        <v>107.0</v>
      </c>
      <c r="G319" s="96" t="s">
        <v>2455</v>
      </c>
      <c r="I319" s="86">
        <v>27845.0</v>
      </c>
      <c r="J319" s="95" t="s">
        <v>2323</v>
      </c>
      <c r="K319" s="86" t="s">
        <v>647</v>
      </c>
      <c r="L319" s="86">
        <v>9011.0</v>
      </c>
      <c r="M319" s="86">
        <v>12.0</v>
      </c>
      <c r="O319" s="86">
        <v>0.6</v>
      </c>
      <c r="P319" s="95" t="s">
        <v>2325</v>
      </c>
      <c r="Q319" s="86" t="s">
        <v>658</v>
      </c>
      <c r="R319" s="86">
        <v>9011.0</v>
      </c>
      <c r="S319" s="86" t="s">
        <v>1225</v>
      </c>
      <c r="U319" s="86">
        <v>0.8</v>
      </c>
      <c r="V319" s="86">
        <v>70001.0</v>
      </c>
      <c r="W319" s="86">
        <v>2.0</v>
      </c>
      <c r="X319" s="86">
        <v>1.0</v>
      </c>
      <c r="Y319" s="86">
        <v>70002.0</v>
      </c>
      <c r="Z319" s="86">
        <v>2.0</v>
      </c>
      <c r="AA319" s="86">
        <v>1.0</v>
      </c>
      <c r="AB319" s="86">
        <v>1001.0</v>
      </c>
      <c r="AC319" s="86">
        <v>100.0</v>
      </c>
      <c r="AD319" s="86">
        <v>1.0</v>
      </c>
      <c r="AE319" s="86">
        <v>8000.0</v>
      </c>
      <c r="AF319" s="86">
        <v>3500.0</v>
      </c>
      <c r="AG319" s="86">
        <v>1.0</v>
      </c>
    </row>
    <row r="320" ht="38.25" customHeight="1">
      <c r="A320" s="86">
        <v>1214.0</v>
      </c>
      <c r="B320" s="86" t="s">
        <v>1605</v>
      </c>
      <c r="C320" s="86">
        <v>7.0</v>
      </c>
      <c r="D320" s="86" t="s">
        <v>2458</v>
      </c>
      <c r="E320" s="86">
        <v>108.0</v>
      </c>
      <c r="G320" s="96" t="s">
        <v>2459</v>
      </c>
      <c r="I320" s="86">
        <v>27970.0</v>
      </c>
      <c r="J320" s="95" t="s">
        <v>2323</v>
      </c>
      <c r="K320" s="86" t="s">
        <v>647</v>
      </c>
      <c r="L320" s="86">
        <v>9006.0</v>
      </c>
      <c r="M320" s="86" t="s">
        <v>2302</v>
      </c>
      <c r="O320" s="86">
        <v>0.5</v>
      </c>
      <c r="P320" s="95" t="s">
        <v>2325</v>
      </c>
      <c r="Q320" s="86" t="s">
        <v>658</v>
      </c>
      <c r="R320" s="86">
        <v>9012.0</v>
      </c>
      <c r="S320" s="86" t="s">
        <v>1631</v>
      </c>
      <c r="U320" s="86">
        <v>0.9</v>
      </c>
      <c r="V320" s="86">
        <v>70001.0</v>
      </c>
      <c r="W320" s="86">
        <v>2.0</v>
      </c>
      <c r="X320" s="86">
        <v>1.0</v>
      </c>
      <c r="Y320" s="86">
        <v>70002.0</v>
      </c>
      <c r="Z320" s="86">
        <v>2.0</v>
      </c>
      <c r="AA320" s="86">
        <v>1.0</v>
      </c>
      <c r="AB320" s="86">
        <v>1001.0</v>
      </c>
      <c r="AC320" s="86">
        <v>100.0</v>
      </c>
      <c r="AD320" s="86">
        <v>1.0</v>
      </c>
      <c r="AE320" s="86">
        <v>8000.0</v>
      </c>
      <c r="AF320" s="86">
        <v>3500.0</v>
      </c>
      <c r="AG320" s="86">
        <v>1.0</v>
      </c>
    </row>
    <row r="321" ht="38.25" customHeight="1">
      <c r="A321" s="86">
        <v>1215.0</v>
      </c>
      <c r="B321" s="86" t="s">
        <v>1605</v>
      </c>
      <c r="C321" s="86">
        <v>7.0</v>
      </c>
      <c r="D321" s="86" t="s">
        <v>2463</v>
      </c>
      <c r="E321" s="86">
        <v>108.0</v>
      </c>
      <c r="G321" s="96" t="s">
        <v>2464</v>
      </c>
      <c r="I321" s="86">
        <v>28095.0</v>
      </c>
      <c r="J321" s="95" t="s">
        <v>2323</v>
      </c>
      <c r="K321" s="86" t="s">
        <v>647</v>
      </c>
      <c r="L321" s="86">
        <v>9011.0</v>
      </c>
      <c r="M321" s="86">
        <v>3.0</v>
      </c>
      <c r="O321" s="86">
        <v>0.2</v>
      </c>
      <c r="P321" s="95" t="s">
        <v>2325</v>
      </c>
      <c r="Q321" s="86" t="s">
        <v>658</v>
      </c>
      <c r="R321" s="86">
        <v>9011.0</v>
      </c>
      <c r="S321" s="86" t="s">
        <v>1493</v>
      </c>
      <c r="U321" s="86">
        <v>0.9</v>
      </c>
      <c r="V321" s="86">
        <v>70001.0</v>
      </c>
      <c r="W321" s="86">
        <v>2.0</v>
      </c>
      <c r="X321" s="86">
        <v>1.0</v>
      </c>
      <c r="Y321" s="86">
        <v>70002.0</v>
      </c>
      <c r="Z321" s="86">
        <v>2.0</v>
      </c>
      <c r="AA321" s="86">
        <v>1.0</v>
      </c>
      <c r="AB321" s="86">
        <v>1001.0</v>
      </c>
      <c r="AC321" s="86">
        <v>100.0</v>
      </c>
      <c r="AD321" s="86">
        <v>1.0</v>
      </c>
      <c r="AE321" s="86">
        <v>8000.0</v>
      </c>
      <c r="AF321" s="86">
        <v>3550.0</v>
      </c>
      <c r="AG321" s="86">
        <v>1.0</v>
      </c>
    </row>
    <row r="322" ht="38.25" customHeight="1">
      <c r="A322" s="86">
        <v>1216.0</v>
      </c>
      <c r="B322" s="86" t="s">
        <v>1605</v>
      </c>
      <c r="C322" s="86">
        <v>7.0</v>
      </c>
      <c r="D322" s="86" t="s">
        <v>2468</v>
      </c>
      <c r="E322" s="86">
        <v>109.0</v>
      </c>
      <c r="G322" s="96" t="s">
        <v>2469</v>
      </c>
      <c r="I322" s="86">
        <v>28220.0</v>
      </c>
      <c r="J322" s="95" t="s">
        <v>2323</v>
      </c>
      <c r="K322" s="86" t="s">
        <v>647</v>
      </c>
      <c r="L322" s="86">
        <v>9011.0</v>
      </c>
      <c r="M322" s="86" t="s">
        <v>1170</v>
      </c>
      <c r="O322" s="86">
        <v>0.7</v>
      </c>
      <c r="P322" s="95" t="s">
        <v>2325</v>
      </c>
      <c r="Q322" s="86" t="s">
        <v>658</v>
      </c>
      <c r="R322" s="86">
        <v>9003.0</v>
      </c>
      <c r="S322" s="86" t="s">
        <v>1329</v>
      </c>
      <c r="U322" s="86">
        <v>0.6</v>
      </c>
      <c r="V322" s="86">
        <v>70001.0</v>
      </c>
      <c r="W322" s="86">
        <v>2.0</v>
      </c>
      <c r="X322" s="86">
        <v>1.0</v>
      </c>
      <c r="Y322" s="86">
        <v>70002.0</v>
      </c>
      <c r="Z322" s="86">
        <v>2.0</v>
      </c>
      <c r="AA322" s="86">
        <v>1.0</v>
      </c>
      <c r="AB322" s="86">
        <v>1001.0</v>
      </c>
      <c r="AC322" s="86">
        <v>100.0</v>
      </c>
      <c r="AD322" s="86">
        <v>1.0</v>
      </c>
      <c r="AE322" s="86">
        <v>8000.0</v>
      </c>
      <c r="AF322" s="86">
        <v>3550.0</v>
      </c>
      <c r="AG322" s="86">
        <v>1.0</v>
      </c>
    </row>
    <row r="323" ht="38.25" customHeight="1">
      <c r="A323" s="86">
        <v>1217.0</v>
      </c>
      <c r="B323" s="86" t="s">
        <v>1605</v>
      </c>
      <c r="C323" s="86">
        <v>7.0</v>
      </c>
      <c r="D323" s="86" t="s">
        <v>2473</v>
      </c>
      <c r="E323" s="86">
        <v>109.0</v>
      </c>
      <c r="G323" s="96" t="s">
        <v>2474</v>
      </c>
      <c r="I323" s="86">
        <v>28345.0</v>
      </c>
      <c r="J323" s="95" t="s">
        <v>2323</v>
      </c>
      <c r="K323" s="86" t="s">
        <v>647</v>
      </c>
      <c r="L323" s="86">
        <v>9007.0</v>
      </c>
      <c r="M323" s="86">
        <v>2.0</v>
      </c>
      <c r="O323" s="86">
        <v>0.7</v>
      </c>
      <c r="P323" s="95" t="s">
        <v>2325</v>
      </c>
      <c r="Q323" s="86" t="s">
        <v>658</v>
      </c>
      <c r="R323" s="86">
        <v>9003.0</v>
      </c>
      <c r="S323" s="86" t="s">
        <v>2477</v>
      </c>
      <c r="U323" s="86">
        <v>0.1</v>
      </c>
      <c r="V323" s="86">
        <v>70001.0</v>
      </c>
      <c r="W323" s="86">
        <v>2.0</v>
      </c>
      <c r="X323" s="86">
        <v>1.0</v>
      </c>
      <c r="Y323" s="86">
        <v>70002.0</v>
      </c>
      <c r="Z323" s="86">
        <v>2.0</v>
      </c>
      <c r="AA323" s="86">
        <v>1.0</v>
      </c>
      <c r="AB323" s="86">
        <v>1001.0</v>
      </c>
      <c r="AC323" s="86">
        <v>100.0</v>
      </c>
      <c r="AD323" s="86">
        <v>1.0</v>
      </c>
      <c r="AE323" s="86">
        <v>8000.0</v>
      </c>
      <c r="AF323" s="86">
        <v>3600.0</v>
      </c>
      <c r="AG323" s="86">
        <v>1.0</v>
      </c>
    </row>
    <row r="324" ht="38.25" customHeight="1">
      <c r="A324" s="86">
        <v>1218.0</v>
      </c>
      <c r="B324" s="86" t="s">
        <v>1605</v>
      </c>
      <c r="C324" s="86">
        <v>7.0</v>
      </c>
      <c r="D324" s="86" t="s">
        <v>2480</v>
      </c>
      <c r="E324" s="86">
        <v>110.0</v>
      </c>
      <c r="G324" s="96" t="s">
        <v>2481</v>
      </c>
      <c r="I324" s="86">
        <v>28470.0</v>
      </c>
      <c r="J324" s="95" t="s">
        <v>2323</v>
      </c>
      <c r="K324" s="86" t="s">
        <v>647</v>
      </c>
      <c r="L324" s="86">
        <v>9012.0</v>
      </c>
      <c r="M324" s="86">
        <v>2.0</v>
      </c>
      <c r="O324" s="86">
        <v>0.5</v>
      </c>
      <c r="P324" s="95" t="s">
        <v>2325</v>
      </c>
      <c r="Q324" s="86" t="s">
        <v>658</v>
      </c>
      <c r="R324" s="86">
        <v>9004.0</v>
      </c>
      <c r="S324" s="86" t="s">
        <v>1752</v>
      </c>
      <c r="U324" s="86">
        <v>0.9</v>
      </c>
      <c r="V324" s="86">
        <v>70001.0</v>
      </c>
      <c r="W324" s="86">
        <v>2.0</v>
      </c>
      <c r="X324" s="86">
        <v>1.0</v>
      </c>
      <c r="Y324" s="86">
        <v>70002.0</v>
      </c>
      <c r="Z324" s="86">
        <v>2.0</v>
      </c>
      <c r="AA324" s="86">
        <v>1.0</v>
      </c>
      <c r="AB324" s="86">
        <v>1001.0</v>
      </c>
      <c r="AC324" s="86">
        <v>100.0</v>
      </c>
      <c r="AD324" s="86">
        <v>1.0</v>
      </c>
      <c r="AE324" s="86">
        <v>8000.0</v>
      </c>
      <c r="AF324" s="86">
        <v>3600.0</v>
      </c>
      <c r="AG324" s="86">
        <v>1.0</v>
      </c>
    </row>
    <row r="325" ht="38.25" customHeight="1">
      <c r="A325" s="86">
        <v>1219.0</v>
      </c>
      <c r="B325" s="86" t="s">
        <v>1605</v>
      </c>
      <c r="C325" s="86">
        <v>7.0</v>
      </c>
      <c r="D325" s="86" t="s">
        <v>2484</v>
      </c>
      <c r="E325" s="86">
        <v>110.0</v>
      </c>
      <c r="G325" s="96" t="s">
        <v>2486</v>
      </c>
      <c r="I325" s="86">
        <v>28595.0</v>
      </c>
      <c r="J325" s="95" t="s">
        <v>2323</v>
      </c>
      <c r="K325" s="86" t="s">
        <v>647</v>
      </c>
      <c r="L325" s="86">
        <v>9005.0</v>
      </c>
      <c r="M325" s="86" t="s">
        <v>2488</v>
      </c>
      <c r="O325" s="86">
        <v>0.3</v>
      </c>
      <c r="P325" s="95" t="s">
        <v>2325</v>
      </c>
      <c r="Q325" s="86" t="s">
        <v>658</v>
      </c>
      <c r="R325" s="86">
        <v>9007.0</v>
      </c>
      <c r="S325" s="86" t="s">
        <v>1091</v>
      </c>
      <c r="U325" s="86">
        <v>0.3</v>
      </c>
      <c r="V325" s="86">
        <v>70001.0</v>
      </c>
      <c r="W325" s="86">
        <v>2.0</v>
      </c>
      <c r="X325" s="86">
        <v>1.0</v>
      </c>
      <c r="Y325" s="86">
        <v>70002.0</v>
      </c>
      <c r="Z325" s="86">
        <v>2.0</v>
      </c>
      <c r="AA325" s="86">
        <v>1.0</v>
      </c>
      <c r="AB325" s="86">
        <v>1001.0</v>
      </c>
      <c r="AC325" s="86">
        <v>100.0</v>
      </c>
      <c r="AD325" s="86">
        <v>1.0</v>
      </c>
      <c r="AE325" s="86">
        <v>8000.0</v>
      </c>
      <c r="AF325" s="86">
        <v>3650.0</v>
      </c>
      <c r="AG325" s="86">
        <v>1.0</v>
      </c>
    </row>
    <row r="326" ht="38.25" customHeight="1">
      <c r="A326" s="86">
        <v>1220.0</v>
      </c>
      <c r="B326" s="86" t="s">
        <v>1605</v>
      </c>
      <c r="C326" s="86">
        <v>7.0</v>
      </c>
      <c r="D326" s="86" t="s">
        <v>2490</v>
      </c>
      <c r="E326" s="86">
        <v>111.0</v>
      </c>
      <c r="G326" s="96" t="s">
        <v>2492</v>
      </c>
      <c r="I326" s="86">
        <v>28720.0</v>
      </c>
      <c r="J326" s="95" t="s">
        <v>2323</v>
      </c>
      <c r="K326" s="86" t="s">
        <v>647</v>
      </c>
      <c r="L326" s="86">
        <v>9008.0</v>
      </c>
      <c r="M326" s="86" t="s">
        <v>2042</v>
      </c>
      <c r="O326" s="86">
        <v>0.9</v>
      </c>
      <c r="P326" s="95" t="s">
        <v>2325</v>
      </c>
      <c r="Q326" s="86" t="s">
        <v>658</v>
      </c>
      <c r="R326" s="86">
        <v>9010.0</v>
      </c>
      <c r="S326" s="86">
        <v>7.0</v>
      </c>
      <c r="U326" s="86">
        <v>0.8</v>
      </c>
      <c r="V326" s="86">
        <v>70001.0</v>
      </c>
      <c r="W326" s="86">
        <v>2.0</v>
      </c>
      <c r="X326" s="86">
        <v>1.0</v>
      </c>
      <c r="Y326" s="86">
        <v>70002.0</v>
      </c>
      <c r="Z326" s="86">
        <v>2.0</v>
      </c>
      <c r="AA326" s="86">
        <v>1.0</v>
      </c>
      <c r="AB326" s="86">
        <v>1001.0</v>
      </c>
      <c r="AC326" s="86">
        <v>100.0</v>
      </c>
      <c r="AD326" s="86">
        <v>1.0</v>
      </c>
      <c r="AE326" s="86">
        <v>8000.0</v>
      </c>
      <c r="AF326" s="86">
        <v>3650.0</v>
      </c>
      <c r="AG326" s="86">
        <v>1.0</v>
      </c>
    </row>
    <row r="327" ht="38.25" customHeight="1">
      <c r="A327" s="86">
        <v>1221.0</v>
      </c>
      <c r="B327" s="86" t="s">
        <v>1605</v>
      </c>
      <c r="C327" s="86">
        <v>7.0</v>
      </c>
      <c r="D327" s="86" t="s">
        <v>2496</v>
      </c>
      <c r="E327" s="86">
        <v>111.0</v>
      </c>
      <c r="G327" s="96" t="s">
        <v>2497</v>
      </c>
      <c r="I327" s="86">
        <v>28845.0</v>
      </c>
      <c r="J327" s="95" t="s">
        <v>2323</v>
      </c>
      <c r="K327" s="86" t="s">
        <v>647</v>
      </c>
      <c r="L327" s="86">
        <v>9002.0</v>
      </c>
      <c r="M327" s="86" t="s">
        <v>2498</v>
      </c>
      <c r="O327" s="86">
        <v>0.7</v>
      </c>
      <c r="P327" s="95" t="s">
        <v>2325</v>
      </c>
      <c r="Q327" s="86" t="s">
        <v>658</v>
      </c>
      <c r="R327" s="86">
        <v>9012.0</v>
      </c>
      <c r="S327" s="86" t="s">
        <v>1225</v>
      </c>
      <c r="U327" s="86">
        <v>0.2</v>
      </c>
      <c r="V327" s="86">
        <v>70001.0</v>
      </c>
      <c r="W327" s="86">
        <v>2.0</v>
      </c>
      <c r="X327" s="86">
        <v>1.0</v>
      </c>
      <c r="Y327" s="86">
        <v>70002.0</v>
      </c>
      <c r="Z327" s="86">
        <v>2.0</v>
      </c>
      <c r="AA327" s="86">
        <v>1.0</v>
      </c>
      <c r="AB327" s="86">
        <v>1001.0</v>
      </c>
      <c r="AC327" s="86">
        <v>100.0</v>
      </c>
      <c r="AD327" s="86">
        <v>1.0</v>
      </c>
      <c r="AE327" s="86">
        <v>8000.0</v>
      </c>
      <c r="AF327" s="86">
        <v>3650.0</v>
      </c>
      <c r="AG327" s="86">
        <v>1.0</v>
      </c>
    </row>
    <row r="328" ht="38.25" customHeight="1">
      <c r="A328" s="86">
        <v>1222.0</v>
      </c>
      <c r="B328" s="86" t="s">
        <v>1605</v>
      </c>
      <c r="C328" s="86">
        <v>7.0</v>
      </c>
      <c r="D328" s="86" t="s">
        <v>2501</v>
      </c>
      <c r="E328" s="86">
        <v>112.0</v>
      </c>
      <c r="G328" s="96" t="s">
        <v>2502</v>
      </c>
      <c r="I328" s="86">
        <v>28970.0</v>
      </c>
      <c r="J328" s="95" t="s">
        <v>2323</v>
      </c>
      <c r="K328" s="86" t="s">
        <v>647</v>
      </c>
      <c r="L328" s="86">
        <v>9011.0</v>
      </c>
      <c r="M328" s="86">
        <v>9.0</v>
      </c>
      <c r="O328" s="86">
        <v>0.6</v>
      </c>
      <c r="P328" s="95" t="s">
        <v>2325</v>
      </c>
      <c r="Q328" s="86" t="s">
        <v>658</v>
      </c>
      <c r="R328" s="86">
        <v>9004.0</v>
      </c>
      <c r="S328" s="86" t="s">
        <v>2503</v>
      </c>
      <c r="U328" s="86">
        <v>0.9</v>
      </c>
      <c r="V328" s="86">
        <v>70001.0</v>
      </c>
      <c r="W328" s="86">
        <v>2.0</v>
      </c>
      <c r="X328" s="86">
        <v>1.0</v>
      </c>
      <c r="Y328" s="86">
        <v>70002.0</v>
      </c>
      <c r="Z328" s="86">
        <v>2.0</v>
      </c>
      <c r="AA328" s="86">
        <v>1.0</v>
      </c>
      <c r="AB328" s="86">
        <v>1001.0</v>
      </c>
      <c r="AC328" s="86">
        <v>100.0</v>
      </c>
      <c r="AD328" s="86">
        <v>1.0</v>
      </c>
      <c r="AE328" s="86">
        <v>8000.0</v>
      </c>
      <c r="AF328" s="86">
        <v>3700.0</v>
      </c>
      <c r="AG328" s="86">
        <v>1.0</v>
      </c>
    </row>
    <row r="329" ht="38.25" customHeight="1">
      <c r="A329" s="86">
        <v>1223.0</v>
      </c>
      <c r="B329" s="86" t="s">
        <v>1605</v>
      </c>
      <c r="C329" s="86">
        <v>7.0</v>
      </c>
      <c r="D329" s="86" t="s">
        <v>2505</v>
      </c>
      <c r="E329" s="86">
        <v>112.0</v>
      </c>
      <c r="G329" s="96" t="s">
        <v>2506</v>
      </c>
      <c r="I329" s="86">
        <v>29095.0</v>
      </c>
      <c r="J329" s="95" t="s">
        <v>2323</v>
      </c>
      <c r="K329" s="86" t="s">
        <v>647</v>
      </c>
      <c r="L329" s="86">
        <v>9012.0</v>
      </c>
      <c r="M329" s="86">
        <v>7.0</v>
      </c>
      <c r="O329" s="86">
        <v>0.3</v>
      </c>
      <c r="P329" s="95" t="s">
        <v>2325</v>
      </c>
      <c r="Q329" s="86" t="s">
        <v>658</v>
      </c>
      <c r="R329" s="86">
        <v>9012.0</v>
      </c>
      <c r="S329" s="86">
        <v>6.0</v>
      </c>
      <c r="U329" s="86">
        <v>0.4</v>
      </c>
      <c r="V329" s="86">
        <v>70001.0</v>
      </c>
      <c r="W329" s="86">
        <v>2.0</v>
      </c>
      <c r="X329" s="86">
        <v>1.0</v>
      </c>
      <c r="Y329" s="86">
        <v>70002.0</v>
      </c>
      <c r="Z329" s="86">
        <v>2.0</v>
      </c>
      <c r="AA329" s="86">
        <v>1.0</v>
      </c>
      <c r="AB329" s="86">
        <v>1001.0</v>
      </c>
      <c r="AC329" s="86">
        <v>100.0</v>
      </c>
      <c r="AD329" s="86">
        <v>1.0</v>
      </c>
      <c r="AE329" s="86">
        <v>8000.0</v>
      </c>
      <c r="AF329" s="86">
        <v>3700.0</v>
      </c>
      <c r="AG329" s="86">
        <v>1.0</v>
      </c>
    </row>
    <row r="330" ht="38.25" customHeight="1">
      <c r="A330" s="86">
        <v>1224.0</v>
      </c>
      <c r="B330" s="86" t="s">
        <v>1605</v>
      </c>
      <c r="C330" s="86">
        <v>7.0</v>
      </c>
      <c r="D330" s="86" t="s">
        <v>2511</v>
      </c>
      <c r="E330" s="86">
        <v>113.0</v>
      </c>
      <c r="G330" s="96" t="s">
        <v>2512</v>
      </c>
      <c r="I330" s="86">
        <v>29220.0</v>
      </c>
      <c r="J330" s="95" t="s">
        <v>2323</v>
      </c>
      <c r="K330" s="86" t="s">
        <v>647</v>
      </c>
      <c r="L330" s="86">
        <v>9007.0</v>
      </c>
      <c r="M330" s="86" t="s">
        <v>2013</v>
      </c>
      <c r="O330" s="86">
        <v>0.8</v>
      </c>
      <c r="P330" s="95" t="s">
        <v>2325</v>
      </c>
      <c r="Q330" s="86" t="s">
        <v>658</v>
      </c>
      <c r="R330" s="86">
        <v>9008.0</v>
      </c>
      <c r="S330" s="86">
        <v>4.0</v>
      </c>
      <c r="U330" s="86">
        <v>0.9</v>
      </c>
      <c r="V330" s="86">
        <v>70001.0</v>
      </c>
      <c r="W330" s="86">
        <v>2.0</v>
      </c>
      <c r="X330" s="86">
        <v>1.0</v>
      </c>
      <c r="Y330" s="86">
        <v>70002.0</v>
      </c>
      <c r="Z330" s="86">
        <v>2.0</v>
      </c>
      <c r="AA330" s="86">
        <v>1.0</v>
      </c>
      <c r="AB330" s="86">
        <v>1001.0</v>
      </c>
      <c r="AC330" s="86">
        <v>100.0</v>
      </c>
      <c r="AD330" s="86">
        <v>1.0</v>
      </c>
      <c r="AE330" s="86">
        <v>8000.0</v>
      </c>
      <c r="AF330" s="86">
        <v>3750.0</v>
      </c>
      <c r="AG330" s="86">
        <v>1.0</v>
      </c>
    </row>
    <row r="331" ht="38.25" customHeight="1">
      <c r="A331" s="86">
        <v>1225.0</v>
      </c>
      <c r="B331" s="86" t="s">
        <v>1605</v>
      </c>
      <c r="C331" s="86">
        <v>7.0</v>
      </c>
      <c r="D331" s="86" t="s">
        <v>2515</v>
      </c>
      <c r="E331" s="86">
        <v>113.0</v>
      </c>
      <c r="G331" s="96" t="s">
        <v>2516</v>
      </c>
      <c r="I331" s="86">
        <v>29345.0</v>
      </c>
      <c r="J331" s="95" t="s">
        <v>2323</v>
      </c>
      <c r="K331" s="86" t="s">
        <v>647</v>
      </c>
      <c r="L331" s="86">
        <v>9007.0</v>
      </c>
      <c r="M331" s="86" t="s">
        <v>1150</v>
      </c>
      <c r="O331" s="86">
        <v>0.9</v>
      </c>
      <c r="P331" s="95" t="s">
        <v>2325</v>
      </c>
      <c r="Q331" s="86" t="s">
        <v>658</v>
      </c>
      <c r="R331" s="86">
        <v>9008.0</v>
      </c>
      <c r="S331" s="86" t="s">
        <v>1460</v>
      </c>
      <c r="U331" s="86">
        <v>0.6</v>
      </c>
      <c r="V331" s="86">
        <v>70001.0</v>
      </c>
      <c r="W331" s="86">
        <v>2.0</v>
      </c>
      <c r="X331" s="86">
        <v>1.0</v>
      </c>
      <c r="Y331" s="86">
        <v>70002.0</v>
      </c>
      <c r="Z331" s="86">
        <v>2.0</v>
      </c>
      <c r="AA331" s="86">
        <v>1.0</v>
      </c>
      <c r="AB331" s="86">
        <v>1001.0</v>
      </c>
      <c r="AC331" s="86">
        <v>100.0</v>
      </c>
      <c r="AD331" s="86">
        <v>1.0</v>
      </c>
      <c r="AE331" s="86">
        <v>8000.0</v>
      </c>
      <c r="AF331" s="86">
        <v>3750.0</v>
      </c>
      <c r="AG331" s="86">
        <v>1.0</v>
      </c>
    </row>
    <row r="332" ht="38.25" customHeight="1">
      <c r="A332" s="86">
        <v>1226.0</v>
      </c>
      <c r="B332" s="86" t="s">
        <v>1605</v>
      </c>
      <c r="C332" s="86">
        <v>7.0</v>
      </c>
      <c r="D332" s="86" t="s">
        <v>2520</v>
      </c>
      <c r="E332" s="86">
        <v>114.0</v>
      </c>
      <c r="G332" s="96" t="s">
        <v>2521</v>
      </c>
      <c r="I332" s="86">
        <v>29470.0</v>
      </c>
      <c r="J332" s="95" t="s">
        <v>2323</v>
      </c>
      <c r="K332" s="86" t="s">
        <v>647</v>
      </c>
      <c r="L332" s="86">
        <v>9012.0</v>
      </c>
      <c r="M332" s="86">
        <v>2.0</v>
      </c>
      <c r="O332" s="86">
        <v>0.4</v>
      </c>
      <c r="P332" s="95" t="s">
        <v>2325</v>
      </c>
      <c r="Q332" s="86" t="s">
        <v>658</v>
      </c>
      <c r="R332" s="86">
        <v>9010.0</v>
      </c>
      <c r="S332" s="86" t="s">
        <v>1596</v>
      </c>
      <c r="U332" s="86">
        <v>0.3</v>
      </c>
      <c r="V332" s="86">
        <v>70001.0</v>
      </c>
      <c r="W332" s="86">
        <v>2.0</v>
      </c>
      <c r="X332" s="86">
        <v>1.0</v>
      </c>
      <c r="Y332" s="86">
        <v>70002.0</v>
      </c>
      <c r="Z332" s="86">
        <v>2.0</v>
      </c>
      <c r="AA332" s="86">
        <v>1.0</v>
      </c>
      <c r="AB332" s="86">
        <v>1001.0</v>
      </c>
      <c r="AC332" s="86">
        <v>100.0</v>
      </c>
      <c r="AD332" s="86">
        <v>1.0</v>
      </c>
      <c r="AE332" s="86">
        <v>8000.0</v>
      </c>
      <c r="AF332" s="86">
        <v>3800.0</v>
      </c>
      <c r="AG332" s="86">
        <v>1.0</v>
      </c>
    </row>
    <row r="333" ht="38.25" customHeight="1">
      <c r="A333" s="86">
        <v>1227.0</v>
      </c>
      <c r="B333" s="86" t="s">
        <v>1605</v>
      </c>
      <c r="C333" s="86">
        <v>7.0</v>
      </c>
      <c r="D333" s="86" t="s">
        <v>2526</v>
      </c>
      <c r="E333" s="86">
        <v>114.0</v>
      </c>
      <c r="G333" s="96" t="s">
        <v>2528</v>
      </c>
      <c r="I333" s="86">
        <v>29595.0</v>
      </c>
      <c r="J333" s="95" t="s">
        <v>2323</v>
      </c>
      <c r="K333" s="86" t="s">
        <v>647</v>
      </c>
      <c r="L333" s="86">
        <v>9002.0</v>
      </c>
      <c r="M333" s="86">
        <v>5.0</v>
      </c>
      <c r="O333" s="86">
        <v>0.7</v>
      </c>
      <c r="P333" s="95" t="s">
        <v>2325</v>
      </c>
      <c r="Q333" s="86" t="s">
        <v>658</v>
      </c>
      <c r="R333" s="86">
        <v>9003.0</v>
      </c>
      <c r="S333" s="86" t="s">
        <v>2530</v>
      </c>
      <c r="U333" s="86">
        <v>0.1</v>
      </c>
      <c r="V333" s="86">
        <v>70001.0</v>
      </c>
      <c r="W333" s="86">
        <v>2.0</v>
      </c>
      <c r="X333" s="86">
        <v>1.0</v>
      </c>
      <c r="Y333" s="86">
        <v>70002.0</v>
      </c>
      <c r="Z333" s="86">
        <v>2.0</v>
      </c>
      <c r="AA333" s="86">
        <v>1.0</v>
      </c>
      <c r="AB333" s="86">
        <v>1001.0</v>
      </c>
      <c r="AC333" s="86">
        <v>100.0</v>
      </c>
      <c r="AD333" s="86">
        <v>1.0</v>
      </c>
      <c r="AE333" s="86">
        <v>8000.0</v>
      </c>
      <c r="AF333" s="86">
        <v>3800.0</v>
      </c>
      <c r="AG333" s="86">
        <v>1.0</v>
      </c>
    </row>
    <row r="334" ht="38.25" customHeight="1">
      <c r="A334" s="86">
        <v>1228.0</v>
      </c>
      <c r="B334" s="86" t="s">
        <v>1605</v>
      </c>
      <c r="C334" s="86">
        <v>7.0</v>
      </c>
      <c r="D334" s="86" t="s">
        <v>2533</v>
      </c>
      <c r="E334" s="86">
        <v>115.0</v>
      </c>
      <c r="G334" s="96" t="s">
        <v>2534</v>
      </c>
      <c r="I334" s="86">
        <v>29720.0</v>
      </c>
      <c r="J334" s="95" t="s">
        <v>2323</v>
      </c>
      <c r="K334" s="86" t="s">
        <v>647</v>
      </c>
      <c r="L334" s="86">
        <v>9002.0</v>
      </c>
      <c r="M334" s="86" t="s">
        <v>1791</v>
      </c>
      <c r="O334" s="86">
        <v>0.2</v>
      </c>
      <c r="P334" s="95" t="s">
        <v>2325</v>
      </c>
      <c r="Q334" s="86" t="s">
        <v>658</v>
      </c>
      <c r="R334" s="86">
        <v>9008.0</v>
      </c>
      <c r="S334" s="86" t="s">
        <v>2012</v>
      </c>
      <c r="U334" s="86">
        <v>0.8</v>
      </c>
      <c r="V334" s="86">
        <v>70001.0</v>
      </c>
      <c r="W334" s="86">
        <v>2.0</v>
      </c>
      <c r="X334" s="86">
        <v>1.0</v>
      </c>
      <c r="Y334" s="86">
        <v>70002.0</v>
      </c>
      <c r="Z334" s="86">
        <v>2.0</v>
      </c>
      <c r="AA334" s="86">
        <v>1.0</v>
      </c>
      <c r="AB334" s="86">
        <v>1001.0</v>
      </c>
      <c r="AC334" s="86">
        <v>100.0</v>
      </c>
      <c r="AD334" s="86">
        <v>1.0</v>
      </c>
      <c r="AE334" s="86">
        <v>8000.0</v>
      </c>
      <c r="AF334" s="86">
        <v>3800.0</v>
      </c>
      <c r="AG334" s="86">
        <v>1.0</v>
      </c>
    </row>
    <row r="335" ht="38.25" customHeight="1">
      <c r="A335" s="86">
        <v>1229.0</v>
      </c>
      <c r="B335" s="86" t="s">
        <v>1605</v>
      </c>
      <c r="C335" s="86">
        <v>7.0</v>
      </c>
      <c r="D335" s="86" t="s">
        <v>2538</v>
      </c>
      <c r="E335" s="86">
        <v>115.0</v>
      </c>
      <c r="G335" s="96" t="s">
        <v>2539</v>
      </c>
      <c r="I335" s="86">
        <v>29845.0</v>
      </c>
      <c r="J335" s="95" t="s">
        <v>2323</v>
      </c>
      <c r="K335" s="86" t="s">
        <v>647</v>
      </c>
      <c r="L335" s="86">
        <v>9001.0</v>
      </c>
      <c r="M335" s="86">
        <v>5.0</v>
      </c>
      <c r="O335" s="86">
        <v>0.4</v>
      </c>
      <c r="P335" s="95" t="s">
        <v>2325</v>
      </c>
      <c r="Q335" s="86" t="s">
        <v>658</v>
      </c>
      <c r="R335" s="86">
        <v>9008.0</v>
      </c>
      <c r="S335" s="86" t="s">
        <v>1667</v>
      </c>
      <c r="U335" s="86">
        <v>0.6</v>
      </c>
      <c r="V335" s="86">
        <v>70001.0</v>
      </c>
      <c r="W335" s="86">
        <v>2.0</v>
      </c>
      <c r="X335" s="86">
        <v>1.0</v>
      </c>
      <c r="Y335" s="86">
        <v>70002.0</v>
      </c>
      <c r="Z335" s="86">
        <v>2.0</v>
      </c>
      <c r="AA335" s="86">
        <v>1.0</v>
      </c>
      <c r="AB335" s="86">
        <v>1001.0</v>
      </c>
      <c r="AC335" s="86">
        <v>100.0</v>
      </c>
      <c r="AD335" s="86">
        <v>1.0</v>
      </c>
      <c r="AE335" s="86">
        <v>8000.0</v>
      </c>
      <c r="AF335" s="86">
        <v>3850.0</v>
      </c>
      <c r="AG335" s="86">
        <v>1.0</v>
      </c>
    </row>
    <row r="336" ht="38.25" customHeight="1">
      <c r="A336" s="86">
        <v>1230.0</v>
      </c>
      <c r="B336" s="86" t="s">
        <v>1605</v>
      </c>
      <c r="C336" s="86">
        <v>8.0</v>
      </c>
      <c r="D336" s="86" t="s">
        <v>2546</v>
      </c>
      <c r="E336" s="86">
        <v>116.0</v>
      </c>
      <c r="G336" s="96" t="s">
        <v>2547</v>
      </c>
      <c r="I336" s="86">
        <v>29970.0</v>
      </c>
      <c r="J336" s="95" t="s">
        <v>2548</v>
      </c>
      <c r="K336" s="86" t="s">
        <v>647</v>
      </c>
      <c r="L336" s="86">
        <v>9008.0</v>
      </c>
      <c r="M336" s="86" t="s">
        <v>2551</v>
      </c>
      <c r="O336" s="86">
        <v>0.6</v>
      </c>
      <c r="P336" s="95" t="s">
        <v>2552</v>
      </c>
      <c r="Q336" s="86" t="s">
        <v>658</v>
      </c>
      <c r="R336" s="86">
        <v>9003.0</v>
      </c>
      <c r="S336" s="86" t="s">
        <v>2554</v>
      </c>
      <c r="U336" s="86">
        <v>0.2</v>
      </c>
      <c r="V336" s="86">
        <v>70001.0</v>
      </c>
      <c r="W336" s="86">
        <v>2.0</v>
      </c>
      <c r="X336" s="86">
        <v>1.0</v>
      </c>
      <c r="Y336" s="86">
        <v>70002.0</v>
      </c>
      <c r="Z336" s="86">
        <v>2.0</v>
      </c>
      <c r="AA336" s="86">
        <v>1.0</v>
      </c>
      <c r="AB336" s="86">
        <v>1001.0</v>
      </c>
      <c r="AC336" s="86">
        <v>100.0</v>
      </c>
      <c r="AD336" s="86">
        <v>1.0</v>
      </c>
      <c r="AE336" s="86">
        <v>8000.0</v>
      </c>
      <c r="AF336" s="86">
        <v>3850.0</v>
      </c>
      <c r="AG336" s="86">
        <v>1.0</v>
      </c>
    </row>
    <row r="337" ht="38.25" customHeight="1">
      <c r="A337" s="86">
        <v>1231.0</v>
      </c>
      <c r="B337" s="86" t="s">
        <v>1605</v>
      </c>
      <c r="C337" s="86">
        <v>8.0</v>
      </c>
      <c r="D337" s="86" t="s">
        <v>2557</v>
      </c>
      <c r="E337" s="86">
        <v>116.0</v>
      </c>
      <c r="G337" s="96" t="s">
        <v>2559</v>
      </c>
      <c r="I337" s="86">
        <v>30095.0</v>
      </c>
      <c r="J337" s="95" t="s">
        <v>2548</v>
      </c>
      <c r="K337" s="86" t="s">
        <v>647</v>
      </c>
      <c r="L337" s="86">
        <v>9008.0</v>
      </c>
      <c r="M337" s="86">
        <v>8.0</v>
      </c>
      <c r="O337" s="86">
        <v>0.1</v>
      </c>
      <c r="P337" s="95" t="s">
        <v>2552</v>
      </c>
      <c r="Q337" s="86" t="s">
        <v>658</v>
      </c>
      <c r="R337" s="86">
        <v>9007.0</v>
      </c>
      <c r="S337" s="86">
        <v>9.0</v>
      </c>
      <c r="U337" s="86">
        <v>0.2</v>
      </c>
      <c r="V337" s="86">
        <v>70001.0</v>
      </c>
      <c r="W337" s="86">
        <v>2.0</v>
      </c>
      <c r="X337" s="86">
        <v>1.0</v>
      </c>
      <c r="Y337" s="86">
        <v>70002.0</v>
      </c>
      <c r="Z337" s="86">
        <v>2.0</v>
      </c>
      <c r="AA337" s="86">
        <v>1.0</v>
      </c>
      <c r="AB337" s="86">
        <v>1001.0</v>
      </c>
      <c r="AC337" s="86">
        <v>100.0</v>
      </c>
      <c r="AD337" s="86">
        <v>1.0</v>
      </c>
      <c r="AE337" s="86">
        <v>8000.0</v>
      </c>
      <c r="AF337" s="86">
        <v>3900.0</v>
      </c>
      <c r="AG337" s="86">
        <v>1.0</v>
      </c>
    </row>
    <row r="338" ht="38.25" customHeight="1">
      <c r="A338" s="86">
        <v>1232.0</v>
      </c>
      <c r="B338" s="86" t="s">
        <v>1605</v>
      </c>
      <c r="C338" s="86">
        <v>8.0</v>
      </c>
      <c r="D338" s="86" t="s">
        <v>2563</v>
      </c>
      <c r="E338" s="86">
        <v>117.0</v>
      </c>
      <c r="G338" s="96" t="s">
        <v>2565</v>
      </c>
      <c r="I338" s="86">
        <v>30220.0</v>
      </c>
      <c r="J338" s="95" t="s">
        <v>2548</v>
      </c>
      <c r="K338" s="86" t="s">
        <v>647</v>
      </c>
      <c r="L338" s="86">
        <v>9011.0</v>
      </c>
      <c r="M338" s="86">
        <v>2.0</v>
      </c>
      <c r="O338" s="86">
        <v>0.3</v>
      </c>
      <c r="P338" s="95" t="s">
        <v>2552</v>
      </c>
      <c r="Q338" s="86" t="s">
        <v>658</v>
      </c>
      <c r="R338" s="86">
        <v>9007.0</v>
      </c>
      <c r="S338" s="86">
        <v>13.0</v>
      </c>
      <c r="U338" s="86">
        <v>0.3</v>
      </c>
      <c r="V338" s="86">
        <v>70001.0</v>
      </c>
      <c r="W338" s="86">
        <v>2.0</v>
      </c>
      <c r="X338" s="86">
        <v>1.0</v>
      </c>
      <c r="Y338" s="86">
        <v>70002.0</v>
      </c>
      <c r="Z338" s="86">
        <v>2.0</v>
      </c>
      <c r="AA338" s="86">
        <v>1.0</v>
      </c>
      <c r="AB338" s="86">
        <v>1001.0</v>
      </c>
      <c r="AC338" s="86">
        <v>100.0</v>
      </c>
      <c r="AD338" s="86">
        <v>1.0</v>
      </c>
      <c r="AE338" s="86">
        <v>8000.0</v>
      </c>
      <c r="AF338" s="86">
        <v>3900.0</v>
      </c>
      <c r="AG338" s="86">
        <v>1.0</v>
      </c>
    </row>
    <row r="339" ht="38.25" customHeight="1">
      <c r="A339" s="86">
        <v>1233.0</v>
      </c>
      <c r="B339" s="86" t="s">
        <v>1605</v>
      </c>
      <c r="C339" s="86">
        <v>8.0</v>
      </c>
      <c r="D339" s="86" t="s">
        <v>2574</v>
      </c>
      <c r="E339" s="86">
        <v>117.0</v>
      </c>
      <c r="G339" s="96" t="s">
        <v>2575</v>
      </c>
      <c r="I339" s="86">
        <v>30345.0</v>
      </c>
      <c r="J339" s="95" t="s">
        <v>2548</v>
      </c>
      <c r="K339" s="86" t="s">
        <v>647</v>
      </c>
      <c r="L339" s="86">
        <v>9012.0</v>
      </c>
      <c r="M339" s="86" t="s">
        <v>1504</v>
      </c>
      <c r="O339" s="86">
        <v>0.4</v>
      </c>
      <c r="P339" s="95" t="s">
        <v>2552</v>
      </c>
      <c r="Q339" s="86" t="s">
        <v>658</v>
      </c>
      <c r="R339" s="86">
        <v>9011.0</v>
      </c>
      <c r="S339" s="86">
        <v>8.0</v>
      </c>
      <c r="U339" s="86">
        <v>0.8</v>
      </c>
      <c r="V339" s="86">
        <v>70001.0</v>
      </c>
      <c r="W339" s="86">
        <v>2.0</v>
      </c>
      <c r="X339" s="86">
        <v>1.0</v>
      </c>
      <c r="Y339" s="86">
        <v>70002.0</v>
      </c>
      <c r="Z339" s="86">
        <v>2.0</v>
      </c>
      <c r="AA339" s="86">
        <v>1.0</v>
      </c>
      <c r="AB339" s="86">
        <v>1001.0</v>
      </c>
      <c r="AC339" s="86">
        <v>100.0</v>
      </c>
      <c r="AD339" s="86">
        <v>1.0</v>
      </c>
      <c r="AE339" s="86">
        <v>8000.0</v>
      </c>
      <c r="AF339" s="86">
        <v>3950.0</v>
      </c>
      <c r="AG339" s="86">
        <v>1.0</v>
      </c>
    </row>
    <row r="340" ht="38.25" customHeight="1">
      <c r="A340" s="86">
        <v>1234.0</v>
      </c>
      <c r="B340" s="86" t="s">
        <v>1605</v>
      </c>
      <c r="C340" s="86">
        <v>8.0</v>
      </c>
      <c r="D340" s="86" t="s">
        <v>2580</v>
      </c>
      <c r="E340" s="86">
        <v>118.0</v>
      </c>
      <c r="G340" s="96" t="s">
        <v>2582</v>
      </c>
      <c r="I340" s="86">
        <v>30470.0</v>
      </c>
      <c r="J340" s="95" t="s">
        <v>2548</v>
      </c>
      <c r="K340" s="86" t="s">
        <v>647</v>
      </c>
      <c r="L340" s="86">
        <v>9008.0</v>
      </c>
      <c r="M340" s="86" t="s">
        <v>1361</v>
      </c>
      <c r="O340" s="86">
        <v>0.4</v>
      </c>
      <c r="P340" s="95" t="s">
        <v>2552</v>
      </c>
      <c r="Q340" s="86" t="s">
        <v>658</v>
      </c>
      <c r="R340" s="86">
        <v>9008.0</v>
      </c>
      <c r="S340" s="86" t="s">
        <v>2586</v>
      </c>
      <c r="U340" s="86">
        <v>0.3</v>
      </c>
      <c r="V340" s="86">
        <v>70001.0</v>
      </c>
      <c r="W340" s="86">
        <v>2.0</v>
      </c>
      <c r="X340" s="86">
        <v>1.0</v>
      </c>
      <c r="Y340" s="86">
        <v>70002.0</v>
      </c>
      <c r="Z340" s="86">
        <v>2.0</v>
      </c>
      <c r="AA340" s="86">
        <v>1.0</v>
      </c>
      <c r="AB340" s="86">
        <v>1001.0</v>
      </c>
      <c r="AC340" s="86">
        <v>100.0</v>
      </c>
      <c r="AD340" s="86">
        <v>1.0</v>
      </c>
      <c r="AE340" s="86">
        <v>8000.0</v>
      </c>
      <c r="AF340" s="86">
        <v>3950.0</v>
      </c>
      <c r="AG340" s="86">
        <v>1.0</v>
      </c>
    </row>
    <row r="341" ht="38.25" customHeight="1">
      <c r="A341" s="86">
        <v>1235.0</v>
      </c>
      <c r="B341" s="86" t="s">
        <v>1605</v>
      </c>
      <c r="C341" s="86">
        <v>8.0</v>
      </c>
      <c r="D341" s="86" t="s">
        <v>2591</v>
      </c>
      <c r="E341" s="86">
        <v>118.0</v>
      </c>
      <c r="G341" s="96" t="s">
        <v>2592</v>
      </c>
      <c r="I341" s="86">
        <v>30595.0</v>
      </c>
      <c r="J341" s="95" t="s">
        <v>2548</v>
      </c>
      <c r="K341" s="86" t="s">
        <v>647</v>
      </c>
      <c r="L341" s="86">
        <v>9012.0</v>
      </c>
      <c r="M341" s="86" t="s">
        <v>1191</v>
      </c>
      <c r="O341" s="86">
        <v>0.2</v>
      </c>
      <c r="P341" s="95" t="s">
        <v>2552</v>
      </c>
      <c r="Q341" s="86" t="s">
        <v>658</v>
      </c>
      <c r="R341" s="86">
        <v>9008.0</v>
      </c>
      <c r="S341" s="86" t="s">
        <v>1776</v>
      </c>
      <c r="U341" s="86">
        <v>0.8</v>
      </c>
      <c r="V341" s="86">
        <v>70001.0</v>
      </c>
      <c r="W341" s="86">
        <v>2.0</v>
      </c>
      <c r="X341" s="86">
        <v>1.0</v>
      </c>
      <c r="Y341" s="86">
        <v>70002.0</v>
      </c>
      <c r="Z341" s="86">
        <v>2.0</v>
      </c>
      <c r="AA341" s="86">
        <v>1.0</v>
      </c>
      <c r="AB341" s="86">
        <v>1001.0</v>
      </c>
      <c r="AC341" s="86">
        <v>100.0</v>
      </c>
      <c r="AD341" s="86">
        <v>1.0</v>
      </c>
      <c r="AE341" s="86">
        <v>8000.0</v>
      </c>
      <c r="AF341" s="86">
        <v>3950.0</v>
      </c>
      <c r="AG341" s="86">
        <v>1.0</v>
      </c>
    </row>
    <row r="342" ht="38.25" customHeight="1">
      <c r="A342" s="86">
        <v>1236.0</v>
      </c>
      <c r="B342" s="86" t="s">
        <v>1605</v>
      </c>
      <c r="C342" s="86">
        <v>8.0</v>
      </c>
      <c r="D342" s="86" t="s">
        <v>2600</v>
      </c>
      <c r="E342" s="86">
        <v>119.0</v>
      </c>
      <c r="G342" s="96" t="s">
        <v>2602</v>
      </c>
      <c r="I342" s="86">
        <v>30720.0</v>
      </c>
      <c r="J342" s="95" t="s">
        <v>2548</v>
      </c>
      <c r="K342" s="86" t="s">
        <v>647</v>
      </c>
      <c r="L342" s="86">
        <v>9005.0</v>
      </c>
      <c r="M342" s="86" t="s">
        <v>1455</v>
      </c>
      <c r="O342" s="86">
        <v>0.4</v>
      </c>
      <c r="P342" s="95" t="s">
        <v>2552</v>
      </c>
      <c r="Q342" s="86" t="s">
        <v>658</v>
      </c>
      <c r="R342" s="86">
        <v>9003.0</v>
      </c>
      <c r="S342" s="86" t="s">
        <v>1648</v>
      </c>
      <c r="U342" s="86">
        <v>0.2</v>
      </c>
      <c r="V342" s="86">
        <v>70001.0</v>
      </c>
      <c r="W342" s="86">
        <v>2.0</v>
      </c>
      <c r="X342" s="86">
        <v>1.0</v>
      </c>
      <c r="Y342" s="86">
        <v>70002.0</v>
      </c>
      <c r="Z342" s="86">
        <v>2.0</v>
      </c>
      <c r="AA342" s="86">
        <v>1.0</v>
      </c>
      <c r="AB342" s="86">
        <v>1001.0</v>
      </c>
      <c r="AC342" s="86">
        <v>100.0</v>
      </c>
      <c r="AD342" s="86">
        <v>1.0</v>
      </c>
      <c r="AE342" s="86">
        <v>8000.0</v>
      </c>
      <c r="AF342" s="86">
        <v>4000.0</v>
      </c>
      <c r="AG342" s="86">
        <v>1.0</v>
      </c>
    </row>
    <row r="343" ht="38.25" customHeight="1">
      <c r="A343" s="86">
        <v>1237.0</v>
      </c>
      <c r="B343" s="86" t="s">
        <v>1605</v>
      </c>
      <c r="C343" s="86">
        <v>8.0</v>
      </c>
      <c r="D343" s="86" t="s">
        <v>2609</v>
      </c>
      <c r="E343" s="86">
        <v>119.0</v>
      </c>
      <c r="G343" s="96" t="s">
        <v>2611</v>
      </c>
      <c r="I343" s="86">
        <v>30845.0</v>
      </c>
      <c r="J343" s="95" t="s">
        <v>2548</v>
      </c>
      <c r="K343" s="86" t="s">
        <v>647</v>
      </c>
      <c r="L343" s="86">
        <v>9011.0</v>
      </c>
      <c r="M343" s="86">
        <v>6.0</v>
      </c>
      <c r="O343" s="86">
        <v>0.9</v>
      </c>
      <c r="P343" s="95" t="s">
        <v>2552</v>
      </c>
      <c r="Q343" s="86" t="s">
        <v>658</v>
      </c>
      <c r="R343" s="86">
        <v>9003.0</v>
      </c>
      <c r="S343" s="86" t="s">
        <v>2613</v>
      </c>
      <c r="U343" s="86">
        <v>0.1</v>
      </c>
      <c r="V343" s="86">
        <v>70001.0</v>
      </c>
      <c r="W343" s="86">
        <v>2.0</v>
      </c>
      <c r="X343" s="86">
        <v>1.0</v>
      </c>
      <c r="Y343" s="86">
        <v>70002.0</v>
      </c>
      <c r="Z343" s="86">
        <v>2.0</v>
      </c>
      <c r="AA343" s="86">
        <v>1.0</v>
      </c>
      <c r="AB343" s="86">
        <v>1001.0</v>
      </c>
      <c r="AC343" s="86">
        <v>100.0</v>
      </c>
      <c r="AD343" s="86">
        <v>1.0</v>
      </c>
      <c r="AE343" s="86">
        <v>8000.0</v>
      </c>
      <c r="AF343" s="86">
        <v>4000.0</v>
      </c>
      <c r="AG343" s="86">
        <v>1.0</v>
      </c>
    </row>
    <row r="344" ht="38.25" customHeight="1">
      <c r="A344" s="86">
        <v>1238.0</v>
      </c>
      <c r="B344" s="86" t="s">
        <v>1605</v>
      </c>
      <c r="C344" s="86">
        <v>8.0</v>
      </c>
      <c r="D344" s="86" t="s">
        <v>2617</v>
      </c>
      <c r="E344" s="86">
        <v>120.0</v>
      </c>
      <c r="G344" s="96" t="s">
        <v>2619</v>
      </c>
      <c r="I344" s="86">
        <v>30970.0</v>
      </c>
      <c r="J344" s="95" t="s">
        <v>2548</v>
      </c>
      <c r="K344" s="86" t="s">
        <v>647</v>
      </c>
      <c r="L344" s="86">
        <v>9011.0</v>
      </c>
      <c r="M344" s="86" t="s">
        <v>2621</v>
      </c>
      <c r="O344" s="86">
        <v>0.7</v>
      </c>
      <c r="P344" s="95" t="s">
        <v>2552</v>
      </c>
      <c r="Q344" s="86" t="s">
        <v>658</v>
      </c>
      <c r="R344" s="86">
        <v>9011.0</v>
      </c>
      <c r="S344" s="86" t="s">
        <v>1163</v>
      </c>
      <c r="U344" s="86">
        <v>0.7</v>
      </c>
      <c r="V344" s="86">
        <v>70001.0</v>
      </c>
      <c r="W344" s="86">
        <v>2.0</v>
      </c>
      <c r="X344" s="86">
        <v>1.0</v>
      </c>
      <c r="Y344" s="86">
        <v>70002.0</v>
      </c>
      <c r="Z344" s="86">
        <v>2.0</v>
      </c>
      <c r="AA344" s="86">
        <v>1.0</v>
      </c>
      <c r="AB344" s="86">
        <v>1001.0</v>
      </c>
      <c r="AC344" s="86">
        <v>100.0</v>
      </c>
      <c r="AD344" s="86">
        <v>1.0</v>
      </c>
      <c r="AE344" s="86">
        <v>8000.0</v>
      </c>
      <c r="AF344" s="86">
        <v>4050.0</v>
      </c>
      <c r="AG344" s="86">
        <v>1.0</v>
      </c>
    </row>
    <row r="345" ht="38.25" customHeight="1">
      <c r="A345" s="86">
        <v>1239.0</v>
      </c>
      <c r="B345" s="86" t="s">
        <v>1605</v>
      </c>
      <c r="C345" s="86">
        <v>8.0</v>
      </c>
      <c r="D345" s="86" t="s">
        <v>2629</v>
      </c>
      <c r="E345" s="86">
        <v>120.0</v>
      </c>
      <c r="G345" s="96" t="s">
        <v>2630</v>
      </c>
      <c r="I345" s="86">
        <v>31095.0</v>
      </c>
      <c r="J345" s="95" t="s">
        <v>2548</v>
      </c>
      <c r="K345" s="86" t="s">
        <v>647</v>
      </c>
      <c r="L345" s="86">
        <v>9006.0</v>
      </c>
      <c r="M345" s="86" t="s">
        <v>2633</v>
      </c>
      <c r="O345" s="86">
        <v>0.7</v>
      </c>
      <c r="P345" s="95" t="s">
        <v>2552</v>
      </c>
      <c r="Q345" s="86" t="s">
        <v>658</v>
      </c>
      <c r="R345" s="86">
        <v>9010.0</v>
      </c>
      <c r="S345" s="86">
        <v>8.0</v>
      </c>
      <c r="U345" s="86">
        <v>0.3</v>
      </c>
      <c r="V345" s="86">
        <v>70001.0</v>
      </c>
      <c r="W345" s="86">
        <v>2.0</v>
      </c>
      <c r="X345" s="86">
        <v>1.0</v>
      </c>
      <c r="Y345" s="86">
        <v>70002.0</v>
      </c>
      <c r="Z345" s="86">
        <v>2.0</v>
      </c>
      <c r="AA345" s="86">
        <v>1.0</v>
      </c>
      <c r="AB345" s="86">
        <v>1001.0</v>
      </c>
      <c r="AC345" s="86">
        <v>500.0</v>
      </c>
      <c r="AD345" s="86">
        <v>1.0</v>
      </c>
      <c r="AE345" s="86">
        <v>8000.0</v>
      </c>
      <c r="AF345" s="86">
        <v>4050.0</v>
      </c>
      <c r="AG345" s="86">
        <v>1.0</v>
      </c>
    </row>
    <row r="346" ht="38.25" customHeight="1">
      <c r="A346" s="86">
        <v>1240.0</v>
      </c>
      <c r="B346" s="86" t="s">
        <v>1605</v>
      </c>
      <c r="C346" s="86">
        <v>8.0</v>
      </c>
      <c r="D346" s="86" t="s">
        <v>2640</v>
      </c>
      <c r="E346" s="86">
        <v>121.0</v>
      </c>
      <c r="G346" s="96" t="s">
        <v>2642</v>
      </c>
      <c r="I346" s="86">
        <v>31220.0</v>
      </c>
      <c r="J346" s="95" t="s">
        <v>2548</v>
      </c>
      <c r="K346" s="86" t="s">
        <v>647</v>
      </c>
      <c r="L346" s="86">
        <v>9007.0</v>
      </c>
      <c r="M346" s="86" t="s">
        <v>1574</v>
      </c>
      <c r="O346" s="86">
        <v>0.1</v>
      </c>
      <c r="P346" s="95" t="s">
        <v>2552</v>
      </c>
      <c r="Q346" s="86" t="s">
        <v>658</v>
      </c>
      <c r="R346" s="86">
        <v>9004.0</v>
      </c>
      <c r="S346" s="86">
        <v>4.0</v>
      </c>
      <c r="U346" s="86">
        <v>0.9</v>
      </c>
      <c r="V346" s="86">
        <v>70001.0</v>
      </c>
      <c r="W346" s="86">
        <v>2.0</v>
      </c>
      <c r="X346" s="86">
        <v>1.0</v>
      </c>
      <c r="Y346" s="86">
        <v>70002.0</v>
      </c>
      <c r="Z346" s="86">
        <v>2.0</v>
      </c>
      <c r="AA346" s="86">
        <v>1.0</v>
      </c>
      <c r="AB346" s="86">
        <v>1001.0</v>
      </c>
      <c r="AC346" s="86">
        <v>100.0</v>
      </c>
      <c r="AD346" s="86">
        <v>1.0</v>
      </c>
      <c r="AE346" s="86">
        <v>8000.0</v>
      </c>
      <c r="AF346" s="86">
        <v>4100.0</v>
      </c>
      <c r="AG346" s="86">
        <v>1.0</v>
      </c>
    </row>
    <row r="347" ht="38.25" customHeight="1">
      <c r="A347" s="86">
        <v>1241.0</v>
      </c>
      <c r="B347" s="86" t="s">
        <v>1605</v>
      </c>
      <c r="C347" s="86">
        <v>8.0</v>
      </c>
      <c r="D347" s="86" t="s">
        <v>2649</v>
      </c>
      <c r="E347" s="86">
        <v>121.0</v>
      </c>
      <c r="G347" s="96" t="s">
        <v>2651</v>
      </c>
      <c r="I347" s="86">
        <v>31345.0</v>
      </c>
      <c r="J347" s="95" t="s">
        <v>2548</v>
      </c>
      <c r="K347" s="86" t="s">
        <v>647</v>
      </c>
      <c r="L347" s="86">
        <v>9005.0</v>
      </c>
      <c r="M347" s="86">
        <v>10.0</v>
      </c>
      <c r="O347" s="86">
        <v>0.8</v>
      </c>
      <c r="P347" s="95" t="s">
        <v>2552</v>
      </c>
      <c r="Q347" s="86" t="s">
        <v>658</v>
      </c>
      <c r="R347" s="86">
        <v>9011.0</v>
      </c>
      <c r="S347" s="86" t="s">
        <v>2551</v>
      </c>
      <c r="U347" s="86">
        <v>0.8</v>
      </c>
      <c r="V347" s="86">
        <v>70001.0</v>
      </c>
      <c r="W347" s="86">
        <v>2.0</v>
      </c>
      <c r="X347" s="86">
        <v>1.0</v>
      </c>
      <c r="Y347" s="86">
        <v>70002.0</v>
      </c>
      <c r="Z347" s="86">
        <v>2.0</v>
      </c>
      <c r="AA347" s="86">
        <v>1.0</v>
      </c>
      <c r="AB347" s="86">
        <v>1001.0</v>
      </c>
      <c r="AC347" s="86">
        <v>100.0</v>
      </c>
      <c r="AD347" s="86">
        <v>1.0</v>
      </c>
      <c r="AE347" s="86">
        <v>8000.0</v>
      </c>
      <c r="AF347" s="86">
        <v>4100.0</v>
      </c>
      <c r="AG347" s="86">
        <v>1.0</v>
      </c>
    </row>
    <row r="348" ht="38.25" customHeight="1">
      <c r="A348" s="86">
        <v>1242.0</v>
      </c>
      <c r="B348" s="86" t="s">
        <v>1605</v>
      </c>
      <c r="C348" s="86">
        <v>8.0</v>
      </c>
      <c r="D348" s="86" t="s">
        <v>2659</v>
      </c>
      <c r="E348" s="86">
        <v>122.0</v>
      </c>
      <c r="G348" s="96" t="s">
        <v>2661</v>
      </c>
      <c r="I348" s="86">
        <v>31470.0</v>
      </c>
      <c r="J348" s="95" t="s">
        <v>2548</v>
      </c>
      <c r="K348" s="86" t="s">
        <v>647</v>
      </c>
      <c r="L348" s="86">
        <v>9011.0</v>
      </c>
      <c r="M348" s="86" t="s">
        <v>1755</v>
      </c>
      <c r="O348" s="86">
        <v>0.3</v>
      </c>
      <c r="P348" s="95" t="s">
        <v>2552</v>
      </c>
      <c r="Q348" s="86" t="s">
        <v>658</v>
      </c>
      <c r="R348" s="86">
        <v>9007.0</v>
      </c>
      <c r="S348" s="86">
        <v>3.0</v>
      </c>
      <c r="U348" s="86">
        <v>0.4</v>
      </c>
      <c r="V348" s="86">
        <v>70001.0</v>
      </c>
      <c r="W348" s="86">
        <v>2.0</v>
      </c>
      <c r="X348" s="86">
        <v>1.0</v>
      </c>
      <c r="Y348" s="86">
        <v>70002.0</v>
      </c>
      <c r="Z348" s="86">
        <v>2.0</v>
      </c>
      <c r="AA348" s="86">
        <v>1.0</v>
      </c>
      <c r="AB348" s="86">
        <v>1001.0</v>
      </c>
      <c r="AC348" s="86">
        <v>100.0</v>
      </c>
      <c r="AD348" s="86">
        <v>1.0</v>
      </c>
      <c r="AE348" s="86">
        <v>8000.0</v>
      </c>
      <c r="AF348" s="86">
        <v>4150.0</v>
      </c>
      <c r="AG348" s="86">
        <v>1.0</v>
      </c>
    </row>
    <row r="349" ht="38.25" customHeight="1">
      <c r="A349" s="86">
        <v>1243.0</v>
      </c>
      <c r="B349" s="86" t="s">
        <v>1605</v>
      </c>
      <c r="C349" s="86">
        <v>8.0</v>
      </c>
      <c r="D349" s="86" t="s">
        <v>2668</v>
      </c>
      <c r="E349" s="86">
        <v>122.0</v>
      </c>
      <c r="G349" s="96" t="s">
        <v>2669</v>
      </c>
      <c r="I349" s="86">
        <v>31595.0</v>
      </c>
      <c r="J349" s="95" t="s">
        <v>2548</v>
      </c>
      <c r="K349" s="86" t="s">
        <v>647</v>
      </c>
      <c r="L349" s="86">
        <v>9012.0</v>
      </c>
      <c r="M349" s="86" t="s">
        <v>1128</v>
      </c>
      <c r="O349" s="86">
        <v>0.5</v>
      </c>
      <c r="P349" s="95" t="s">
        <v>2552</v>
      </c>
      <c r="Q349" s="86" t="s">
        <v>658</v>
      </c>
      <c r="R349" s="86">
        <v>9004.0</v>
      </c>
      <c r="S349" s="86">
        <v>6.0</v>
      </c>
      <c r="U349" s="86">
        <v>1.0</v>
      </c>
      <c r="V349" s="86">
        <v>70001.0</v>
      </c>
      <c r="W349" s="86">
        <v>2.0</v>
      </c>
      <c r="X349" s="86">
        <v>1.0</v>
      </c>
      <c r="Y349" s="86">
        <v>70002.0</v>
      </c>
      <c r="Z349" s="86">
        <v>2.0</v>
      </c>
      <c r="AA349" s="86">
        <v>1.0</v>
      </c>
      <c r="AB349" s="86">
        <v>1001.0</v>
      </c>
      <c r="AC349" s="86">
        <v>100.0</v>
      </c>
      <c r="AD349" s="86">
        <v>1.0</v>
      </c>
      <c r="AE349" s="86">
        <v>8000.0</v>
      </c>
      <c r="AF349" s="86">
        <v>4150.0</v>
      </c>
      <c r="AG349" s="86">
        <v>1.0</v>
      </c>
    </row>
    <row r="350" ht="38.25" customHeight="1">
      <c r="A350" s="86">
        <v>1244.0</v>
      </c>
      <c r="B350" s="86" t="s">
        <v>1605</v>
      </c>
      <c r="C350" s="86">
        <v>8.0</v>
      </c>
      <c r="D350" s="86" t="s">
        <v>2672</v>
      </c>
      <c r="E350" s="86">
        <v>123.0</v>
      </c>
      <c r="G350" s="96" t="s">
        <v>2673</v>
      </c>
      <c r="I350" s="86">
        <v>31720.0</v>
      </c>
      <c r="J350" s="95" t="s">
        <v>2548</v>
      </c>
      <c r="K350" s="86" t="s">
        <v>647</v>
      </c>
      <c r="L350" s="86">
        <v>9002.0</v>
      </c>
      <c r="M350" s="86">
        <v>1.0</v>
      </c>
      <c r="O350" s="86">
        <v>0.9</v>
      </c>
      <c r="P350" s="95" t="s">
        <v>2552</v>
      </c>
      <c r="Q350" s="86" t="s">
        <v>658</v>
      </c>
      <c r="R350" s="86">
        <v>9007.0</v>
      </c>
      <c r="S350" s="86" t="s">
        <v>1258</v>
      </c>
      <c r="U350" s="86">
        <v>0.4</v>
      </c>
      <c r="V350" s="86">
        <v>70001.0</v>
      </c>
      <c r="W350" s="86">
        <v>2.0</v>
      </c>
      <c r="X350" s="86">
        <v>1.0</v>
      </c>
      <c r="Y350" s="86">
        <v>70002.0</v>
      </c>
      <c r="Z350" s="86">
        <v>2.0</v>
      </c>
      <c r="AA350" s="86">
        <v>1.0</v>
      </c>
      <c r="AB350" s="86">
        <v>1001.0</v>
      </c>
      <c r="AC350" s="86">
        <v>100.0</v>
      </c>
      <c r="AD350" s="86">
        <v>1.0</v>
      </c>
      <c r="AE350" s="86">
        <v>8000.0</v>
      </c>
      <c r="AF350" s="86">
        <v>4150.0</v>
      </c>
      <c r="AG350" s="86">
        <v>1.0</v>
      </c>
    </row>
    <row r="351" ht="38.25" customHeight="1">
      <c r="A351" s="86">
        <v>1245.0</v>
      </c>
      <c r="B351" s="86" t="s">
        <v>1605</v>
      </c>
      <c r="C351" s="86">
        <v>8.0</v>
      </c>
      <c r="D351" s="86" t="s">
        <v>2675</v>
      </c>
      <c r="E351" s="86">
        <v>123.0</v>
      </c>
      <c r="G351" s="96" t="s">
        <v>2676</v>
      </c>
      <c r="I351" s="86">
        <v>31845.0</v>
      </c>
      <c r="J351" s="95" t="s">
        <v>2548</v>
      </c>
      <c r="K351" s="86" t="s">
        <v>647</v>
      </c>
      <c r="L351" s="86">
        <v>9007.0</v>
      </c>
      <c r="M351" s="86" t="s">
        <v>1322</v>
      </c>
      <c r="O351" s="86">
        <v>0.6</v>
      </c>
      <c r="P351" s="95" t="s">
        <v>2552</v>
      </c>
      <c r="Q351" s="86" t="s">
        <v>658</v>
      </c>
      <c r="R351" s="86">
        <v>9007.0</v>
      </c>
      <c r="S351" s="86">
        <v>3.0</v>
      </c>
      <c r="U351" s="86">
        <v>0.8</v>
      </c>
      <c r="V351" s="86">
        <v>70001.0</v>
      </c>
      <c r="W351" s="86">
        <v>2.0</v>
      </c>
      <c r="X351" s="86">
        <v>1.0</v>
      </c>
      <c r="Y351" s="86">
        <v>70002.0</v>
      </c>
      <c r="Z351" s="86">
        <v>2.0</v>
      </c>
      <c r="AA351" s="86">
        <v>1.0</v>
      </c>
      <c r="AB351" s="86">
        <v>1001.0</v>
      </c>
      <c r="AC351" s="86">
        <v>100.0</v>
      </c>
      <c r="AD351" s="86">
        <v>1.0</v>
      </c>
      <c r="AE351" s="86">
        <v>8000.0</v>
      </c>
      <c r="AF351" s="86">
        <v>4200.0</v>
      </c>
      <c r="AG351" s="86">
        <v>1.0</v>
      </c>
    </row>
    <row r="352" ht="38.25" customHeight="1">
      <c r="A352" s="86">
        <v>1246.0</v>
      </c>
      <c r="B352" s="86" t="s">
        <v>1605</v>
      </c>
      <c r="C352" s="86">
        <v>8.0</v>
      </c>
      <c r="D352" s="86" t="s">
        <v>2678</v>
      </c>
      <c r="E352" s="86">
        <v>124.0</v>
      </c>
      <c r="G352" s="96" t="s">
        <v>2679</v>
      </c>
      <c r="I352" s="86">
        <v>31970.0</v>
      </c>
      <c r="J352" s="95" t="s">
        <v>2548</v>
      </c>
      <c r="K352" s="86" t="s">
        <v>647</v>
      </c>
      <c r="L352" s="86">
        <v>9006.0</v>
      </c>
      <c r="M352" s="86" t="s">
        <v>1875</v>
      </c>
      <c r="O352" s="86">
        <v>0.6</v>
      </c>
      <c r="P352" s="95" t="s">
        <v>2552</v>
      </c>
      <c r="Q352" s="86" t="s">
        <v>658</v>
      </c>
      <c r="R352" s="86">
        <v>9003.0</v>
      </c>
      <c r="S352" s="86">
        <v>4.0</v>
      </c>
      <c r="U352" s="86">
        <v>0.4</v>
      </c>
      <c r="V352" s="86">
        <v>70001.0</v>
      </c>
      <c r="W352" s="86">
        <v>2.0</v>
      </c>
      <c r="X352" s="86">
        <v>1.0</v>
      </c>
      <c r="Y352" s="86">
        <v>70002.0</v>
      </c>
      <c r="Z352" s="86">
        <v>2.0</v>
      </c>
      <c r="AA352" s="86">
        <v>1.0</v>
      </c>
      <c r="AB352" s="86">
        <v>1001.0</v>
      </c>
      <c r="AC352" s="86">
        <v>100.0</v>
      </c>
      <c r="AD352" s="86">
        <v>1.0</v>
      </c>
      <c r="AE352" s="86">
        <v>8000.0</v>
      </c>
      <c r="AF352" s="86">
        <v>4200.0</v>
      </c>
      <c r="AG352" s="86">
        <v>1.0</v>
      </c>
    </row>
    <row r="353" ht="38.25" customHeight="1">
      <c r="A353" s="86">
        <v>1247.0</v>
      </c>
      <c r="B353" s="86" t="s">
        <v>1605</v>
      </c>
      <c r="C353" s="86">
        <v>8.0</v>
      </c>
      <c r="D353" s="86" t="s">
        <v>2681</v>
      </c>
      <c r="E353" s="86">
        <v>124.0</v>
      </c>
      <c r="G353" s="96" t="s">
        <v>2682</v>
      </c>
      <c r="I353" s="86">
        <v>32095.0</v>
      </c>
      <c r="J353" s="95" t="s">
        <v>2548</v>
      </c>
      <c r="K353" s="86" t="s">
        <v>647</v>
      </c>
      <c r="L353" s="86">
        <v>9001.0</v>
      </c>
      <c r="M353" s="86">
        <v>5.0</v>
      </c>
      <c r="O353" s="86">
        <v>1.0</v>
      </c>
      <c r="P353" s="95" t="s">
        <v>2552</v>
      </c>
      <c r="Q353" s="86" t="s">
        <v>658</v>
      </c>
      <c r="R353" s="86">
        <v>9004.0</v>
      </c>
      <c r="S353" s="86">
        <v>5.0</v>
      </c>
      <c r="U353" s="86">
        <v>0.4</v>
      </c>
      <c r="V353" s="86">
        <v>70001.0</v>
      </c>
      <c r="W353" s="86">
        <v>2.0</v>
      </c>
      <c r="X353" s="86">
        <v>1.0</v>
      </c>
      <c r="Y353" s="86">
        <v>70002.0</v>
      </c>
      <c r="Z353" s="86">
        <v>2.0</v>
      </c>
      <c r="AA353" s="86">
        <v>1.0</v>
      </c>
      <c r="AB353" s="86">
        <v>1001.0</v>
      </c>
      <c r="AC353" s="86">
        <v>100.0</v>
      </c>
      <c r="AD353" s="86">
        <v>1.0</v>
      </c>
      <c r="AE353" s="86">
        <v>8000.0</v>
      </c>
      <c r="AF353" s="86">
        <v>4250.0</v>
      </c>
      <c r="AG353" s="86">
        <v>1.0</v>
      </c>
    </row>
    <row r="354" ht="38.25" customHeight="1">
      <c r="A354" s="86">
        <v>1248.0</v>
      </c>
      <c r="B354" s="86" t="s">
        <v>1605</v>
      </c>
      <c r="C354" s="86">
        <v>8.0</v>
      </c>
      <c r="D354" s="86" t="s">
        <v>2684</v>
      </c>
      <c r="E354" s="86">
        <v>125.0</v>
      </c>
      <c r="G354" s="96" t="s">
        <v>2685</v>
      </c>
      <c r="I354" s="86">
        <v>32220.0</v>
      </c>
      <c r="J354" s="95" t="s">
        <v>2548</v>
      </c>
      <c r="K354" s="86" t="s">
        <v>647</v>
      </c>
      <c r="L354" s="86">
        <v>9006.0</v>
      </c>
      <c r="M354" s="86">
        <v>2.0</v>
      </c>
      <c r="O354" s="86">
        <v>0.5</v>
      </c>
      <c r="P354" s="95" t="s">
        <v>2552</v>
      </c>
      <c r="Q354" s="86" t="s">
        <v>658</v>
      </c>
      <c r="R354" s="86">
        <v>9010.0</v>
      </c>
      <c r="S354" s="86" t="s">
        <v>2686</v>
      </c>
      <c r="U354" s="86">
        <v>0.9</v>
      </c>
      <c r="V354" s="86">
        <v>70001.0</v>
      </c>
      <c r="W354" s="86">
        <v>2.0</v>
      </c>
      <c r="X354" s="86">
        <v>1.0</v>
      </c>
      <c r="Y354" s="86">
        <v>70002.0</v>
      </c>
      <c r="Z354" s="86">
        <v>2.0</v>
      </c>
      <c r="AA354" s="86">
        <v>1.0</v>
      </c>
      <c r="AB354" s="86">
        <v>1001.0</v>
      </c>
      <c r="AC354" s="86">
        <v>100.0</v>
      </c>
      <c r="AD354" s="86">
        <v>1.0</v>
      </c>
      <c r="AE354" s="86">
        <v>8000.0</v>
      </c>
      <c r="AF354" s="86">
        <v>4250.0</v>
      </c>
      <c r="AG354" s="86">
        <v>1.0</v>
      </c>
    </row>
    <row r="355" ht="38.25" customHeight="1">
      <c r="A355" s="86">
        <v>1249.0</v>
      </c>
      <c r="B355" s="86" t="s">
        <v>1605</v>
      </c>
      <c r="C355" s="86">
        <v>8.0</v>
      </c>
      <c r="D355" s="86" t="s">
        <v>2688</v>
      </c>
      <c r="E355" s="86">
        <v>125.0</v>
      </c>
      <c r="G355" s="96" t="s">
        <v>2689</v>
      </c>
      <c r="I355" s="86">
        <v>32345.0</v>
      </c>
      <c r="J355" s="95" t="s">
        <v>2548</v>
      </c>
      <c r="K355" s="86" t="s">
        <v>647</v>
      </c>
      <c r="L355" s="86">
        <v>9001.0</v>
      </c>
      <c r="M355" s="86" t="s">
        <v>2084</v>
      </c>
      <c r="O355" s="86">
        <v>0.9</v>
      </c>
      <c r="P355" s="95" t="s">
        <v>2552</v>
      </c>
      <c r="Q355" s="86" t="s">
        <v>658</v>
      </c>
      <c r="R355" s="86">
        <v>9011.0</v>
      </c>
      <c r="S355" s="86" t="s">
        <v>2173</v>
      </c>
      <c r="U355" s="86">
        <v>0.7</v>
      </c>
      <c r="V355" s="86">
        <v>70001.0</v>
      </c>
      <c r="W355" s="86">
        <v>2.0</v>
      </c>
      <c r="X355" s="86">
        <v>1.0</v>
      </c>
      <c r="Y355" s="86">
        <v>70002.0</v>
      </c>
      <c r="Z355" s="86">
        <v>2.0</v>
      </c>
      <c r="AA355" s="86">
        <v>1.0</v>
      </c>
      <c r="AB355" s="86">
        <v>1001.0</v>
      </c>
      <c r="AC355" s="86">
        <v>100.0</v>
      </c>
      <c r="AD355" s="86">
        <v>1.0</v>
      </c>
      <c r="AE355" s="86">
        <v>8000.0</v>
      </c>
      <c r="AF355" s="86">
        <v>4300.0</v>
      </c>
      <c r="AG355" s="86">
        <v>1.0</v>
      </c>
    </row>
    <row r="356" ht="38.25" customHeight="1">
      <c r="A356" s="86">
        <v>1250.0</v>
      </c>
      <c r="B356" s="86" t="s">
        <v>1605</v>
      </c>
      <c r="C356" s="86">
        <v>8.0</v>
      </c>
      <c r="D356" s="86" t="s">
        <v>2691</v>
      </c>
      <c r="E356" s="86">
        <v>126.0</v>
      </c>
      <c r="G356" s="96" t="s">
        <v>2692</v>
      </c>
      <c r="I356" s="86">
        <v>32470.0</v>
      </c>
      <c r="J356" s="95" t="s">
        <v>2548</v>
      </c>
      <c r="K356" s="86" t="s">
        <v>647</v>
      </c>
      <c r="L356" s="86">
        <v>9001.0</v>
      </c>
      <c r="M356" s="86" t="s">
        <v>1386</v>
      </c>
      <c r="O356" s="86">
        <v>0.5</v>
      </c>
      <c r="P356" s="95" t="s">
        <v>2552</v>
      </c>
      <c r="Q356" s="86" t="s">
        <v>658</v>
      </c>
      <c r="R356" s="86">
        <v>9011.0</v>
      </c>
      <c r="S356" s="86">
        <v>11.0</v>
      </c>
      <c r="U356" s="86">
        <v>0.2</v>
      </c>
      <c r="V356" s="86">
        <v>70001.0</v>
      </c>
      <c r="W356" s="86">
        <v>2.0</v>
      </c>
      <c r="X356" s="86">
        <v>1.0</v>
      </c>
      <c r="Y356" s="86">
        <v>70002.0</v>
      </c>
      <c r="Z356" s="86">
        <v>2.0</v>
      </c>
      <c r="AA356" s="86">
        <v>1.0</v>
      </c>
      <c r="AB356" s="86">
        <v>1001.0</v>
      </c>
      <c r="AC356" s="86">
        <v>100.0</v>
      </c>
      <c r="AD356" s="86">
        <v>1.0</v>
      </c>
      <c r="AE356" s="86">
        <v>8000.0</v>
      </c>
      <c r="AF356" s="86">
        <v>4300.0</v>
      </c>
      <c r="AG356" s="86">
        <v>1.0</v>
      </c>
    </row>
    <row r="357" ht="38.25" customHeight="1">
      <c r="A357" s="86">
        <v>1251.0</v>
      </c>
      <c r="B357" s="86" t="s">
        <v>1605</v>
      </c>
      <c r="C357" s="86">
        <v>8.0</v>
      </c>
      <c r="D357" s="86" t="s">
        <v>2695</v>
      </c>
      <c r="E357" s="86">
        <v>126.0</v>
      </c>
      <c r="G357" s="96" t="s">
        <v>2696</v>
      </c>
      <c r="I357" s="86">
        <v>32595.0</v>
      </c>
      <c r="J357" s="95" t="s">
        <v>2548</v>
      </c>
      <c r="K357" s="86" t="s">
        <v>647</v>
      </c>
      <c r="L357" s="86">
        <v>9012.0</v>
      </c>
      <c r="M357" s="86" t="s">
        <v>2697</v>
      </c>
      <c r="O357" s="86">
        <v>0.7</v>
      </c>
      <c r="P357" s="95" t="s">
        <v>2552</v>
      </c>
      <c r="Q357" s="86" t="s">
        <v>658</v>
      </c>
      <c r="R357" s="86">
        <v>9011.0</v>
      </c>
      <c r="S357" s="86" t="s">
        <v>2698</v>
      </c>
      <c r="U357" s="86">
        <v>0.2</v>
      </c>
      <c r="V357" s="86">
        <v>70001.0</v>
      </c>
      <c r="W357" s="86">
        <v>2.0</v>
      </c>
      <c r="X357" s="86">
        <v>1.0</v>
      </c>
      <c r="Y357" s="86">
        <v>70002.0</v>
      </c>
      <c r="Z357" s="86">
        <v>2.0</v>
      </c>
      <c r="AA357" s="86">
        <v>1.0</v>
      </c>
      <c r="AB357" s="86">
        <v>1001.0</v>
      </c>
      <c r="AC357" s="86">
        <v>100.0</v>
      </c>
      <c r="AD357" s="86">
        <v>1.0</v>
      </c>
      <c r="AE357" s="86">
        <v>8000.0</v>
      </c>
      <c r="AF357" s="86">
        <v>4350.0</v>
      </c>
      <c r="AG357" s="86">
        <v>1.0</v>
      </c>
    </row>
    <row r="358" ht="38.25" customHeight="1">
      <c r="A358" s="86">
        <v>1252.0</v>
      </c>
      <c r="B358" s="86" t="s">
        <v>1605</v>
      </c>
      <c r="C358" s="86">
        <v>8.0</v>
      </c>
      <c r="D358" s="86" t="s">
        <v>2700</v>
      </c>
      <c r="E358" s="86">
        <v>127.0</v>
      </c>
      <c r="G358" s="96" t="s">
        <v>2701</v>
      </c>
      <c r="I358" s="86">
        <v>32720.0</v>
      </c>
      <c r="J358" s="95" t="s">
        <v>2548</v>
      </c>
      <c r="K358" s="86" t="s">
        <v>647</v>
      </c>
      <c r="L358" s="86">
        <v>9005.0</v>
      </c>
      <c r="M358" s="86" t="s">
        <v>2173</v>
      </c>
      <c r="O358" s="86">
        <v>0.8</v>
      </c>
      <c r="P358" s="95" t="s">
        <v>2552</v>
      </c>
      <c r="Q358" s="86" t="s">
        <v>658</v>
      </c>
      <c r="R358" s="86">
        <v>9011.0</v>
      </c>
      <c r="S358" s="86" t="s">
        <v>2145</v>
      </c>
      <c r="U358" s="86">
        <v>0.7</v>
      </c>
      <c r="V358" s="86">
        <v>70001.0</v>
      </c>
      <c r="W358" s="86">
        <v>2.0</v>
      </c>
      <c r="X358" s="86">
        <v>1.0</v>
      </c>
      <c r="Y358" s="86">
        <v>70002.0</v>
      </c>
      <c r="Z358" s="86">
        <v>2.0</v>
      </c>
      <c r="AA358" s="86">
        <v>1.0</v>
      </c>
      <c r="AB358" s="86">
        <v>1001.0</v>
      </c>
      <c r="AC358" s="86">
        <v>100.0</v>
      </c>
      <c r="AD358" s="86">
        <v>1.0</v>
      </c>
      <c r="AE358" s="86">
        <v>8000.0</v>
      </c>
      <c r="AF358" s="86">
        <v>4350.0</v>
      </c>
      <c r="AG358" s="86">
        <v>1.0</v>
      </c>
    </row>
    <row r="359" ht="38.25" customHeight="1">
      <c r="A359" s="86">
        <v>1253.0</v>
      </c>
      <c r="B359" s="86" t="s">
        <v>1605</v>
      </c>
      <c r="C359" s="86">
        <v>8.0</v>
      </c>
      <c r="D359" s="86" t="s">
        <v>2703</v>
      </c>
      <c r="E359" s="86">
        <v>127.0</v>
      </c>
      <c r="G359" s="96" t="s">
        <v>2704</v>
      </c>
      <c r="I359" s="86">
        <v>32845.0</v>
      </c>
      <c r="J359" s="95" t="s">
        <v>2548</v>
      </c>
      <c r="K359" s="86" t="s">
        <v>647</v>
      </c>
      <c r="L359" s="86">
        <v>9008.0</v>
      </c>
      <c r="M359" s="86" t="s">
        <v>2173</v>
      </c>
      <c r="O359" s="86">
        <v>0.5</v>
      </c>
      <c r="P359" s="95" t="s">
        <v>2552</v>
      </c>
      <c r="Q359" s="86" t="s">
        <v>658</v>
      </c>
      <c r="R359" s="86">
        <v>9008.0</v>
      </c>
      <c r="S359" s="86">
        <v>12.0</v>
      </c>
      <c r="U359" s="86">
        <v>0.8</v>
      </c>
      <c r="V359" s="86">
        <v>70001.0</v>
      </c>
      <c r="W359" s="86">
        <v>2.0</v>
      </c>
      <c r="X359" s="86">
        <v>1.0</v>
      </c>
      <c r="Y359" s="86">
        <v>70002.0</v>
      </c>
      <c r="Z359" s="86">
        <v>2.0</v>
      </c>
      <c r="AA359" s="86">
        <v>1.0</v>
      </c>
      <c r="AB359" s="86">
        <v>1001.0</v>
      </c>
      <c r="AC359" s="86">
        <v>100.0</v>
      </c>
      <c r="AD359" s="86">
        <v>1.0</v>
      </c>
      <c r="AE359" s="86">
        <v>8000.0</v>
      </c>
      <c r="AF359" s="86">
        <v>4350.0</v>
      </c>
      <c r="AG359" s="86">
        <v>1.0</v>
      </c>
    </row>
    <row r="360" ht="38.25" customHeight="1">
      <c r="A360" s="86">
        <v>1254.0</v>
      </c>
      <c r="B360" s="86" t="s">
        <v>1605</v>
      </c>
      <c r="C360" s="86">
        <v>8.0</v>
      </c>
      <c r="D360" s="86" t="s">
        <v>2706</v>
      </c>
      <c r="E360" s="86">
        <v>128.0</v>
      </c>
      <c r="G360" s="96" t="s">
        <v>2707</v>
      </c>
      <c r="I360" s="86">
        <v>32970.0</v>
      </c>
      <c r="J360" s="95" t="s">
        <v>2548</v>
      </c>
      <c r="K360" s="86" t="s">
        <v>647</v>
      </c>
      <c r="L360" s="86">
        <v>9008.0</v>
      </c>
      <c r="M360" s="86" t="s">
        <v>2350</v>
      </c>
      <c r="O360" s="86">
        <v>0.4</v>
      </c>
      <c r="P360" s="95" t="s">
        <v>2552</v>
      </c>
      <c r="Q360" s="86" t="s">
        <v>658</v>
      </c>
      <c r="R360" s="86">
        <v>9011.0</v>
      </c>
      <c r="S360" s="86" t="s">
        <v>1160</v>
      </c>
      <c r="U360" s="86">
        <v>0.4</v>
      </c>
      <c r="V360" s="86">
        <v>70001.0</v>
      </c>
      <c r="W360" s="86">
        <v>2.0</v>
      </c>
      <c r="X360" s="86">
        <v>1.0</v>
      </c>
      <c r="Y360" s="86">
        <v>70002.0</v>
      </c>
      <c r="Z360" s="86">
        <v>2.0</v>
      </c>
      <c r="AA360" s="86">
        <v>1.0</v>
      </c>
      <c r="AB360" s="86">
        <v>1001.0</v>
      </c>
      <c r="AC360" s="86">
        <v>100.0</v>
      </c>
      <c r="AD360" s="86">
        <v>1.0</v>
      </c>
      <c r="AE360" s="86">
        <v>8000.0</v>
      </c>
      <c r="AF360" s="86">
        <v>4400.0</v>
      </c>
      <c r="AG360" s="86">
        <v>1.0</v>
      </c>
    </row>
    <row r="361" ht="38.25" customHeight="1">
      <c r="A361" s="86">
        <v>1255.0</v>
      </c>
      <c r="B361" s="86" t="s">
        <v>1605</v>
      </c>
      <c r="C361" s="86">
        <v>8.0</v>
      </c>
      <c r="D361" s="86" t="s">
        <v>2709</v>
      </c>
      <c r="E361" s="86">
        <v>128.0</v>
      </c>
      <c r="G361" s="96" t="s">
        <v>2710</v>
      </c>
      <c r="I361" s="86">
        <v>33095.0</v>
      </c>
      <c r="J361" s="95" t="s">
        <v>2548</v>
      </c>
      <c r="K361" s="86" t="s">
        <v>647</v>
      </c>
      <c r="L361" s="86">
        <v>9006.0</v>
      </c>
      <c r="M361" s="86" t="s">
        <v>2711</v>
      </c>
      <c r="O361" s="86">
        <v>0.2</v>
      </c>
      <c r="P361" s="95" t="s">
        <v>2552</v>
      </c>
      <c r="Q361" s="86" t="s">
        <v>658</v>
      </c>
      <c r="R361" s="86">
        <v>9003.0</v>
      </c>
      <c r="S361" s="86" t="s">
        <v>2713</v>
      </c>
      <c r="U361" s="86">
        <v>0.1</v>
      </c>
      <c r="V361" s="86">
        <v>70001.0</v>
      </c>
      <c r="W361" s="86">
        <v>2.0</v>
      </c>
      <c r="X361" s="86">
        <v>1.0</v>
      </c>
      <c r="Y361" s="86">
        <v>70002.0</v>
      </c>
      <c r="Z361" s="86">
        <v>2.0</v>
      </c>
      <c r="AA361" s="86">
        <v>1.0</v>
      </c>
      <c r="AB361" s="86">
        <v>1001.0</v>
      </c>
      <c r="AC361" s="86">
        <v>100.0</v>
      </c>
      <c r="AD361" s="86">
        <v>1.0</v>
      </c>
      <c r="AE361" s="86">
        <v>8000.0</v>
      </c>
      <c r="AF361" s="86">
        <v>4400.0</v>
      </c>
      <c r="AG361" s="86">
        <v>1.0</v>
      </c>
    </row>
    <row r="362" ht="38.25" customHeight="1">
      <c r="A362" s="86">
        <v>1256.0</v>
      </c>
      <c r="B362" s="86" t="s">
        <v>1605</v>
      </c>
      <c r="C362" s="86">
        <v>8.0</v>
      </c>
      <c r="D362" s="86" t="s">
        <v>2714</v>
      </c>
      <c r="E362" s="86">
        <v>129.0</v>
      </c>
      <c r="G362" s="96" t="s">
        <v>2715</v>
      </c>
      <c r="I362" s="86">
        <v>33220.0</v>
      </c>
      <c r="J362" s="95" t="s">
        <v>2548</v>
      </c>
      <c r="K362" s="86" t="s">
        <v>647</v>
      </c>
      <c r="L362" s="86">
        <v>9005.0</v>
      </c>
      <c r="M362" s="86" t="s">
        <v>1244</v>
      </c>
      <c r="O362" s="86">
        <v>0.6</v>
      </c>
      <c r="P362" s="95" t="s">
        <v>2552</v>
      </c>
      <c r="Q362" s="86" t="s">
        <v>658</v>
      </c>
      <c r="R362" s="86">
        <v>9012.0</v>
      </c>
      <c r="S362" s="86" t="s">
        <v>2168</v>
      </c>
      <c r="U362" s="86">
        <v>0.9</v>
      </c>
      <c r="V362" s="86">
        <v>70001.0</v>
      </c>
      <c r="W362" s="86">
        <v>2.0</v>
      </c>
      <c r="X362" s="86">
        <v>1.0</v>
      </c>
      <c r="Y362" s="86">
        <v>70002.0</v>
      </c>
      <c r="Z362" s="86">
        <v>2.0</v>
      </c>
      <c r="AA362" s="86">
        <v>1.0</v>
      </c>
      <c r="AB362" s="86">
        <v>1001.0</v>
      </c>
      <c r="AC362" s="86">
        <v>100.0</v>
      </c>
      <c r="AD362" s="86">
        <v>1.0</v>
      </c>
      <c r="AE362" s="86">
        <v>8000.0</v>
      </c>
      <c r="AF362" s="86">
        <v>4450.0</v>
      </c>
      <c r="AG362" s="86">
        <v>1.0</v>
      </c>
    </row>
    <row r="363" ht="38.25" customHeight="1">
      <c r="A363" s="86">
        <v>1257.0</v>
      </c>
      <c r="B363" s="86" t="s">
        <v>1605</v>
      </c>
      <c r="C363" s="86">
        <v>8.0</v>
      </c>
      <c r="D363" s="86" t="s">
        <v>2717</v>
      </c>
      <c r="E363" s="86">
        <v>129.0</v>
      </c>
      <c r="G363" s="96" t="s">
        <v>2719</v>
      </c>
      <c r="I363" s="86">
        <v>33345.0</v>
      </c>
      <c r="J363" s="95" t="s">
        <v>2548</v>
      </c>
      <c r="K363" s="86" t="s">
        <v>647</v>
      </c>
      <c r="L363" s="86">
        <v>9011.0</v>
      </c>
      <c r="M363" s="86">
        <v>12.0</v>
      </c>
      <c r="O363" s="86">
        <v>0.9</v>
      </c>
      <c r="P363" s="95" t="s">
        <v>2552</v>
      </c>
      <c r="Q363" s="86" t="s">
        <v>658</v>
      </c>
      <c r="R363" s="86">
        <v>9011.0</v>
      </c>
      <c r="S363" s="86" t="s">
        <v>2168</v>
      </c>
      <c r="U363" s="86">
        <v>0.2</v>
      </c>
      <c r="V363" s="86">
        <v>70001.0</v>
      </c>
      <c r="W363" s="86">
        <v>2.0</v>
      </c>
      <c r="X363" s="86">
        <v>1.0</v>
      </c>
      <c r="Y363" s="86">
        <v>70002.0</v>
      </c>
      <c r="Z363" s="86">
        <v>2.0</v>
      </c>
      <c r="AA363" s="86">
        <v>1.0</v>
      </c>
      <c r="AB363" s="86">
        <v>1001.0</v>
      </c>
      <c r="AC363" s="86">
        <v>100.0</v>
      </c>
      <c r="AD363" s="86">
        <v>1.0</v>
      </c>
      <c r="AE363" s="86">
        <v>8000.0</v>
      </c>
      <c r="AF363" s="86">
        <v>4450.0</v>
      </c>
      <c r="AG363" s="86">
        <v>1.0</v>
      </c>
    </row>
    <row r="364" ht="38.25" customHeight="1">
      <c r="A364" s="86">
        <v>1258.0</v>
      </c>
      <c r="B364" s="86" t="s">
        <v>1605</v>
      </c>
      <c r="C364" s="86">
        <v>8.0</v>
      </c>
      <c r="D364" s="86" t="s">
        <v>2721</v>
      </c>
      <c r="E364" s="86">
        <v>130.0</v>
      </c>
      <c r="G364" s="96" t="s">
        <v>2722</v>
      </c>
      <c r="I364" s="86">
        <v>33470.0</v>
      </c>
      <c r="J364" s="95" t="s">
        <v>2548</v>
      </c>
      <c r="K364" s="86" t="s">
        <v>647</v>
      </c>
      <c r="L364" s="86">
        <v>9005.0</v>
      </c>
      <c r="M364" s="86">
        <v>1.0</v>
      </c>
      <c r="O364" s="86">
        <v>0.8</v>
      </c>
      <c r="P364" s="95" t="s">
        <v>2552</v>
      </c>
      <c r="Q364" s="86" t="s">
        <v>658</v>
      </c>
      <c r="R364" s="86">
        <v>9007.0</v>
      </c>
      <c r="S364" s="86" t="s">
        <v>1668</v>
      </c>
      <c r="U364" s="86">
        <v>0.7</v>
      </c>
      <c r="V364" s="86">
        <v>70001.0</v>
      </c>
      <c r="W364" s="86">
        <v>2.0</v>
      </c>
      <c r="X364" s="86">
        <v>1.0</v>
      </c>
      <c r="Y364" s="86">
        <v>70002.0</v>
      </c>
      <c r="Z364" s="86">
        <v>2.0</v>
      </c>
      <c r="AA364" s="86">
        <v>1.0</v>
      </c>
      <c r="AB364" s="86">
        <v>1001.0</v>
      </c>
      <c r="AC364" s="86">
        <v>100.0</v>
      </c>
      <c r="AD364" s="86">
        <v>1.0</v>
      </c>
      <c r="AE364" s="86">
        <v>8000.0</v>
      </c>
      <c r="AF364" s="86">
        <v>4500.0</v>
      </c>
      <c r="AG364" s="86">
        <v>1.0</v>
      </c>
    </row>
    <row r="365" ht="38.25" customHeight="1">
      <c r="A365" s="86">
        <v>1259.0</v>
      </c>
      <c r="B365" s="86" t="s">
        <v>1605</v>
      </c>
      <c r="C365" s="86">
        <v>8.0</v>
      </c>
      <c r="D365" s="86" t="s">
        <v>2724</v>
      </c>
      <c r="E365" s="86">
        <v>130.0</v>
      </c>
      <c r="G365" s="96" t="s">
        <v>2725</v>
      </c>
      <c r="I365" s="86">
        <v>33595.0</v>
      </c>
      <c r="J365" s="95" t="s">
        <v>2548</v>
      </c>
      <c r="K365" s="86" t="s">
        <v>647</v>
      </c>
      <c r="L365" s="86">
        <v>9002.0</v>
      </c>
      <c r="M365" s="86" t="s">
        <v>1855</v>
      </c>
      <c r="O365" s="86">
        <v>0.6</v>
      </c>
      <c r="P365" s="95" t="s">
        <v>2552</v>
      </c>
      <c r="Q365" s="86" t="s">
        <v>658</v>
      </c>
      <c r="R365" s="86">
        <v>9004.0</v>
      </c>
      <c r="S365" s="86">
        <v>5.0</v>
      </c>
      <c r="U365" s="86">
        <v>0.2</v>
      </c>
      <c r="V365" s="86">
        <v>70001.0</v>
      </c>
      <c r="W365" s="86">
        <v>2.0</v>
      </c>
      <c r="X365" s="86">
        <v>1.0</v>
      </c>
      <c r="Y365" s="86">
        <v>70002.0</v>
      </c>
      <c r="Z365" s="86">
        <v>2.0</v>
      </c>
      <c r="AA365" s="86">
        <v>1.0</v>
      </c>
      <c r="AB365" s="86">
        <v>1001.0</v>
      </c>
      <c r="AC365" s="86">
        <v>100.0</v>
      </c>
      <c r="AD365" s="86">
        <v>1.0</v>
      </c>
      <c r="AE365" s="86">
        <v>8000.0</v>
      </c>
      <c r="AF365" s="86">
        <v>4500.0</v>
      </c>
      <c r="AG365" s="86">
        <v>1.0</v>
      </c>
    </row>
    <row r="366" ht="38.25" customHeight="1">
      <c r="A366" s="86">
        <v>1260.0</v>
      </c>
      <c r="B366" s="86" t="s">
        <v>1605</v>
      </c>
      <c r="C366" s="86">
        <v>8.0</v>
      </c>
      <c r="D366" s="86" t="s">
        <v>2727</v>
      </c>
      <c r="E366" s="86">
        <v>131.0</v>
      </c>
      <c r="G366" s="96" t="s">
        <v>2728</v>
      </c>
      <c r="I366" s="86">
        <v>33720.0</v>
      </c>
      <c r="J366" s="95" t="s">
        <v>2548</v>
      </c>
      <c r="K366" s="86" t="s">
        <v>647</v>
      </c>
      <c r="L366" s="86">
        <v>9007.0</v>
      </c>
      <c r="M366" s="86">
        <v>10.0</v>
      </c>
      <c r="O366" s="86">
        <v>0.2</v>
      </c>
      <c r="P366" s="95" t="s">
        <v>2552</v>
      </c>
      <c r="Q366" s="86" t="s">
        <v>658</v>
      </c>
      <c r="R366" s="86">
        <v>9012.0</v>
      </c>
      <c r="S366" s="86" t="s">
        <v>2729</v>
      </c>
      <c r="U366" s="86">
        <v>0.4</v>
      </c>
      <c r="V366" s="86">
        <v>70001.0</v>
      </c>
      <c r="W366" s="86">
        <v>2.0</v>
      </c>
      <c r="X366" s="86">
        <v>1.0</v>
      </c>
      <c r="Y366" s="86">
        <v>70002.0</v>
      </c>
      <c r="Z366" s="86">
        <v>2.0</v>
      </c>
      <c r="AA366" s="86">
        <v>1.0</v>
      </c>
      <c r="AB366" s="86">
        <v>1001.0</v>
      </c>
      <c r="AC366" s="86">
        <v>100.0</v>
      </c>
      <c r="AD366" s="86">
        <v>1.0</v>
      </c>
      <c r="AE366" s="86">
        <v>8000.0</v>
      </c>
      <c r="AF366" s="86">
        <v>4550.0</v>
      </c>
      <c r="AG366" s="86">
        <v>1.0</v>
      </c>
    </row>
    <row r="367" ht="38.25" customHeight="1">
      <c r="A367" s="86">
        <v>1261.0</v>
      </c>
      <c r="B367" s="86" t="s">
        <v>1605</v>
      </c>
      <c r="C367" s="86">
        <v>8.0</v>
      </c>
      <c r="D367" s="86" t="s">
        <v>2731</v>
      </c>
      <c r="E367" s="86">
        <v>131.0</v>
      </c>
      <c r="G367" s="96" t="s">
        <v>2732</v>
      </c>
      <c r="I367" s="86">
        <v>33845.0</v>
      </c>
      <c r="J367" s="95" t="s">
        <v>2548</v>
      </c>
      <c r="K367" s="86" t="s">
        <v>647</v>
      </c>
      <c r="L367" s="86">
        <v>9006.0</v>
      </c>
      <c r="M367" s="86" t="s">
        <v>2733</v>
      </c>
      <c r="O367" s="86">
        <v>0.7</v>
      </c>
      <c r="P367" s="95" t="s">
        <v>2552</v>
      </c>
      <c r="Q367" s="86" t="s">
        <v>658</v>
      </c>
      <c r="R367" s="86">
        <v>9007.0</v>
      </c>
      <c r="S367" s="86" t="s">
        <v>1185</v>
      </c>
      <c r="U367" s="86">
        <v>0.7</v>
      </c>
      <c r="V367" s="86">
        <v>70001.0</v>
      </c>
      <c r="W367" s="86">
        <v>2.0</v>
      </c>
      <c r="X367" s="86">
        <v>1.0</v>
      </c>
      <c r="Y367" s="86">
        <v>70002.0</v>
      </c>
      <c r="Z367" s="86">
        <v>2.0</v>
      </c>
      <c r="AA367" s="86">
        <v>1.0</v>
      </c>
      <c r="AB367" s="86">
        <v>1001.0</v>
      </c>
      <c r="AC367" s="86">
        <v>100.0</v>
      </c>
      <c r="AD367" s="86">
        <v>1.0</v>
      </c>
      <c r="AE367" s="86">
        <v>8000.0</v>
      </c>
      <c r="AF367" s="86">
        <v>4550.0</v>
      </c>
      <c r="AG367" s="86">
        <v>1.0</v>
      </c>
    </row>
    <row r="368" ht="38.25" customHeight="1">
      <c r="A368" s="86">
        <v>1262.0</v>
      </c>
      <c r="B368" s="86" t="s">
        <v>1605</v>
      </c>
      <c r="C368" s="86">
        <v>8.0</v>
      </c>
      <c r="D368" s="86" t="s">
        <v>2734</v>
      </c>
      <c r="E368" s="86">
        <v>132.0</v>
      </c>
      <c r="G368" s="96" t="s">
        <v>2735</v>
      </c>
      <c r="I368" s="86">
        <v>33970.0</v>
      </c>
      <c r="J368" s="95" t="s">
        <v>2548</v>
      </c>
      <c r="K368" s="86" t="s">
        <v>647</v>
      </c>
      <c r="L368" s="86">
        <v>9012.0</v>
      </c>
      <c r="M368" s="86" t="s">
        <v>2736</v>
      </c>
      <c r="O368" s="86">
        <v>0.2</v>
      </c>
      <c r="P368" s="95" t="s">
        <v>2552</v>
      </c>
      <c r="Q368" s="86" t="s">
        <v>658</v>
      </c>
      <c r="R368" s="86">
        <v>9012.0</v>
      </c>
      <c r="S368" s="86">
        <v>10.0</v>
      </c>
      <c r="U368" s="86">
        <v>0.3</v>
      </c>
      <c r="V368" s="86">
        <v>70001.0</v>
      </c>
      <c r="W368" s="86">
        <v>2.0</v>
      </c>
      <c r="X368" s="86">
        <v>1.0</v>
      </c>
      <c r="Y368" s="86">
        <v>70002.0</v>
      </c>
      <c r="Z368" s="86">
        <v>2.0</v>
      </c>
      <c r="AA368" s="86">
        <v>1.0</v>
      </c>
      <c r="AB368" s="86">
        <v>1001.0</v>
      </c>
      <c r="AC368" s="86">
        <v>100.0</v>
      </c>
      <c r="AD368" s="86">
        <v>1.0</v>
      </c>
      <c r="AE368" s="86">
        <v>8000.0</v>
      </c>
      <c r="AF368" s="86">
        <v>4600.0</v>
      </c>
      <c r="AG368" s="86">
        <v>1.0</v>
      </c>
    </row>
    <row r="369" ht="38.25" customHeight="1">
      <c r="A369" s="86">
        <v>1263.0</v>
      </c>
      <c r="B369" s="86" t="s">
        <v>1605</v>
      </c>
      <c r="C369" s="86">
        <v>8.0</v>
      </c>
      <c r="D369" s="86" t="s">
        <v>2737</v>
      </c>
      <c r="E369" s="86">
        <v>132.0</v>
      </c>
      <c r="G369" s="96" t="s">
        <v>2738</v>
      </c>
      <c r="I369" s="86">
        <v>34095.0</v>
      </c>
      <c r="J369" s="95" t="s">
        <v>2548</v>
      </c>
      <c r="K369" s="86" t="s">
        <v>647</v>
      </c>
      <c r="L369" s="86">
        <v>9005.0</v>
      </c>
      <c r="M369" s="86">
        <v>11.0</v>
      </c>
      <c r="O369" s="86">
        <v>0.1</v>
      </c>
      <c r="P369" s="95" t="s">
        <v>2552</v>
      </c>
      <c r="Q369" s="86" t="s">
        <v>658</v>
      </c>
      <c r="R369" s="86">
        <v>9003.0</v>
      </c>
      <c r="S369" s="86" t="s">
        <v>2190</v>
      </c>
      <c r="U369" s="86">
        <v>0.4</v>
      </c>
      <c r="V369" s="86">
        <v>70001.0</v>
      </c>
      <c r="W369" s="86">
        <v>2.0</v>
      </c>
      <c r="X369" s="86">
        <v>1.0</v>
      </c>
      <c r="Y369" s="86">
        <v>70002.0</v>
      </c>
      <c r="Z369" s="86">
        <v>2.0</v>
      </c>
      <c r="AA369" s="86">
        <v>1.0</v>
      </c>
      <c r="AB369" s="86">
        <v>1001.0</v>
      </c>
      <c r="AC369" s="86">
        <v>100.0</v>
      </c>
      <c r="AD369" s="86">
        <v>1.0</v>
      </c>
      <c r="AE369" s="86">
        <v>8000.0</v>
      </c>
      <c r="AF369" s="86">
        <v>4600.0</v>
      </c>
      <c r="AG369" s="86">
        <v>1.0</v>
      </c>
    </row>
    <row r="370" ht="38.25" customHeight="1">
      <c r="A370" s="86">
        <v>1264.0</v>
      </c>
      <c r="B370" s="86" t="s">
        <v>1605</v>
      </c>
      <c r="C370" s="86">
        <v>8.0</v>
      </c>
      <c r="D370" s="86" t="s">
        <v>2739</v>
      </c>
      <c r="E370" s="86">
        <v>133.0</v>
      </c>
      <c r="G370" s="96" t="s">
        <v>2740</v>
      </c>
      <c r="I370" s="86">
        <v>34220.0</v>
      </c>
      <c r="J370" s="95" t="s">
        <v>2548</v>
      </c>
      <c r="K370" s="86" t="s">
        <v>647</v>
      </c>
      <c r="L370" s="86">
        <v>9011.0</v>
      </c>
      <c r="M370" s="86" t="s">
        <v>2076</v>
      </c>
      <c r="O370" s="86">
        <v>0.1</v>
      </c>
      <c r="P370" s="95" t="s">
        <v>2552</v>
      </c>
      <c r="Q370" s="86" t="s">
        <v>658</v>
      </c>
      <c r="R370" s="86">
        <v>9008.0</v>
      </c>
      <c r="S370" s="86" t="s">
        <v>1100</v>
      </c>
      <c r="U370" s="86">
        <v>0.1</v>
      </c>
      <c r="V370" s="86">
        <v>70001.0</v>
      </c>
      <c r="W370" s="86">
        <v>2.0</v>
      </c>
      <c r="X370" s="86">
        <v>1.0</v>
      </c>
      <c r="Y370" s="86">
        <v>70002.0</v>
      </c>
      <c r="Z370" s="86">
        <v>2.0</v>
      </c>
      <c r="AA370" s="86">
        <v>1.0</v>
      </c>
      <c r="AB370" s="86">
        <v>1001.0</v>
      </c>
      <c r="AC370" s="86">
        <v>100.0</v>
      </c>
      <c r="AD370" s="86">
        <v>1.0</v>
      </c>
      <c r="AE370" s="86">
        <v>8000.0</v>
      </c>
      <c r="AF370" s="86">
        <v>4600.0</v>
      </c>
      <c r="AG370" s="86">
        <v>1.0</v>
      </c>
    </row>
    <row r="371" ht="38.25" customHeight="1">
      <c r="A371" s="86">
        <v>1265.0</v>
      </c>
      <c r="B371" s="86" t="s">
        <v>1605</v>
      </c>
      <c r="C371" s="86">
        <v>8.0</v>
      </c>
      <c r="D371" s="86" t="s">
        <v>2741</v>
      </c>
      <c r="E371" s="86">
        <v>133.0</v>
      </c>
      <c r="G371" s="96" t="s">
        <v>2742</v>
      </c>
      <c r="I371" s="86">
        <v>34345.0</v>
      </c>
      <c r="J371" s="95" t="s">
        <v>2548</v>
      </c>
      <c r="K371" s="86" t="s">
        <v>647</v>
      </c>
      <c r="L371" s="86">
        <v>9001.0</v>
      </c>
      <c r="M371" s="86">
        <v>3.0</v>
      </c>
      <c r="O371" s="86">
        <v>0.9</v>
      </c>
      <c r="P371" s="95" t="s">
        <v>2552</v>
      </c>
      <c r="Q371" s="86" t="s">
        <v>658</v>
      </c>
      <c r="R371" s="86">
        <v>9004.0</v>
      </c>
      <c r="S371" s="86" t="s">
        <v>1790</v>
      </c>
      <c r="U371" s="86">
        <v>0.5</v>
      </c>
      <c r="V371" s="86">
        <v>70001.0</v>
      </c>
      <c r="W371" s="86">
        <v>2.0</v>
      </c>
      <c r="X371" s="86">
        <v>1.0</v>
      </c>
      <c r="Y371" s="86">
        <v>70002.0</v>
      </c>
      <c r="Z371" s="86">
        <v>2.0</v>
      </c>
      <c r="AA371" s="86">
        <v>1.0</v>
      </c>
      <c r="AB371" s="86">
        <v>1001.0</v>
      </c>
      <c r="AC371" s="86">
        <v>100.0</v>
      </c>
      <c r="AD371" s="86">
        <v>1.0</v>
      </c>
      <c r="AE371" s="86">
        <v>8000.0</v>
      </c>
      <c r="AF371" s="86">
        <v>4650.0</v>
      </c>
      <c r="AG371" s="86">
        <v>1.0</v>
      </c>
    </row>
    <row r="372" ht="38.25" customHeight="1">
      <c r="A372" s="86">
        <v>1266.0</v>
      </c>
      <c r="B372" s="86" t="s">
        <v>1605</v>
      </c>
      <c r="C372" s="86">
        <v>8.0</v>
      </c>
      <c r="D372" s="86" t="s">
        <v>2744</v>
      </c>
      <c r="E372" s="86">
        <v>134.0</v>
      </c>
      <c r="G372" s="96" t="s">
        <v>2745</v>
      </c>
      <c r="I372" s="86">
        <v>34470.0</v>
      </c>
      <c r="J372" s="95" t="s">
        <v>2548</v>
      </c>
      <c r="K372" s="86" t="s">
        <v>647</v>
      </c>
      <c r="L372" s="86">
        <v>9011.0</v>
      </c>
      <c r="M372" s="86" t="s">
        <v>2746</v>
      </c>
      <c r="O372" s="86">
        <v>0.4</v>
      </c>
      <c r="P372" s="95" t="s">
        <v>2552</v>
      </c>
      <c r="Q372" s="86" t="s">
        <v>658</v>
      </c>
      <c r="R372" s="86">
        <v>9010.0</v>
      </c>
      <c r="S372" s="86" t="s">
        <v>1637</v>
      </c>
      <c r="U372" s="86">
        <v>0.9</v>
      </c>
      <c r="V372" s="86">
        <v>70001.0</v>
      </c>
      <c r="W372" s="86">
        <v>2.0</v>
      </c>
      <c r="X372" s="86">
        <v>1.0</v>
      </c>
      <c r="Y372" s="86">
        <v>70002.0</v>
      </c>
      <c r="Z372" s="86">
        <v>2.0</v>
      </c>
      <c r="AA372" s="86">
        <v>1.0</v>
      </c>
      <c r="AB372" s="86">
        <v>1001.0</v>
      </c>
      <c r="AC372" s="86">
        <v>100.0</v>
      </c>
      <c r="AD372" s="86">
        <v>1.0</v>
      </c>
      <c r="AE372" s="86">
        <v>8000.0</v>
      </c>
      <c r="AF372" s="86">
        <v>4650.0</v>
      </c>
      <c r="AG372" s="86">
        <v>1.0</v>
      </c>
    </row>
    <row r="373" ht="38.25" customHeight="1">
      <c r="A373" s="86">
        <v>1267.0</v>
      </c>
      <c r="B373" s="86" t="s">
        <v>1605</v>
      </c>
      <c r="C373" s="86">
        <v>8.0</v>
      </c>
      <c r="D373" s="86" t="s">
        <v>2752</v>
      </c>
      <c r="E373" s="86">
        <v>134.0</v>
      </c>
      <c r="G373" s="96" t="s">
        <v>2754</v>
      </c>
      <c r="I373" s="86">
        <v>34595.0</v>
      </c>
      <c r="J373" s="95" t="s">
        <v>2548</v>
      </c>
      <c r="K373" s="86" t="s">
        <v>647</v>
      </c>
      <c r="L373" s="86">
        <v>9008.0</v>
      </c>
      <c r="M373" s="86">
        <v>1.0</v>
      </c>
      <c r="O373" s="86">
        <v>0.1</v>
      </c>
      <c r="P373" s="95" t="s">
        <v>2552</v>
      </c>
      <c r="Q373" s="86" t="s">
        <v>658</v>
      </c>
      <c r="R373" s="86">
        <v>9007.0</v>
      </c>
      <c r="S373" s="86">
        <v>4.0</v>
      </c>
      <c r="U373" s="86">
        <v>0.4</v>
      </c>
      <c r="V373" s="86">
        <v>70001.0</v>
      </c>
      <c r="W373" s="86">
        <v>2.0</v>
      </c>
      <c r="X373" s="86">
        <v>1.0</v>
      </c>
      <c r="Y373" s="86">
        <v>70002.0</v>
      </c>
      <c r="Z373" s="86">
        <v>2.0</v>
      </c>
      <c r="AA373" s="86">
        <v>1.0</v>
      </c>
      <c r="AB373" s="86">
        <v>1001.0</v>
      </c>
      <c r="AC373" s="86">
        <v>100.0</v>
      </c>
      <c r="AD373" s="86">
        <v>1.0</v>
      </c>
      <c r="AE373" s="86">
        <v>8000.0</v>
      </c>
      <c r="AF373" s="86">
        <v>4700.0</v>
      </c>
      <c r="AG373" s="86">
        <v>1.0</v>
      </c>
    </row>
    <row r="374" ht="38.25" customHeight="1">
      <c r="A374" s="86">
        <v>1268.0</v>
      </c>
      <c r="B374" s="86" t="s">
        <v>1605</v>
      </c>
      <c r="C374" s="86">
        <v>8.0</v>
      </c>
      <c r="D374" s="86" t="s">
        <v>2757</v>
      </c>
      <c r="E374" s="86">
        <v>135.0</v>
      </c>
      <c r="G374" s="96" t="s">
        <v>2758</v>
      </c>
      <c r="I374" s="86">
        <v>34720.0</v>
      </c>
      <c r="J374" s="95" t="s">
        <v>2548</v>
      </c>
      <c r="K374" s="86" t="s">
        <v>647</v>
      </c>
      <c r="L374" s="86">
        <v>9007.0</v>
      </c>
      <c r="M374" s="86">
        <v>12.0</v>
      </c>
      <c r="O374" s="86">
        <v>0.9</v>
      </c>
      <c r="P374" s="95" t="s">
        <v>2552</v>
      </c>
      <c r="Q374" s="86" t="s">
        <v>658</v>
      </c>
      <c r="R374" s="86">
        <v>9008.0</v>
      </c>
      <c r="S374" s="86" t="s">
        <v>2613</v>
      </c>
      <c r="U374" s="86">
        <v>0.5</v>
      </c>
      <c r="V374" s="86">
        <v>70001.0</v>
      </c>
      <c r="W374" s="86">
        <v>2.0</v>
      </c>
      <c r="X374" s="86">
        <v>1.0</v>
      </c>
      <c r="Y374" s="86">
        <v>70002.0</v>
      </c>
      <c r="Z374" s="86">
        <v>2.0</v>
      </c>
      <c r="AA374" s="86">
        <v>1.0</v>
      </c>
      <c r="AB374" s="86">
        <v>1001.0</v>
      </c>
      <c r="AC374" s="86">
        <v>100.0</v>
      </c>
      <c r="AD374" s="86">
        <v>1.0</v>
      </c>
      <c r="AE374" s="86">
        <v>8000.0</v>
      </c>
      <c r="AF374" s="86">
        <v>4700.0</v>
      </c>
      <c r="AG374" s="86">
        <v>1.0</v>
      </c>
    </row>
    <row r="375" ht="38.25" customHeight="1">
      <c r="A375" s="86">
        <v>1269.0</v>
      </c>
      <c r="B375" s="86" t="s">
        <v>1605</v>
      </c>
      <c r="C375" s="86">
        <v>8.0</v>
      </c>
      <c r="D375" s="86" t="s">
        <v>2761</v>
      </c>
      <c r="E375" s="86">
        <v>135.0</v>
      </c>
      <c r="G375" s="96" t="s">
        <v>2763</v>
      </c>
      <c r="I375" s="86">
        <v>34845.0</v>
      </c>
      <c r="J375" s="95" t="s">
        <v>2548</v>
      </c>
      <c r="K375" s="86" t="s">
        <v>647</v>
      </c>
      <c r="L375" s="86">
        <v>9007.0</v>
      </c>
      <c r="M375" s="86">
        <v>8.0</v>
      </c>
      <c r="O375" s="86">
        <v>0.5</v>
      </c>
      <c r="P375" s="95" t="s">
        <v>2552</v>
      </c>
      <c r="Q375" s="86" t="s">
        <v>658</v>
      </c>
      <c r="R375" s="86">
        <v>9003.0</v>
      </c>
      <c r="S375" s="86">
        <v>4.0</v>
      </c>
      <c r="U375" s="86">
        <v>0.8</v>
      </c>
      <c r="V375" s="86">
        <v>70001.0</v>
      </c>
      <c r="W375" s="86">
        <v>2.0</v>
      </c>
      <c r="X375" s="86">
        <v>1.0</v>
      </c>
      <c r="Y375" s="86">
        <v>70002.0</v>
      </c>
      <c r="Z375" s="86">
        <v>2.0</v>
      </c>
      <c r="AA375" s="86">
        <v>1.0</v>
      </c>
      <c r="AB375" s="86">
        <v>1001.0</v>
      </c>
      <c r="AC375" s="86">
        <v>500.0</v>
      </c>
      <c r="AD375" s="86">
        <v>1.0</v>
      </c>
      <c r="AE375" s="86">
        <v>8000.0</v>
      </c>
      <c r="AF375" s="86">
        <v>4750.0</v>
      </c>
      <c r="AG375" s="86">
        <v>1.0</v>
      </c>
    </row>
    <row r="376" ht="38.25" customHeight="1">
      <c r="A376" s="86">
        <v>1270.0</v>
      </c>
      <c r="B376" s="86" t="s">
        <v>1605</v>
      </c>
      <c r="C376" s="86">
        <v>9.0</v>
      </c>
      <c r="D376" s="86" t="s">
        <v>2767</v>
      </c>
      <c r="E376" s="86">
        <v>136.0</v>
      </c>
      <c r="G376" s="96" t="s">
        <v>2768</v>
      </c>
      <c r="I376" s="86">
        <v>34970.0</v>
      </c>
      <c r="J376" s="95" t="s">
        <v>2769</v>
      </c>
      <c r="K376" s="86" t="s">
        <v>647</v>
      </c>
      <c r="L376" s="86">
        <v>9012.0</v>
      </c>
      <c r="M376" s="86" t="s">
        <v>2771</v>
      </c>
      <c r="O376" s="86">
        <v>0.3</v>
      </c>
      <c r="P376" s="95" t="s">
        <v>2773</v>
      </c>
      <c r="Q376" s="86" t="s">
        <v>658</v>
      </c>
      <c r="R376" s="86">
        <v>9003.0</v>
      </c>
      <c r="S376" s="86" t="s">
        <v>2774</v>
      </c>
      <c r="U376" s="86">
        <v>0.1</v>
      </c>
      <c r="V376" s="86">
        <v>70001.0</v>
      </c>
      <c r="W376" s="86">
        <v>2.0</v>
      </c>
      <c r="X376" s="86">
        <v>1.0</v>
      </c>
      <c r="Y376" s="86">
        <v>70002.0</v>
      </c>
      <c r="Z376" s="86">
        <v>2.0</v>
      </c>
      <c r="AA376" s="86">
        <v>1.0</v>
      </c>
      <c r="AB376" s="86">
        <v>1001.0</v>
      </c>
      <c r="AC376" s="86">
        <v>100.0</v>
      </c>
      <c r="AD376" s="86">
        <v>1.0</v>
      </c>
      <c r="AE376" s="86">
        <v>8000.0</v>
      </c>
      <c r="AF376" s="86">
        <v>4750.0</v>
      </c>
      <c r="AG376" s="86">
        <v>1.0</v>
      </c>
    </row>
    <row r="377" ht="38.25" customHeight="1">
      <c r="A377" s="86">
        <v>1271.0</v>
      </c>
      <c r="B377" s="86" t="s">
        <v>1605</v>
      </c>
      <c r="C377" s="86">
        <v>9.0</v>
      </c>
      <c r="D377" s="86" t="s">
        <v>2777</v>
      </c>
      <c r="E377" s="86">
        <v>136.0</v>
      </c>
      <c r="G377" s="96" t="s">
        <v>2779</v>
      </c>
      <c r="I377" s="86">
        <v>35095.0</v>
      </c>
      <c r="J377" s="95" t="s">
        <v>2769</v>
      </c>
      <c r="K377" s="86" t="s">
        <v>647</v>
      </c>
      <c r="L377" s="86">
        <v>9002.0</v>
      </c>
      <c r="M377" s="86" t="s">
        <v>1668</v>
      </c>
      <c r="O377" s="86">
        <v>0.5</v>
      </c>
      <c r="P377" s="95" t="s">
        <v>2773</v>
      </c>
      <c r="Q377" s="86" t="s">
        <v>658</v>
      </c>
      <c r="R377" s="86">
        <v>9011.0</v>
      </c>
      <c r="S377" s="86" t="s">
        <v>2780</v>
      </c>
      <c r="U377" s="86">
        <v>0.6</v>
      </c>
      <c r="V377" s="86">
        <v>70001.0</v>
      </c>
      <c r="W377" s="86">
        <v>2.0</v>
      </c>
      <c r="X377" s="86">
        <v>1.0</v>
      </c>
      <c r="Y377" s="86">
        <v>70002.0</v>
      </c>
      <c r="Z377" s="86">
        <v>2.0</v>
      </c>
      <c r="AA377" s="86">
        <v>1.0</v>
      </c>
      <c r="AB377" s="86">
        <v>1001.0</v>
      </c>
      <c r="AC377" s="86">
        <v>100.0</v>
      </c>
      <c r="AD377" s="86">
        <v>1.0</v>
      </c>
      <c r="AE377" s="86">
        <v>8000.0</v>
      </c>
      <c r="AF377" s="86">
        <v>4800.0</v>
      </c>
      <c r="AG377" s="86">
        <v>1.0</v>
      </c>
    </row>
    <row r="378" ht="38.25" customHeight="1">
      <c r="A378" s="86">
        <v>1272.0</v>
      </c>
      <c r="B378" s="86" t="s">
        <v>1605</v>
      </c>
      <c r="C378" s="86">
        <v>9.0</v>
      </c>
      <c r="D378" s="86" t="s">
        <v>2784</v>
      </c>
      <c r="E378" s="86">
        <v>137.0</v>
      </c>
      <c r="G378" s="96" t="s">
        <v>2779</v>
      </c>
      <c r="I378" s="86">
        <v>35220.0</v>
      </c>
      <c r="J378" s="95" t="s">
        <v>2769</v>
      </c>
      <c r="K378" s="86" t="s">
        <v>647</v>
      </c>
      <c r="L378" s="86">
        <v>9008.0</v>
      </c>
      <c r="M378" s="86">
        <v>3.0</v>
      </c>
      <c r="O378" s="86">
        <v>0.5</v>
      </c>
      <c r="P378" s="95" t="s">
        <v>2773</v>
      </c>
      <c r="Q378" s="86" t="s">
        <v>658</v>
      </c>
      <c r="R378" s="86">
        <v>9011.0</v>
      </c>
      <c r="S378" s="86" t="s">
        <v>2275</v>
      </c>
      <c r="U378" s="86">
        <v>0.8</v>
      </c>
      <c r="V378" s="86">
        <v>70001.0</v>
      </c>
      <c r="W378" s="86">
        <v>2.0</v>
      </c>
      <c r="X378" s="86">
        <v>1.0</v>
      </c>
      <c r="Y378" s="86">
        <v>70002.0</v>
      </c>
      <c r="Z378" s="86">
        <v>2.0</v>
      </c>
      <c r="AA378" s="86">
        <v>1.0</v>
      </c>
      <c r="AB378" s="86">
        <v>1001.0</v>
      </c>
      <c r="AC378" s="86">
        <v>100.0</v>
      </c>
      <c r="AD378" s="86">
        <v>1.0</v>
      </c>
      <c r="AE378" s="86">
        <v>8000.0</v>
      </c>
      <c r="AF378" s="86">
        <v>4800.0</v>
      </c>
      <c r="AG378" s="86">
        <v>1.0</v>
      </c>
    </row>
    <row r="379" ht="38.25" customHeight="1">
      <c r="A379" s="86">
        <v>1273.0</v>
      </c>
      <c r="B379" s="86" t="s">
        <v>1605</v>
      </c>
      <c r="C379" s="86">
        <v>9.0</v>
      </c>
      <c r="D379" s="86" t="s">
        <v>2785</v>
      </c>
      <c r="E379" s="86">
        <v>137.0</v>
      </c>
      <c r="G379" s="96" t="s">
        <v>2787</v>
      </c>
      <c r="I379" s="86">
        <v>35345.0</v>
      </c>
      <c r="J379" s="95" t="s">
        <v>2769</v>
      </c>
      <c r="K379" s="86" t="s">
        <v>647</v>
      </c>
      <c r="L379" s="86">
        <v>9007.0</v>
      </c>
      <c r="M379" s="86" t="s">
        <v>1517</v>
      </c>
      <c r="O379" s="86">
        <v>0.1</v>
      </c>
      <c r="P379" s="95" t="s">
        <v>2773</v>
      </c>
      <c r="Q379" s="86" t="s">
        <v>658</v>
      </c>
      <c r="R379" s="86">
        <v>9007.0</v>
      </c>
      <c r="S379" s="86" t="s">
        <v>1933</v>
      </c>
      <c r="U379" s="86">
        <v>0.6</v>
      </c>
      <c r="V379" s="86">
        <v>70001.0</v>
      </c>
      <c r="W379" s="86">
        <v>2.0</v>
      </c>
      <c r="X379" s="86">
        <v>1.0</v>
      </c>
      <c r="Y379" s="86">
        <v>70002.0</v>
      </c>
      <c r="Z379" s="86">
        <v>2.0</v>
      </c>
      <c r="AA379" s="86">
        <v>1.0</v>
      </c>
      <c r="AB379" s="86">
        <v>1001.0</v>
      </c>
      <c r="AC379" s="86">
        <v>100.0</v>
      </c>
      <c r="AD379" s="86">
        <v>1.0</v>
      </c>
      <c r="AE379" s="86">
        <v>8000.0</v>
      </c>
      <c r="AF379" s="86">
        <v>4850.0</v>
      </c>
      <c r="AG379" s="86">
        <v>1.0</v>
      </c>
    </row>
    <row r="380" ht="38.25" customHeight="1">
      <c r="A380" s="86">
        <v>1274.0</v>
      </c>
      <c r="B380" s="86" t="s">
        <v>1605</v>
      </c>
      <c r="C380" s="86">
        <v>9.0</v>
      </c>
      <c r="D380" s="86" t="s">
        <v>2792</v>
      </c>
      <c r="E380" s="86">
        <v>138.0</v>
      </c>
      <c r="G380" s="96" t="s">
        <v>2793</v>
      </c>
      <c r="I380" s="86">
        <v>35470.0</v>
      </c>
      <c r="J380" s="95" t="s">
        <v>2769</v>
      </c>
      <c r="K380" s="86" t="s">
        <v>647</v>
      </c>
      <c r="L380" s="86">
        <v>9005.0</v>
      </c>
      <c r="M380" s="86" t="s">
        <v>2266</v>
      </c>
      <c r="O380" s="86">
        <v>1.0</v>
      </c>
      <c r="P380" s="95" t="s">
        <v>2773</v>
      </c>
      <c r="Q380" s="86" t="s">
        <v>658</v>
      </c>
      <c r="R380" s="86">
        <v>9012.0</v>
      </c>
      <c r="S380" s="86" t="s">
        <v>1776</v>
      </c>
      <c r="U380" s="86">
        <v>0.9</v>
      </c>
      <c r="V380" s="86">
        <v>70001.0</v>
      </c>
      <c r="W380" s="86">
        <v>2.0</v>
      </c>
      <c r="X380" s="86">
        <v>1.0</v>
      </c>
      <c r="Y380" s="86">
        <v>70002.0</v>
      </c>
      <c r="Z380" s="86">
        <v>2.0</v>
      </c>
      <c r="AA380" s="86">
        <v>1.0</v>
      </c>
      <c r="AB380" s="86">
        <v>1001.0</v>
      </c>
      <c r="AC380" s="86">
        <v>100.0</v>
      </c>
      <c r="AD380" s="86">
        <v>1.0</v>
      </c>
      <c r="AE380" s="86">
        <v>8000.0</v>
      </c>
      <c r="AF380" s="86">
        <v>4850.0</v>
      </c>
      <c r="AG380" s="86">
        <v>1.0</v>
      </c>
    </row>
    <row r="381" ht="38.25" customHeight="1">
      <c r="A381" s="86">
        <v>1275.0</v>
      </c>
      <c r="B381" s="86" t="s">
        <v>1605</v>
      </c>
      <c r="C381" s="86">
        <v>9.0</v>
      </c>
      <c r="D381" s="86" t="s">
        <v>2797</v>
      </c>
      <c r="E381" s="86">
        <v>138.0</v>
      </c>
      <c r="G381" s="96" t="s">
        <v>2799</v>
      </c>
      <c r="I381" s="86">
        <v>35595.0</v>
      </c>
      <c r="J381" s="95" t="s">
        <v>2769</v>
      </c>
      <c r="K381" s="86" t="s">
        <v>647</v>
      </c>
      <c r="L381" s="86">
        <v>9007.0</v>
      </c>
      <c r="M381" s="86">
        <v>9.0</v>
      </c>
      <c r="O381" s="86">
        <v>0.6</v>
      </c>
      <c r="P381" s="95" t="s">
        <v>2773</v>
      </c>
      <c r="Q381" s="86" t="s">
        <v>658</v>
      </c>
      <c r="R381" s="86">
        <v>9004.0</v>
      </c>
      <c r="S381" s="86" t="s">
        <v>1392</v>
      </c>
      <c r="U381" s="86">
        <v>0.4</v>
      </c>
      <c r="V381" s="86">
        <v>70001.0</v>
      </c>
      <c r="W381" s="86">
        <v>2.0</v>
      </c>
      <c r="X381" s="86">
        <v>1.0</v>
      </c>
      <c r="Y381" s="86">
        <v>70002.0</v>
      </c>
      <c r="Z381" s="86">
        <v>2.0</v>
      </c>
      <c r="AA381" s="86">
        <v>1.0</v>
      </c>
      <c r="AB381" s="86">
        <v>1001.0</v>
      </c>
      <c r="AC381" s="86">
        <v>100.0</v>
      </c>
      <c r="AD381" s="86">
        <v>1.0</v>
      </c>
      <c r="AE381" s="86">
        <v>8000.0</v>
      </c>
      <c r="AF381" s="86">
        <v>4900.0</v>
      </c>
      <c r="AG381" s="86">
        <v>1.0</v>
      </c>
    </row>
    <row r="382" ht="38.25" customHeight="1">
      <c r="A382" s="86">
        <v>1276.0</v>
      </c>
      <c r="B382" s="86" t="s">
        <v>1605</v>
      </c>
      <c r="C382" s="86">
        <v>9.0</v>
      </c>
      <c r="D382" s="86" t="s">
        <v>2803</v>
      </c>
      <c r="E382" s="86">
        <v>139.0</v>
      </c>
      <c r="G382" s="96" t="s">
        <v>2804</v>
      </c>
      <c r="I382" s="86">
        <v>35720.0</v>
      </c>
      <c r="J382" s="95" t="s">
        <v>2769</v>
      </c>
      <c r="K382" s="86" t="s">
        <v>647</v>
      </c>
      <c r="L382" s="86">
        <v>9001.0</v>
      </c>
      <c r="M382" s="86" t="s">
        <v>2806</v>
      </c>
      <c r="O382" s="86">
        <v>0.7</v>
      </c>
      <c r="P382" s="95" t="s">
        <v>2773</v>
      </c>
      <c r="Q382" s="86" t="s">
        <v>658</v>
      </c>
      <c r="R382" s="86">
        <v>9008.0</v>
      </c>
      <c r="S382" s="86">
        <v>3.0</v>
      </c>
      <c r="U382" s="86">
        <v>0.5</v>
      </c>
      <c r="V382" s="86">
        <v>70001.0</v>
      </c>
      <c r="W382" s="86">
        <v>2.0</v>
      </c>
      <c r="X382" s="86">
        <v>1.0</v>
      </c>
      <c r="Y382" s="86">
        <v>70002.0</v>
      </c>
      <c r="Z382" s="86">
        <v>2.0</v>
      </c>
      <c r="AA382" s="86">
        <v>1.0</v>
      </c>
      <c r="AB382" s="86">
        <v>1001.0</v>
      </c>
      <c r="AC382" s="86">
        <v>100.0</v>
      </c>
      <c r="AD382" s="86">
        <v>1.0</v>
      </c>
      <c r="AE382" s="86">
        <v>8000.0</v>
      </c>
      <c r="AF382" s="86">
        <v>4900.0</v>
      </c>
      <c r="AG382" s="86">
        <v>1.0</v>
      </c>
    </row>
    <row r="383" ht="38.25" customHeight="1">
      <c r="A383" s="86">
        <v>1277.0</v>
      </c>
      <c r="B383" s="86" t="s">
        <v>1605</v>
      </c>
      <c r="C383" s="86">
        <v>9.0</v>
      </c>
      <c r="D383" s="86" t="s">
        <v>2807</v>
      </c>
      <c r="E383" s="86">
        <v>139.0</v>
      </c>
      <c r="G383" s="96" t="s">
        <v>2808</v>
      </c>
      <c r="I383" s="86">
        <v>35845.0</v>
      </c>
      <c r="J383" s="95" t="s">
        <v>2769</v>
      </c>
      <c r="K383" s="86" t="s">
        <v>647</v>
      </c>
      <c r="L383" s="86">
        <v>9011.0</v>
      </c>
      <c r="M383" s="86">
        <v>5.0</v>
      </c>
      <c r="O383" s="86">
        <v>0.2</v>
      </c>
      <c r="P383" s="95" t="s">
        <v>2773</v>
      </c>
      <c r="Q383" s="86" t="s">
        <v>658</v>
      </c>
      <c r="R383" s="86">
        <v>9004.0</v>
      </c>
      <c r="S383" s="86" t="s">
        <v>1895</v>
      </c>
      <c r="U383" s="86">
        <v>0.9</v>
      </c>
      <c r="V383" s="86">
        <v>70001.0</v>
      </c>
      <c r="W383" s="86">
        <v>2.0</v>
      </c>
      <c r="X383" s="86">
        <v>1.0</v>
      </c>
      <c r="Y383" s="86">
        <v>70002.0</v>
      </c>
      <c r="Z383" s="86">
        <v>2.0</v>
      </c>
      <c r="AA383" s="86">
        <v>1.0</v>
      </c>
      <c r="AB383" s="86">
        <v>1001.0</v>
      </c>
      <c r="AC383" s="86">
        <v>100.0</v>
      </c>
      <c r="AD383" s="86">
        <v>1.0</v>
      </c>
      <c r="AE383" s="86">
        <v>8000.0</v>
      </c>
      <c r="AF383" s="86">
        <v>4900.0</v>
      </c>
      <c r="AG383" s="86">
        <v>1.0</v>
      </c>
    </row>
    <row r="384" ht="38.25" customHeight="1">
      <c r="A384" s="86">
        <v>1278.0</v>
      </c>
      <c r="B384" s="86" t="s">
        <v>1605</v>
      </c>
      <c r="C384" s="86">
        <v>9.0</v>
      </c>
      <c r="D384" s="86" t="s">
        <v>2810</v>
      </c>
      <c r="E384" s="86">
        <v>140.0</v>
      </c>
      <c r="G384" s="96" t="s">
        <v>2811</v>
      </c>
      <c r="I384" s="86">
        <v>35970.0</v>
      </c>
      <c r="J384" s="95" t="s">
        <v>2769</v>
      </c>
      <c r="K384" s="86" t="s">
        <v>647</v>
      </c>
      <c r="L384" s="86">
        <v>9012.0</v>
      </c>
      <c r="M384" s="86" t="s">
        <v>1328</v>
      </c>
      <c r="O384" s="86">
        <v>0.5</v>
      </c>
      <c r="P384" s="95" t="s">
        <v>2773</v>
      </c>
      <c r="Q384" s="86" t="s">
        <v>658</v>
      </c>
      <c r="R384" s="86">
        <v>9003.0</v>
      </c>
      <c r="S384" s="86">
        <v>9.0</v>
      </c>
      <c r="U384" s="86">
        <v>0.5</v>
      </c>
      <c r="V384" s="86">
        <v>70001.0</v>
      </c>
      <c r="W384" s="86">
        <v>2.0</v>
      </c>
      <c r="X384" s="86">
        <v>1.0</v>
      </c>
      <c r="Y384" s="86">
        <v>70002.0</v>
      </c>
      <c r="Z384" s="86">
        <v>2.0</v>
      </c>
      <c r="AA384" s="86">
        <v>1.0</v>
      </c>
      <c r="AB384" s="86">
        <v>1001.0</v>
      </c>
      <c r="AC384" s="86">
        <v>100.0</v>
      </c>
      <c r="AD384" s="86">
        <v>1.0</v>
      </c>
      <c r="AE384" s="86">
        <v>8000.0</v>
      </c>
      <c r="AF384" s="86">
        <v>4950.0</v>
      </c>
      <c r="AG384" s="86">
        <v>1.0</v>
      </c>
    </row>
    <row r="385" ht="38.25" customHeight="1">
      <c r="A385" s="86">
        <v>1279.0</v>
      </c>
      <c r="B385" s="86" t="s">
        <v>1605</v>
      </c>
      <c r="C385" s="86">
        <v>9.0</v>
      </c>
      <c r="D385" s="86" t="s">
        <v>2813</v>
      </c>
      <c r="E385" s="86">
        <v>140.0</v>
      </c>
      <c r="G385" s="96" t="s">
        <v>2814</v>
      </c>
      <c r="I385" s="86">
        <v>36095.0</v>
      </c>
      <c r="J385" s="95" t="s">
        <v>2769</v>
      </c>
      <c r="K385" s="86" t="s">
        <v>647</v>
      </c>
      <c r="L385" s="86">
        <v>9001.0</v>
      </c>
      <c r="M385" s="86" t="s">
        <v>2275</v>
      </c>
      <c r="O385" s="86">
        <v>0.9</v>
      </c>
      <c r="P385" s="95" t="s">
        <v>2773</v>
      </c>
      <c r="Q385" s="86" t="s">
        <v>658</v>
      </c>
      <c r="R385" s="86">
        <v>9010.0</v>
      </c>
      <c r="S385" s="86" t="s">
        <v>1250</v>
      </c>
      <c r="U385" s="86">
        <v>1.0</v>
      </c>
      <c r="V385" s="86">
        <v>70001.0</v>
      </c>
      <c r="W385" s="86">
        <v>2.0</v>
      </c>
      <c r="X385" s="86">
        <v>1.0</v>
      </c>
      <c r="Y385" s="86">
        <v>70002.0</v>
      </c>
      <c r="Z385" s="86">
        <v>2.0</v>
      </c>
      <c r="AA385" s="86">
        <v>1.0</v>
      </c>
      <c r="AB385" s="86">
        <v>1001.0</v>
      </c>
      <c r="AC385" s="86">
        <v>100.0</v>
      </c>
      <c r="AD385" s="86">
        <v>1.0</v>
      </c>
      <c r="AE385" s="86">
        <v>8000.0</v>
      </c>
      <c r="AF385" s="86">
        <v>4950.0</v>
      </c>
      <c r="AG385" s="86">
        <v>1.0</v>
      </c>
    </row>
    <row r="386" ht="38.25" customHeight="1">
      <c r="A386" s="86">
        <v>1280.0</v>
      </c>
      <c r="B386" s="86" t="s">
        <v>1605</v>
      </c>
      <c r="C386" s="86">
        <v>9.0</v>
      </c>
      <c r="D386" s="86" t="s">
        <v>2816</v>
      </c>
      <c r="E386" s="86">
        <v>141.0</v>
      </c>
      <c r="G386" s="96" t="s">
        <v>2817</v>
      </c>
      <c r="I386" s="86">
        <v>36220.0</v>
      </c>
      <c r="J386" s="95" t="s">
        <v>2769</v>
      </c>
      <c r="K386" s="86" t="s">
        <v>647</v>
      </c>
      <c r="L386" s="86">
        <v>9001.0</v>
      </c>
      <c r="M386" s="86">
        <v>10.0</v>
      </c>
      <c r="O386" s="86">
        <v>0.6</v>
      </c>
      <c r="P386" s="95" t="s">
        <v>2773</v>
      </c>
      <c r="Q386" s="86" t="s">
        <v>658</v>
      </c>
      <c r="R386" s="86">
        <v>9004.0</v>
      </c>
      <c r="S386" s="86">
        <v>12.0</v>
      </c>
      <c r="U386" s="86">
        <v>0.2</v>
      </c>
      <c r="V386" s="86">
        <v>70001.0</v>
      </c>
      <c r="W386" s="86">
        <v>2.0</v>
      </c>
      <c r="X386" s="86">
        <v>1.0</v>
      </c>
      <c r="Y386" s="86">
        <v>70002.0</v>
      </c>
      <c r="Z386" s="86">
        <v>2.0</v>
      </c>
      <c r="AA386" s="86">
        <v>1.0</v>
      </c>
      <c r="AB386" s="86">
        <v>1001.0</v>
      </c>
      <c r="AC386" s="86">
        <v>100.0</v>
      </c>
      <c r="AD386" s="86">
        <v>1.0</v>
      </c>
      <c r="AE386" s="86">
        <v>8000.0</v>
      </c>
      <c r="AF386" s="86">
        <v>5000.0</v>
      </c>
      <c r="AG386" s="86">
        <v>1.0</v>
      </c>
    </row>
    <row r="387" ht="38.25" customHeight="1">
      <c r="A387" s="86">
        <v>1281.0</v>
      </c>
      <c r="B387" s="86" t="s">
        <v>1605</v>
      </c>
      <c r="C387" s="86">
        <v>9.0</v>
      </c>
      <c r="D387" s="86" t="s">
        <v>2819</v>
      </c>
      <c r="E387" s="86">
        <v>141.0</v>
      </c>
      <c r="G387" s="96" t="s">
        <v>2820</v>
      </c>
      <c r="I387" s="86">
        <v>36345.0</v>
      </c>
      <c r="J387" s="95" t="s">
        <v>2769</v>
      </c>
      <c r="K387" s="86" t="s">
        <v>647</v>
      </c>
      <c r="L387" s="86">
        <v>9006.0</v>
      </c>
      <c r="M387" s="86" t="s">
        <v>1235</v>
      </c>
      <c r="O387" s="86">
        <v>0.8</v>
      </c>
      <c r="P387" s="95" t="s">
        <v>2773</v>
      </c>
      <c r="Q387" s="86" t="s">
        <v>658</v>
      </c>
      <c r="R387" s="86">
        <v>9011.0</v>
      </c>
      <c r="S387" s="86" t="s">
        <v>2172</v>
      </c>
      <c r="U387" s="86">
        <v>0.6</v>
      </c>
      <c r="V387" s="86">
        <v>70001.0</v>
      </c>
      <c r="W387" s="86">
        <v>2.0</v>
      </c>
      <c r="X387" s="86">
        <v>1.0</v>
      </c>
      <c r="Y387" s="86">
        <v>70002.0</v>
      </c>
      <c r="Z387" s="86">
        <v>2.0</v>
      </c>
      <c r="AA387" s="86">
        <v>1.0</v>
      </c>
      <c r="AB387" s="86">
        <v>1001.0</v>
      </c>
      <c r="AC387" s="86">
        <v>100.0</v>
      </c>
      <c r="AD387" s="86">
        <v>1.0</v>
      </c>
      <c r="AE387" s="86">
        <v>8000.0</v>
      </c>
      <c r="AF387" s="86">
        <v>5000.0</v>
      </c>
      <c r="AG387" s="86">
        <v>1.0</v>
      </c>
    </row>
    <row r="388" ht="38.25" customHeight="1">
      <c r="A388" s="86">
        <v>1282.0</v>
      </c>
      <c r="B388" s="86" t="s">
        <v>1605</v>
      </c>
      <c r="C388" s="86">
        <v>9.0</v>
      </c>
      <c r="D388" s="86" t="s">
        <v>2821</v>
      </c>
      <c r="E388" s="86">
        <v>142.0</v>
      </c>
      <c r="G388" s="96" t="s">
        <v>2823</v>
      </c>
      <c r="I388" s="86">
        <v>36470.0</v>
      </c>
      <c r="J388" s="95" t="s">
        <v>2769</v>
      </c>
      <c r="K388" s="86" t="s">
        <v>647</v>
      </c>
      <c r="L388" s="86">
        <v>9001.0</v>
      </c>
      <c r="M388" s="86" t="s">
        <v>1790</v>
      </c>
      <c r="O388" s="86">
        <v>0.1</v>
      </c>
      <c r="P388" s="95" t="s">
        <v>2773</v>
      </c>
      <c r="Q388" s="86" t="s">
        <v>658</v>
      </c>
      <c r="R388" s="86">
        <v>9010.0</v>
      </c>
      <c r="S388" s="86" t="s">
        <v>2382</v>
      </c>
      <c r="U388" s="86">
        <v>0.3</v>
      </c>
      <c r="V388" s="86">
        <v>70001.0</v>
      </c>
      <c r="W388" s="86">
        <v>2.0</v>
      </c>
      <c r="X388" s="86">
        <v>1.0</v>
      </c>
      <c r="Y388" s="86">
        <v>70002.0</v>
      </c>
      <c r="Z388" s="86">
        <v>2.0</v>
      </c>
      <c r="AA388" s="86">
        <v>1.0</v>
      </c>
      <c r="AB388" s="86">
        <v>1001.0</v>
      </c>
      <c r="AC388" s="86">
        <v>100.0</v>
      </c>
      <c r="AD388" s="86">
        <v>1.0</v>
      </c>
      <c r="AE388" s="86">
        <v>8000.0</v>
      </c>
      <c r="AF388" s="86">
        <v>5050.0</v>
      </c>
      <c r="AG388" s="86">
        <v>1.0</v>
      </c>
    </row>
    <row r="389" ht="38.25" customHeight="1">
      <c r="A389" s="86">
        <v>1283.0</v>
      </c>
      <c r="B389" s="86" t="s">
        <v>1605</v>
      </c>
      <c r="C389" s="86">
        <v>9.0</v>
      </c>
      <c r="D389" s="86" t="s">
        <v>2825</v>
      </c>
      <c r="E389" s="86">
        <v>142.0</v>
      </c>
      <c r="G389" s="96" t="s">
        <v>2826</v>
      </c>
      <c r="I389" s="86">
        <v>36595.0</v>
      </c>
      <c r="J389" s="95" t="s">
        <v>2769</v>
      </c>
      <c r="K389" s="86" t="s">
        <v>647</v>
      </c>
      <c r="L389" s="86">
        <v>9002.0</v>
      </c>
      <c r="M389" s="86" t="s">
        <v>2341</v>
      </c>
      <c r="O389" s="86">
        <v>0.3</v>
      </c>
      <c r="P389" s="95" t="s">
        <v>2773</v>
      </c>
      <c r="Q389" s="86" t="s">
        <v>658</v>
      </c>
      <c r="R389" s="86">
        <v>9004.0</v>
      </c>
      <c r="S389" s="86">
        <v>1.0</v>
      </c>
      <c r="U389" s="86">
        <v>0.5</v>
      </c>
      <c r="V389" s="86">
        <v>70001.0</v>
      </c>
      <c r="W389" s="86">
        <v>2.0</v>
      </c>
      <c r="X389" s="86">
        <v>1.0</v>
      </c>
      <c r="Y389" s="86">
        <v>70002.0</v>
      </c>
      <c r="Z389" s="86">
        <v>2.0</v>
      </c>
      <c r="AA389" s="86">
        <v>1.0</v>
      </c>
      <c r="AB389" s="86">
        <v>1001.0</v>
      </c>
      <c r="AC389" s="86">
        <v>100.0</v>
      </c>
      <c r="AD389" s="86">
        <v>1.0</v>
      </c>
      <c r="AE389" s="86">
        <v>8000.0</v>
      </c>
      <c r="AF389" s="86">
        <v>5050.0</v>
      </c>
      <c r="AG389" s="86">
        <v>1.0</v>
      </c>
    </row>
    <row r="390" ht="38.25" customHeight="1">
      <c r="A390" s="86">
        <v>1284.0</v>
      </c>
      <c r="B390" s="86" t="s">
        <v>1605</v>
      </c>
      <c r="C390" s="86">
        <v>9.0</v>
      </c>
      <c r="D390" s="86" t="s">
        <v>2827</v>
      </c>
      <c r="E390" s="86">
        <v>143.0</v>
      </c>
      <c r="G390" s="96" t="s">
        <v>2829</v>
      </c>
      <c r="I390" s="86">
        <v>36720.0</v>
      </c>
      <c r="J390" s="95" t="s">
        <v>2769</v>
      </c>
      <c r="K390" s="86" t="s">
        <v>647</v>
      </c>
      <c r="L390" s="86">
        <v>9001.0</v>
      </c>
      <c r="M390" s="86" t="s">
        <v>2830</v>
      </c>
      <c r="O390" s="86">
        <v>0.3</v>
      </c>
      <c r="P390" s="95" t="s">
        <v>2773</v>
      </c>
      <c r="Q390" s="86" t="s">
        <v>658</v>
      </c>
      <c r="R390" s="86">
        <v>9011.0</v>
      </c>
      <c r="S390" s="86" t="s">
        <v>2257</v>
      </c>
      <c r="U390" s="86">
        <v>0.4</v>
      </c>
      <c r="V390" s="86">
        <v>70001.0</v>
      </c>
      <c r="W390" s="86">
        <v>2.0</v>
      </c>
      <c r="X390" s="86">
        <v>1.0</v>
      </c>
      <c r="Y390" s="86">
        <v>70002.0</v>
      </c>
      <c r="Z390" s="86">
        <v>2.0</v>
      </c>
      <c r="AA390" s="86">
        <v>1.0</v>
      </c>
      <c r="AB390" s="86">
        <v>1001.0</v>
      </c>
      <c r="AC390" s="86">
        <v>100.0</v>
      </c>
      <c r="AD390" s="86">
        <v>1.0</v>
      </c>
      <c r="AE390" s="86">
        <v>8000.0</v>
      </c>
      <c r="AF390" s="86">
        <v>5100.0</v>
      </c>
      <c r="AG390" s="86">
        <v>1.0</v>
      </c>
    </row>
    <row r="391" ht="38.25" customHeight="1">
      <c r="A391" s="86">
        <v>1285.0</v>
      </c>
      <c r="B391" s="86" t="s">
        <v>1605</v>
      </c>
      <c r="C391" s="86">
        <v>9.0</v>
      </c>
      <c r="D391" s="86" t="s">
        <v>2832</v>
      </c>
      <c r="E391" s="86">
        <v>143.0</v>
      </c>
      <c r="G391" s="96" t="s">
        <v>2833</v>
      </c>
      <c r="I391" s="86">
        <v>36845.0</v>
      </c>
      <c r="J391" s="95" t="s">
        <v>2769</v>
      </c>
      <c r="K391" s="86" t="s">
        <v>647</v>
      </c>
      <c r="L391" s="86">
        <v>9002.0</v>
      </c>
      <c r="M391" s="86" t="s">
        <v>1385</v>
      </c>
      <c r="O391" s="86">
        <v>0.3</v>
      </c>
      <c r="P391" s="95" t="s">
        <v>2773</v>
      </c>
      <c r="Q391" s="86" t="s">
        <v>658</v>
      </c>
      <c r="R391" s="86">
        <v>9004.0</v>
      </c>
      <c r="S391" s="86" t="s">
        <v>1815</v>
      </c>
      <c r="U391" s="86">
        <v>0.8</v>
      </c>
      <c r="V391" s="86">
        <v>70001.0</v>
      </c>
      <c r="W391" s="86">
        <v>2.0</v>
      </c>
      <c r="X391" s="86">
        <v>1.0</v>
      </c>
      <c r="Y391" s="86">
        <v>70002.0</v>
      </c>
      <c r="Z391" s="86">
        <v>2.0</v>
      </c>
      <c r="AA391" s="86">
        <v>1.0</v>
      </c>
      <c r="AB391" s="86">
        <v>1001.0</v>
      </c>
      <c r="AC391" s="86">
        <v>100.0</v>
      </c>
      <c r="AD391" s="86">
        <v>1.0</v>
      </c>
      <c r="AE391" s="86">
        <v>8000.0</v>
      </c>
      <c r="AF391" s="86">
        <v>5100.0</v>
      </c>
      <c r="AG391" s="86">
        <v>1.0</v>
      </c>
    </row>
    <row r="392" ht="38.25" customHeight="1">
      <c r="A392" s="86">
        <v>1286.0</v>
      </c>
      <c r="B392" s="86" t="s">
        <v>1605</v>
      </c>
      <c r="C392" s="86">
        <v>9.0</v>
      </c>
      <c r="D392" s="86" t="s">
        <v>2834</v>
      </c>
      <c r="E392" s="86">
        <v>144.0</v>
      </c>
      <c r="G392" s="96" t="s">
        <v>2836</v>
      </c>
      <c r="I392" s="86">
        <v>36970.0</v>
      </c>
      <c r="J392" s="95" t="s">
        <v>2769</v>
      </c>
      <c r="K392" s="86" t="s">
        <v>647</v>
      </c>
      <c r="L392" s="86">
        <v>9005.0</v>
      </c>
      <c r="M392" s="86">
        <v>5.0</v>
      </c>
      <c r="O392" s="86">
        <v>0.1</v>
      </c>
      <c r="P392" s="95" t="s">
        <v>2773</v>
      </c>
      <c r="Q392" s="86" t="s">
        <v>658</v>
      </c>
      <c r="R392" s="86">
        <v>9003.0</v>
      </c>
      <c r="S392" s="86" t="s">
        <v>1277</v>
      </c>
      <c r="U392" s="86">
        <v>0.7</v>
      </c>
      <c r="V392" s="86">
        <v>70001.0</v>
      </c>
      <c r="W392" s="86">
        <v>2.0</v>
      </c>
      <c r="X392" s="86">
        <v>1.0</v>
      </c>
      <c r="Y392" s="86">
        <v>70002.0</v>
      </c>
      <c r="Z392" s="86">
        <v>2.0</v>
      </c>
      <c r="AA392" s="86">
        <v>1.0</v>
      </c>
      <c r="AB392" s="86">
        <v>1001.0</v>
      </c>
      <c r="AC392" s="86">
        <v>100.0</v>
      </c>
      <c r="AD392" s="86">
        <v>1.0</v>
      </c>
      <c r="AE392" s="86">
        <v>8000.0</v>
      </c>
      <c r="AF392" s="86">
        <v>5150.0</v>
      </c>
      <c r="AG392" s="86">
        <v>1.0</v>
      </c>
    </row>
    <row r="393" ht="38.25" customHeight="1">
      <c r="A393" s="86">
        <v>1287.0</v>
      </c>
      <c r="B393" s="86" t="s">
        <v>1605</v>
      </c>
      <c r="C393" s="86">
        <v>9.0</v>
      </c>
      <c r="D393" s="86" t="s">
        <v>2838</v>
      </c>
      <c r="E393" s="86">
        <v>144.0</v>
      </c>
      <c r="G393" s="96" t="s">
        <v>2839</v>
      </c>
      <c r="I393" s="86">
        <v>37095.0</v>
      </c>
      <c r="J393" s="95" t="s">
        <v>2769</v>
      </c>
      <c r="K393" s="86" t="s">
        <v>647</v>
      </c>
      <c r="L393" s="86">
        <v>9012.0</v>
      </c>
      <c r="M393" s="86">
        <v>7.0</v>
      </c>
      <c r="O393" s="86">
        <v>0.7</v>
      </c>
      <c r="P393" s="95" t="s">
        <v>2773</v>
      </c>
      <c r="Q393" s="86" t="s">
        <v>658</v>
      </c>
      <c r="R393" s="86">
        <v>9008.0</v>
      </c>
      <c r="S393" s="86" t="s">
        <v>2686</v>
      </c>
      <c r="U393" s="86">
        <v>0.4</v>
      </c>
      <c r="V393" s="86">
        <v>70001.0</v>
      </c>
      <c r="W393" s="86">
        <v>2.0</v>
      </c>
      <c r="X393" s="86">
        <v>1.0</v>
      </c>
      <c r="Y393" s="86">
        <v>70002.0</v>
      </c>
      <c r="Z393" s="86">
        <v>2.0</v>
      </c>
      <c r="AA393" s="86">
        <v>1.0</v>
      </c>
      <c r="AB393" s="86">
        <v>1001.0</v>
      </c>
      <c r="AC393" s="86">
        <v>100.0</v>
      </c>
      <c r="AD393" s="86">
        <v>1.0</v>
      </c>
      <c r="AE393" s="86">
        <v>8000.0</v>
      </c>
      <c r="AF393" s="86">
        <v>5150.0</v>
      </c>
      <c r="AG393" s="86">
        <v>1.0</v>
      </c>
    </row>
    <row r="394" ht="38.25" customHeight="1">
      <c r="A394" s="86">
        <v>1288.0</v>
      </c>
      <c r="B394" s="86" t="s">
        <v>1605</v>
      </c>
      <c r="C394" s="86">
        <v>9.0</v>
      </c>
      <c r="D394" s="86" t="s">
        <v>2840</v>
      </c>
      <c r="E394" s="86">
        <v>145.0</v>
      </c>
      <c r="G394" s="96" t="s">
        <v>2841</v>
      </c>
      <c r="I394" s="86">
        <v>37220.0</v>
      </c>
      <c r="J394" s="95" t="s">
        <v>2769</v>
      </c>
      <c r="K394" s="86" t="s">
        <v>647</v>
      </c>
      <c r="L394" s="86">
        <v>9012.0</v>
      </c>
      <c r="M394" s="86">
        <v>10.0</v>
      </c>
      <c r="O394" s="86">
        <v>0.6</v>
      </c>
      <c r="P394" s="95" t="s">
        <v>2773</v>
      </c>
      <c r="Q394" s="86" t="s">
        <v>658</v>
      </c>
      <c r="R394" s="86">
        <v>9012.0</v>
      </c>
      <c r="S394" s="86" t="s">
        <v>2842</v>
      </c>
      <c r="U394" s="86">
        <v>0.8</v>
      </c>
      <c r="V394" s="86">
        <v>70001.0</v>
      </c>
      <c r="W394" s="86">
        <v>2.0</v>
      </c>
      <c r="X394" s="86">
        <v>1.0</v>
      </c>
      <c r="Y394" s="86">
        <v>70002.0</v>
      </c>
      <c r="Z394" s="86">
        <v>2.0</v>
      </c>
      <c r="AA394" s="86">
        <v>1.0</v>
      </c>
      <c r="AB394" s="86">
        <v>1001.0</v>
      </c>
      <c r="AC394" s="86">
        <v>100.0</v>
      </c>
      <c r="AD394" s="86">
        <v>1.0</v>
      </c>
      <c r="AE394" s="86">
        <v>8000.0</v>
      </c>
      <c r="AF394" s="86">
        <v>5200.0</v>
      </c>
      <c r="AG394" s="86">
        <v>1.0</v>
      </c>
    </row>
    <row r="395" ht="38.25" customHeight="1">
      <c r="A395" s="86">
        <v>1289.0</v>
      </c>
      <c r="B395" s="86" t="s">
        <v>1605</v>
      </c>
      <c r="C395" s="86">
        <v>9.0</v>
      </c>
      <c r="D395" s="86" t="s">
        <v>2844</v>
      </c>
      <c r="E395" s="86">
        <v>145.0</v>
      </c>
      <c r="G395" s="96" t="s">
        <v>2845</v>
      </c>
      <c r="I395" s="86">
        <v>37345.0</v>
      </c>
      <c r="J395" s="95" t="s">
        <v>2769</v>
      </c>
      <c r="K395" s="86" t="s">
        <v>647</v>
      </c>
      <c r="L395" s="86">
        <v>9002.0</v>
      </c>
      <c r="M395" s="86" t="s">
        <v>1323</v>
      </c>
      <c r="O395" s="86">
        <v>0.3</v>
      </c>
      <c r="P395" s="95" t="s">
        <v>2773</v>
      </c>
      <c r="Q395" s="86" t="s">
        <v>658</v>
      </c>
      <c r="R395" s="86">
        <v>9011.0</v>
      </c>
      <c r="S395" s="86">
        <v>13.0</v>
      </c>
      <c r="U395" s="86">
        <v>0.6</v>
      </c>
      <c r="V395" s="86">
        <v>70001.0</v>
      </c>
      <c r="W395" s="86">
        <v>2.0</v>
      </c>
      <c r="X395" s="86">
        <v>1.0</v>
      </c>
      <c r="Y395" s="86">
        <v>70002.0</v>
      </c>
      <c r="Z395" s="86">
        <v>2.0</v>
      </c>
      <c r="AA395" s="86">
        <v>1.0</v>
      </c>
      <c r="AB395" s="86">
        <v>1001.0</v>
      </c>
      <c r="AC395" s="86">
        <v>100.0</v>
      </c>
      <c r="AD395" s="86">
        <v>1.0</v>
      </c>
      <c r="AE395" s="86">
        <v>8000.0</v>
      </c>
      <c r="AF395" s="86">
        <v>5200.0</v>
      </c>
      <c r="AG395" s="86">
        <v>1.0</v>
      </c>
    </row>
    <row r="396" ht="38.25" customHeight="1">
      <c r="A396" s="86">
        <v>1290.0</v>
      </c>
      <c r="B396" s="86" t="s">
        <v>1605</v>
      </c>
      <c r="C396" s="86">
        <v>9.0</v>
      </c>
      <c r="D396" s="86" t="s">
        <v>2846</v>
      </c>
      <c r="E396" s="86">
        <v>146.0</v>
      </c>
      <c r="G396" s="96" t="s">
        <v>2847</v>
      </c>
      <c r="I396" s="86">
        <v>37470.0</v>
      </c>
      <c r="J396" s="95" t="s">
        <v>2769</v>
      </c>
      <c r="K396" s="86" t="s">
        <v>647</v>
      </c>
      <c r="L396" s="86">
        <v>9008.0</v>
      </c>
      <c r="M396" s="86" t="s">
        <v>1160</v>
      </c>
      <c r="O396" s="86">
        <v>1.0</v>
      </c>
      <c r="P396" s="95" t="s">
        <v>2773</v>
      </c>
      <c r="Q396" s="86" t="s">
        <v>658</v>
      </c>
      <c r="R396" s="86">
        <v>9012.0</v>
      </c>
      <c r="S396" s="86" t="s">
        <v>1785</v>
      </c>
      <c r="U396" s="86">
        <v>0.2</v>
      </c>
      <c r="V396" s="86">
        <v>70001.0</v>
      </c>
      <c r="W396" s="86">
        <v>2.0</v>
      </c>
      <c r="X396" s="86">
        <v>1.0</v>
      </c>
      <c r="Y396" s="86">
        <v>70002.0</v>
      </c>
      <c r="Z396" s="86">
        <v>2.0</v>
      </c>
      <c r="AA396" s="86">
        <v>1.0</v>
      </c>
      <c r="AB396" s="86">
        <v>1001.0</v>
      </c>
      <c r="AC396" s="86">
        <v>100.0</v>
      </c>
      <c r="AD396" s="86">
        <v>1.0</v>
      </c>
      <c r="AE396" s="86">
        <v>8000.0</v>
      </c>
      <c r="AF396" s="86">
        <v>5200.0</v>
      </c>
      <c r="AG396" s="86">
        <v>1.0</v>
      </c>
    </row>
    <row r="397" ht="38.25" customHeight="1">
      <c r="A397" s="86">
        <v>1291.0</v>
      </c>
      <c r="B397" s="86" t="s">
        <v>1605</v>
      </c>
      <c r="C397" s="86">
        <v>9.0</v>
      </c>
      <c r="D397" s="86" t="s">
        <v>2849</v>
      </c>
      <c r="E397" s="86">
        <v>146.0</v>
      </c>
      <c r="G397" s="96" t="s">
        <v>2850</v>
      </c>
      <c r="I397" s="86">
        <v>37595.0</v>
      </c>
      <c r="J397" s="95" t="s">
        <v>2769</v>
      </c>
      <c r="K397" s="86" t="s">
        <v>647</v>
      </c>
      <c r="L397" s="86">
        <v>9002.0</v>
      </c>
      <c r="M397" s="86" t="s">
        <v>1922</v>
      </c>
      <c r="O397" s="86">
        <v>0.6</v>
      </c>
      <c r="P397" s="95" t="s">
        <v>2773</v>
      </c>
      <c r="Q397" s="86" t="s">
        <v>658</v>
      </c>
      <c r="R397" s="86">
        <v>9012.0</v>
      </c>
      <c r="S397" s="86">
        <v>5.0</v>
      </c>
      <c r="U397" s="86">
        <v>0.4</v>
      </c>
      <c r="V397" s="86">
        <v>70001.0</v>
      </c>
      <c r="W397" s="86">
        <v>2.0</v>
      </c>
      <c r="X397" s="86">
        <v>1.0</v>
      </c>
      <c r="Y397" s="86">
        <v>70002.0</v>
      </c>
      <c r="Z397" s="86">
        <v>2.0</v>
      </c>
      <c r="AA397" s="86">
        <v>1.0</v>
      </c>
      <c r="AB397" s="86">
        <v>1001.0</v>
      </c>
      <c r="AC397" s="86">
        <v>100.0</v>
      </c>
      <c r="AD397" s="86">
        <v>1.0</v>
      </c>
      <c r="AE397" s="86">
        <v>8000.0</v>
      </c>
      <c r="AF397" s="86">
        <v>5250.0</v>
      </c>
      <c r="AG397" s="86">
        <v>1.0</v>
      </c>
    </row>
    <row r="398" ht="38.25" customHeight="1">
      <c r="A398" s="86">
        <v>1292.0</v>
      </c>
      <c r="B398" s="86" t="s">
        <v>1605</v>
      </c>
      <c r="C398" s="86">
        <v>9.0</v>
      </c>
      <c r="D398" s="86" t="s">
        <v>2852</v>
      </c>
      <c r="E398" s="86">
        <v>147.0</v>
      </c>
      <c r="G398" s="96" t="s">
        <v>2853</v>
      </c>
      <c r="I398" s="86">
        <v>37720.0</v>
      </c>
      <c r="J398" s="95" t="s">
        <v>2769</v>
      </c>
      <c r="K398" s="86" t="s">
        <v>647</v>
      </c>
      <c r="L398" s="86">
        <v>9007.0</v>
      </c>
      <c r="M398" s="86">
        <v>12.0</v>
      </c>
      <c r="O398" s="86">
        <v>0.4</v>
      </c>
      <c r="P398" s="95" t="s">
        <v>2773</v>
      </c>
      <c r="Q398" s="86" t="s">
        <v>658</v>
      </c>
      <c r="R398" s="86">
        <v>9008.0</v>
      </c>
      <c r="S398" s="86" t="s">
        <v>1225</v>
      </c>
      <c r="U398" s="86">
        <v>0.2</v>
      </c>
      <c r="V398" s="86">
        <v>70001.0</v>
      </c>
      <c r="W398" s="86">
        <v>2.0</v>
      </c>
      <c r="X398" s="86">
        <v>1.0</v>
      </c>
      <c r="Y398" s="86">
        <v>70002.0</v>
      </c>
      <c r="Z398" s="86">
        <v>2.0</v>
      </c>
      <c r="AA398" s="86">
        <v>1.0</v>
      </c>
      <c r="AB398" s="86">
        <v>1001.0</v>
      </c>
      <c r="AC398" s="86">
        <v>100.0</v>
      </c>
      <c r="AD398" s="86">
        <v>1.0</v>
      </c>
      <c r="AE398" s="86">
        <v>8000.0</v>
      </c>
      <c r="AF398" s="86">
        <v>5250.0</v>
      </c>
      <c r="AG398" s="86">
        <v>1.0</v>
      </c>
    </row>
    <row r="399" ht="38.25" customHeight="1">
      <c r="A399" s="86">
        <v>1293.0</v>
      </c>
      <c r="B399" s="86" t="s">
        <v>1605</v>
      </c>
      <c r="C399" s="86">
        <v>9.0</v>
      </c>
      <c r="D399" s="86" t="s">
        <v>2855</v>
      </c>
      <c r="E399" s="86">
        <v>147.0</v>
      </c>
      <c r="G399" s="96" t="s">
        <v>2856</v>
      </c>
      <c r="I399" s="86">
        <v>37845.0</v>
      </c>
      <c r="J399" s="95" t="s">
        <v>2769</v>
      </c>
      <c r="K399" s="86" t="s">
        <v>647</v>
      </c>
      <c r="L399" s="86">
        <v>9005.0</v>
      </c>
      <c r="M399" s="86">
        <v>11.0</v>
      </c>
      <c r="O399" s="86">
        <v>0.9</v>
      </c>
      <c r="P399" s="95" t="s">
        <v>2773</v>
      </c>
      <c r="Q399" s="86" t="s">
        <v>658</v>
      </c>
      <c r="R399" s="86">
        <v>9012.0</v>
      </c>
      <c r="S399" s="86" t="s">
        <v>2711</v>
      </c>
      <c r="U399" s="86">
        <v>0.7</v>
      </c>
      <c r="V399" s="86">
        <v>70001.0</v>
      </c>
      <c r="W399" s="86">
        <v>2.0</v>
      </c>
      <c r="X399" s="86">
        <v>1.0</v>
      </c>
      <c r="Y399" s="86">
        <v>70002.0</v>
      </c>
      <c r="Z399" s="86">
        <v>2.0</v>
      </c>
      <c r="AA399" s="86">
        <v>1.0</v>
      </c>
      <c r="AB399" s="86">
        <v>1001.0</v>
      </c>
      <c r="AC399" s="86">
        <v>100.0</v>
      </c>
      <c r="AD399" s="86">
        <v>1.0</v>
      </c>
      <c r="AE399" s="86">
        <v>8000.0</v>
      </c>
      <c r="AF399" s="86">
        <v>5300.0</v>
      </c>
      <c r="AG399" s="86">
        <v>1.0</v>
      </c>
    </row>
    <row r="400" ht="38.25" customHeight="1">
      <c r="A400" s="86">
        <v>1294.0</v>
      </c>
      <c r="B400" s="86" t="s">
        <v>1605</v>
      </c>
      <c r="C400" s="86">
        <v>9.0</v>
      </c>
      <c r="D400" s="86" t="s">
        <v>2858</v>
      </c>
      <c r="E400" s="86">
        <v>148.0</v>
      </c>
      <c r="G400" s="96" t="s">
        <v>2859</v>
      </c>
      <c r="I400" s="86">
        <v>37970.0</v>
      </c>
      <c r="J400" s="95" t="s">
        <v>2769</v>
      </c>
      <c r="K400" s="86" t="s">
        <v>647</v>
      </c>
      <c r="L400" s="86">
        <v>9001.0</v>
      </c>
      <c r="M400" s="86">
        <v>5.0</v>
      </c>
      <c r="O400" s="86">
        <v>0.6</v>
      </c>
      <c r="P400" s="95" t="s">
        <v>2773</v>
      </c>
      <c r="Q400" s="86" t="s">
        <v>658</v>
      </c>
      <c r="R400" s="86">
        <v>9008.0</v>
      </c>
      <c r="S400" s="86">
        <v>13.0</v>
      </c>
      <c r="U400" s="86">
        <v>1.0</v>
      </c>
      <c r="V400" s="86">
        <v>70001.0</v>
      </c>
      <c r="W400" s="86">
        <v>2.0</v>
      </c>
      <c r="X400" s="86">
        <v>1.0</v>
      </c>
      <c r="Y400" s="86">
        <v>70002.0</v>
      </c>
      <c r="Z400" s="86">
        <v>2.0</v>
      </c>
      <c r="AA400" s="86">
        <v>1.0</v>
      </c>
      <c r="AB400" s="86">
        <v>1001.0</v>
      </c>
      <c r="AC400" s="86">
        <v>100.0</v>
      </c>
      <c r="AD400" s="86">
        <v>1.0</v>
      </c>
      <c r="AE400" s="86">
        <v>8000.0</v>
      </c>
      <c r="AF400" s="86">
        <v>5300.0</v>
      </c>
      <c r="AG400" s="86">
        <v>1.0</v>
      </c>
    </row>
    <row r="401" ht="38.25" customHeight="1">
      <c r="A401" s="86">
        <v>1295.0</v>
      </c>
      <c r="B401" s="86" t="s">
        <v>1605</v>
      </c>
      <c r="C401" s="86">
        <v>9.0</v>
      </c>
      <c r="D401" s="86" t="s">
        <v>2861</v>
      </c>
      <c r="E401" s="86">
        <v>148.0</v>
      </c>
      <c r="G401" s="96" t="s">
        <v>2862</v>
      </c>
      <c r="I401" s="86">
        <v>38095.0</v>
      </c>
      <c r="J401" s="95" t="s">
        <v>2769</v>
      </c>
      <c r="K401" s="86" t="s">
        <v>647</v>
      </c>
      <c r="L401" s="86">
        <v>9012.0</v>
      </c>
      <c r="M401" s="86" t="s">
        <v>1601</v>
      </c>
      <c r="O401" s="86">
        <v>0.2</v>
      </c>
      <c r="P401" s="95" t="s">
        <v>2773</v>
      </c>
      <c r="Q401" s="86" t="s">
        <v>658</v>
      </c>
      <c r="R401" s="86">
        <v>9008.0</v>
      </c>
      <c r="S401" s="86">
        <v>11.0</v>
      </c>
      <c r="U401" s="86">
        <v>0.9</v>
      </c>
      <c r="V401" s="86">
        <v>70001.0</v>
      </c>
      <c r="W401" s="86">
        <v>2.0</v>
      </c>
      <c r="X401" s="86">
        <v>1.0</v>
      </c>
      <c r="Y401" s="86">
        <v>70002.0</v>
      </c>
      <c r="Z401" s="86">
        <v>2.0</v>
      </c>
      <c r="AA401" s="86">
        <v>1.0</v>
      </c>
      <c r="AB401" s="86">
        <v>1001.0</v>
      </c>
      <c r="AC401" s="86">
        <v>100.0</v>
      </c>
      <c r="AD401" s="86">
        <v>1.0</v>
      </c>
      <c r="AE401" s="86">
        <v>8000.0</v>
      </c>
      <c r="AF401" s="86">
        <v>5350.0</v>
      </c>
      <c r="AG401" s="86">
        <v>1.0</v>
      </c>
    </row>
    <row r="402" ht="38.25" customHeight="1">
      <c r="A402" s="86">
        <v>1296.0</v>
      </c>
      <c r="B402" s="86" t="s">
        <v>1605</v>
      </c>
      <c r="C402" s="86">
        <v>9.0</v>
      </c>
      <c r="D402" s="86" t="s">
        <v>2864</v>
      </c>
      <c r="E402" s="86">
        <v>149.0</v>
      </c>
      <c r="G402" s="96" t="s">
        <v>2865</v>
      </c>
      <c r="I402" s="86">
        <v>38220.0</v>
      </c>
      <c r="J402" s="95" t="s">
        <v>2769</v>
      </c>
      <c r="K402" s="86" t="s">
        <v>647</v>
      </c>
      <c r="L402" s="86">
        <v>9008.0</v>
      </c>
      <c r="M402" s="86" t="s">
        <v>1668</v>
      </c>
      <c r="O402" s="86">
        <v>0.4</v>
      </c>
      <c r="P402" s="95" t="s">
        <v>2773</v>
      </c>
      <c r="Q402" s="86" t="s">
        <v>658</v>
      </c>
      <c r="R402" s="86">
        <v>9010.0</v>
      </c>
      <c r="S402" s="86" t="s">
        <v>1554</v>
      </c>
      <c r="U402" s="86">
        <v>0.5</v>
      </c>
      <c r="V402" s="86">
        <v>70001.0</v>
      </c>
      <c r="W402" s="86">
        <v>2.0</v>
      </c>
      <c r="X402" s="86">
        <v>1.0</v>
      </c>
      <c r="Y402" s="86">
        <v>70002.0</v>
      </c>
      <c r="Z402" s="86">
        <v>2.0</v>
      </c>
      <c r="AA402" s="86">
        <v>1.0</v>
      </c>
      <c r="AB402" s="86">
        <v>1001.0</v>
      </c>
      <c r="AC402" s="86">
        <v>100.0</v>
      </c>
      <c r="AD402" s="86">
        <v>1.0</v>
      </c>
      <c r="AE402" s="86">
        <v>8000.0</v>
      </c>
      <c r="AF402" s="86">
        <v>5350.0</v>
      </c>
      <c r="AG402" s="86">
        <v>1.0</v>
      </c>
    </row>
    <row r="403" ht="38.25" customHeight="1">
      <c r="A403" s="86">
        <v>1297.0</v>
      </c>
      <c r="B403" s="86" t="s">
        <v>1605</v>
      </c>
      <c r="C403" s="86">
        <v>9.0</v>
      </c>
      <c r="D403" s="86" t="s">
        <v>2867</v>
      </c>
      <c r="E403" s="86">
        <v>149.0</v>
      </c>
      <c r="G403" s="96" t="s">
        <v>2868</v>
      </c>
      <c r="I403" s="86">
        <v>38345.0</v>
      </c>
      <c r="J403" s="95" t="s">
        <v>2769</v>
      </c>
      <c r="K403" s="86" t="s">
        <v>647</v>
      </c>
      <c r="L403" s="86">
        <v>9001.0</v>
      </c>
      <c r="M403" s="86">
        <v>10.0</v>
      </c>
      <c r="O403" s="86">
        <v>0.7</v>
      </c>
      <c r="P403" s="95" t="s">
        <v>2773</v>
      </c>
      <c r="Q403" s="86" t="s">
        <v>658</v>
      </c>
      <c r="R403" s="86">
        <v>9007.0</v>
      </c>
      <c r="S403" s="86" t="s">
        <v>2746</v>
      </c>
      <c r="U403" s="86">
        <v>0.6</v>
      </c>
      <c r="V403" s="86">
        <v>70001.0</v>
      </c>
      <c r="W403" s="86">
        <v>2.0</v>
      </c>
      <c r="X403" s="86">
        <v>1.0</v>
      </c>
      <c r="Y403" s="86">
        <v>70002.0</v>
      </c>
      <c r="Z403" s="86">
        <v>2.0</v>
      </c>
      <c r="AA403" s="86">
        <v>1.0</v>
      </c>
      <c r="AB403" s="86">
        <v>1001.0</v>
      </c>
      <c r="AC403" s="86">
        <v>100.0</v>
      </c>
      <c r="AD403" s="86">
        <v>1.0</v>
      </c>
      <c r="AE403" s="86">
        <v>8000.0</v>
      </c>
      <c r="AF403" s="86">
        <v>5400.0</v>
      </c>
      <c r="AG403" s="86">
        <v>1.0</v>
      </c>
    </row>
    <row r="404" ht="38.25" customHeight="1">
      <c r="A404" s="86">
        <v>1298.0</v>
      </c>
      <c r="B404" s="86" t="s">
        <v>1605</v>
      </c>
      <c r="C404" s="86">
        <v>9.0</v>
      </c>
      <c r="D404" s="86" t="s">
        <v>2869</v>
      </c>
      <c r="E404" s="86">
        <v>150.0</v>
      </c>
      <c r="G404" s="96" t="s">
        <v>2870</v>
      </c>
      <c r="I404" s="86">
        <v>38470.0</v>
      </c>
      <c r="J404" s="95" t="s">
        <v>2769</v>
      </c>
      <c r="K404" s="86" t="s">
        <v>647</v>
      </c>
      <c r="L404" s="86">
        <v>9011.0</v>
      </c>
      <c r="M404" s="86" t="s">
        <v>1220</v>
      </c>
      <c r="O404" s="86">
        <v>0.3</v>
      </c>
      <c r="P404" s="95" t="s">
        <v>2773</v>
      </c>
      <c r="Q404" s="86" t="s">
        <v>658</v>
      </c>
      <c r="R404" s="86">
        <v>9012.0</v>
      </c>
      <c r="S404" s="86" t="s">
        <v>1287</v>
      </c>
      <c r="U404" s="86">
        <v>0.5</v>
      </c>
      <c r="V404" s="86">
        <v>70001.0</v>
      </c>
      <c r="W404" s="86">
        <v>2.0</v>
      </c>
      <c r="X404" s="86">
        <v>1.0</v>
      </c>
      <c r="Y404" s="86">
        <v>70002.0</v>
      </c>
      <c r="Z404" s="86">
        <v>2.0</v>
      </c>
      <c r="AA404" s="86">
        <v>1.0</v>
      </c>
      <c r="AB404" s="86">
        <v>1001.0</v>
      </c>
      <c r="AC404" s="86">
        <v>100.0</v>
      </c>
      <c r="AD404" s="86">
        <v>1.0</v>
      </c>
      <c r="AE404" s="86">
        <v>8000.0</v>
      </c>
      <c r="AF404" s="86">
        <v>5400.0</v>
      </c>
      <c r="AG404" s="86">
        <v>1.0</v>
      </c>
    </row>
    <row r="405" ht="38.25" customHeight="1">
      <c r="A405" s="86">
        <v>1299.0</v>
      </c>
      <c r="B405" s="86" t="s">
        <v>1605</v>
      </c>
      <c r="C405" s="86">
        <v>9.0</v>
      </c>
      <c r="D405" s="86" t="s">
        <v>2872</v>
      </c>
      <c r="E405" s="86">
        <v>150.0</v>
      </c>
      <c r="G405" s="96" t="s">
        <v>2873</v>
      </c>
      <c r="I405" s="86">
        <v>38595.0</v>
      </c>
      <c r="J405" s="95" t="s">
        <v>2769</v>
      </c>
      <c r="K405" s="86" t="s">
        <v>647</v>
      </c>
      <c r="L405" s="86">
        <v>9012.0</v>
      </c>
      <c r="M405" s="86">
        <v>3.0</v>
      </c>
      <c r="O405" s="86">
        <v>0.4</v>
      </c>
      <c r="P405" s="95" t="s">
        <v>2773</v>
      </c>
      <c r="Q405" s="86" t="s">
        <v>658</v>
      </c>
      <c r="R405" s="86">
        <v>9012.0</v>
      </c>
      <c r="S405" s="86">
        <v>4.0</v>
      </c>
      <c r="U405" s="86">
        <v>0.9</v>
      </c>
      <c r="V405" s="86">
        <v>70001.0</v>
      </c>
      <c r="W405" s="86">
        <v>2.0</v>
      </c>
      <c r="X405" s="86">
        <v>1.0</v>
      </c>
      <c r="Y405" s="86">
        <v>70002.0</v>
      </c>
      <c r="Z405" s="86">
        <v>2.0</v>
      </c>
      <c r="AA405" s="86">
        <v>1.0</v>
      </c>
      <c r="AB405" s="86">
        <v>1001.0</v>
      </c>
      <c r="AC405" s="86">
        <v>500.0</v>
      </c>
      <c r="AD405" s="86">
        <v>1.0</v>
      </c>
      <c r="AE405" s="86">
        <v>8000.0</v>
      </c>
      <c r="AF405" s="86">
        <v>5450.0</v>
      </c>
      <c r="AG405" s="86">
        <v>1.0</v>
      </c>
    </row>
    <row r="406" ht="38.25" customHeight="1">
      <c r="A406" s="86">
        <v>1300.0</v>
      </c>
      <c r="B406" s="86" t="s">
        <v>1605</v>
      </c>
      <c r="C406" s="86">
        <v>9.0</v>
      </c>
      <c r="D406" s="86" t="s">
        <v>2875</v>
      </c>
      <c r="E406" s="86">
        <v>150.0</v>
      </c>
      <c r="G406" s="96" t="s">
        <v>2876</v>
      </c>
      <c r="I406" s="86">
        <v>38720.0</v>
      </c>
      <c r="J406" s="95" t="s">
        <v>2769</v>
      </c>
      <c r="K406" s="86" t="s">
        <v>647</v>
      </c>
      <c r="L406" s="86">
        <v>9001.0</v>
      </c>
      <c r="M406" s="86" t="s">
        <v>2488</v>
      </c>
      <c r="O406" s="86">
        <v>0.8</v>
      </c>
      <c r="P406" s="95" t="s">
        <v>2773</v>
      </c>
      <c r="Q406" s="86" t="s">
        <v>658</v>
      </c>
      <c r="R406" s="86">
        <v>9010.0</v>
      </c>
      <c r="S406" s="86" t="s">
        <v>1096</v>
      </c>
      <c r="U406" s="86">
        <v>0.9</v>
      </c>
      <c r="V406" s="86">
        <v>70001.0</v>
      </c>
      <c r="W406" s="86">
        <v>2.0</v>
      </c>
      <c r="X406" s="86">
        <v>1.0</v>
      </c>
      <c r="Y406" s="86">
        <v>70002.0</v>
      </c>
      <c r="Z406" s="86">
        <v>2.0</v>
      </c>
      <c r="AA406" s="86">
        <v>1.0</v>
      </c>
      <c r="AB406" s="86">
        <v>1001.0</v>
      </c>
      <c r="AC406" s="86">
        <v>100.0</v>
      </c>
      <c r="AD406" s="86">
        <v>1.0</v>
      </c>
      <c r="AE406" s="86">
        <v>8000.0</v>
      </c>
      <c r="AF406" s="86">
        <v>5450.0</v>
      </c>
      <c r="AG406" s="86">
        <v>1.0</v>
      </c>
    </row>
    <row r="407" ht="38.25" customHeight="1">
      <c r="A407" s="86">
        <v>1301.0</v>
      </c>
      <c r="B407" s="86" t="s">
        <v>1605</v>
      </c>
      <c r="C407" s="86">
        <v>9.0</v>
      </c>
      <c r="D407" s="86" t="s">
        <v>2878</v>
      </c>
      <c r="E407" s="86">
        <v>150.0</v>
      </c>
      <c r="G407" s="96" t="s">
        <v>2879</v>
      </c>
      <c r="I407" s="86">
        <v>38845.0</v>
      </c>
      <c r="J407" s="95" t="s">
        <v>2769</v>
      </c>
      <c r="K407" s="86" t="s">
        <v>647</v>
      </c>
      <c r="L407" s="86">
        <v>9011.0</v>
      </c>
      <c r="M407" s="86">
        <v>6.0</v>
      </c>
      <c r="O407" s="86">
        <v>0.7</v>
      </c>
      <c r="P407" s="95" t="s">
        <v>2773</v>
      </c>
      <c r="Q407" s="86" t="s">
        <v>658</v>
      </c>
      <c r="R407" s="86">
        <v>9010.0</v>
      </c>
      <c r="S407" s="86">
        <v>8.0</v>
      </c>
      <c r="U407" s="86">
        <v>0.9</v>
      </c>
      <c r="V407" s="86">
        <v>70001.0</v>
      </c>
      <c r="W407" s="86">
        <v>2.0</v>
      </c>
      <c r="X407" s="86">
        <v>1.0</v>
      </c>
      <c r="Y407" s="86">
        <v>70002.0</v>
      </c>
      <c r="Z407" s="86">
        <v>2.0</v>
      </c>
      <c r="AA407" s="86">
        <v>1.0</v>
      </c>
      <c r="AB407" s="86">
        <v>1001.0</v>
      </c>
      <c r="AC407" s="86">
        <v>100.0</v>
      </c>
      <c r="AD407" s="86">
        <v>1.0</v>
      </c>
      <c r="AE407" s="86">
        <v>8000.0</v>
      </c>
      <c r="AF407" s="86">
        <v>5500.0</v>
      </c>
      <c r="AG407" s="86">
        <v>1.0</v>
      </c>
    </row>
    <row r="408" ht="38.25" customHeight="1">
      <c r="A408" s="86">
        <v>1302.0</v>
      </c>
      <c r="B408" s="86" t="s">
        <v>1605</v>
      </c>
      <c r="C408" s="86">
        <v>9.0</v>
      </c>
      <c r="D408" s="86" t="s">
        <v>2885</v>
      </c>
      <c r="E408" s="86">
        <v>150.0</v>
      </c>
      <c r="G408" s="96" t="s">
        <v>2887</v>
      </c>
      <c r="I408" s="86">
        <v>38970.0</v>
      </c>
      <c r="J408" s="95" t="s">
        <v>2769</v>
      </c>
      <c r="K408" s="86" t="s">
        <v>647</v>
      </c>
      <c r="L408" s="86">
        <v>9008.0</v>
      </c>
      <c r="M408" s="86" t="s">
        <v>2698</v>
      </c>
      <c r="O408" s="86">
        <v>0.5</v>
      </c>
      <c r="P408" s="95" t="s">
        <v>2773</v>
      </c>
      <c r="Q408" s="86" t="s">
        <v>658</v>
      </c>
      <c r="R408" s="86">
        <v>9010.0</v>
      </c>
      <c r="S408" s="86" t="s">
        <v>2888</v>
      </c>
      <c r="U408" s="86">
        <v>0.4</v>
      </c>
      <c r="V408" s="86">
        <v>70001.0</v>
      </c>
      <c r="W408" s="86">
        <v>2.0</v>
      </c>
      <c r="X408" s="86">
        <v>1.0</v>
      </c>
      <c r="Y408" s="86">
        <v>70002.0</v>
      </c>
      <c r="Z408" s="86">
        <v>2.0</v>
      </c>
      <c r="AA408" s="86">
        <v>1.0</v>
      </c>
      <c r="AB408" s="86">
        <v>1001.0</v>
      </c>
      <c r="AC408" s="86">
        <v>100.0</v>
      </c>
      <c r="AD408" s="86">
        <v>1.0</v>
      </c>
      <c r="AE408" s="86">
        <v>8000.0</v>
      </c>
      <c r="AF408" s="86">
        <v>5500.0</v>
      </c>
      <c r="AG408" s="86">
        <v>1.0</v>
      </c>
    </row>
    <row r="409" ht="38.25" customHeight="1">
      <c r="A409" s="86">
        <v>1303.0</v>
      </c>
      <c r="B409" s="86" t="s">
        <v>1605</v>
      </c>
      <c r="C409" s="86">
        <v>9.0</v>
      </c>
      <c r="D409" s="86" t="s">
        <v>2890</v>
      </c>
      <c r="E409" s="86">
        <v>150.0</v>
      </c>
      <c r="G409" s="96" t="s">
        <v>2891</v>
      </c>
      <c r="I409" s="86">
        <v>39095.0</v>
      </c>
      <c r="J409" s="95" t="s">
        <v>2769</v>
      </c>
      <c r="K409" s="86" t="s">
        <v>647</v>
      </c>
      <c r="L409" s="86">
        <v>9008.0</v>
      </c>
      <c r="M409" s="86" t="s">
        <v>1431</v>
      </c>
      <c r="O409" s="86">
        <v>0.5</v>
      </c>
      <c r="P409" s="95" t="s">
        <v>2773</v>
      </c>
      <c r="Q409" s="86" t="s">
        <v>658</v>
      </c>
      <c r="R409" s="86">
        <v>9008.0</v>
      </c>
      <c r="S409" s="86" t="s">
        <v>1402</v>
      </c>
      <c r="U409" s="86">
        <v>0.5</v>
      </c>
      <c r="V409" s="86">
        <v>70001.0</v>
      </c>
      <c r="W409" s="86">
        <v>2.0</v>
      </c>
      <c r="X409" s="86">
        <v>1.0</v>
      </c>
      <c r="Y409" s="86">
        <v>70002.0</v>
      </c>
      <c r="Z409" s="86">
        <v>2.0</v>
      </c>
      <c r="AA409" s="86">
        <v>1.0</v>
      </c>
      <c r="AB409" s="86">
        <v>1001.0</v>
      </c>
      <c r="AC409" s="86">
        <v>100.0</v>
      </c>
      <c r="AD409" s="86">
        <v>1.0</v>
      </c>
      <c r="AE409" s="86">
        <v>8000.0</v>
      </c>
      <c r="AF409" s="86">
        <v>5550.0</v>
      </c>
      <c r="AG409" s="86">
        <v>1.0</v>
      </c>
    </row>
    <row r="410" ht="38.25" customHeight="1">
      <c r="A410" s="86">
        <v>1304.0</v>
      </c>
      <c r="B410" s="86" t="s">
        <v>1605</v>
      </c>
      <c r="C410" s="86">
        <v>9.0</v>
      </c>
      <c r="D410" s="86" t="s">
        <v>2893</v>
      </c>
      <c r="E410" s="86">
        <v>150.0</v>
      </c>
      <c r="G410" s="96" t="s">
        <v>2894</v>
      </c>
      <c r="I410" s="86">
        <v>39220.0</v>
      </c>
      <c r="J410" s="95" t="s">
        <v>2769</v>
      </c>
      <c r="K410" s="86" t="s">
        <v>647</v>
      </c>
      <c r="L410" s="86">
        <v>9012.0</v>
      </c>
      <c r="M410" s="86" t="s">
        <v>1132</v>
      </c>
      <c r="O410" s="86">
        <v>0.9</v>
      </c>
      <c r="P410" s="95" t="s">
        <v>2773</v>
      </c>
      <c r="Q410" s="86" t="s">
        <v>658</v>
      </c>
      <c r="R410" s="86">
        <v>9010.0</v>
      </c>
      <c r="S410" s="86" t="s">
        <v>2895</v>
      </c>
      <c r="U410" s="86">
        <v>0.8</v>
      </c>
      <c r="V410" s="86">
        <v>70001.0</v>
      </c>
      <c r="W410" s="86">
        <v>2.0</v>
      </c>
      <c r="X410" s="86">
        <v>1.0</v>
      </c>
      <c r="Y410" s="86">
        <v>70002.0</v>
      </c>
      <c r="Z410" s="86">
        <v>2.0</v>
      </c>
      <c r="AA410" s="86">
        <v>1.0</v>
      </c>
      <c r="AB410" s="86">
        <v>1001.0</v>
      </c>
      <c r="AC410" s="86">
        <v>100.0</v>
      </c>
      <c r="AD410" s="86">
        <v>1.0</v>
      </c>
      <c r="AE410" s="86">
        <v>8000.0</v>
      </c>
      <c r="AF410" s="86">
        <v>5550.0</v>
      </c>
      <c r="AG410" s="86">
        <v>1.0</v>
      </c>
    </row>
    <row r="411" ht="38.25" customHeight="1">
      <c r="A411" s="86">
        <v>1305.0</v>
      </c>
      <c r="B411" s="86" t="s">
        <v>1605</v>
      </c>
      <c r="C411" s="86">
        <v>9.0</v>
      </c>
      <c r="D411" s="86" t="s">
        <v>2897</v>
      </c>
      <c r="E411" s="86">
        <v>150.0</v>
      </c>
      <c r="G411" s="96" t="s">
        <v>2898</v>
      </c>
      <c r="I411" s="86">
        <v>39345.0</v>
      </c>
      <c r="J411" s="95" t="s">
        <v>2769</v>
      </c>
      <c r="K411" s="86" t="s">
        <v>647</v>
      </c>
      <c r="L411" s="86">
        <v>9006.0</v>
      </c>
      <c r="M411" s="86">
        <v>9.0</v>
      </c>
      <c r="O411" s="86">
        <v>0.2</v>
      </c>
      <c r="P411" s="95" t="s">
        <v>2773</v>
      </c>
      <c r="Q411" s="86" t="s">
        <v>658</v>
      </c>
      <c r="R411" s="86">
        <v>9007.0</v>
      </c>
      <c r="S411" s="86" t="s">
        <v>1190</v>
      </c>
      <c r="U411" s="86">
        <v>0.1</v>
      </c>
      <c r="V411" s="86">
        <v>70001.0</v>
      </c>
      <c r="W411" s="86">
        <v>2.0</v>
      </c>
      <c r="X411" s="86">
        <v>1.0</v>
      </c>
      <c r="Y411" s="86">
        <v>70002.0</v>
      </c>
      <c r="Z411" s="86">
        <v>2.0</v>
      </c>
      <c r="AA411" s="86">
        <v>1.0</v>
      </c>
      <c r="AB411" s="86">
        <v>1001.0</v>
      </c>
      <c r="AC411" s="86">
        <v>100.0</v>
      </c>
      <c r="AD411" s="86">
        <v>1.0</v>
      </c>
      <c r="AE411" s="86">
        <v>8000.0</v>
      </c>
      <c r="AF411" s="86">
        <v>5600.0</v>
      </c>
      <c r="AG411" s="86">
        <v>1.0</v>
      </c>
    </row>
    <row r="412" ht="38.25" customHeight="1">
      <c r="A412" s="86">
        <v>1306.0</v>
      </c>
      <c r="B412" s="86" t="s">
        <v>1605</v>
      </c>
      <c r="C412" s="86">
        <v>9.0</v>
      </c>
      <c r="D412" s="86" t="s">
        <v>2900</v>
      </c>
      <c r="E412" s="86">
        <v>150.0</v>
      </c>
      <c r="G412" s="96" t="s">
        <v>2901</v>
      </c>
      <c r="I412" s="86">
        <v>39470.0</v>
      </c>
      <c r="J412" s="95" t="s">
        <v>2769</v>
      </c>
      <c r="K412" s="86" t="s">
        <v>647</v>
      </c>
      <c r="L412" s="86">
        <v>9005.0</v>
      </c>
      <c r="M412" s="86" t="s">
        <v>2012</v>
      </c>
      <c r="O412" s="86">
        <v>0.8</v>
      </c>
      <c r="P412" s="95" t="s">
        <v>2773</v>
      </c>
      <c r="Q412" s="86" t="s">
        <v>658</v>
      </c>
      <c r="R412" s="86">
        <v>9012.0</v>
      </c>
      <c r="S412" s="86" t="s">
        <v>1815</v>
      </c>
      <c r="U412" s="86">
        <v>0.8</v>
      </c>
      <c r="V412" s="86">
        <v>70001.0</v>
      </c>
      <c r="W412" s="86">
        <v>2.0</v>
      </c>
      <c r="X412" s="86">
        <v>1.0</v>
      </c>
      <c r="Y412" s="86">
        <v>70002.0</v>
      </c>
      <c r="Z412" s="86">
        <v>2.0</v>
      </c>
      <c r="AA412" s="86">
        <v>1.0</v>
      </c>
      <c r="AB412" s="86">
        <v>1001.0</v>
      </c>
      <c r="AC412" s="86">
        <v>100.0</v>
      </c>
      <c r="AD412" s="86">
        <v>1.0</v>
      </c>
      <c r="AE412" s="86">
        <v>8000.0</v>
      </c>
      <c r="AF412" s="86">
        <v>5600.0</v>
      </c>
      <c r="AG412" s="86">
        <v>1.0</v>
      </c>
    </row>
    <row r="413" ht="38.25" customHeight="1">
      <c r="A413" s="86">
        <v>1307.0</v>
      </c>
      <c r="B413" s="86" t="s">
        <v>1605</v>
      </c>
      <c r="C413" s="86">
        <v>9.0</v>
      </c>
      <c r="D413" s="86" t="s">
        <v>2903</v>
      </c>
      <c r="E413" s="86">
        <v>150.0</v>
      </c>
      <c r="G413" s="96" t="s">
        <v>2904</v>
      </c>
      <c r="I413" s="86">
        <v>39595.0</v>
      </c>
      <c r="J413" s="95" t="s">
        <v>2769</v>
      </c>
      <c r="K413" s="86" t="s">
        <v>647</v>
      </c>
      <c r="L413" s="86">
        <v>9012.0</v>
      </c>
      <c r="M413" s="86" t="s">
        <v>1752</v>
      </c>
      <c r="O413" s="86">
        <v>0.3</v>
      </c>
      <c r="P413" s="95" t="s">
        <v>2773</v>
      </c>
      <c r="Q413" s="86" t="s">
        <v>658</v>
      </c>
      <c r="R413" s="86">
        <v>9007.0</v>
      </c>
      <c r="S413" s="86" t="s">
        <v>2554</v>
      </c>
      <c r="U413" s="86">
        <v>0.6</v>
      </c>
      <c r="V413" s="86">
        <v>70001.0</v>
      </c>
      <c r="W413" s="86">
        <v>2.0</v>
      </c>
      <c r="X413" s="86">
        <v>1.0</v>
      </c>
      <c r="Y413" s="86">
        <v>70002.0</v>
      </c>
      <c r="Z413" s="86">
        <v>2.0</v>
      </c>
      <c r="AA413" s="86">
        <v>1.0</v>
      </c>
      <c r="AB413" s="86">
        <v>1001.0</v>
      </c>
      <c r="AC413" s="86">
        <v>100.0</v>
      </c>
      <c r="AD413" s="86">
        <v>1.0</v>
      </c>
      <c r="AE413" s="86">
        <v>8000.0</v>
      </c>
      <c r="AF413" s="86">
        <v>5650.0</v>
      </c>
      <c r="AG413" s="86">
        <v>1.0</v>
      </c>
    </row>
    <row r="414" ht="38.25" customHeight="1">
      <c r="A414" s="86">
        <v>1308.0</v>
      </c>
      <c r="B414" s="86" t="s">
        <v>1605</v>
      </c>
      <c r="C414" s="86">
        <v>9.0</v>
      </c>
      <c r="D414" s="86" t="s">
        <v>2906</v>
      </c>
      <c r="E414" s="86">
        <v>150.0</v>
      </c>
      <c r="G414" s="96" t="s">
        <v>2907</v>
      </c>
      <c r="I414" s="86">
        <v>39720.0</v>
      </c>
      <c r="J414" s="95" t="s">
        <v>2769</v>
      </c>
      <c r="K414" s="86" t="s">
        <v>647</v>
      </c>
      <c r="L414" s="86">
        <v>9001.0</v>
      </c>
      <c r="M414" s="86">
        <v>7.0</v>
      </c>
      <c r="O414" s="86">
        <v>0.9</v>
      </c>
      <c r="P414" s="95" t="s">
        <v>2773</v>
      </c>
      <c r="Q414" s="86" t="s">
        <v>658</v>
      </c>
      <c r="R414" s="86">
        <v>9004.0</v>
      </c>
      <c r="S414" s="86" t="s">
        <v>2908</v>
      </c>
      <c r="U414" s="86">
        <v>0.7</v>
      </c>
      <c r="V414" s="86">
        <v>70001.0</v>
      </c>
      <c r="W414" s="86">
        <v>2.0</v>
      </c>
      <c r="X414" s="86">
        <v>1.0</v>
      </c>
      <c r="Y414" s="86">
        <v>70002.0</v>
      </c>
      <c r="Z414" s="86">
        <v>2.0</v>
      </c>
      <c r="AA414" s="86">
        <v>1.0</v>
      </c>
      <c r="AB414" s="86">
        <v>1001.0</v>
      </c>
      <c r="AC414" s="86">
        <v>100.0</v>
      </c>
      <c r="AD414" s="86">
        <v>1.0</v>
      </c>
      <c r="AE414" s="86">
        <v>8000.0</v>
      </c>
      <c r="AF414" s="86">
        <v>5650.0</v>
      </c>
      <c r="AG414" s="86">
        <v>1.0</v>
      </c>
    </row>
    <row r="415" ht="38.25" customHeight="1">
      <c r="A415" s="86">
        <v>1309.0</v>
      </c>
      <c r="B415" s="86" t="s">
        <v>1605</v>
      </c>
      <c r="C415" s="86">
        <v>9.0</v>
      </c>
      <c r="D415" s="86" t="s">
        <v>2910</v>
      </c>
      <c r="E415" s="86">
        <v>150.0</v>
      </c>
      <c r="G415" s="96" t="s">
        <v>2911</v>
      </c>
      <c r="I415" s="86">
        <v>39845.0</v>
      </c>
      <c r="J415" s="95" t="s">
        <v>2769</v>
      </c>
      <c r="K415" s="86" t="s">
        <v>647</v>
      </c>
      <c r="L415" s="86">
        <v>9005.0</v>
      </c>
      <c r="M415" s="86" t="s">
        <v>1596</v>
      </c>
      <c r="O415" s="86">
        <v>0.3</v>
      </c>
      <c r="P415" s="95" t="s">
        <v>2773</v>
      </c>
      <c r="Q415" s="86" t="s">
        <v>658</v>
      </c>
      <c r="R415" s="86">
        <v>9007.0</v>
      </c>
      <c r="S415" s="86" t="s">
        <v>1427</v>
      </c>
      <c r="U415" s="86">
        <v>0.6</v>
      </c>
      <c r="V415" s="86">
        <v>70001.0</v>
      </c>
      <c r="W415" s="86">
        <v>2.0</v>
      </c>
      <c r="X415" s="86">
        <v>1.0</v>
      </c>
      <c r="Y415" s="86">
        <v>70002.0</v>
      </c>
      <c r="Z415" s="86">
        <v>2.0</v>
      </c>
      <c r="AA415" s="86">
        <v>1.0</v>
      </c>
      <c r="AB415" s="86">
        <v>1001.0</v>
      </c>
      <c r="AC415" s="86">
        <v>100.0</v>
      </c>
      <c r="AD415" s="86">
        <v>1.0</v>
      </c>
      <c r="AE415" s="86">
        <v>8000.0</v>
      </c>
      <c r="AF415" s="86">
        <v>5650.0</v>
      </c>
      <c r="AG415" s="86">
        <v>1.0</v>
      </c>
    </row>
    <row r="416" ht="38.25" customHeight="1">
      <c r="A416" s="86">
        <v>1310.0</v>
      </c>
      <c r="B416" s="86" t="s">
        <v>1605</v>
      </c>
      <c r="C416" s="86">
        <v>10.0</v>
      </c>
      <c r="D416" s="86" t="s">
        <v>2913</v>
      </c>
      <c r="E416" s="86">
        <v>150.0</v>
      </c>
      <c r="G416" s="96" t="s">
        <v>2914</v>
      </c>
      <c r="I416" s="86">
        <v>39970.0</v>
      </c>
      <c r="J416" s="95" t="s">
        <v>2915</v>
      </c>
      <c r="K416" s="86" t="s">
        <v>647</v>
      </c>
      <c r="L416" s="86">
        <v>9002.0</v>
      </c>
      <c r="M416" s="86" t="s">
        <v>1160</v>
      </c>
      <c r="O416" s="86">
        <v>0.9</v>
      </c>
      <c r="P416" s="95" t="s">
        <v>2917</v>
      </c>
      <c r="Q416" s="86" t="s">
        <v>658</v>
      </c>
      <c r="R416" s="86">
        <v>9008.0</v>
      </c>
      <c r="S416" s="86">
        <v>7.0</v>
      </c>
      <c r="U416" s="86">
        <v>0.9</v>
      </c>
      <c r="V416" s="86">
        <v>70001.0</v>
      </c>
      <c r="W416" s="86">
        <v>2.0</v>
      </c>
      <c r="X416" s="86">
        <v>1.0</v>
      </c>
      <c r="Y416" s="86">
        <v>70002.0</v>
      </c>
      <c r="Z416" s="86">
        <v>2.0</v>
      </c>
      <c r="AA416" s="86">
        <v>1.0</v>
      </c>
      <c r="AB416" s="86">
        <v>1001.0</v>
      </c>
      <c r="AC416" s="86">
        <v>100.0</v>
      </c>
      <c r="AD416" s="86">
        <v>1.0</v>
      </c>
      <c r="AE416" s="86">
        <v>8000.0</v>
      </c>
      <c r="AF416" s="86">
        <v>5700.0</v>
      </c>
      <c r="AG416" s="86">
        <v>1.0</v>
      </c>
    </row>
    <row r="417" ht="38.25" customHeight="1">
      <c r="A417" s="86">
        <v>1311.0</v>
      </c>
      <c r="B417" s="86" t="s">
        <v>1605</v>
      </c>
      <c r="C417" s="86">
        <v>10.0</v>
      </c>
      <c r="D417" s="86" t="s">
        <v>2918</v>
      </c>
      <c r="E417" s="86">
        <v>150.0</v>
      </c>
      <c r="G417" s="96" t="s">
        <v>2919</v>
      </c>
      <c r="I417" s="86">
        <v>40095.0</v>
      </c>
      <c r="J417" s="95" t="s">
        <v>2915</v>
      </c>
      <c r="K417" s="86" t="s">
        <v>647</v>
      </c>
      <c r="L417" s="86">
        <v>9008.0</v>
      </c>
      <c r="M417" s="86" t="s">
        <v>2633</v>
      </c>
      <c r="O417" s="86">
        <v>0.4</v>
      </c>
      <c r="P417" s="95" t="s">
        <v>2917</v>
      </c>
      <c r="Q417" s="86" t="s">
        <v>658</v>
      </c>
      <c r="R417" s="86">
        <v>9007.0</v>
      </c>
      <c r="S417" s="86" t="s">
        <v>1329</v>
      </c>
      <c r="U417" s="86">
        <v>0.2</v>
      </c>
      <c r="V417" s="86">
        <v>70001.0</v>
      </c>
      <c r="W417" s="86">
        <v>2.0</v>
      </c>
      <c r="X417" s="86">
        <v>1.0</v>
      </c>
      <c r="Y417" s="86">
        <v>70002.0</v>
      </c>
      <c r="Z417" s="86">
        <v>2.0</v>
      </c>
      <c r="AA417" s="86">
        <v>1.0</v>
      </c>
      <c r="AB417" s="86">
        <v>1001.0</v>
      </c>
      <c r="AC417" s="86">
        <v>100.0</v>
      </c>
      <c r="AD417" s="86">
        <v>1.0</v>
      </c>
      <c r="AE417" s="86">
        <v>8000.0</v>
      </c>
      <c r="AF417" s="86">
        <v>5700.0</v>
      </c>
      <c r="AG417" s="86">
        <v>1.0</v>
      </c>
    </row>
    <row r="418" ht="38.25" customHeight="1">
      <c r="A418" s="86">
        <v>1312.0</v>
      </c>
      <c r="B418" s="86" t="s">
        <v>1605</v>
      </c>
      <c r="C418" s="86">
        <v>10.0</v>
      </c>
      <c r="D418" s="86" t="s">
        <v>2921</v>
      </c>
      <c r="E418" s="86">
        <v>150.0</v>
      </c>
      <c r="G418" s="96" t="s">
        <v>2922</v>
      </c>
      <c r="I418" s="86">
        <v>40220.0</v>
      </c>
      <c r="J418" s="95" t="s">
        <v>2915</v>
      </c>
      <c r="K418" s="86" t="s">
        <v>647</v>
      </c>
      <c r="L418" s="86">
        <v>9007.0</v>
      </c>
      <c r="M418" s="86" t="s">
        <v>2265</v>
      </c>
      <c r="O418" s="86">
        <v>0.9</v>
      </c>
      <c r="P418" s="95" t="s">
        <v>2917</v>
      </c>
      <c r="Q418" s="86" t="s">
        <v>658</v>
      </c>
      <c r="R418" s="86">
        <v>9011.0</v>
      </c>
      <c r="S418" s="86">
        <v>13.0</v>
      </c>
      <c r="U418" s="86">
        <v>0.9</v>
      </c>
      <c r="V418" s="86">
        <v>70001.0</v>
      </c>
      <c r="W418" s="86">
        <v>2.0</v>
      </c>
      <c r="X418" s="86">
        <v>1.0</v>
      </c>
      <c r="Y418" s="86">
        <v>70002.0</v>
      </c>
      <c r="Z418" s="86">
        <v>2.0</v>
      </c>
      <c r="AA418" s="86">
        <v>1.0</v>
      </c>
      <c r="AB418" s="86">
        <v>1001.0</v>
      </c>
      <c r="AC418" s="86">
        <v>100.0</v>
      </c>
      <c r="AD418" s="86">
        <v>1.0</v>
      </c>
      <c r="AE418" s="86">
        <v>8000.0</v>
      </c>
      <c r="AF418" s="86">
        <v>5750.0</v>
      </c>
      <c r="AG418" s="86">
        <v>1.0</v>
      </c>
    </row>
    <row r="419" ht="38.25" customHeight="1">
      <c r="A419" s="86">
        <v>1313.0</v>
      </c>
      <c r="B419" s="86" t="s">
        <v>1605</v>
      </c>
      <c r="C419" s="86">
        <v>10.0</v>
      </c>
      <c r="D419" s="86" t="s">
        <v>2924</v>
      </c>
      <c r="E419" s="86">
        <v>150.0</v>
      </c>
      <c r="G419" s="96" t="s">
        <v>2925</v>
      </c>
      <c r="I419" s="86">
        <v>40345.0</v>
      </c>
      <c r="J419" s="95" t="s">
        <v>2915</v>
      </c>
      <c r="K419" s="86" t="s">
        <v>647</v>
      </c>
      <c r="L419" s="86">
        <v>9011.0</v>
      </c>
      <c r="M419" s="86" t="s">
        <v>1550</v>
      </c>
      <c r="O419" s="86">
        <v>0.1</v>
      </c>
      <c r="P419" s="95" t="s">
        <v>2917</v>
      </c>
      <c r="Q419" s="86" t="s">
        <v>658</v>
      </c>
      <c r="R419" s="86">
        <v>9003.0</v>
      </c>
      <c r="S419" s="86" t="s">
        <v>1235</v>
      </c>
      <c r="U419" s="86">
        <v>0.8</v>
      </c>
      <c r="V419" s="86">
        <v>70001.0</v>
      </c>
      <c r="W419" s="86">
        <v>2.0</v>
      </c>
      <c r="X419" s="86">
        <v>1.0</v>
      </c>
      <c r="Y419" s="86">
        <v>70002.0</v>
      </c>
      <c r="Z419" s="86">
        <v>2.0</v>
      </c>
      <c r="AA419" s="86">
        <v>1.0</v>
      </c>
      <c r="AB419" s="86">
        <v>1001.0</v>
      </c>
      <c r="AC419" s="86">
        <v>100.0</v>
      </c>
      <c r="AD419" s="86">
        <v>1.0</v>
      </c>
      <c r="AE419" s="86">
        <v>8000.0</v>
      </c>
      <c r="AF419" s="86">
        <v>5750.0</v>
      </c>
      <c r="AG419" s="86">
        <v>1.0</v>
      </c>
    </row>
    <row r="420" ht="38.25" customHeight="1">
      <c r="A420" s="86">
        <v>1314.0</v>
      </c>
      <c r="B420" s="86" t="s">
        <v>1605</v>
      </c>
      <c r="C420" s="86">
        <v>10.0</v>
      </c>
      <c r="D420" s="86" t="s">
        <v>2927</v>
      </c>
      <c r="E420" s="86">
        <v>150.0</v>
      </c>
      <c r="G420" s="96" t="s">
        <v>2928</v>
      </c>
      <c r="I420" s="86">
        <v>40470.0</v>
      </c>
      <c r="J420" s="95" t="s">
        <v>2915</v>
      </c>
      <c r="K420" s="86" t="s">
        <v>647</v>
      </c>
      <c r="L420" s="86">
        <v>9006.0</v>
      </c>
      <c r="M420" s="86">
        <v>4.0</v>
      </c>
      <c r="O420" s="86">
        <v>0.3</v>
      </c>
      <c r="P420" s="95" t="s">
        <v>2917</v>
      </c>
      <c r="Q420" s="86" t="s">
        <v>658</v>
      </c>
      <c r="R420" s="86">
        <v>9004.0</v>
      </c>
      <c r="S420" s="86" t="s">
        <v>2930</v>
      </c>
      <c r="U420" s="86">
        <v>0.6</v>
      </c>
      <c r="V420" s="86">
        <v>70001.0</v>
      </c>
      <c r="W420" s="86">
        <v>2.0</v>
      </c>
      <c r="X420" s="86">
        <v>1.0</v>
      </c>
      <c r="Y420" s="86">
        <v>70002.0</v>
      </c>
      <c r="Z420" s="86">
        <v>2.0</v>
      </c>
      <c r="AA420" s="86">
        <v>1.0</v>
      </c>
      <c r="AB420" s="86">
        <v>1001.0</v>
      </c>
      <c r="AC420" s="86">
        <v>100.0</v>
      </c>
      <c r="AD420" s="86">
        <v>1.0</v>
      </c>
      <c r="AE420" s="86">
        <v>8000.0</v>
      </c>
      <c r="AF420" s="86">
        <v>5800.0</v>
      </c>
      <c r="AG420" s="86">
        <v>1.0</v>
      </c>
    </row>
    <row r="421" ht="38.25" customHeight="1">
      <c r="A421" s="86">
        <v>1315.0</v>
      </c>
      <c r="B421" s="86" t="s">
        <v>1605</v>
      </c>
      <c r="C421" s="86">
        <v>10.0</v>
      </c>
      <c r="D421" s="86" t="s">
        <v>2932</v>
      </c>
      <c r="E421" s="86">
        <v>150.0</v>
      </c>
      <c r="G421" s="96" t="s">
        <v>2933</v>
      </c>
      <c r="I421" s="86">
        <v>40595.0</v>
      </c>
      <c r="J421" s="95" t="s">
        <v>2915</v>
      </c>
      <c r="K421" s="86" t="s">
        <v>647</v>
      </c>
      <c r="L421" s="86">
        <v>9008.0</v>
      </c>
      <c r="M421" s="86">
        <v>11.0</v>
      </c>
      <c r="O421" s="86">
        <v>0.1</v>
      </c>
      <c r="P421" s="95" t="s">
        <v>2917</v>
      </c>
      <c r="Q421" s="86" t="s">
        <v>658</v>
      </c>
      <c r="R421" s="86">
        <v>9011.0</v>
      </c>
      <c r="S421" s="86" t="s">
        <v>1493</v>
      </c>
      <c r="U421" s="86">
        <v>0.3</v>
      </c>
      <c r="V421" s="86">
        <v>70001.0</v>
      </c>
      <c r="W421" s="86">
        <v>2.0</v>
      </c>
      <c r="X421" s="86">
        <v>1.0</v>
      </c>
      <c r="Y421" s="86">
        <v>70002.0</v>
      </c>
      <c r="Z421" s="86">
        <v>2.0</v>
      </c>
      <c r="AA421" s="86">
        <v>1.0</v>
      </c>
      <c r="AB421" s="86">
        <v>1001.0</v>
      </c>
      <c r="AC421" s="86">
        <v>100.0</v>
      </c>
      <c r="AD421" s="86">
        <v>1.0</v>
      </c>
      <c r="AE421" s="86">
        <v>8000.0</v>
      </c>
      <c r="AF421" s="86">
        <v>5800.0</v>
      </c>
      <c r="AG421" s="86">
        <v>1.0</v>
      </c>
    </row>
    <row r="422" ht="38.25" customHeight="1">
      <c r="A422" s="86">
        <v>1316.0</v>
      </c>
      <c r="B422" s="86" t="s">
        <v>1605</v>
      </c>
      <c r="C422" s="86">
        <v>10.0</v>
      </c>
      <c r="D422" s="86" t="s">
        <v>2935</v>
      </c>
      <c r="E422" s="86">
        <v>150.0</v>
      </c>
      <c r="G422" s="96" t="s">
        <v>2936</v>
      </c>
      <c r="I422" s="86">
        <v>40720.0</v>
      </c>
      <c r="J422" s="95" t="s">
        <v>2915</v>
      </c>
      <c r="K422" s="86" t="s">
        <v>647</v>
      </c>
      <c r="L422" s="86">
        <v>9007.0</v>
      </c>
      <c r="M422" s="86">
        <v>1.0</v>
      </c>
      <c r="O422" s="86">
        <v>0.2</v>
      </c>
      <c r="P422" s="95" t="s">
        <v>2917</v>
      </c>
      <c r="Q422" s="86" t="s">
        <v>658</v>
      </c>
      <c r="R422" s="86">
        <v>9003.0</v>
      </c>
      <c r="S422" s="86" t="s">
        <v>1190</v>
      </c>
      <c r="U422" s="86">
        <v>0.9</v>
      </c>
      <c r="V422" s="86">
        <v>70001.0</v>
      </c>
      <c r="W422" s="86">
        <v>2.0</v>
      </c>
      <c r="X422" s="86">
        <v>1.0</v>
      </c>
      <c r="Y422" s="86">
        <v>70002.0</v>
      </c>
      <c r="Z422" s="86">
        <v>2.0</v>
      </c>
      <c r="AA422" s="86">
        <v>1.0</v>
      </c>
      <c r="AB422" s="86">
        <v>1001.0</v>
      </c>
      <c r="AC422" s="86">
        <v>100.0</v>
      </c>
      <c r="AD422" s="86">
        <v>1.0</v>
      </c>
      <c r="AE422" s="86">
        <v>8000.0</v>
      </c>
      <c r="AF422" s="86">
        <v>5850.0</v>
      </c>
      <c r="AG422" s="86">
        <v>1.0</v>
      </c>
    </row>
    <row r="423" ht="38.25" customHeight="1">
      <c r="A423" s="86">
        <v>1317.0</v>
      </c>
      <c r="B423" s="86" t="s">
        <v>1605</v>
      </c>
      <c r="C423" s="86">
        <v>10.0</v>
      </c>
      <c r="D423" s="86" t="s">
        <v>2938</v>
      </c>
      <c r="E423" s="86">
        <v>150.0</v>
      </c>
      <c r="G423" s="96" t="s">
        <v>2939</v>
      </c>
      <c r="I423" s="86">
        <v>40845.0</v>
      </c>
      <c r="J423" s="95" t="s">
        <v>2915</v>
      </c>
      <c r="K423" s="86" t="s">
        <v>647</v>
      </c>
      <c r="L423" s="86">
        <v>9002.0</v>
      </c>
      <c r="M423" s="86" t="s">
        <v>1323</v>
      </c>
      <c r="O423" s="86">
        <v>0.6</v>
      </c>
      <c r="P423" s="95" t="s">
        <v>2917</v>
      </c>
      <c r="Q423" s="86" t="s">
        <v>658</v>
      </c>
      <c r="R423" s="86">
        <v>9008.0</v>
      </c>
      <c r="S423" s="86" t="s">
        <v>1755</v>
      </c>
      <c r="U423" s="86">
        <v>0.3</v>
      </c>
      <c r="V423" s="86">
        <v>70001.0</v>
      </c>
      <c r="W423" s="86">
        <v>2.0</v>
      </c>
      <c r="X423" s="86">
        <v>1.0</v>
      </c>
      <c r="Y423" s="86">
        <v>70002.0</v>
      </c>
      <c r="Z423" s="86">
        <v>2.0</v>
      </c>
      <c r="AA423" s="86">
        <v>1.0</v>
      </c>
      <c r="AB423" s="86">
        <v>1001.0</v>
      </c>
      <c r="AC423" s="86">
        <v>100.0</v>
      </c>
      <c r="AD423" s="86">
        <v>1.0</v>
      </c>
      <c r="AE423" s="86">
        <v>8000.0</v>
      </c>
      <c r="AF423" s="86">
        <v>5850.0</v>
      </c>
      <c r="AG423" s="86">
        <v>1.0</v>
      </c>
    </row>
    <row r="424" ht="38.25" customHeight="1">
      <c r="A424" s="86">
        <v>1318.0</v>
      </c>
      <c r="B424" s="86" t="s">
        <v>1605</v>
      </c>
      <c r="C424" s="86">
        <v>10.0</v>
      </c>
      <c r="D424" s="86" t="s">
        <v>2941</v>
      </c>
      <c r="E424" s="86">
        <v>150.0</v>
      </c>
      <c r="G424" s="96" t="s">
        <v>2942</v>
      </c>
      <c r="I424" s="86">
        <v>40970.0</v>
      </c>
      <c r="J424" s="95" t="s">
        <v>2915</v>
      </c>
      <c r="K424" s="86" t="s">
        <v>647</v>
      </c>
      <c r="L424" s="86">
        <v>9001.0</v>
      </c>
      <c r="M424" s="86" t="s">
        <v>2084</v>
      </c>
      <c r="O424" s="86">
        <v>0.8</v>
      </c>
      <c r="P424" s="95" t="s">
        <v>2917</v>
      </c>
      <c r="Q424" s="86" t="s">
        <v>658</v>
      </c>
      <c r="R424" s="86">
        <v>9011.0</v>
      </c>
      <c r="S424" s="86">
        <v>4.0</v>
      </c>
      <c r="U424" s="86">
        <v>0.3</v>
      </c>
      <c r="V424" s="86">
        <v>70001.0</v>
      </c>
      <c r="W424" s="86">
        <v>2.0</v>
      </c>
      <c r="X424" s="86">
        <v>1.0</v>
      </c>
      <c r="Y424" s="86">
        <v>70002.0</v>
      </c>
      <c r="Z424" s="86">
        <v>2.0</v>
      </c>
      <c r="AA424" s="86">
        <v>1.0</v>
      </c>
      <c r="AB424" s="86">
        <v>1001.0</v>
      </c>
      <c r="AC424" s="86">
        <v>100.0</v>
      </c>
      <c r="AD424" s="86">
        <v>1.0</v>
      </c>
      <c r="AE424" s="86">
        <v>8000.0</v>
      </c>
      <c r="AF424" s="86">
        <v>5900.0</v>
      </c>
      <c r="AG424" s="86">
        <v>1.0</v>
      </c>
    </row>
    <row r="425" ht="38.25" customHeight="1">
      <c r="A425" s="86">
        <v>1319.0</v>
      </c>
      <c r="B425" s="86" t="s">
        <v>1605</v>
      </c>
      <c r="C425" s="86">
        <v>10.0</v>
      </c>
      <c r="D425" s="86" t="s">
        <v>2944</v>
      </c>
      <c r="E425" s="86">
        <v>150.0</v>
      </c>
      <c r="G425" s="96" t="s">
        <v>2945</v>
      </c>
      <c r="I425" s="86">
        <v>41095.0</v>
      </c>
      <c r="J425" s="95" t="s">
        <v>2915</v>
      </c>
      <c r="K425" s="86" t="s">
        <v>647</v>
      </c>
      <c r="L425" s="86">
        <v>9006.0</v>
      </c>
      <c r="M425" s="86" t="s">
        <v>2076</v>
      </c>
      <c r="O425" s="86">
        <v>0.5</v>
      </c>
      <c r="P425" s="95" t="s">
        <v>2917</v>
      </c>
      <c r="Q425" s="86" t="s">
        <v>658</v>
      </c>
      <c r="R425" s="86">
        <v>9007.0</v>
      </c>
      <c r="S425" s="86">
        <v>3.0</v>
      </c>
      <c r="U425" s="86">
        <v>0.7</v>
      </c>
      <c r="V425" s="86">
        <v>70001.0</v>
      </c>
      <c r="W425" s="86">
        <v>2.0</v>
      </c>
      <c r="X425" s="86">
        <v>1.0</v>
      </c>
      <c r="Y425" s="86">
        <v>70002.0</v>
      </c>
      <c r="Z425" s="86">
        <v>2.0</v>
      </c>
      <c r="AA425" s="86">
        <v>1.0</v>
      </c>
      <c r="AB425" s="86">
        <v>1001.0</v>
      </c>
      <c r="AC425" s="86">
        <v>100.0</v>
      </c>
      <c r="AD425" s="86">
        <v>1.0</v>
      </c>
      <c r="AE425" s="86">
        <v>8000.0</v>
      </c>
      <c r="AF425" s="86">
        <v>5900.0</v>
      </c>
      <c r="AG425" s="86">
        <v>1.0</v>
      </c>
    </row>
    <row r="426" ht="38.25" customHeight="1">
      <c r="A426" s="86">
        <v>1320.0</v>
      </c>
      <c r="B426" s="86" t="s">
        <v>1605</v>
      </c>
      <c r="C426" s="86">
        <v>10.0</v>
      </c>
      <c r="D426" s="86" t="s">
        <v>2948</v>
      </c>
      <c r="E426" s="86">
        <v>150.0</v>
      </c>
      <c r="G426" s="96" t="s">
        <v>2949</v>
      </c>
      <c r="I426" s="86">
        <v>41220.0</v>
      </c>
      <c r="J426" s="95" t="s">
        <v>2915</v>
      </c>
      <c r="K426" s="86" t="s">
        <v>647</v>
      </c>
      <c r="L426" s="86">
        <v>9001.0</v>
      </c>
      <c r="M426" s="86" t="s">
        <v>2950</v>
      </c>
      <c r="O426" s="86">
        <v>0.8</v>
      </c>
      <c r="P426" s="95" t="s">
        <v>2917</v>
      </c>
      <c r="Q426" s="86" t="s">
        <v>658</v>
      </c>
      <c r="R426" s="86">
        <v>9004.0</v>
      </c>
      <c r="S426" s="86" t="s">
        <v>2908</v>
      </c>
      <c r="U426" s="86">
        <v>0.3</v>
      </c>
      <c r="V426" s="86">
        <v>70001.0</v>
      </c>
      <c r="W426" s="86">
        <v>2.0</v>
      </c>
      <c r="X426" s="86">
        <v>1.0</v>
      </c>
      <c r="Y426" s="86">
        <v>70002.0</v>
      </c>
      <c r="Z426" s="86">
        <v>2.0</v>
      </c>
      <c r="AA426" s="86">
        <v>1.0</v>
      </c>
      <c r="AB426" s="86">
        <v>1001.0</v>
      </c>
      <c r="AC426" s="86">
        <v>100.0</v>
      </c>
      <c r="AD426" s="86">
        <v>1.0</v>
      </c>
      <c r="AE426" s="86">
        <v>8000.0</v>
      </c>
      <c r="AF426" s="86">
        <v>5950.0</v>
      </c>
      <c r="AG426" s="86">
        <v>1.0</v>
      </c>
    </row>
    <row r="427" ht="38.25" customHeight="1">
      <c r="A427" s="86">
        <v>1321.0</v>
      </c>
      <c r="B427" s="86" t="s">
        <v>1605</v>
      </c>
      <c r="C427" s="86">
        <v>10.0</v>
      </c>
      <c r="D427" s="86" t="s">
        <v>2952</v>
      </c>
      <c r="E427" s="86">
        <v>150.0</v>
      </c>
      <c r="G427" s="96" t="s">
        <v>2953</v>
      </c>
      <c r="I427" s="86">
        <v>41345.0</v>
      </c>
      <c r="J427" s="95" t="s">
        <v>2915</v>
      </c>
      <c r="K427" s="86" t="s">
        <v>647</v>
      </c>
      <c r="L427" s="86">
        <v>9008.0</v>
      </c>
      <c r="M427" s="86" t="s">
        <v>1170</v>
      </c>
      <c r="O427" s="86">
        <v>0.6</v>
      </c>
      <c r="P427" s="95" t="s">
        <v>2917</v>
      </c>
      <c r="Q427" s="86" t="s">
        <v>658</v>
      </c>
      <c r="R427" s="86">
        <v>9010.0</v>
      </c>
      <c r="S427" s="86" t="s">
        <v>1455</v>
      </c>
      <c r="U427" s="86">
        <v>0.5</v>
      </c>
      <c r="V427" s="86">
        <v>70001.0</v>
      </c>
      <c r="W427" s="86">
        <v>2.0</v>
      </c>
      <c r="X427" s="86">
        <v>1.0</v>
      </c>
      <c r="Y427" s="86">
        <v>70002.0</v>
      </c>
      <c r="Z427" s="86">
        <v>2.0</v>
      </c>
      <c r="AA427" s="86">
        <v>1.0</v>
      </c>
      <c r="AB427" s="86">
        <v>1001.0</v>
      </c>
      <c r="AC427" s="86">
        <v>100.0</v>
      </c>
      <c r="AD427" s="86">
        <v>1.0</v>
      </c>
      <c r="AE427" s="86">
        <v>8000.0</v>
      </c>
      <c r="AF427" s="86">
        <v>5950.0</v>
      </c>
      <c r="AG427" s="86">
        <v>1.0</v>
      </c>
    </row>
    <row r="428" ht="38.25" customHeight="1">
      <c r="A428" s="86">
        <v>1322.0</v>
      </c>
      <c r="B428" s="86" t="s">
        <v>1605</v>
      </c>
      <c r="C428" s="86">
        <v>10.0</v>
      </c>
      <c r="D428" s="86" t="s">
        <v>2955</v>
      </c>
      <c r="E428" s="86">
        <v>150.0</v>
      </c>
      <c r="G428" s="96" t="s">
        <v>2956</v>
      </c>
      <c r="I428" s="86">
        <v>41470.0</v>
      </c>
      <c r="J428" s="95" t="s">
        <v>2915</v>
      </c>
      <c r="K428" s="86" t="s">
        <v>647</v>
      </c>
      <c r="L428" s="86">
        <v>9011.0</v>
      </c>
      <c r="M428" s="86" t="s">
        <v>2957</v>
      </c>
      <c r="O428" s="86">
        <v>0.1</v>
      </c>
      <c r="P428" s="95" t="s">
        <v>2917</v>
      </c>
      <c r="Q428" s="86" t="s">
        <v>658</v>
      </c>
      <c r="R428" s="86">
        <v>9010.0</v>
      </c>
      <c r="S428" s="86" t="s">
        <v>1673</v>
      </c>
      <c r="U428" s="86">
        <v>0.9</v>
      </c>
      <c r="V428" s="86">
        <v>70001.0</v>
      </c>
      <c r="W428" s="86">
        <v>2.0</v>
      </c>
      <c r="X428" s="86">
        <v>1.0</v>
      </c>
      <c r="Y428" s="86">
        <v>70002.0</v>
      </c>
      <c r="Z428" s="86">
        <v>2.0</v>
      </c>
      <c r="AA428" s="86">
        <v>1.0</v>
      </c>
      <c r="AB428" s="86">
        <v>1001.0</v>
      </c>
      <c r="AC428" s="86">
        <v>100.0</v>
      </c>
      <c r="AD428" s="86">
        <v>1.0</v>
      </c>
      <c r="AE428" s="86">
        <v>8000.0</v>
      </c>
      <c r="AF428" s="86">
        <v>6000.0</v>
      </c>
      <c r="AG428" s="86">
        <v>1.0</v>
      </c>
    </row>
    <row r="429" ht="38.25" customHeight="1">
      <c r="A429" s="86">
        <v>1323.0</v>
      </c>
      <c r="B429" s="86" t="s">
        <v>1605</v>
      </c>
      <c r="C429" s="86">
        <v>10.0</v>
      </c>
      <c r="D429" s="86" t="s">
        <v>2959</v>
      </c>
      <c r="E429" s="86">
        <v>150.0</v>
      </c>
      <c r="G429" s="96" t="s">
        <v>2960</v>
      </c>
      <c r="I429" s="86">
        <v>41595.0</v>
      </c>
      <c r="J429" s="95" t="s">
        <v>2915</v>
      </c>
      <c r="K429" s="86" t="s">
        <v>647</v>
      </c>
      <c r="L429" s="86">
        <v>9011.0</v>
      </c>
      <c r="M429" s="86">
        <v>3.0</v>
      </c>
      <c r="O429" s="86">
        <v>0.7</v>
      </c>
      <c r="P429" s="95" t="s">
        <v>2917</v>
      </c>
      <c r="Q429" s="86" t="s">
        <v>658</v>
      </c>
      <c r="R429" s="86">
        <v>9007.0</v>
      </c>
      <c r="S429" s="86" t="s">
        <v>1513</v>
      </c>
      <c r="U429" s="86">
        <v>0.5</v>
      </c>
      <c r="V429" s="86">
        <v>70001.0</v>
      </c>
      <c r="W429" s="86">
        <v>2.0</v>
      </c>
      <c r="X429" s="86">
        <v>1.0</v>
      </c>
      <c r="Y429" s="86">
        <v>70002.0</v>
      </c>
      <c r="Z429" s="86">
        <v>2.0</v>
      </c>
      <c r="AA429" s="86">
        <v>1.0</v>
      </c>
      <c r="AB429" s="86">
        <v>1001.0</v>
      </c>
      <c r="AC429" s="86">
        <v>100.0</v>
      </c>
      <c r="AD429" s="86">
        <v>1.0</v>
      </c>
      <c r="AE429" s="86">
        <v>8000.0</v>
      </c>
      <c r="AF429" s="86">
        <v>6000.0</v>
      </c>
      <c r="AG429" s="86">
        <v>1.0</v>
      </c>
    </row>
    <row r="430" ht="38.25" customHeight="1">
      <c r="A430" s="86">
        <v>1324.0</v>
      </c>
      <c r="B430" s="86" t="s">
        <v>1605</v>
      </c>
      <c r="C430" s="86">
        <v>10.0</v>
      </c>
      <c r="D430" s="86" t="s">
        <v>2962</v>
      </c>
      <c r="E430" s="86">
        <v>150.0</v>
      </c>
      <c r="G430" s="96" t="s">
        <v>2963</v>
      </c>
      <c r="I430" s="86">
        <v>41720.0</v>
      </c>
      <c r="J430" s="95" t="s">
        <v>2915</v>
      </c>
      <c r="K430" s="86" t="s">
        <v>647</v>
      </c>
      <c r="L430" s="86">
        <v>9007.0</v>
      </c>
      <c r="M430" s="86" t="s">
        <v>2686</v>
      </c>
      <c r="O430" s="86">
        <v>0.8</v>
      </c>
      <c r="P430" s="95" t="s">
        <v>2917</v>
      </c>
      <c r="Q430" s="86" t="s">
        <v>658</v>
      </c>
      <c r="R430" s="86">
        <v>9003.0</v>
      </c>
      <c r="S430" s="86">
        <v>8.0</v>
      </c>
      <c r="U430" s="86">
        <v>0.2</v>
      </c>
      <c r="V430" s="86">
        <v>70001.0</v>
      </c>
      <c r="W430" s="86">
        <v>2.0</v>
      </c>
      <c r="X430" s="86">
        <v>1.0</v>
      </c>
      <c r="Y430" s="86">
        <v>70002.0</v>
      </c>
      <c r="Z430" s="86">
        <v>2.0</v>
      </c>
      <c r="AA430" s="86">
        <v>1.0</v>
      </c>
      <c r="AB430" s="86">
        <v>1001.0</v>
      </c>
      <c r="AC430" s="86">
        <v>100.0</v>
      </c>
      <c r="AD430" s="86">
        <v>1.0</v>
      </c>
      <c r="AE430" s="86">
        <v>8000.0</v>
      </c>
      <c r="AF430" s="86">
        <v>6050.0</v>
      </c>
      <c r="AG430" s="86">
        <v>1.0</v>
      </c>
    </row>
    <row r="431" ht="38.25" customHeight="1">
      <c r="A431" s="86">
        <v>1325.0</v>
      </c>
      <c r="B431" s="86" t="s">
        <v>1605</v>
      </c>
      <c r="C431" s="86">
        <v>10.0</v>
      </c>
      <c r="D431" s="86" t="s">
        <v>2965</v>
      </c>
      <c r="E431" s="86">
        <v>150.0</v>
      </c>
      <c r="G431" s="96" t="s">
        <v>2966</v>
      </c>
      <c r="I431" s="86">
        <v>41845.0</v>
      </c>
      <c r="J431" s="95" t="s">
        <v>2915</v>
      </c>
      <c r="K431" s="86" t="s">
        <v>647</v>
      </c>
      <c r="L431" s="86">
        <v>9011.0</v>
      </c>
      <c r="M431" s="86" t="s">
        <v>2181</v>
      </c>
      <c r="O431" s="86">
        <v>0.7</v>
      </c>
      <c r="P431" s="95" t="s">
        <v>2917</v>
      </c>
      <c r="Q431" s="86" t="s">
        <v>658</v>
      </c>
      <c r="R431" s="86">
        <v>9008.0</v>
      </c>
      <c r="S431" s="86" t="s">
        <v>2736</v>
      </c>
      <c r="U431" s="86">
        <v>0.2</v>
      </c>
      <c r="V431" s="86">
        <v>70001.0</v>
      </c>
      <c r="W431" s="86">
        <v>2.0</v>
      </c>
      <c r="X431" s="86">
        <v>1.0</v>
      </c>
      <c r="Y431" s="86">
        <v>70002.0</v>
      </c>
      <c r="Z431" s="86">
        <v>2.0</v>
      </c>
      <c r="AA431" s="86">
        <v>1.0</v>
      </c>
      <c r="AB431" s="86">
        <v>1001.0</v>
      </c>
      <c r="AC431" s="86">
        <v>100.0</v>
      </c>
      <c r="AD431" s="86">
        <v>1.0</v>
      </c>
      <c r="AE431" s="86">
        <v>8000.0</v>
      </c>
      <c r="AF431" s="86">
        <v>6050.0</v>
      </c>
      <c r="AG431" s="86">
        <v>1.0</v>
      </c>
    </row>
    <row r="432" ht="38.25" customHeight="1">
      <c r="A432" s="86">
        <v>1326.0</v>
      </c>
      <c r="B432" s="86" t="s">
        <v>1605</v>
      </c>
      <c r="C432" s="86">
        <v>10.0</v>
      </c>
      <c r="D432" s="86" t="s">
        <v>2968</v>
      </c>
      <c r="E432" s="86">
        <v>150.0</v>
      </c>
      <c r="G432" s="96" t="s">
        <v>2969</v>
      </c>
      <c r="I432" s="86">
        <v>41970.0</v>
      </c>
      <c r="J432" s="95" t="s">
        <v>2915</v>
      </c>
      <c r="K432" s="86" t="s">
        <v>647</v>
      </c>
      <c r="L432" s="86">
        <v>9007.0</v>
      </c>
      <c r="M432" s="86" t="s">
        <v>1847</v>
      </c>
      <c r="O432" s="86">
        <v>0.1</v>
      </c>
      <c r="P432" s="95" t="s">
        <v>2917</v>
      </c>
      <c r="Q432" s="86" t="s">
        <v>658</v>
      </c>
      <c r="R432" s="86">
        <v>9012.0</v>
      </c>
      <c r="S432" s="86" t="s">
        <v>1450</v>
      </c>
      <c r="U432" s="86">
        <v>0.3</v>
      </c>
      <c r="V432" s="86">
        <v>70001.0</v>
      </c>
      <c r="W432" s="86">
        <v>2.0</v>
      </c>
      <c r="X432" s="86">
        <v>1.0</v>
      </c>
      <c r="Y432" s="86">
        <v>70002.0</v>
      </c>
      <c r="Z432" s="86">
        <v>2.0</v>
      </c>
      <c r="AA432" s="86">
        <v>1.0</v>
      </c>
      <c r="AB432" s="86">
        <v>1001.0</v>
      </c>
      <c r="AC432" s="86">
        <v>100.0</v>
      </c>
      <c r="AD432" s="86">
        <v>1.0</v>
      </c>
      <c r="AE432" s="86">
        <v>8000.0</v>
      </c>
      <c r="AF432" s="86">
        <v>6100.0</v>
      </c>
      <c r="AG432" s="86">
        <v>1.0</v>
      </c>
    </row>
    <row r="433" ht="38.25" customHeight="1">
      <c r="A433" s="86">
        <v>1327.0</v>
      </c>
      <c r="B433" s="86" t="s">
        <v>1605</v>
      </c>
      <c r="C433" s="86">
        <v>10.0</v>
      </c>
      <c r="D433" s="86" t="s">
        <v>2971</v>
      </c>
      <c r="E433" s="86">
        <v>150.0</v>
      </c>
      <c r="G433" s="96" t="s">
        <v>2972</v>
      </c>
      <c r="I433" s="86">
        <v>42095.0</v>
      </c>
      <c r="J433" s="95" t="s">
        <v>2915</v>
      </c>
      <c r="K433" s="86" t="s">
        <v>647</v>
      </c>
      <c r="L433" s="86">
        <v>9011.0</v>
      </c>
      <c r="M433" s="86" t="s">
        <v>1826</v>
      </c>
      <c r="O433" s="86">
        <v>0.3</v>
      </c>
      <c r="P433" s="95" t="s">
        <v>2917</v>
      </c>
      <c r="Q433" s="86" t="s">
        <v>658</v>
      </c>
      <c r="R433" s="86">
        <v>9011.0</v>
      </c>
      <c r="S433" s="86">
        <v>10.0</v>
      </c>
      <c r="U433" s="86">
        <v>0.3</v>
      </c>
      <c r="V433" s="86">
        <v>70001.0</v>
      </c>
      <c r="W433" s="86">
        <v>2.0</v>
      </c>
      <c r="X433" s="86">
        <v>1.0</v>
      </c>
      <c r="Y433" s="86">
        <v>70002.0</v>
      </c>
      <c r="Z433" s="86">
        <v>2.0</v>
      </c>
      <c r="AA433" s="86">
        <v>1.0</v>
      </c>
      <c r="AB433" s="86">
        <v>1001.0</v>
      </c>
      <c r="AC433" s="86">
        <v>100.0</v>
      </c>
      <c r="AD433" s="86">
        <v>1.0</v>
      </c>
      <c r="AE433" s="86">
        <v>8000.0</v>
      </c>
      <c r="AF433" s="86">
        <v>6100.0</v>
      </c>
      <c r="AG433" s="86">
        <v>1.0</v>
      </c>
    </row>
    <row r="434" ht="38.25" customHeight="1">
      <c r="A434" s="86">
        <v>1328.0</v>
      </c>
      <c r="B434" s="86" t="s">
        <v>1605</v>
      </c>
      <c r="C434" s="86">
        <v>10.0</v>
      </c>
      <c r="D434" s="86" t="s">
        <v>2973</v>
      </c>
      <c r="E434" s="86">
        <v>150.0</v>
      </c>
      <c r="G434" s="96" t="s">
        <v>2974</v>
      </c>
      <c r="I434" s="86">
        <v>42220.0</v>
      </c>
      <c r="J434" s="95" t="s">
        <v>2915</v>
      </c>
      <c r="K434" s="86" t="s">
        <v>647</v>
      </c>
      <c r="L434" s="86">
        <v>9005.0</v>
      </c>
      <c r="M434" s="86" t="s">
        <v>2888</v>
      </c>
      <c r="O434" s="86">
        <v>0.6</v>
      </c>
      <c r="P434" s="95" t="s">
        <v>2917</v>
      </c>
      <c r="Q434" s="86" t="s">
        <v>658</v>
      </c>
      <c r="R434" s="86">
        <v>9011.0</v>
      </c>
      <c r="S434" s="86" t="s">
        <v>2215</v>
      </c>
      <c r="U434" s="86">
        <v>0.3</v>
      </c>
      <c r="V434" s="86">
        <v>70001.0</v>
      </c>
      <c r="W434" s="86">
        <v>2.0</v>
      </c>
      <c r="X434" s="86">
        <v>1.0</v>
      </c>
      <c r="Y434" s="86">
        <v>70002.0</v>
      </c>
      <c r="Z434" s="86">
        <v>2.0</v>
      </c>
      <c r="AA434" s="86">
        <v>1.0</v>
      </c>
      <c r="AB434" s="86">
        <v>1001.0</v>
      </c>
      <c r="AC434" s="86">
        <v>100.0</v>
      </c>
      <c r="AD434" s="86">
        <v>1.0</v>
      </c>
      <c r="AE434" s="86">
        <v>8000.0</v>
      </c>
      <c r="AF434" s="86">
        <v>6150.0</v>
      </c>
      <c r="AG434" s="86">
        <v>1.0</v>
      </c>
    </row>
    <row r="435" ht="38.25" customHeight="1">
      <c r="A435" s="86">
        <v>1329.0</v>
      </c>
      <c r="B435" s="86" t="s">
        <v>1605</v>
      </c>
      <c r="C435" s="86">
        <v>10.0</v>
      </c>
      <c r="D435" s="86" t="s">
        <v>2975</v>
      </c>
      <c r="E435" s="86">
        <v>150.0</v>
      </c>
      <c r="G435" s="96" t="s">
        <v>2976</v>
      </c>
      <c r="I435" s="86">
        <v>42345.0</v>
      </c>
      <c r="J435" s="95" t="s">
        <v>2915</v>
      </c>
      <c r="K435" s="86" t="s">
        <v>647</v>
      </c>
      <c r="L435" s="86">
        <v>9002.0</v>
      </c>
      <c r="M435" s="86">
        <v>5.0</v>
      </c>
      <c r="O435" s="86">
        <v>1.0</v>
      </c>
      <c r="P435" s="95" t="s">
        <v>2917</v>
      </c>
      <c r="Q435" s="86" t="s">
        <v>658</v>
      </c>
      <c r="R435" s="86">
        <v>9012.0</v>
      </c>
      <c r="S435" s="86">
        <v>11.0</v>
      </c>
      <c r="U435" s="86">
        <v>0.1</v>
      </c>
      <c r="V435" s="86">
        <v>70001.0</v>
      </c>
      <c r="W435" s="86">
        <v>2.0</v>
      </c>
      <c r="X435" s="86">
        <v>1.0</v>
      </c>
      <c r="Y435" s="86">
        <v>70002.0</v>
      </c>
      <c r="Z435" s="86">
        <v>2.0</v>
      </c>
      <c r="AA435" s="86">
        <v>1.0</v>
      </c>
      <c r="AB435" s="86">
        <v>1001.0</v>
      </c>
      <c r="AC435" s="86">
        <v>500.0</v>
      </c>
      <c r="AD435" s="86">
        <v>1.0</v>
      </c>
      <c r="AE435" s="86">
        <v>8000.0</v>
      </c>
      <c r="AF435" s="86">
        <v>6150.0</v>
      </c>
      <c r="AG435" s="86">
        <v>1.0</v>
      </c>
    </row>
    <row r="436" ht="38.25" customHeight="1">
      <c r="A436" s="86">
        <v>1330.0</v>
      </c>
      <c r="B436" s="86" t="s">
        <v>1605</v>
      </c>
      <c r="C436" s="86">
        <v>10.0</v>
      </c>
      <c r="D436" s="86" t="s">
        <v>2977</v>
      </c>
      <c r="E436" s="86">
        <v>150.0</v>
      </c>
      <c r="G436" s="96" t="s">
        <v>2978</v>
      </c>
      <c r="I436" s="86">
        <v>42470.0</v>
      </c>
      <c r="J436" s="95" t="s">
        <v>2915</v>
      </c>
      <c r="K436" s="86" t="s">
        <v>647</v>
      </c>
      <c r="L436" s="86">
        <v>9005.0</v>
      </c>
      <c r="M436" s="86" t="s">
        <v>1437</v>
      </c>
      <c r="O436" s="86">
        <v>0.9</v>
      </c>
      <c r="P436" s="95" t="s">
        <v>2917</v>
      </c>
      <c r="Q436" s="86" t="s">
        <v>658</v>
      </c>
      <c r="R436" s="86">
        <v>9007.0</v>
      </c>
      <c r="S436" s="86" t="s">
        <v>1564</v>
      </c>
      <c r="U436" s="86">
        <v>0.6</v>
      </c>
      <c r="V436" s="86">
        <v>70001.0</v>
      </c>
      <c r="W436" s="86">
        <v>2.0</v>
      </c>
      <c r="X436" s="86">
        <v>1.0</v>
      </c>
      <c r="Y436" s="86">
        <v>70002.0</v>
      </c>
      <c r="Z436" s="86">
        <v>2.0</v>
      </c>
      <c r="AA436" s="86">
        <v>1.0</v>
      </c>
      <c r="AB436" s="86">
        <v>1001.0</v>
      </c>
      <c r="AC436" s="86">
        <v>100.0</v>
      </c>
      <c r="AD436" s="86">
        <v>1.0</v>
      </c>
      <c r="AE436" s="86">
        <v>8000.0</v>
      </c>
      <c r="AF436" s="86">
        <v>6200.0</v>
      </c>
      <c r="AG436" s="86">
        <v>1.0</v>
      </c>
    </row>
    <row r="437" ht="38.25" customHeight="1">
      <c r="A437" s="86">
        <v>1331.0</v>
      </c>
      <c r="B437" s="86" t="s">
        <v>1605</v>
      </c>
      <c r="C437" s="86">
        <v>10.0</v>
      </c>
      <c r="D437" s="86" t="s">
        <v>2979</v>
      </c>
      <c r="E437" s="86">
        <v>150.0</v>
      </c>
      <c r="G437" s="96" t="s">
        <v>2980</v>
      </c>
      <c r="I437" s="86">
        <v>42595.0</v>
      </c>
      <c r="J437" s="95" t="s">
        <v>2915</v>
      </c>
      <c r="K437" s="86" t="s">
        <v>647</v>
      </c>
      <c r="L437" s="86">
        <v>9006.0</v>
      </c>
      <c r="M437" s="86" t="s">
        <v>2981</v>
      </c>
      <c r="O437" s="86">
        <v>0.4</v>
      </c>
      <c r="P437" s="95" t="s">
        <v>2917</v>
      </c>
      <c r="Q437" s="86" t="s">
        <v>658</v>
      </c>
      <c r="R437" s="86">
        <v>9008.0</v>
      </c>
      <c r="S437" s="86" t="s">
        <v>1477</v>
      </c>
      <c r="U437" s="86">
        <v>0.1</v>
      </c>
      <c r="V437" s="86">
        <v>70001.0</v>
      </c>
      <c r="W437" s="86">
        <v>2.0</v>
      </c>
      <c r="X437" s="86">
        <v>1.0</v>
      </c>
      <c r="Y437" s="86">
        <v>70002.0</v>
      </c>
      <c r="Z437" s="86">
        <v>2.0</v>
      </c>
      <c r="AA437" s="86">
        <v>1.0</v>
      </c>
      <c r="AB437" s="86">
        <v>1001.0</v>
      </c>
      <c r="AC437" s="86">
        <v>100.0</v>
      </c>
      <c r="AD437" s="86">
        <v>1.0</v>
      </c>
      <c r="AE437" s="86">
        <v>8000.0</v>
      </c>
      <c r="AF437" s="86">
        <v>6200.0</v>
      </c>
      <c r="AG437" s="86">
        <v>1.0</v>
      </c>
    </row>
    <row r="438" ht="38.25" customHeight="1">
      <c r="A438" s="86">
        <v>1332.0</v>
      </c>
      <c r="B438" s="86" t="s">
        <v>1605</v>
      </c>
      <c r="C438" s="86">
        <v>10.0</v>
      </c>
      <c r="D438" s="86" t="s">
        <v>2982</v>
      </c>
      <c r="E438" s="86">
        <v>150.0</v>
      </c>
      <c r="G438" s="96" t="s">
        <v>2983</v>
      </c>
      <c r="I438" s="86">
        <v>42720.0</v>
      </c>
      <c r="J438" s="95" t="s">
        <v>2915</v>
      </c>
      <c r="K438" s="86" t="s">
        <v>647</v>
      </c>
      <c r="L438" s="86">
        <v>9001.0</v>
      </c>
      <c r="M438" s="86" t="s">
        <v>1271</v>
      </c>
      <c r="O438" s="86">
        <v>0.1</v>
      </c>
      <c r="P438" s="95" t="s">
        <v>2917</v>
      </c>
      <c r="Q438" s="86" t="s">
        <v>658</v>
      </c>
      <c r="R438" s="86">
        <v>9007.0</v>
      </c>
      <c r="S438" s="86">
        <v>13.0</v>
      </c>
      <c r="U438" s="86">
        <v>0.9</v>
      </c>
      <c r="V438" s="86">
        <v>70001.0</v>
      </c>
      <c r="W438" s="86">
        <v>2.0</v>
      </c>
      <c r="X438" s="86">
        <v>1.0</v>
      </c>
      <c r="Y438" s="86">
        <v>70002.0</v>
      </c>
      <c r="Z438" s="86">
        <v>2.0</v>
      </c>
      <c r="AA438" s="86">
        <v>1.0</v>
      </c>
      <c r="AB438" s="86">
        <v>1001.0</v>
      </c>
      <c r="AC438" s="86">
        <v>100.0</v>
      </c>
      <c r="AD438" s="86">
        <v>1.0</v>
      </c>
      <c r="AE438" s="86">
        <v>8000.0</v>
      </c>
      <c r="AF438" s="86">
        <v>6250.0</v>
      </c>
      <c r="AG438" s="86">
        <v>1.0</v>
      </c>
    </row>
    <row r="439" ht="38.25" customHeight="1">
      <c r="A439" s="86">
        <v>1333.0</v>
      </c>
      <c r="B439" s="86" t="s">
        <v>1605</v>
      </c>
      <c r="C439" s="86">
        <v>10.0</v>
      </c>
      <c r="D439" s="86" t="s">
        <v>2984</v>
      </c>
      <c r="E439" s="86">
        <v>150.0</v>
      </c>
      <c r="G439" s="96" t="s">
        <v>2985</v>
      </c>
      <c r="I439" s="86">
        <v>42845.0</v>
      </c>
      <c r="J439" s="95" t="s">
        <v>2915</v>
      </c>
      <c r="K439" s="86" t="s">
        <v>647</v>
      </c>
      <c r="L439" s="86">
        <v>9007.0</v>
      </c>
      <c r="M439" s="86" t="s">
        <v>2283</v>
      </c>
      <c r="O439" s="86">
        <v>0.6</v>
      </c>
      <c r="P439" s="95" t="s">
        <v>2917</v>
      </c>
      <c r="Q439" s="86" t="s">
        <v>658</v>
      </c>
      <c r="R439" s="86">
        <v>9003.0</v>
      </c>
      <c r="S439" s="86">
        <v>4.0</v>
      </c>
      <c r="U439" s="86">
        <v>0.7</v>
      </c>
      <c r="V439" s="86">
        <v>70001.0</v>
      </c>
      <c r="W439" s="86">
        <v>2.0</v>
      </c>
      <c r="X439" s="86">
        <v>1.0</v>
      </c>
      <c r="Y439" s="86">
        <v>70002.0</v>
      </c>
      <c r="Z439" s="86">
        <v>2.0</v>
      </c>
      <c r="AA439" s="86">
        <v>1.0</v>
      </c>
      <c r="AB439" s="86">
        <v>1001.0</v>
      </c>
      <c r="AC439" s="86">
        <v>100.0</v>
      </c>
      <c r="AD439" s="86">
        <v>1.0</v>
      </c>
      <c r="AE439" s="86">
        <v>8000.0</v>
      </c>
      <c r="AF439" s="86">
        <v>6250.0</v>
      </c>
      <c r="AG439" s="86">
        <v>1.0</v>
      </c>
    </row>
    <row r="440" ht="38.25" customHeight="1">
      <c r="A440" s="86">
        <v>1334.0</v>
      </c>
      <c r="B440" s="86" t="s">
        <v>1605</v>
      </c>
      <c r="C440" s="86">
        <v>10.0</v>
      </c>
      <c r="D440" s="86" t="s">
        <v>2986</v>
      </c>
      <c r="E440" s="86">
        <v>150.0</v>
      </c>
      <c r="G440" s="96" t="s">
        <v>2987</v>
      </c>
      <c r="I440" s="86">
        <v>42970.0</v>
      </c>
      <c r="J440" s="95" t="s">
        <v>2915</v>
      </c>
      <c r="K440" s="86" t="s">
        <v>647</v>
      </c>
      <c r="L440" s="86">
        <v>9001.0</v>
      </c>
      <c r="M440" s="86" t="s">
        <v>2988</v>
      </c>
      <c r="O440" s="86">
        <v>0.9</v>
      </c>
      <c r="P440" s="95" t="s">
        <v>2917</v>
      </c>
      <c r="Q440" s="86" t="s">
        <v>658</v>
      </c>
      <c r="R440" s="86">
        <v>9008.0</v>
      </c>
      <c r="S440" s="86">
        <v>2.0</v>
      </c>
      <c r="U440" s="86">
        <v>1.0</v>
      </c>
      <c r="V440" s="86">
        <v>70001.0</v>
      </c>
      <c r="W440" s="86">
        <v>2.0</v>
      </c>
      <c r="X440" s="86">
        <v>1.0</v>
      </c>
      <c r="Y440" s="86">
        <v>70002.0</v>
      </c>
      <c r="Z440" s="86">
        <v>2.0</v>
      </c>
      <c r="AA440" s="86">
        <v>1.0</v>
      </c>
      <c r="AB440" s="86">
        <v>1001.0</v>
      </c>
      <c r="AC440" s="86">
        <v>100.0</v>
      </c>
      <c r="AD440" s="86">
        <v>1.0</v>
      </c>
      <c r="AE440" s="86">
        <v>8000.0</v>
      </c>
      <c r="AF440" s="86">
        <v>6300.0</v>
      </c>
      <c r="AG440" s="86">
        <v>1.0</v>
      </c>
    </row>
    <row r="441" ht="38.25" customHeight="1">
      <c r="A441" s="86">
        <v>1335.0</v>
      </c>
      <c r="B441" s="86" t="s">
        <v>1605</v>
      </c>
      <c r="C441" s="86">
        <v>10.0</v>
      </c>
      <c r="D441" s="86" t="s">
        <v>2989</v>
      </c>
      <c r="E441" s="86">
        <v>150.0</v>
      </c>
      <c r="G441" s="96" t="s">
        <v>2990</v>
      </c>
      <c r="I441" s="86">
        <v>43095.0</v>
      </c>
      <c r="J441" s="95" t="s">
        <v>2915</v>
      </c>
      <c r="K441" s="86" t="s">
        <v>647</v>
      </c>
      <c r="L441" s="86">
        <v>9002.0</v>
      </c>
      <c r="M441" s="86" t="s">
        <v>1128</v>
      </c>
      <c r="O441" s="86">
        <v>0.9</v>
      </c>
      <c r="P441" s="95" t="s">
        <v>2917</v>
      </c>
      <c r="Q441" s="86" t="s">
        <v>658</v>
      </c>
      <c r="R441" s="86">
        <v>9007.0</v>
      </c>
      <c r="S441" s="86" t="s">
        <v>1306</v>
      </c>
      <c r="U441" s="86">
        <v>0.6</v>
      </c>
      <c r="V441" s="86">
        <v>70001.0</v>
      </c>
      <c r="W441" s="86">
        <v>2.0</v>
      </c>
      <c r="X441" s="86">
        <v>1.0</v>
      </c>
      <c r="Y441" s="86">
        <v>70002.0</v>
      </c>
      <c r="Z441" s="86">
        <v>2.0</v>
      </c>
      <c r="AA441" s="86">
        <v>1.0</v>
      </c>
      <c r="AB441" s="86">
        <v>1001.0</v>
      </c>
      <c r="AC441" s="86">
        <v>100.0</v>
      </c>
      <c r="AD441" s="86">
        <v>1.0</v>
      </c>
      <c r="AE441" s="86">
        <v>8000.0</v>
      </c>
      <c r="AF441" s="86">
        <v>6300.0</v>
      </c>
      <c r="AG441" s="86">
        <v>1.0</v>
      </c>
    </row>
    <row r="442" ht="38.25" customHeight="1">
      <c r="A442" s="86">
        <v>1336.0</v>
      </c>
      <c r="B442" s="86" t="s">
        <v>1605</v>
      </c>
      <c r="C442" s="86">
        <v>10.0</v>
      </c>
      <c r="D442" s="86" t="s">
        <v>2991</v>
      </c>
      <c r="E442" s="86">
        <v>150.0</v>
      </c>
      <c r="G442" s="96" t="s">
        <v>2992</v>
      </c>
      <c r="I442" s="86">
        <v>43220.0</v>
      </c>
      <c r="J442" s="95" t="s">
        <v>2915</v>
      </c>
      <c r="K442" s="86" t="s">
        <v>647</v>
      </c>
      <c r="L442" s="86">
        <v>9006.0</v>
      </c>
      <c r="M442" s="86" t="s">
        <v>1402</v>
      </c>
      <c r="O442" s="86">
        <v>0.5</v>
      </c>
      <c r="P442" s="95" t="s">
        <v>2917</v>
      </c>
      <c r="Q442" s="86" t="s">
        <v>658</v>
      </c>
      <c r="R442" s="86">
        <v>9010.0</v>
      </c>
      <c r="S442" s="86" t="s">
        <v>2993</v>
      </c>
      <c r="U442" s="86">
        <v>0.4</v>
      </c>
      <c r="V442" s="86">
        <v>70001.0</v>
      </c>
      <c r="W442" s="86">
        <v>2.0</v>
      </c>
      <c r="X442" s="86">
        <v>1.0</v>
      </c>
      <c r="Y442" s="86">
        <v>70002.0</v>
      </c>
      <c r="Z442" s="86">
        <v>2.0</v>
      </c>
      <c r="AA442" s="86">
        <v>1.0</v>
      </c>
      <c r="AB442" s="86">
        <v>1001.0</v>
      </c>
      <c r="AC442" s="86">
        <v>100.0</v>
      </c>
      <c r="AD442" s="86">
        <v>1.0</v>
      </c>
      <c r="AE442" s="86">
        <v>8000.0</v>
      </c>
      <c r="AF442" s="86">
        <v>6350.0</v>
      </c>
      <c r="AG442" s="86">
        <v>1.0</v>
      </c>
    </row>
    <row r="443" ht="38.25" customHeight="1">
      <c r="A443" s="86">
        <v>1337.0</v>
      </c>
      <c r="B443" s="86" t="s">
        <v>1605</v>
      </c>
      <c r="C443" s="86">
        <v>10.0</v>
      </c>
      <c r="D443" s="86" t="s">
        <v>2994</v>
      </c>
      <c r="E443" s="86">
        <v>150.0</v>
      </c>
      <c r="G443" s="96" t="s">
        <v>2995</v>
      </c>
      <c r="I443" s="86">
        <v>43345.0</v>
      </c>
      <c r="J443" s="95" t="s">
        <v>2915</v>
      </c>
      <c r="K443" s="86" t="s">
        <v>647</v>
      </c>
      <c r="L443" s="86">
        <v>9012.0</v>
      </c>
      <c r="M443" s="86" t="s">
        <v>2173</v>
      </c>
      <c r="O443" s="86">
        <v>0.4</v>
      </c>
      <c r="P443" s="95" t="s">
        <v>2917</v>
      </c>
      <c r="Q443" s="86" t="s">
        <v>658</v>
      </c>
      <c r="R443" s="86">
        <v>9003.0</v>
      </c>
      <c r="S443" s="86" t="s">
        <v>1328</v>
      </c>
      <c r="U443" s="86">
        <v>0.2</v>
      </c>
      <c r="V443" s="86">
        <v>70001.0</v>
      </c>
      <c r="W443" s="86">
        <v>2.0</v>
      </c>
      <c r="X443" s="86">
        <v>1.0</v>
      </c>
      <c r="Y443" s="86">
        <v>70002.0</v>
      </c>
      <c r="Z443" s="86">
        <v>2.0</v>
      </c>
      <c r="AA443" s="86">
        <v>1.0</v>
      </c>
      <c r="AB443" s="86">
        <v>1001.0</v>
      </c>
      <c r="AC443" s="86">
        <v>100.0</v>
      </c>
      <c r="AD443" s="86">
        <v>1.0</v>
      </c>
      <c r="AE443" s="86">
        <v>8000.0</v>
      </c>
      <c r="AF443" s="86">
        <v>6350.0</v>
      </c>
      <c r="AG443" s="86">
        <v>1.0</v>
      </c>
    </row>
    <row r="444" ht="38.25" customHeight="1">
      <c r="A444" s="86">
        <v>1338.0</v>
      </c>
      <c r="B444" s="86" t="s">
        <v>1605</v>
      </c>
      <c r="C444" s="86">
        <v>10.0</v>
      </c>
      <c r="D444" s="86" t="s">
        <v>2996</v>
      </c>
      <c r="E444" s="86">
        <v>150.0</v>
      </c>
      <c r="G444" s="96" t="s">
        <v>2997</v>
      </c>
      <c r="I444" s="86">
        <v>43470.0</v>
      </c>
      <c r="J444" s="95" t="s">
        <v>2915</v>
      </c>
      <c r="K444" s="86" t="s">
        <v>647</v>
      </c>
      <c r="L444" s="86">
        <v>9008.0</v>
      </c>
      <c r="M444" s="86">
        <v>4.0</v>
      </c>
      <c r="O444" s="86">
        <v>0.4</v>
      </c>
      <c r="P444" s="95" t="s">
        <v>2917</v>
      </c>
      <c r="Q444" s="86" t="s">
        <v>658</v>
      </c>
      <c r="R444" s="86">
        <v>9007.0</v>
      </c>
      <c r="S444" s="86" t="s">
        <v>2998</v>
      </c>
      <c r="U444" s="86">
        <v>0.3</v>
      </c>
      <c r="V444" s="86">
        <v>70001.0</v>
      </c>
      <c r="W444" s="86">
        <v>2.0</v>
      </c>
      <c r="X444" s="86">
        <v>1.0</v>
      </c>
      <c r="Y444" s="86">
        <v>70002.0</v>
      </c>
      <c r="Z444" s="86">
        <v>2.0</v>
      </c>
      <c r="AA444" s="86">
        <v>1.0</v>
      </c>
      <c r="AB444" s="86">
        <v>1001.0</v>
      </c>
      <c r="AC444" s="86">
        <v>100.0</v>
      </c>
      <c r="AD444" s="86">
        <v>1.0</v>
      </c>
      <c r="AE444" s="86">
        <v>8000.0</v>
      </c>
      <c r="AF444" s="86">
        <v>6350.0</v>
      </c>
      <c r="AG444" s="86">
        <v>1.0</v>
      </c>
    </row>
    <row r="445" ht="38.25" customHeight="1">
      <c r="A445" s="86">
        <v>1339.0</v>
      </c>
      <c r="B445" s="86" t="s">
        <v>1605</v>
      </c>
      <c r="C445" s="86">
        <v>10.0</v>
      </c>
      <c r="D445" s="86" t="s">
        <v>2999</v>
      </c>
      <c r="E445" s="86">
        <v>150.0</v>
      </c>
      <c r="G445" s="96" t="s">
        <v>3000</v>
      </c>
      <c r="I445" s="86">
        <v>43595.0</v>
      </c>
      <c r="J445" s="95" t="s">
        <v>2915</v>
      </c>
      <c r="K445" s="86" t="s">
        <v>647</v>
      </c>
      <c r="L445" s="86">
        <v>9007.0</v>
      </c>
      <c r="M445" s="86" t="s">
        <v>1499</v>
      </c>
      <c r="O445" s="86">
        <v>0.9</v>
      </c>
      <c r="P445" s="95" t="s">
        <v>2917</v>
      </c>
      <c r="Q445" s="86" t="s">
        <v>658</v>
      </c>
      <c r="R445" s="86">
        <v>9003.0</v>
      </c>
      <c r="S445" s="86">
        <v>11.0</v>
      </c>
      <c r="U445" s="86">
        <v>0.5</v>
      </c>
      <c r="V445" s="86">
        <v>70001.0</v>
      </c>
      <c r="W445" s="86">
        <v>2.0</v>
      </c>
      <c r="X445" s="86">
        <v>1.0</v>
      </c>
      <c r="Y445" s="86">
        <v>70002.0</v>
      </c>
      <c r="Z445" s="86">
        <v>2.0</v>
      </c>
      <c r="AA445" s="86">
        <v>1.0</v>
      </c>
      <c r="AB445" s="86">
        <v>1001.0</v>
      </c>
      <c r="AC445" s="86">
        <v>100.0</v>
      </c>
      <c r="AD445" s="86">
        <v>1.0</v>
      </c>
      <c r="AE445" s="86">
        <v>8000.0</v>
      </c>
      <c r="AF445" s="86">
        <v>6400.0</v>
      </c>
      <c r="AG445" s="86">
        <v>1.0</v>
      </c>
    </row>
    <row r="446" ht="38.25" customHeight="1">
      <c r="A446" s="86">
        <v>1340.0</v>
      </c>
      <c r="B446" s="86" t="s">
        <v>1605</v>
      </c>
      <c r="C446" s="86">
        <v>10.0</v>
      </c>
      <c r="D446" s="86" t="s">
        <v>3001</v>
      </c>
      <c r="E446" s="86">
        <v>150.0</v>
      </c>
      <c r="G446" s="96" t="s">
        <v>3002</v>
      </c>
      <c r="I446" s="86">
        <v>43720.0</v>
      </c>
      <c r="J446" s="95" t="s">
        <v>2915</v>
      </c>
      <c r="K446" s="86" t="s">
        <v>647</v>
      </c>
      <c r="L446" s="86">
        <v>9005.0</v>
      </c>
      <c r="M446" s="86" t="s">
        <v>3003</v>
      </c>
      <c r="O446" s="86">
        <v>0.5</v>
      </c>
      <c r="P446" s="95" t="s">
        <v>2917</v>
      </c>
      <c r="Q446" s="86" t="s">
        <v>658</v>
      </c>
      <c r="R446" s="86">
        <v>9012.0</v>
      </c>
      <c r="S446" s="86" t="s">
        <v>3004</v>
      </c>
      <c r="U446" s="86">
        <v>0.7</v>
      </c>
      <c r="V446" s="86">
        <v>70001.0</v>
      </c>
      <c r="W446" s="86">
        <v>2.0</v>
      </c>
      <c r="X446" s="86">
        <v>1.0</v>
      </c>
      <c r="Y446" s="86">
        <v>70002.0</v>
      </c>
      <c r="Z446" s="86">
        <v>2.0</v>
      </c>
      <c r="AA446" s="86">
        <v>1.0</v>
      </c>
      <c r="AB446" s="86">
        <v>1001.0</v>
      </c>
      <c r="AC446" s="86">
        <v>100.0</v>
      </c>
      <c r="AD446" s="86">
        <v>1.0</v>
      </c>
      <c r="AE446" s="86">
        <v>8000.0</v>
      </c>
      <c r="AF446" s="86">
        <v>6400.0</v>
      </c>
      <c r="AG446" s="86">
        <v>1.0</v>
      </c>
    </row>
    <row r="447" ht="38.25" customHeight="1">
      <c r="A447" s="86">
        <v>1341.0</v>
      </c>
      <c r="B447" s="86" t="s">
        <v>1605</v>
      </c>
      <c r="C447" s="86">
        <v>10.0</v>
      </c>
      <c r="D447" s="86" t="s">
        <v>3005</v>
      </c>
      <c r="E447" s="86">
        <v>150.0</v>
      </c>
      <c r="G447" s="96" t="s">
        <v>3006</v>
      </c>
      <c r="I447" s="86">
        <v>43845.0</v>
      </c>
      <c r="J447" s="95" t="s">
        <v>2915</v>
      </c>
      <c r="K447" s="86" t="s">
        <v>647</v>
      </c>
      <c r="L447" s="86">
        <v>9006.0</v>
      </c>
      <c r="M447" s="86" t="s">
        <v>2012</v>
      </c>
      <c r="O447" s="86">
        <v>0.4</v>
      </c>
      <c r="P447" s="95" t="s">
        <v>2917</v>
      </c>
      <c r="Q447" s="86" t="s">
        <v>658</v>
      </c>
      <c r="R447" s="86">
        <v>9010.0</v>
      </c>
      <c r="S447" s="86" t="s">
        <v>2180</v>
      </c>
      <c r="U447" s="86">
        <v>0.2</v>
      </c>
      <c r="V447" s="86">
        <v>70001.0</v>
      </c>
      <c r="W447" s="86">
        <v>2.0</v>
      </c>
      <c r="X447" s="86">
        <v>1.0</v>
      </c>
      <c r="Y447" s="86">
        <v>70002.0</v>
      </c>
      <c r="Z447" s="86">
        <v>2.0</v>
      </c>
      <c r="AA447" s="86">
        <v>1.0</v>
      </c>
      <c r="AB447" s="86">
        <v>1001.0</v>
      </c>
      <c r="AC447" s="86">
        <v>100.0</v>
      </c>
      <c r="AD447" s="86">
        <v>1.0</v>
      </c>
      <c r="AE447" s="86">
        <v>8000.0</v>
      </c>
      <c r="AF447" s="86">
        <v>6450.0</v>
      </c>
      <c r="AG447" s="86">
        <v>1.0</v>
      </c>
    </row>
    <row r="448" ht="38.25" customHeight="1">
      <c r="A448" s="86">
        <v>1342.0</v>
      </c>
      <c r="B448" s="86" t="s">
        <v>1605</v>
      </c>
      <c r="C448" s="86">
        <v>10.0</v>
      </c>
      <c r="D448" s="86" t="s">
        <v>3007</v>
      </c>
      <c r="E448" s="86">
        <v>150.0</v>
      </c>
      <c r="G448" s="96" t="s">
        <v>3008</v>
      </c>
      <c r="I448" s="86">
        <v>43970.0</v>
      </c>
      <c r="J448" s="95" t="s">
        <v>2915</v>
      </c>
      <c r="K448" s="86" t="s">
        <v>647</v>
      </c>
      <c r="L448" s="86">
        <v>9008.0</v>
      </c>
      <c r="M448" s="86" t="s">
        <v>1559</v>
      </c>
      <c r="O448" s="86">
        <v>0.9</v>
      </c>
      <c r="P448" s="95" t="s">
        <v>2917</v>
      </c>
      <c r="Q448" s="86" t="s">
        <v>658</v>
      </c>
      <c r="R448" s="86">
        <v>9003.0</v>
      </c>
      <c r="S448" s="86" t="s">
        <v>1499</v>
      </c>
      <c r="U448" s="86">
        <v>0.9</v>
      </c>
      <c r="V448" s="86">
        <v>70001.0</v>
      </c>
      <c r="W448" s="86">
        <v>2.0</v>
      </c>
      <c r="X448" s="86">
        <v>1.0</v>
      </c>
      <c r="Y448" s="86">
        <v>70002.0</v>
      </c>
      <c r="Z448" s="86">
        <v>2.0</v>
      </c>
      <c r="AA448" s="86">
        <v>1.0</v>
      </c>
      <c r="AB448" s="86">
        <v>1001.0</v>
      </c>
      <c r="AC448" s="86">
        <v>100.0</v>
      </c>
      <c r="AD448" s="86">
        <v>1.0</v>
      </c>
      <c r="AE448" s="86">
        <v>8000.0</v>
      </c>
      <c r="AF448" s="86">
        <v>6450.0</v>
      </c>
      <c r="AG448" s="86">
        <v>1.0</v>
      </c>
    </row>
    <row r="449" ht="38.25" customHeight="1">
      <c r="A449" s="86">
        <v>1343.0</v>
      </c>
      <c r="B449" s="86" t="s">
        <v>1605</v>
      </c>
      <c r="C449" s="86">
        <v>10.0</v>
      </c>
      <c r="D449" s="86" t="s">
        <v>3009</v>
      </c>
      <c r="E449" s="86">
        <v>150.0</v>
      </c>
      <c r="G449" s="96" t="s">
        <v>3010</v>
      </c>
      <c r="I449" s="86">
        <v>44095.0</v>
      </c>
      <c r="J449" s="95" t="s">
        <v>2915</v>
      </c>
      <c r="K449" s="86" t="s">
        <v>647</v>
      </c>
      <c r="L449" s="86">
        <v>9002.0</v>
      </c>
      <c r="M449" s="86" t="s">
        <v>1191</v>
      </c>
      <c r="O449" s="86">
        <v>0.3</v>
      </c>
      <c r="P449" s="95" t="s">
        <v>2917</v>
      </c>
      <c r="Q449" s="86" t="s">
        <v>658</v>
      </c>
      <c r="R449" s="86">
        <v>9012.0</v>
      </c>
      <c r="S449" s="86">
        <v>6.0</v>
      </c>
      <c r="U449" s="86">
        <v>0.9</v>
      </c>
      <c r="V449" s="86">
        <v>70001.0</v>
      </c>
      <c r="W449" s="86">
        <v>2.0</v>
      </c>
      <c r="X449" s="86">
        <v>1.0</v>
      </c>
      <c r="Y449" s="86">
        <v>70002.0</v>
      </c>
      <c r="Z449" s="86">
        <v>2.0</v>
      </c>
      <c r="AA449" s="86">
        <v>1.0</v>
      </c>
      <c r="AB449" s="86">
        <v>1001.0</v>
      </c>
      <c r="AC449" s="86">
        <v>100.0</v>
      </c>
      <c r="AD449" s="86">
        <v>1.0</v>
      </c>
      <c r="AE449" s="86">
        <v>8000.0</v>
      </c>
      <c r="AF449" s="86">
        <v>6500.0</v>
      </c>
      <c r="AG449" s="86">
        <v>1.0</v>
      </c>
    </row>
    <row r="450" ht="38.25" customHeight="1">
      <c r="A450" s="86">
        <v>1344.0</v>
      </c>
      <c r="B450" s="86" t="s">
        <v>1605</v>
      </c>
      <c r="C450" s="86">
        <v>10.0</v>
      </c>
      <c r="D450" s="86" t="s">
        <v>3011</v>
      </c>
      <c r="E450" s="86">
        <v>150.0</v>
      </c>
      <c r="G450" s="96" t="s">
        <v>3012</v>
      </c>
      <c r="I450" s="86">
        <v>44220.0</v>
      </c>
      <c r="J450" s="95" t="s">
        <v>2915</v>
      </c>
      <c r="K450" s="86" t="s">
        <v>647</v>
      </c>
      <c r="L450" s="86">
        <v>9011.0</v>
      </c>
      <c r="M450" s="86">
        <v>13.0</v>
      </c>
      <c r="O450" s="86">
        <v>0.5</v>
      </c>
      <c r="P450" s="95" t="s">
        <v>2917</v>
      </c>
      <c r="Q450" s="86" t="s">
        <v>658</v>
      </c>
      <c r="R450" s="86">
        <v>9008.0</v>
      </c>
      <c r="S450" s="86" t="s">
        <v>1289</v>
      </c>
      <c r="U450" s="86">
        <v>0.7</v>
      </c>
      <c r="V450" s="86">
        <v>70001.0</v>
      </c>
      <c r="W450" s="86">
        <v>2.0</v>
      </c>
      <c r="X450" s="86">
        <v>1.0</v>
      </c>
      <c r="Y450" s="86">
        <v>70002.0</v>
      </c>
      <c r="Z450" s="86">
        <v>2.0</v>
      </c>
      <c r="AA450" s="86">
        <v>1.0</v>
      </c>
      <c r="AB450" s="86">
        <v>1001.0</v>
      </c>
      <c r="AC450" s="86">
        <v>100.0</v>
      </c>
      <c r="AD450" s="86">
        <v>1.0</v>
      </c>
      <c r="AE450" s="86">
        <v>8000.0</v>
      </c>
      <c r="AF450" s="86">
        <v>6500.0</v>
      </c>
      <c r="AG450" s="86">
        <v>1.0</v>
      </c>
    </row>
    <row r="451" ht="38.25" customHeight="1">
      <c r="A451" s="86">
        <v>1345.0</v>
      </c>
      <c r="B451" s="86" t="s">
        <v>1605</v>
      </c>
      <c r="C451" s="86">
        <v>10.0</v>
      </c>
      <c r="D451" s="86" t="s">
        <v>3013</v>
      </c>
      <c r="E451" s="86">
        <v>150.0</v>
      </c>
      <c r="G451" s="96" t="s">
        <v>3014</v>
      </c>
      <c r="I451" s="86">
        <v>44345.0</v>
      </c>
      <c r="J451" s="95" t="s">
        <v>2915</v>
      </c>
      <c r="K451" s="86" t="s">
        <v>647</v>
      </c>
      <c r="L451" s="86">
        <v>9007.0</v>
      </c>
      <c r="M451" s="86">
        <v>13.0</v>
      </c>
      <c r="O451" s="86">
        <v>0.5</v>
      </c>
      <c r="P451" s="95" t="s">
        <v>2917</v>
      </c>
      <c r="Q451" s="86" t="s">
        <v>658</v>
      </c>
      <c r="R451" s="86">
        <v>9010.0</v>
      </c>
      <c r="S451" s="86" t="s">
        <v>1323</v>
      </c>
      <c r="U451" s="86">
        <v>0.6</v>
      </c>
      <c r="V451" s="86">
        <v>70001.0</v>
      </c>
      <c r="W451" s="86">
        <v>2.0</v>
      </c>
      <c r="X451" s="86">
        <v>1.0</v>
      </c>
      <c r="Y451" s="86">
        <v>70002.0</v>
      </c>
      <c r="Z451" s="86">
        <v>2.0</v>
      </c>
      <c r="AA451" s="86">
        <v>1.0</v>
      </c>
      <c r="AB451" s="86">
        <v>1001.0</v>
      </c>
      <c r="AC451" s="86">
        <v>100.0</v>
      </c>
      <c r="AD451" s="86">
        <v>1.0</v>
      </c>
      <c r="AE451" s="86">
        <v>8000.0</v>
      </c>
      <c r="AF451" s="86">
        <v>6550.0</v>
      </c>
      <c r="AG451" s="86">
        <v>1.0</v>
      </c>
    </row>
    <row r="452" ht="38.25" customHeight="1">
      <c r="A452" s="86">
        <v>1346.0</v>
      </c>
      <c r="B452" s="86" t="s">
        <v>1605</v>
      </c>
      <c r="C452" s="86">
        <v>10.0</v>
      </c>
      <c r="D452" s="86" t="s">
        <v>3015</v>
      </c>
      <c r="E452" s="86">
        <v>150.0</v>
      </c>
      <c r="G452" s="96" t="s">
        <v>3016</v>
      </c>
      <c r="I452" s="86">
        <v>44470.0</v>
      </c>
      <c r="J452" s="95" t="s">
        <v>2915</v>
      </c>
      <c r="K452" s="86" t="s">
        <v>647</v>
      </c>
      <c r="L452" s="86">
        <v>9005.0</v>
      </c>
      <c r="M452" s="86" t="s">
        <v>1485</v>
      </c>
      <c r="O452" s="86">
        <v>0.7</v>
      </c>
      <c r="P452" s="95" t="s">
        <v>2917</v>
      </c>
      <c r="Q452" s="86" t="s">
        <v>658</v>
      </c>
      <c r="R452" s="86">
        <v>9004.0</v>
      </c>
      <c r="S452" s="86">
        <v>12.0</v>
      </c>
      <c r="U452" s="86">
        <v>0.5</v>
      </c>
      <c r="V452" s="86">
        <v>70001.0</v>
      </c>
      <c r="W452" s="86">
        <v>2.0</v>
      </c>
      <c r="X452" s="86">
        <v>1.0</v>
      </c>
      <c r="Y452" s="86">
        <v>70002.0</v>
      </c>
      <c r="Z452" s="86">
        <v>2.0</v>
      </c>
      <c r="AA452" s="86">
        <v>1.0</v>
      </c>
      <c r="AB452" s="86">
        <v>1001.0</v>
      </c>
      <c r="AC452" s="86">
        <v>100.0</v>
      </c>
      <c r="AD452" s="86">
        <v>1.0</v>
      </c>
      <c r="AE452" s="86">
        <v>8000.0</v>
      </c>
      <c r="AF452" s="86">
        <v>6550.0</v>
      </c>
      <c r="AG452" s="86">
        <v>1.0</v>
      </c>
    </row>
    <row r="453" ht="38.25" customHeight="1">
      <c r="A453" s="86">
        <v>1347.0</v>
      </c>
      <c r="B453" s="86" t="s">
        <v>1605</v>
      </c>
      <c r="C453" s="86">
        <v>10.0</v>
      </c>
      <c r="D453" s="86" t="s">
        <v>3017</v>
      </c>
      <c r="E453" s="86">
        <v>150.0</v>
      </c>
      <c r="G453" s="96" t="s">
        <v>3018</v>
      </c>
      <c r="I453" s="86">
        <v>44595.0</v>
      </c>
      <c r="J453" s="95" t="s">
        <v>2915</v>
      </c>
      <c r="K453" s="86" t="s">
        <v>647</v>
      </c>
      <c r="L453" s="86">
        <v>9005.0</v>
      </c>
      <c r="M453" s="86" t="s">
        <v>1668</v>
      </c>
      <c r="O453" s="86">
        <v>0.3</v>
      </c>
      <c r="P453" s="95" t="s">
        <v>2917</v>
      </c>
      <c r="Q453" s="86" t="s">
        <v>658</v>
      </c>
      <c r="R453" s="86">
        <v>9008.0</v>
      </c>
      <c r="S453" s="86" t="s">
        <v>1504</v>
      </c>
      <c r="U453" s="86">
        <v>0.7</v>
      </c>
      <c r="V453" s="86">
        <v>70001.0</v>
      </c>
      <c r="W453" s="86">
        <v>2.0</v>
      </c>
      <c r="X453" s="86">
        <v>1.0</v>
      </c>
      <c r="Y453" s="86">
        <v>70002.0</v>
      </c>
      <c r="Z453" s="86">
        <v>2.0</v>
      </c>
      <c r="AA453" s="86">
        <v>1.0</v>
      </c>
      <c r="AB453" s="86">
        <v>1001.0</v>
      </c>
      <c r="AC453" s="86">
        <v>100.0</v>
      </c>
      <c r="AD453" s="86">
        <v>1.0</v>
      </c>
      <c r="AE453" s="86">
        <v>8000.0</v>
      </c>
      <c r="AF453" s="86">
        <v>6600.0</v>
      </c>
      <c r="AG453" s="86">
        <v>1.0</v>
      </c>
    </row>
    <row r="454" ht="38.25" customHeight="1">
      <c r="A454" s="86">
        <v>1348.0</v>
      </c>
      <c r="B454" s="86" t="s">
        <v>1605</v>
      </c>
      <c r="C454" s="86">
        <v>10.0</v>
      </c>
      <c r="D454" s="86" t="s">
        <v>3019</v>
      </c>
      <c r="E454" s="86">
        <v>150.0</v>
      </c>
      <c r="G454" s="96" t="s">
        <v>3020</v>
      </c>
      <c r="I454" s="86">
        <v>44720.0</v>
      </c>
      <c r="J454" s="95" t="s">
        <v>2915</v>
      </c>
      <c r="K454" s="86" t="s">
        <v>647</v>
      </c>
      <c r="L454" s="86">
        <v>9007.0</v>
      </c>
      <c r="M454" s="86" t="s">
        <v>1891</v>
      </c>
      <c r="O454" s="86">
        <v>0.5</v>
      </c>
      <c r="P454" s="95" t="s">
        <v>2917</v>
      </c>
      <c r="Q454" s="86" t="s">
        <v>658</v>
      </c>
      <c r="R454" s="86">
        <v>9008.0</v>
      </c>
      <c r="S454" s="86" t="s">
        <v>2315</v>
      </c>
      <c r="U454" s="86">
        <v>0.4</v>
      </c>
      <c r="V454" s="86">
        <v>70001.0</v>
      </c>
      <c r="W454" s="86">
        <v>2.0</v>
      </c>
      <c r="X454" s="86">
        <v>1.0</v>
      </c>
      <c r="Y454" s="86">
        <v>70002.0</v>
      </c>
      <c r="Z454" s="86">
        <v>2.0</v>
      </c>
      <c r="AA454" s="86">
        <v>1.0</v>
      </c>
      <c r="AB454" s="86">
        <v>1001.0</v>
      </c>
      <c r="AC454" s="86">
        <v>100.0</v>
      </c>
      <c r="AD454" s="86">
        <v>1.0</v>
      </c>
      <c r="AE454" s="86">
        <v>8000.0</v>
      </c>
      <c r="AF454" s="86">
        <v>6600.0</v>
      </c>
      <c r="AG454" s="86">
        <v>1.0</v>
      </c>
    </row>
    <row r="455" ht="38.25" customHeight="1">
      <c r="A455" s="86">
        <v>1349.0</v>
      </c>
      <c r="B455" s="86" t="s">
        <v>1605</v>
      </c>
      <c r="C455" s="86">
        <v>10.0</v>
      </c>
      <c r="D455" s="86" t="s">
        <v>3021</v>
      </c>
      <c r="E455" s="86">
        <v>150.0</v>
      </c>
      <c r="G455" s="96" t="s">
        <v>3022</v>
      </c>
      <c r="I455" s="86">
        <v>44845.0</v>
      </c>
      <c r="J455" s="95" t="s">
        <v>2915</v>
      </c>
      <c r="K455" s="86" t="s">
        <v>647</v>
      </c>
      <c r="L455" s="86">
        <v>9012.0</v>
      </c>
      <c r="M455" s="86" t="s">
        <v>1220</v>
      </c>
      <c r="O455" s="86">
        <v>0.4</v>
      </c>
      <c r="P455" s="95" t="s">
        <v>2917</v>
      </c>
      <c r="Q455" s="86" t="s">
        <v>658</v>
      </c>
      <c r="R455" s="86">
        <v>9003.0</v>
      </c>
      <c r="S455" s="86" t="s">
        <v>1351</v>
      </c>
      <c r="U455" s="86">
        <v>0.9</v>
      </c>
      <c r="V455" s="86">
        <v>70001.0</v>
      </c>
      <c r="W455" s="86">
        <v>2.0</v>
      </c>
      <c r="X455" s="86">
        <v>1.0</v>
      </c>
      <c r="Y455" s="86">
        <v>70002.0</v>
      </c>
      <c r="Z455" s="86">
        <v>2.0</v>
      </c>
      <c r="AA455" s="86">
        <v>1.0</v>
      </c>
      <c r="AB455" s="86">
        <v>1001.0</v>
      </c>
      <c r="AC455" s="86">
        <v>100.0</v>
      </c>
      <c r="AD455" s="86">
        <v>1.0</v>
      </c>
      <c r="AE455" s="86">
        <v>8000.0</v>
      </c>
      <c r="AF455" s="86">
        <v>6650.0</v>
      </c>
      <c r="AG455" s="86">
        <v>1.0</v>
      </c>
    </row>
    <row r="456" ht="38.25" customHeight="1">
      <c r="A456" s="86">
        <v>1350.0</v>
      </c>
      <c r="B456" s="86" t="s">
        <v>1605</v>
      </c>
      <c r="C456" s="86">
        <v>11.0</v>
      </c>
      <c r="D456" s="86" t="s">
        <v>3023</v>
      </c>
      <c r="E456" s="86">
        <v>150.0</v>
      </c>
      <c r="G456" s="96" t="s">
        <v>3024</v>
      </c>
      <c r="I456" s="86">
        <v>44970.0</v>
      </c>
      <c r="J456" s="95" t="s">
        <v>3025</v>
      </c>
      <c r="K456" s="86" t="s">
        <v>647</v>
      </c>
      <c r="L456" s="86">
        <v>9001.0</v>
      </c>
      <c r="M456" s="86">
        <v>11.0</v>
      </c>
      <c r="O456" s="86">
        <v>0.5</v>
      </c>
      <c r="P456" s="95" t="s">
        <v>3026</v>
      </c>
      <c r="Q456" s="86" t="s">
        <v>658</v>
      </c>
      <c r="R456" s="86">
        <v>9008.0</v>
      </c>
      <c r="S456" s="86" t="s">
        <v>1885</v>
      </c>
      <c r="U456" s="86">
        <v>0.6</v>
      </c>
      <c r="V456" s="86">
        <v>70001.0</v>
      </c>
      <c r="W456" s="86">
        <v>3.0</v>
      </c>
      <c r="X456" s="86">
        <v>1.0</v>
      </c>
      <c r="Y456" s="86">
        <v>70002.0</v>
      </c>
      <c r="Z456" s="86">
        <v>3.0</v>
      </c>
      <c r="AA456" s="86">
        <v>1.0</v>
      </c>
      <c r="AB456" s="86">
        <v>1001.0</v>
      </c>
      <c r="AC456" s="86">
        <v>100.0</v>
      </c>
      <c r="AD456" s="86">
        <v>1.0</v>
      </c>
      <c r="AE456" s="86">
        <v>8000.0</v>
      </c>
      <c r="AF456" s="86">
        <v>6650.0</v>
      </c>
      <c r="AG456" s="86">
        <v>1.0</v>
      </c>
    </row>
    <row r="457" ht="38.25" customHeight="1">
      <c r="A457" s="86">
        <v>1351.0</v>
      </c>
      <c r="B457" s="86" t="s">
        <v>1605</v>
      </c>
      <c r="C457" s="86">
        <v>11.0</v>
      </c>
      <c r="D457" s="86" t="s">
        <v>3027</v>
      </c>
      <c r="E457" s="86">
        <v>150.0</v>
      </c>
      <c r="G457" s="96" t="s">
        <v>3028</v>
      </c>
      <c r="I457" s="86">
        <v>45095.0</v>
      </c>
      <c r="J457" s="95" t="s">
        <v>3025</v>
      </c>
      <c r="K457" s="86" t="s">
        <v>647</v>
      </c>
      <c r="L457" s="86">
        <v>9012.0</v>
      </c>
      <c r="M457" s="86" t="s">
        <v>1677</v>
      </c>
      <c r="O457" s="86">
        <v>0.4</v>
      </c>
      <c r="P457" s="95" t="s">
        <v>3026</v>
      </c>
      <c r="Q457" s="86" t="s">
        <v>658</v>
      </c>
      <c r="R457" s="86">
        <v>9011.0</v>
      </c>
      <c r="S457" s="86" t="s">
        <v>1689</v>
      </c>
      <c r="U457" s="86">
        <v>0.2</v>
      </c>
      <c r="V457" s="86">
        <v>70001.0</v>
      </c>
      <c r="W457" s="86">
        <v>3.0</v>
      </c>
      <c r="X457" s="86">
        <v>1.0</v>
      </c>
      <c r="Y457" s="86">
        <v>70002.0</v>
      </c>
      <c r="Z457" s="86">
        <v>3.0</v>
      </c>
      <c r="AA457" s="86">
        <v>1.0</v>
      </c>
      <c r="AB457" s="86">
        <v>1001.0</v>
      </c>
      <c r="AC457" s="86">
        <v>100.0</v>
      </c>
      <c r="AD457" s="86">
        <v>1.0</v>
      </c>
      <c r="AE457" s="86">
        <v>8000.0</v>
      </c>
      <c r="AF457" s="86">
        <v>6700.0</v>
      </c>
      <c r="AG457" s="86">
        <v>1.0</v>
      </c>
    </row>
    <row r="458" ht="38.25" customHeight="1">
      <c r="A458" s="86">
        <v>1352.0</v>
      </c>
      <c r="B458" s="86" t="s">
        <v>1605</v>
      </c>
      <c r="C458" s="86">
        <v>11.0</v>
      </c>
      <c r="D458" s="86" t="s">
        <v>3029</v>
      </c>
      <c r="E458" s="86">
        <v>150.0</v>
      </c>
      <c r="G458" s="96" t="s">
        <v>3030</v>
      </c>
      <c r="I458" s="86">
        <v>45220.0</v>
      </c>
      <c r="J458" s="95" t="s">
        <v>3025</v>
      </c>
      <c r="K458" s="86" t="s">
        <v>647</v>
      </c>
      <c r="L458" s="86">
        <v>9012.0</v>
      </c>
      <c r="M458" s="86" t="s">
        <v>1668</v>
      </c>
      <c r="O458" s="86">
        <v>0.3</v>
      </c>
      <c r="P458" s="95" t="s">
        <v>3026</v>
      </c>
      <c r="Q458" s="86" t="s">
        <v>658</v>
      </c>
      <c r="R458" s="86">
        <v>9003.0</v>
      </c>
      <c r="S458" s="86">
        <v>11.0</v>
      </c>
      <c r="U458" s="86">
        <v>0.6</v>
      </c>
      <c r="V458" s="86">
        <v>70001.0</v>
      </c>
      <c r="W458" s="86">
        <v>3.0</v>
      </c>
      <c r="X458" s="86">
        <v>1.0</v>
      </c>
      <c r="Y458" s="86">
        <v>70002.0</v>
      </c>
      <c r="Z458" s="86">
        <v>3.0</v>
      </c>
      <c r="AA458" s="86">
        <v>1.0</v>
      </c>
      <c r="AB458" s="86">
        <v>1001.0</v>
      </c>
      <c r="AC458" s="86">
        <v>100.0</v>
      </c>
      <c r="AD458" s="86">
        <v>1.0</v>
      </c>
      <c r="AE458" s="86">
        <v>8000.0</v>
      </c>
      <c r="AF458" s="86">
        <v>6700.0</v>
      </c>
      <c r="AG458" s="86">
        <v>1.0</v>
      </c>
    </row>
    <row r="459" ht="38.25" customHeight="1">
      <c r="A459" s="86">
        <v>1353.0</v>
      </c>
      <c r="B459" s="86" t="s">
        <v>1605</v>
      </c>
      <c r="C459" s="86">
        <v>11.0</v>
      </c>
      <c r="D459" s="86" t="s">
        <v>3031</v>
      </c>
      <c r="E459" s="86">
        <v>150.0</v>
      </c>
      <c r="G459" s="96" t="s">
        <v>3032</v>
      </c>
      <c r="I459" s="86">
        <v>45345.0</v>
      </c>
      <c r="J459" s="95" t="s">
        <v>3025</v>
      </c>
      <c r="K459" s="86" t="s">
        <v>647</v>
      </c>
      <c r="L459" s="86">
        <v>9012.0</v>
      </c>
      <c r="M459" s="86" t="s">
        <v>1742</v>
      </c>
      <c r="O459" s="86">
        <v>0.2</v>
      </c>
      <c r="P459" s="95" t="s">
        <v>3026</v>
      </c>
      <c r="Q459" s="86" t="s">
        <v>658</v>
      </c>
      <c r="R459" s="86">
        <v>9004.0</v>
      </c>
      <c r="S459" s="86" t="s">
        <v>1677</v>
      </c>
      <c r="U459" s="86">
        <v>0.5</v>
      </c>
      <c r="V459" s="86">
        <v>70001.0</v>
      </c>
      <c r="W459" s="86">
        <v>3.0</v>
      </c>
      <c r="X459" s="86">
        <v>1.0</v>
      </c>
      <c r="Y459" s="86">
        <v>70002.0</v>
      </c>
      <c r="Z459" s="86">
        <v>3.0</v>
      </c>
      <c r="AA459" s="86">
        <v>1.0</v>
      </c>
      <c r="AB459" s="86">
        <v>1001.0</v>
      </c>
      <c r="AC459" s="86">
        <v>100.0</v>
      </c>
      <c r="AD459" s="86">
        <v>1.0</v>
      </c>
      <c r="AE459" s="86">
        <v>8000.0</v>
      </c>
      <c r="AF459" s="86">
        <v>6750.0</v>
      </c>
      <c r="AG459" s="86">
        <v>1.0</v>
      </c>
    </row>
    <row r="460" ht="38.25" customHeight="1">
      <c r="A460" s="86">
        <v>1354.0</v>
      </c>
      <c r="B460" s="86" t="s">
        <v>1605</v>
      </c>
      <c r="C460" s="86">
        <v>11.0</v>
      </c>
      <c r="D460" s="86" t="s">
        <v>3033</v>
      </c>
      <c r="E460" s="86">
        <v>150.0</v>
      </c>
      <c r="G460" s="96" t="s">
        <v>3024</v>
      </c>
      <c r="I460" s="86">
        <v>45470.0</v>
      </c>
      <c r="J460" s="95" t="s">
        <v>3025</v>
      </c>
      <c r="K460" s="86" t="s">
        <v>647</v>
      </c>
      <c r="L460" s="86">
        <v>9005.0</v>
      </c>
      <c r="M460" s="86" t="s">
        <v>1658</v>
      </c>
      <c r="O460" s="86">
        <v>0.2</v>
      </c>
      <c r="P460" s="95" t="s">
        <v>3026</v>
      </c>
      <c r="Q460" s="86" t="s">
        <v>658</v>
      </c>
      <c r="R460" s="86">
        <v>9003.0</v>
      </c>
      <c r="S460" s="86" t="s">
        <v>1322</v>
      </c>
      <c r="U460" s="86">
        <v>0.2</v>
      </c>
      <c r="V460" s="86">
        <v>70001.0</v>
      </c>
      <c r="W460" s="86">
        <v>3.0</v>
      </c>
      <c r="X460" s="86">
        <v>1.0</v>
      </c>
      <c r="Y460" s="86">
        <v>70002.0</v>
      </c>
      <c r="Z460" s="86">
        <v>3.0</v>
      </c>
      <c r="AA460" s="86">
        <v>1.0</v>
      </c>
      <c r="AB460" s="86">
        <v>1001.0</v>
      </c>
      <c r="AC460" s="86">
        <v>100.0</v>
      </c>
      <c r="AD460" s="86">
        <v>1.0</v>
      </c>
      <c r="AE460" s="86">
        <v>8000.0</v>
      </c>
      <c r="AF460" s="86">
        <v>6750.0</v>
      </c>
      <c r="AG460" s="86">
        <v>1.0</v>
      </c>
    </row>
    <row r="461" ht="38.25" customHeight="1">
      <c r="A461" s="86">
        <v>1355.0</v>
      </c>
      <c r="B461" s="86" t="s">
        <v>1605</v>
      </c>
      <c r="C461" s="86">
        <v>11.0</v>
      </c>
      <c r="D461" s="86" t="s">
        <v>3034</v>
      </c>
      <c r="E461" s="86">
        <v>150.0</v>
      </c>
      <c r="G461" s="96" t="s">
        <v>3035</v>
      </c>
      <c r="I461" s="86">
        <v>45595.0</v>
      </c>
      <c r="J461" s="95" t="s">
        <v>3025</v>
      </c>
      <c r="K461" s="86" t="s">
        <v>647</v>
      </c>
      <c r="L461" s="86">
        <v>9001.0</v>
      </c>
      <c r="M461" s="86" t="s">
        <v>2257</v>
      </c>
      <c r="O461" s="86">
        <v>0.3</v>
      </c>
      <c r="P461" s="95" t="s">
        <v>3026</v>
      </c>
      <c r="Q461" s="86" t="s">
        <v>658</v>
      </c>
      <c r="R461" s="86">
        <v>9004.0</v>
      </c>
      <c r="S461" s="86" t="s">
        <v>2350</v>
      </c>
      <c r="U461" s="86">
        <v>0.9</v>
      </c>
      <c r="V461" s="86">
        <v>70001.0</v>
      </c>
      <c r="W461" s="86">
        <v>3.0</v>
      </c>
      <c r="X461" s="86">
        <v>1.0</v>
      </c>
      <c r="Y461" s="86">
        <v>70002.0</v>
      </c>
      <c r="Z461" s="86">
        <v>3.0</v>
      </c>
      <c r="AA461" s="86">
        <v>1.0</v>
      </c>
      <c r="AB461" s="86">
        <v>1001.0</v>
      </c>
      <c r="AC461" s="86">
        <v>100.0</v>
      </c>
      <c r="AD461" s="86">
        <v>1.0</v>
      </c>
      <c r="AE461" s="86">
        <v>8000.0</v>
      </c>
      <c r="AF461" s="86">
        <v>6800.0</v>
      </c>
      <c r="AG461" s="86">
        <v>1.0</v>
      </c>
    </row>
    <row r="462" ht="38.25" customHeight="1">
      <c r="A462" s="86">
        <v>1356.0</v>
      </c>
      <c r="B462" s="86" t="s">
        <v>1605</v>
      </c>
      <c r="C462" s="86">
        <v>11.0</v>
      </c>
      <c r="D462" s="86" t="s">
        <v>3036</v>
      </c>
      <c r="E462" s="86">
        <v>150.0</v>
      </c>
      <c r="G462" s="96" t="s">
        <v>3037</v>
      </c>
      <c r="I462" s="86">
        <v>45720.0</v>
      </c>
      <c r="J462" s="95" t="s">
        <v>3025</v>
      </c>
      <c r="K462" s="86" t="s">
        <v>647</v>
      </c>
      <c r="L462" s="86">
        <v>9005.0</v>
      </c>
      <c r="M462" s="86">
        <v>8.0</v>
      </c>
      <c r="O462" s="86">
        <v>0.5</v>
      </c>
      <c r="P462" s="95" t="s">
        <v>3026</v>
      </c>
      <c r="Q462" s="86" t="s">
        <v>658</v>
      </c>
      <c r="R462" s="86">
        <v>9004.0</v>
      </c>
      <c r="S462" s="86" t="s">
        <v>2180</v>
      </c>
      <c r="U462" s="86">
        <v>0.2</v>
      </c>
      <c r="V462" s="86">
        <v>70001.0</v>
      </c>
      <c r="W462" s="86">
        <v>3.0</v>
      </c>
      <c r="X462" s="86">
        <v>1.0</v>
      </c>
      <c r="Y462" s="86">
        <v>70002.0</v>
      </c>
      <c r="Z462" s="86">
        <v>3.0</v>
      </c>
      <c r="AA462" s="86">
        <v>1.0</v>
      </c>
      <c r="AB462" s="86">
        <v>1001.0</v>
      </c>
      <c r="AC462" s="86">
        <v>100.0</v>
      </c>
      <c r="AD462" s="86">
        <v>1.0</v>
      </c>
      <c r="AE462" s="86">
        <v>8000.0</v>
      </c>
      <c r="AF462" s="86">
        <v>6800.0</v>
      </c>
      <c r="AG462" s="86">
        <v>1.0</v>
      </c>
    </row>
    <row r="463" ht="38.25" customHeight="1">
      <c r="A463" s="86">
        <v>1357.0</v>
      </c>
      <c r="B463" s="86" t="s">
        <v>1605</v>
      </c>
      <c r="C463" s="86">
        <v>11.0</v>
      </c>
      <c r="D463" s="86" t="s">
        <v>3038</v>
      </c>
      <c r="E463" s="86">
        <v>150.0</v>
      </c>
      <c r="G463" s="96" t="s">
        <v>3039</v>
      </c>
      <c r="I463" s="86">
        <v>45845.0</v>
      </c>
      <c r="J463" s="95" t="s">
        <v>3025</v>
      </c>
      <c r="K463" s="86" t="s">
        <v>647</v>
      </c>
      <c r="L463" s="86">
        <v>9002.0</v>
      </c>
      <c r="M463" s="86">
        <v>13.0</v>
      </c>
      <c r="O463" s="86">
        <v>0.2</v>
      </c>
      <c r="P463" s="95" t="s">
        <v>3026</v>
      </c>
      <c r="Q463" s="86" t="s">
        <v>658</v>
      </c>
      <c r="R463" s="86">
        <v>9011.0</v>
      </c>
      <c r="S463" s="86" t="s">
        <v>3003</v>
      </c>
      <c r="U463" s="86">
        <v>0.3</v>
      </c>
      <c r="V463" s="86">
        <v>70001.0</v>
      </c>
      <c r="W463" s="86">
        <v>3.0</v>
      </c>
      <c r="X463" s="86">
        <v>1.0</v>
      </c>
      <c r="Y463" s="86">
        <v>70002.0</v>
      </c>
      <c r="Z463" s="86">
        <v>3.0</v>
      </c>
      <c r="AA463" s="86">
        <v>1.0</v>
      </c>
      <c r="AB463" s="86">
        <v>1001.0</v>
      </c>
      <c r="AC463" s="86">
        <v>100.0</v>
      </c>
      <c r="AD463" s="86">
        <v>1.0</v>
      </c>
      <c r="AE463" s="86">
        <v>8000.0</v>
      </c>
      <c r="AF463" s="86">
        <v>6850.0</v>
      </c>
      <c r="AG463" s="86">
        <v>1.0</v>
      </c>
    </row>
    <row r="464" ht="38.25" customHeight="1">
      <c r="A464" s="86">
        <v>1358.0</v>
      </c>
      <c r="B464" s="86" t="s">
        <v>1605</v>
      </c>
      <c r="C464" s="86">
        <v>11.0</v>
      </c>
      <c r="D464" s="86" t="s">
        <v>3040</v>
      </c>
      <c r="E464" s="86">
        <v>150.0</v>
      </c>
      <c r="G464" s="96" t="s">
        <v>3041</v>
      </c>
      <c r="I464" s="86">
        <v>45970.0</v>
      </c>
      <c r="J464" s="95" t="s">
        <v>3025</v>
      </c>
      <c r="K464" s="86" t="s">
        <v>647</v>
      </c>
      <c r="L464" s="86">
        <v>9011.0</v>
      </c>
      <c r="M464" s="86" t="s">
        <v>3042</v>
      </c>
      <c r="O464" s="86">
        <v>0.8</v>
      </c>
      <c r="P464" s="95" t="s">
        <v>3026</v>
      </c>
      <c r="Q464" s="86" t="s">
        <v>658</v>
      </c>
      <c r="R464" s="86">
        <v>9007.0</v>
      </c>
      <c r="S464" s="86">
        <v>6.0</v>
      </c>
      <c r="U464" s="86">
        <v>0.9</v>
      </c>
      <c r="V464" s="86">
        <v>70001.0</v>
      </c>
      <c r="W464" s="86">
        <v>3.0</v>
      </c>
      <c r="X464" s="86">
        <v>1.0</v>
      </c>
      <c r="Y464" s="86">
        <v>70002.0</v>
      </c>
      <c r="Z464" s="86">
        <v>3.0</v>
      </c>
      <c r="AA464" s="86">
        <v>1.0</v>
      </c>
      <c r="AB464" s="86">
        <v>1001.0</v>
      </c>
      <c r="AC464" s="86">
        <v>100.0</v>
      </c>
      <c r="AD464" s="86">
        <v>1.0</v>
      </c>
      <c r="AE464" s="86">
        <v>8000.0</v>
      </c>
      <c r="AF464" s="86">
        <v>6850.0</v>
      </c>
      <c r="AG464" s="86">
        <v>1.0</v>
      </c>
    </row>
    <row r="465" ht="38.25" customHeight="1">
      <c r="A465" s="86">
        <v>1359.0</v>
      </c>
      <c r="B465" s="86" t="s">
        <v>1605</v>
      </c>
      <c r="C465" s="86">
        <v>11.0</v>
      </c>
      <c r="D465" s="86" t="s">
        <v>3043</v>
      </c>
      <c r="E465" s="86">
        <v>150.0</v>
      </c>
      <c r="G465" s="96" t="s">
        <v>3044</v>
      </c>
      <c r="I465" s="86">
        <v>46095.0</v>
      </c>
      <c r="J465" s="95" t="s">
        <v>3025</v>
      </c>
      <c r="K465" s="86" t="s">
        <v>647</v>
      </c>
      <c r="L465" s="86">
        <v>9005.0</v>
      </c>
      <c r="M465" s="86" t="s">
        <v>1742</v>
      </c>
      <c r="O465" s="86">
        <v>0.7</v>
      </c>
      <c r="P465" s="95" t="s">
        <v>3026</v>
      </c>
      <c r="Q465" s="86" t="s">
        <v>658</v>
      </c>
      <c r="R465" s="86">
        <v>9012.0</v>
      </c>
      <c r="S465" s="86">
        <v>3.0</v>
      </c>
      <c r="U465" s="86">
        <v>0.9</v>
      </c>
      <c r="V465" s="86">
        <v>70001.0</v>
      </c>
      <c r="W465" s="86">
        <v>3.0</v>
      </c>
      <c r="X465" s="86">
        <v>1.0</v>
      </c>
      <c r="Y465" s="86">
        <v>70002.0</v>
      </c>
      <c r="Z465" s="86">
        <v>3.0</v>
      </c>
      <c r="AA465" s="86">
        <v>1.0</v>
      </c>
      <c r="AB465" s="86">
        <v>1001.0</v>
      </c>
      <c r="AC465" s="86">
        <v>500.0</v>
      </c>
      <c r="AD465" s="86">
        <v>1.0</v>
      </c>
      <c r="AE465" s="86">
        <v>8000.0</v>
      </c>
      <c r="AF465" s="86">
        <v>6900.0</v>
      </c>
      <c r="AG465" s="86">
        <v>1.0</v>
      </c>
    </row>
    <row r="466" ht="38.25" customHeight="1">
      <c r="A466" s="86">
        <v>1360.0</v>
      </c>
      <c r="B466" s="86" t="s">
        <v>1605</v>
      </c>
      <c r="C466" s="86">
        <v>11.0</v>
      </c>
      <c r="D466" s="86" t="s">
        <v>3045</v>
      </c>
      <c r="E466" s="86">
        <v>150.0</v>
      </c>
      <c r="G466" s="96" t="s">
        <v>3046</v>
      </c>
      <c r="I466" s="86">
        <v>46220.0</v>
      </c>
      <c r="J466" s="95" t="s">
        <v>3025</v>
      </c>
      <c r="K466" s="86" t="s">
        <v>647</v>
      </c>
      <c r="L466" s="86">
        <v>9002.0</v>
      </c>
      <c r="M466" s="86" t="s">
        <v>1673</v>
      </c>
      <c r="O466" s="86">
        <v>0.6</v>
      </c>
      <c r="P466" s="95" t="s">
        <v>3026</v>
      </c>
      <c r="Q466" s="86" t="s">
        <v>658</v>
      </c>
      <c r="R466" s="86">
        <v>9007.0</v>
      </c>
      <c r="S466" s="86">
        <v>10.0</v>
      </c>
      <c r="U466" s="86">
        <v>0.6</v>
      </c>
      <c r="V466" s="86">
        <v>70001.0</v>
      </c>
      <c r="W466" s="86">
        <v>3.0</v>
      </c>
      <c r="X466" s="86">
        <v>1.0</v>
      </c>
      <c r="Y466" s="86">
        <v>70002.0</v>
      </c>
      <c r="Z466" s="86">
        <v>3.0</v>
      </c>
      <c r="AA466" s="86">
        <v>1.0</v>
      </c>
      <c r="AB466" s="86">
        <v>1001.0</v>
      </c>
      <c r="AC466" s="86">
        <v>100.0</v>
      </c>
      <c r="AD466" s="86">
        <v>1.0</v>
      </c>
      <c r="AE466" s="86">
        <v>8000.0</v>
      </c>
      <c r="AF466" s="86">
        <v>6900.0</v>
      </c>
      <c r="AG466" s="86">
        <v>1.0</v>
      </c>
    </row>
    <row r="467" ht="38.25" customHeight="1">
      <c r="A467" s="86">
        <v>1361.0</v>
      </c>
      <c r="B467" s="86" t="s">
        <v>1605</v>
      </c>
      <c r="C467" s="86">
        <v>11.0</v>
      </c>
      <c r="D467" s="86" t="s">
        <v>3047</v>
      </c>
      <c r="E467" s="86">
        <v>150.0</v>
      </c>
      <c r="G467" s="96" t="s">
        <v>3048</v>
      </c>
      <c r="I467" s="86">
        <v>46345.0</v>
      </c>
      <c r="J467" s="95" t="s">
        <v>3025</v>
      </c>
      <c r="K467" s="86" t="s">
        <v>647</v>
      </c>
      <c r="L467" s="86">
        <v>9002.0</v>
      </c>
      <c r="M467" s="86">
        <v>12.0</v>
      </c>
      <c r="O467" s="86">
        <v>0.7</v>
      </c>
      <c r="P467" s="95" t="s">
        <v>3026</v>
      </c>
      <c r="Q467" s="86" t="s">
        <v>658</v>
      </c>
      <c r="R467" s="86">
        <v>9012.0</v>
      </c>
      <c r="S467" s="86" t="s">
        <v>1287</v>
      </c>
      <c r="U467" s="86">
        <v>0.1</v>
      </c>
      <c r="V467" s="86">
        <v>70001.0</v>
      </c>
      <c r="W467" s="86">
        <v>3.0</v>
      </c>
      <c r="X467" s="86">
        <v>1.0</v>
      </c>
      <c r="Y467" s="86">
        <v>70002.0</v>
      </c>
      <c r="Z467" s="86">
        <v>3.0</v>
      </c>
      <c r="AA467" s="86">
        <v>1.0</v>
      </c>
      <c r="AB467" s="86">
        <v>1001.0</v>
      </c>
      <c r="AC467" s="86">
        <v>100.0</v>
      </c>
      <c r="AD467" s="86">
        <v>1.0</v>
      </c>
      <c r="AE467" s="86">
        <v>8000.0</v>
      </c>
      <c r="AF467" s="86">
        <v>6950.0</v>
      </c>
      <c r="AG467" s="86">
        <v>1.0</v>
      </c>
    </row>
    <row r="468" ht="38.25" customHeight="1">
      <c r="A468" s="86">
        <v>1362.0</v>
      </c>
      <c r="B468" s="86" t="s">
        <v>1605</v>
      </c>
      <c r="C468" s="86">
        <v>11.0</v>
      </c>
      <c r="D468" s="86" t="s">
        <v>3049</v>
      </c>
      <c r="E468" s="86">
        <v>150.0</v>
      </c>
      <c r="G468" s="96" t="s">
        <v>3050</v>
      </c>
      <c r="I468" s="86">
        <v>46470.0</v>
      </c>
      <c r="J468" s="95" t="s">
        <v>3025</v>
      </c>
      <c r="K468" s="86" t="s">
        <v>647</v>
      </c>
      <c r="L468" s="86">
        <v>9011.0</v>
      </c>
      <c r="M468" s="86">
        <v>12.0</v>
      </c>
      <c r="O468" s="86">
        <v>0.4</v>
      </c>
      <c r="P468" s="95" t="s">
        <v>3026</v>
      </c>
      <c r="Q468" s="86" t="s">
        <v>658</v>
      </c>
      <c r="R468" s="86">
        <v>9011.0</v>
      </c>
      <c r="S468" s="86" t="s">
        <v>1535</v>
      </c>
      <c r="U468" s="86">
        <v>0.6</v>
      </c>
      <c r="V468" s="86">
        <v>70001.0</v>
      </c>
      <c r="W468" s="86">
        <v>3.0</v>
      </c>
      <c r="X468" s="86">
        <v>1.0</v>
      </c>
      <c r="Y468" s="86">
        <v>70002.0</v>
      </c>
      <c r="Z468" s="86">
        <v>3.0</v>
      </c>
      <c r="AA468" s="86">
        <v>1.0</v>
      </c>
      <c r="AB468" s="86">
        <v>1001.0</v>
      </c>
      <c r="AC468" s="86">
        <v>100.0</v>
      </c>
      <c r="AD468" s="86">
        <v>1.0</v>
      </c>
      <c r="AE468" s="86">
        <v>8000.0</v>
      </c>
      <c r="AF468" s="86">
        <v>6950.0</v>
      </c>
      <c r="AG468" s="86">
        <v>1.0</v>
      </c>
    </row>
    <row r="469" ht="38.25" customHeight="1">
      <c r="A469" s="86">
        <v>1363.0</v>
      </c>
      <c r="B469" s="86" t="s">
        <v>1605</v>
      </c>
      <c r="C469" s="86">
        <v>11.0</v>
      </c>
      <c r="D469" s="86" t="s">
        <v>3051</v>
      </c>
      <c r="E469" s="86">
        <v>150.0</v>
      </c>
      <c r="G469" s="96" t="s">
        <v>3052</v>
      </c>
      <c r="I469" s="86">
        <v>46595.0</v>
      </c>
      <c r="J469" s="95" t="s">
        <v>3025</v>
      </c>
      <c r="K469" s="86" t="s">
        <v>647</v>
      </c>
      <c r="L469" s="86">
        <v>9008.0</v>
      </c>
      <c r="M469" s="86" t="s">
        <v>3053</v>
      </c>
      <c r="O469" s="86">
        <v>0.2</v>
      </c>
      <c r="P469" s="95" t="s">
        <v>3026</v>
      </c>
      <c r="Q469" s="86" t="s">
        <v>658</v>
      </c>
      <c r="R469" s="86">
        <v>9007.0</v>
      </c>
      <c r="S469" s="86" t="s">
        <v>2441</v>
      </c>
      <c r="U469" s="86">
        <v>0.8</v>
      </c>
      <c r="V469" s="86">
        <v>70001.0</v>
      </c>
      <c r="W469" s="86">
        <v>3.0</v>
      </c>
      <c r="X469" s="86">
        <v>1.0</v>
      </c>
      <c r="Y469" s="86">
        <v>70002.0</v>
      </c>
      <c r="Z469" s="86">
        <v>3.0</v>
      </c>
      <c r="AA469" s="86">
        <v>1.0</v>
      </c>
      <c r="AB469" s="86">
        <v>1001.0</v>
      </c>
      <c r="AC469" s="86">
        <v>100.0</v>
      </c>
      <c r="AD469" s="86">
        <v>1.0</v>
      </c>
      <c r="AE469" s="86">
        <v>8000.0</v>
      </c>
      <c r="AF469" s="86">
        <v>7000.0</v>
      </c>
      <c r="AG469" s="86">
        <v>1.0</v>
      </c>
    </row>
    <row r="470" ht="38.25" customHeight="1">
      <c r="A470" s="86">
        <v>1364.0</v>
      </c>
      <c r="B470" s="86" t="s">
        <v>1605</v>
      </c>
      <c r="C470" s="86">
        <v>11.0</v>
      </c>
      <c r="D470" s="86" t="s">
        <v>3054</v>
      </c>
      <c r="E470" s="86">
        <v>150.0</v>
      </c>
      <c r="G470" s="96" t="s">
        <v>3055</v>
      </c>
      <c r="I470" s="86">
        <v>46720.0</v>
      </c>
      <c r="J470" s="95" t="s">
        <v>3025</v>
      </c>
      <c r="K470" s="86" t="s">
        <v>647</v>
      </c>
      <c r="L470" s="86">
        <v>9007.0</v>
      </c>
      <c r="M470" s="86" t="s">
        <v>2319</v>
      </c>
      <c r="O470" s="86">
        <v>0.7</v>
      </c>
      <c r="P470" s="95" t="s">
        <v>3026</v>
      </c>
      <c r="Q470" s="86" t="s">
        <v>658</v>
      </c>
      <c r="R470" s="86">
        <v>9012.0</v>
      </c>
      <c r="S470" s="86">
        <v>1.0</v>
      </c>
      <c r="U470" s="86">
        <v>0.9</v>
      </c>
      <c r="V470" s="86">
        <v>70001.0</v>
      </c>
      <c r="W470" s="86">
        <v>3.0</v>
      </c>
      <c r="X470" s="86">
        <v>1.0</v>
      </c>
      <c r="Y470" s="86">
        <v>70002.0</v>
      </c>
      <c r="Z470" s="86">
        <v>3.0</v>
      </c>
      <c r="AA470" s="86">
        <v>1.0</v>
      </c>
      <c r="AB470" s="86">
        <v>1001.0</v>
      </c>
      <c r="AC470" s="86">
        <v>100.0</v>
      </c>
      <c r="AD470" s="86">
        <v>1.0</v>
      </c>
      <c r="AE470" s="86">
        <v>8000.0</v>
      </c>
      <c r="AF470" s="86">
        <v>7000.0</v>
      </c>
      <c r="AG470" s="86">
        <v>1.0</v>
      </c>
    </row>
    <row r="471" ht="38.25" customHeight="1">
      <c r="A471" s="86">
        <v>1365.0</v>
      </c>
      <c r="B471" s="86" t="s">
        <v>1605</v>
      </c>
      <c r="C471" s="86">
        <v>11.0</v>
      </c>
      <c r="D471" s="86" t="s">
        <v>3056</v>
      </c>
      <c r="E471" s="86">
        <v>150.0</v>
      </c>
      <c r="G471" s="96" t="s">
        <v>3057</v>
      </c>
      <c r="I471" s="86">
        <v>46845.0</v>
      </c>
      <c r="J471" s="95" t="s">
        <v>3025</v>
      </c>
      <c r="K471" s="86" t="s">
        <v>647</v>
      </c>
      <c r="L471" s="86">
        <v>9011.0</v>
      </c>
      <c r="M471" s="86" t="s">
        <v>1668</v>
      </c>
      <c r="O471" s="86">
        <v>0.1</v>
      </c>
      <c r="P471" s="95" t="s">
        <v>3026</v>
      </c>
      <c r="Q471" s="86" t="s">
        <v>658</v>
      </c>
      <c r="R471" s="86">
        <v>9004.0</v>
      </c>
      <c r="S471" s="86" t="s">
        <v>3058</v>
      </c>
      <c r="U471" s="86">
        <v>0.2</v>
      </c>
      <c r="V471" s="86">
        <v>70001.0</v>
      </c>
      <c r="W471" s="86">
        <v>3.0</v>
      </c>
      <c r="X471" s="86">
        <v>1.0</v>
      </c>
      <c r="Y471" s="86">
        <v>70002.0</v>
      </c>
      <c r="Z471" s="86">
        <v>3.0</v>
      </c>
      <c r="AA471" s="86">
        <v>1.0</v>
      </c>
      <c r="AB471" s="86">
        <v>1001.0</v>
      </c>
      <c r="AC471" s="86">
        <v>100.0</v>
      </c>
      <c r="AD471" s="86">
        <v>1.0</v>
      </c>
      <c r="AE471" s="86">
        <v>8000.0</v>
      </c>
      <c r="AF471" s="86">
        <v>7050.0</v>
      </c>
      <c r="AG471" s="86">
        <v>1.0</v>
      </c>
    </row>
    <row r="472" ht="38.25" customHeight="1">
      <c r="A472" s="86">
        <v>1366.0</v>
      </c>
      <c r="B472" s="86" t="s">
        <v>1605</v>
      </c>
      <c r="C472" s="86">
        <v>11.0</v>
      </c>
      <c r="D472" s="86" t="s">
        <v>3059</v>
      </c>
      <c r="E472" s="86">
        <v>150.0</v>
      </c>
      <c r="G472" s="96" t="s">
        <v>3060</v>
      </c>
      <c r="I472" s="86">
        <v>46970.0</v>
      </c>
      <c r="J472" s="95" t="s">
        <v>3025</v>
      </c>
      <c r="K472" s="86" t="s">
        <v>647</v>
      </c>
      <c r="L472" s="86">
        <v>9002.0</v>
      </c>
      <c r="M472" s="86">
        <v>7.0</v>
      </c>
      <c r="O472" s="86">
        <v>0.2</v>
      </c>
      <c r="P472" s="95" t="s">
        <v>3026</v>
      </c>
      <c r="Q472" s="86" t="s">
        <v>658</v>
      </c>
      <c r="R472" s="86">
        <v>9008.0</v>
      </c>
      <c r="S472" s="86" t="s">
        <v>1323</v>
      </c>
      <c r="U472" s="86">
        <v>0.3</v>
      </c>
      <c r="V472" s="86">
        <v>70001.0</v>
      </c>
      <c r="W472" s="86">
        <v>3.0</v>
      </c>
      <c r="X472" s="86">
        <v>1.0</v>
      </c>
      <c r="Y472" s="86">
        <v>70002.0</v>
      </c>
      <c r="Z472" s="86">
        <v>3.0</v>
      </c>
      <c r="AA472" s="86">
        <v>1.0</v>
      </c>
      <c r="AB472" s="86">
        <v>1001.0</v>
      </c>
      <c r="AC472" s="86">
        <v>100.0</v>
      </c>
      <c r="AD472" s="86">
        <v>1.0</v>
      </c>
      <c r="AE472" s="86">
        <v>8000.0</v>
      </c>
      <c r="AF472" s="86">
        <v>7050.0</v>
      </c>
      <c r="AG472" s="86">
        <v>1.0</v>
      </c>
    </row>
    <row r="473" ht="38.25" customHeight="1">
      <c r="A473" s="86">
        <v>1367.0</v>
      </c>
      <c r="B473" s="86" t="s">
        <v>1605</v>
      </c>
      <c r="C473" s="86">
        <v>11.0</v>
      </c>
      <c r="D473" s="86" t="s">
        <v>3061</v>
      </c>
      <c r="E473" s="86">
        <v>150.0</v>
      </c>
      <c r="G473" s="96" t="s">
        <v>3062</v>
      </c>
      <c r="I473" s="86">
        <v>47095.0</v>
      </c>
      <c r="J473" s="95" t="s">
        <v>3025</v>
      </c>
      <c r="K473" s="86" t="s">
        <v>647</v>
      </c>
      <c r="L473" s="86">
        <v>9012.0</v>
      </c>
      <c r="M473" s="86" t="s">
        <v>1380</v>
      </c>
      <c r="O473" s="86">
        <v>0.3</v>
      </c>
      <c r="P473" s="95" t="s">
        <v>3026</v>
      </c>
      <c r="Q473" s="86" t="s">
        <v>658</v>
      </c>
      <c r="R473" s="86">
        <v>9008.0</v>
      </c>
      <c r="S473" s="86" t="s">
        <v>1151</v>
      </c>
      <c r="U473" s="86">
        <v>0.7</v>
      </c>
      <c r="V473" s="86">
        <v>70001.0</v>
      </c>
      <c r="W473" s="86">
        <v>3.0</v>
      </c>
      <c r="X473" s="86">
        <v>1.0</v>
      </c>
      <c r="Y473" s="86">
        <v>70002.0</v>
      </c>
      <c r="Z473" s="86">
        <v>3.0</v>
      </c>
      <c r="AA473" s="86">
        <v>1.0</v>
      </c>
      <c r="AB473" s="86">
        <v>1001.0</v>
      </c>
      <c r="AC473" s="86">
        <v>100.0</v>
      </c>
      <c r="AD473" s="86">
        <v>1.0</v>
      </c>
      <c r="AE473" s="86">
        <v>8000.0</v>
      </c>
      <c r="AF473" s="86">
        <v>7100.0</v>
      </c>
      <c r="AG473" s="86">
        <v>1.0</v>
      </c>
    </row>
    <row r="474" ht="38.25" customHeight="1">
      <c r="A474" s="86">
        <v>1368.0</v>
      </c>
      <c r="B474" s="86" t="s">
        <v>1605</v>
      </c>
      <c r="C474" s="86">
        <v>11.0</v>
      </c>
      <c r="D474" s="86" t="s">
        <v>3063</v>
      </c>
      <c r="E474" s="86">
        <v>150.0</v>
      </c>
      <c r="G474" s="96" t="s">
        <v>3064</v>
      </c>
      <c r="I474" s="86">
        <v>47220.0</v>
      </c>
      <c r="J474" s="95" t="s">
        <v>3025</v>
      </c>
      <c r="K474" s="86" t="s">
        <v>647</v>
      </c>
      <c r="L474" s="86">
        <v>9005.0</v>
      </c>
      <c r="M474" s="86" t="s">
        <v>1386</v>
      </c>
      <c r="O474" s="86">
        <v>0.3</v>
      </c>
      <c r="P474" s="95" t="s">
        <v>3026</v>
      </c>
      <c r="Q474" s="86" t="s">
        <v>658</v>
      </c>
      <c r="R474" s="86">
        <v>9008.0</v>
      </c>
      <c r="S474" s="86" t="s">
        <v>1407</v>
      </c>
      <c r="U474" s="86">
        <v>0.6</v>
      </c>
      <c r="V474" s="86">
        <v>70001.0</v>
      </c>
      <c r="W474" s="86">
        <v>3.0</v>
      </c>
      <c r="X474" s="86">
        <v>1.0</v>
      </c>
      <c r="Y474" s="86">
        <v>70002.0</v>
      </c>
      <c r="Z474" s="86">
        <v>3.0</v>
      </c>
      <c r="AA474" s="86">
        <v>1.0</v>
      </c>
      <c r="AB474" s="86">
        <v>1001.0</v>
      </c>
      <c r="AC474" s="86">
        <v>100.0</v>
      </c>
      <c r="AD474" s="86">
        <v>1.0</v>
      </c>
      <c r="AE474" s="86">
        <v>8000.0</v>
      </c>
      <c r="AF474" s="86">
        <v>7100.0</v>
      </c>
      <c r="AG474" s="86">
        <v>1.0</v>
      </c>
    </row>
    <row r="475" ht="38.25" customHeight="1">
      <c r="A475" s="86">
        <v>1369.0</v>
      </c>
      <c r="B475" s="86" t="s">
        <v>1605</v>
      </c>
      <c r="C475" s="86">
        <v>11.0</v>
      </c>
      <c r="D475" s="86" t="s">
        <v>3065</v>
      </c>
      <c r="E475" s="86">
        <v>150.0</v>
      </c>
      <c r="G475" s="96" t="s">
        <v>3066</v>
      </c>
      <c r="I475" s="86">
        <v>47345.0</v>
      </c>
      <c r="J475" s="95" t="s">
        <v>3025</v>
      </c>
      <c r="K475" s="86" t="s">
        <v>647</v>
      </c>
      <c r="L475" s="86">
        <v>9007.0</v>
      </c>
      <c r="M475" s="86" t="s">
        <v>2173</v>
      </c>
      <c r="O475" s="86">
        <v>0.4</v>
      </c>
      <c r="P475" s="95" t="s">
        <v>3026</v>
      </c>
      <c r="Q475" s="86" t="s">
        <v>658</v>
      </c>
      <c r="R475" s="86">
        <v>9004.0</v>
      </c>
      <c r="S475" s="86">
        <v>12.0</v>
      </c>
      <c r="U475" s="86">
        <v>0.4</v>
      </c>
      <c r="V475" s="86">
        <v>70001.0</v>
      </c>
      <c r="W475" s="86">
        <v>3.0</v>
      </c>
      <c r="X475" s="86">
        <v>1.0</v>
      </c>
      <c r="Y475" s="86">
        <v>70002.0</v>
      </c>
      <c r="Z475" s="86">
        <v>3.0</v>
      </c>
      <c r="AA475" s="86">
        <v>1.0</v>
      </c>
      <c r="AB475" s="86">
        <v>1001.0</v>
      </c>
      <c r="AC475" s="86">
        <v>100.0</v>
      </c>
      <c r="AD475" s="86">
        <v>1.0</v>
      </c>
      <c r="AE475" s="86">
        <v>8000.0</v>
      </c>
      <c r="AF475" s="86">
        <v>7150.0</v>
      </c>
      <c r="AG475" s="86">
        <v>1.0</v>
      </c>
    </row>
    <row r="476" ht="38.25" customHeight="1">
      <c r="A476" s="86">
        <v>1370.0</v>
      </c>
      <c r="B476" s="86" t="s">
        <v>1605</v>
      </c>
      <c r="C476" s="86">
        <v>11.0</v>
      </c>
      <c r="D476" s="86" t="s">
        <v>3067</v>
      </c>
      <c r="E476" s="86">
        <v>150.0</v>
      </c>
      <c r="G476" s="96" t="s">
        <v>3068</v>
      </c>
      <c r="I476" s="86">
        <v>47470.0</v>
      </c>
      <c r="J476" s="95" t="s">
        <v>3025</v>
      </c>
      <c r="K476" s="86" t="s">
        <v>647</v>
      </c>
      <c r="L476" s="86">
        <v>9006.0</v>
      </c>
      <c r="M476" s="86">
        <v>11.0</v>
      </c>
      <c r="O476" s="86">
        <v>0.9</v>
      </c>
      <c r="P476" s="95" t="s">
        <v>3026</v>
      </c>
      <c r="Q476" s="86" t="s">
        <v>658</v>
      </c>
      <c r="R476" s="86">
        <v>9007.0</v>
      </c>
      <c r="S476" s="86" t="s">
        <v>3069</v>
      </c>
      <c r="U476" s="86">
        <v>1.0</v>
      </c>
      <c r="V476" s="86">
        <v>70001.0</v>
      </c>
      <c r="W476" s="86">
        <v>3.0</v>
      </c>
      <c r="X476" s="86">
        <v>1.0</v>
      </c>
      <c r="Y476" s="86">
        <v>70002.0</v>
      </c>
      <c r="Z476" s="86">
        <v>3.0</v>
      </c>
      <c r="AA476" s="86">
        <v>1.0</v>
      </c>
      <c r="AB476" s="86">
        <v>1001.0</v>
      </c>
      <c r="AC476" s="86">
        <v>100.0</v>
      </c>
      <c r="AD476" s="86">
        <v>1.0</v>
      </c>
      <c r="AE476" s="86">
        <v>8000.0</v>
      </c>
      <c r="AF476" s="86">
        <v>7150.0</v>
      </c>
      <c r="AG476" s="86">
        <v>1.0</v>
      </c>
    </row>
    <row r="477" ht="38.25" customHeight="1">
      <c r="A477" s="86">
        <v>1371.0</v>
      </c>
      <c r="B477" s="86" t="s">
        <v>1605</v>
      </c>
      <c r="C477" s="86">
        <v>11.0</v>
      </c>
      <c r="D477" s="86" t="s">
        <v>3070</v>
      </c>
      <c r="E477" s="86">
        <v>150.0</v>
      </c>
      <c r="G477" s="96" t="s">
        <v>3071</v>
      </c>
      <c r="I477" s="86">
        <v>47595.0</v>
      </c>
      <c r="J477" s="95" t="s">
        <v>3025</v>
      </c>
      <c r="K477" s="86" t="s">
        <v>647</v>
      </c>
      <c r="L477" s="86">
        <v>9011.0</v>
      </c>
      <c r="M477" s="86">
        <v>12.0</v>
      </c>
      <c r="O477" s="86">
        <v>0.4</v>
      </c>
      <c r="P477" s="95" t="s">
        <v>3026</v>
      </c>
      <c r="Q477" s="86" t="s">
        <v>658</v>
      </c>
      <c r="R477" s="86">
        <v>9010.0</v>
      </c>
      <c r="S477" s="86" t="s">
        <v>2060</v>
      </c>
      <c r="U477" s="86">
        <v>1.0</v>
      </c>
      <c r="V477" s="86">
        <v>70001.0</v>
      </c>
      <c r="W477" s="86">
        <v>3.0</v>
      </c>
      <c r="X477" s="86">
        <v>1.0</v>
      </c>
      <c r="Y477" s="86">
        <v>70002.0</v>
      </c>
      <c r="Z477" s="86">
        <v>3.0</v>
      </c>
      <c r="AA477" s="86">
        <v>1.0</v>
      </c>
      <c r="AB477" s="86">
        <v>1001.0</v>
      </c>
      <c r="AC477" s="86">
        <v>100.0</v>
      </c>
      <c r="AD477" s="86">
        <v>1.0</v>
      </c>
      <c r="AE477" s="86">
        <v>8000.0</v>
      </c>
      <c r="AF477" s="86">
        <v>7200.0</v>
      </c>
      <c r="AG477" s="86">
        <v>1.0</v>
      </c>
    </row>
    <row r="478" ht="38.25" customHeight="1">
      <c r="A478" s="86">
        <v>1372.0</v>
      </c>
      <c r="B478" s="86" t="s">
        <v>1605</v>
      </c>
      <c r="C478" s="86">
        <v>11.0</v>
      </c>
      <c r="D478" s="86" t="s">
        <v>3072</v>
      </c>
      <c r="E478" s="86">
        <v>150.0</v>
      </c>
      <c r="G478" s="96" t="s">
        <v>3073</v>
      </c>
      <c r="I478" s="86">
        <v>47720.0</v>
      </c>
      <c r="J478" s="95" t="s">
        <v>3025</v>
      </c>
      <c r="K478" s="86" t="s">
        <v>647</v>
      </c>
      <c r="L478" s="86">
        <v>9001.0</v>
      </c>
      <c r="M478" s="86" t="s">
        <v>1490</v>
      </c>
      <c r="O478" s="86">
        <v>0.5</v>
      </c>
      <c r="P478" s="95" t="s">
        <v>3026</v>
      </c>
      <c r="Q478" s="86" t="s">
        <v>658</v>
      </c>
      <c r="R478" s="86">
        <v>9003.0</v>
      </c>
      <c r="S478" s="86" t="s">
        <v>2253</v>
      </c>
      <c r="U478" s="86">
        <v>0.7</v>
      </c>
      <c r="V478" s="86">
        <v>70001.0</v>
      </c>
      <c r="W478" s="86">
        <v>3.0</v>
      </c>
      <c r="X478" s="86">
        <v>1.0</v>
      </c>
      <c r="Y478" s="86">
        <v>70002.0</v>
      </c>
      <c r="Z478" s="86">
        <v>3.0</v>
      </c>
      <c r="AA478" s="86">
        <v>1.0</v>
      </c>
      <c r="AB478" s="86">
        <v>1001.0</v>
      </c>
      <c r="AC478" s="86">
        <v>100.0</v>
      </c>
      <c r="AD478" s="86">
        <v>1.0</v>
      </c>
      <c r="AE478" s="86">
        <v>8000.0</v>
      </c>
      <c r="AF478" s="86">
        <v>7200.0</v>
      </c>
      <c r="AG478" s="86">
        <v>1.0</v>
      </c>
    </row>
    <row r="479" ht="38.25" customHeight="1">
      <c r="A479" s="86">
        <v>1373.0</v>
      </c>
      <c r="B479" s="86" t="s">
        <v>1605</v>
      </c>
      <c r="C479" s="86">
        <v>11.0</v>
      </c>
      <c r="D479" s="86" t="s">
        <v>3074</v>
      </c>
      <c r="E479" s="86">
        <v>150.0</v>
      </c>
      <c r="G479" s="96" t="s">
        <v>3075</v>
      </c>
      <c r="I479" s="86">
        <v>47845.0</v>
      </c>
      <c r="J479" s="95" t="s">
        <v>3025</v>
      </c>
      <c r="K479" s="86" t="s">
        <v>647</v>
      </c>
      <c r="L479" s="86">
        <v>9006.0</v>
      </c>
      <c r="M479" s="86" t="s">
        <v>1667</v>
      </c>
      <c r="O479" s="86">
        <v>1.0</v>
      </c>
      <c r="P479" s="95" t="s">
        <v>3026</v>
      </c>
      <c r="Q479" s="86" t="s">
        <v>658</v>
      </c>
      <c r="R479" s="86">
        <v>9012.0</v>
      </c>
      <c r="S479" s="86">
        <v>11.0</v>
      </c>
      <c r="U479" s="86">
        <v>0.6</v>
      </c>
      <c r="V479" s="86">
        <v>70001.0</v>
      </c>
      <c r="W479" s="86">
        <v>3.0</v>
      </c>
      <c r="X479" s="86">
        <v>1.0</v>
      </c>
      <c r="Y479" s="86">
        <v>70002.0</v>
      </c>
      <c r="Z479" s="86">
        <v>3.0</v>
      </c>
      <c r="AA479" s="86">
        <v>1.0</v>
      </c>
      <c r="AB479" s="86">
        <v>1001.0</v>
      </c>
      <c r="AC479" s="86">
        <v>100.0</v>
      </c>
      <c r="AD479" s="86">
        <v>1.0</v>
      </c>
      <c r="AE479" s="86">
        <v>8000.0</v>
      </c>
      <c r="AF479" s="86">
        <v>7250.0</v>
      </c>
      <c r="AG479" s="86">
        <v>1.0</v>
      </c>
    </row>
    <row r="480" ht="38.25" customHeight="1">
      <c r="A480" s="86">
        <v>1374.0</v>
      </c>
      <c r="B480" s="86" t="s">
        <v>1605</v>
      </c>
      <c r="C480" s="86">
        <v>11.0</v>
      </c>
      <c r="D480" s="86" t="s">
        <v>3076</v>
      </c>
      <c r="E480" s="86">
        <v>150.0</v>
      </c>
      <c r="G480" s="96" t="s">
        <v>3077</v>
      </c>
      <c r="I480" s="86">
        <v>47970.0</v>
      </c>
      <c r="J480" s="95" t="s">
        <v>3025</v>
      </c>
      <c r="K480" s="86" t="s">
        <v>647</v>
      </c>
      <c r="L480" s="86">
        <v>9006.0</v>
      </c>
      <c r="M480" s="86">
        <v>3.0</v>
      </c>
      <c r="O480" s="86">
        <v>0.7</v>
      </c>
      <c r="P480" s="95" t="s">
        <v>3026</v>
      </c>
      <c r="Q480" s="86" t="s">
        <v>658</v>
      </c>
      <c r="R480" s="86">
        <v>9012.0</v>
      </c>
      <c r="S480" s="86" t="s">
        <v>1761</v>
      </c>
      <c r="U480" s="86">
        <v>0.8</v>
      </c>
      <c r="V480" s="86">
        <v>70001.0</v>
      </c>
      <c r="W480" s="86">
        <v>3.0</v>
      </c>
      <c r="X480" s="86">
        <v>1.0</v>
      </c>
      <c r="Y480" s="86">
        <v>70002.0</v>
      </c>
      <c r="Z480" s="86">
        <v>3.0</v>
      </c>
      <c r="AA480" s="86">
        <v>1.0</v>
      </c>
      <c r="AB480" s="86">
        <v>1001.0</v>
      </c>
      <c r="AC480" s="86">
        <v>100.0</v>
      </c>
      <c r="AD480" s="86">
        <v>1.0</v>
      </c>
      <c r="AE480" s="86">
        <v>8000.0</v>
      </c>
      <c r="AF480" s="86">
        <v>7250.0</v>
      </c>
      <c r="AG480" s="86">
        <v>1.0</v>
      </c>
    </row>
    <row r="481" ht="38.25" customHeight="1">
      <c r="A481" s="86">
        <v>1375.0</v>
      </c>
      <c r="B481" s="86" t="s">
        <v>1605</v>
      </c>
      <c r="C481" s="86">
        <v>11.0</v>
      </c>
      <c r="D481" s="86" t="s">
        <v>3078</v>
      </c>
      <c r="E481" s="86">
        <v>150.0</v>
      </c>
      <c r="G481" s="96" t="s">
        <v>3079</v>
      </c>
      <c r="I481" s="86">
        <v>48095.0</v>
      </c>
      <c r="J481" s="95" t="s">
        <v>3025</v>
      </c>
      <c r="K481" s="86" t="s">
        <v>647</v>
      </c>
      <c r="L481" s="86">
        <v>9002.0</v>
      </c>
      <c r="M481" s="86" t="s">
        <v>2981</v>
      </c>
      <c r="O481" s="86">
        <v>0.4</v>
      </c>
      <c r="P481" s="95" t="s">
        <v>3026</v>
      </c>
      <c r="Q481" s="86" t="s">
        <v>658</v>
      </c>
      <c r="R481" s="86">
        <v>9012.0</v>
      </c>
      <c r="S481" s="86">
        <v>4.0</v>
      </c>
      <c r="U481" s="86">
        <v>0.4</v>
      </c>
      <c r="V481" s="86">
        <v>70001.0</v>
      </c>
      <c r="W481" s="86">
        <v>3.0</v>
      </c>
      <c r="X481" s="86">
        <v>1.0</v>
      </c>
      <c r="Y481" s="86">
        <v>70002.0</v>
      </c>
      <c r="Z481" s="86">
        <v>3.0</v>
      </c>
      <c r="AA481" s="86">
        <v>1.0</v>
      </c>
      <c r="AB481" s="86">
        <v>1001.0</v>
      </c>
      <c r="AC481" s="86">
        <v>100.0</v>
      </c>
      <c r="AD481" s="86">
        <v>1.0</v>
      </c>
      <c r="AE481" s="86">
        <v>8000.0</v>
      </c>
      <c r="AF481" s="86">
        <v>7300.0</v>
      </c>
      <c r="AG481" s="86">
        <v>1.0</v>
      </c>
    </row>
    <row r="482" ht="38.25" customHeight="1">
      <c r="A482" s="86">
        <v>1376.0</v>
      </c>
      <c r="B482" s="86" t="s">
        <v>1605</v>
      </c>
      <c r="C482" s="86">
        <v>11.0</v>
      </c>
      <c r="D482" s="86" t="s">
        <v>3080</v>
      </c>
      <c r="E482" s="86">
        <v>150.0</v>
      </c>
      <c r="G482" s="96" t="s">
        <v>3081</v>
      </c>
      <c r="I482" s="86">
        <v>48220.0</v>
      </c>
      <c r="J482" s="95" t="s">
        <v>3025</v>
      </c>
      <c r="K482" s="86" t="s">
        <v>647</v>
      </c>
      <c r="L482" s="86">
        <v>9011.0</v>
      </c>
      <c r="M482" s="86" t="s">
        <v>1132</v>
      </c>
      <c r="O482" s="86">
        <v>0.1</v>
      </c>
      <c r="P482" s="95" t="s">
        <v>3026</v>
      </c>
      <c r="Q482" s="86" t="s">
        <v>658</v>
      </c>
      <c r="R482" s="86">
        <v>9012.0</v>
      </c>
      <c r="S482" s="86" t="s">
        <v>3082</v>
      </c>
      <c r="U482" s="86">
        <v>0.2</v>
      </c>
      <c r="V482" s="86">
        <v>70001.0</v>
      </c>
      <c r="W482" s="86">
        <v>3.0</v>
      </c>
      <c r="X482" s="86">
        <v>1.0</v>
      </c>
      <c r="Y482" s="86">
        <v>70002.0</v>
      </c>
      <c r="Z482" s="86">
        <v>3.0</v>
      </c>
      <c r="AA482" s="86">
        <v>1.0</v>
      </c>
      <c r="AB482" s="86">
        <v>1001.0</v>
      </c>
      <c r="AC482" s="86">
        <v>100.0</v>
      </c>
      <c r="AD482" s="86">
        <v>1.0</v>
      </c>
      <c r="AE482" s="86">
        <v>8000.0</v>
      </c>
      <c r="AF482" s="86">
        <v>7300.0</v>
      </c>
      <c r="AG482" s="86">
        <v>1.0</v>
      </c>
    </row>
    <row r="483" ht="38.25" customHeight="1">
      <c r="A483" s="86">
        <v>1377.0</v>
      </c>
      <c r="B483" s="86" t="s">
        <v>1605</v>
      </c>
      <c r="C483" s="86">
        <v>11.0</v>
      </c>
      <c r="D483" s="86" t="s">
        <v>3084</v>
      </c>
      <c r="E483" s="86">
        <v>150.0</v>
      </c>
      <c r="G483" s="96" t="s">
        <v>3085</v>
      </c>
      <c r="I483" s="86">
        <v>48345.0</v>
      </c>
      <c r="J483" s="95" t="s">
        <v>3025</v>
      </c>
      <c r="K483" s="86" t="s">
        <v>647</v>
      </c>
      <c r="L483" s="86">
        <v>9012.0</v>
      </c>
      <c r="M483" s="86" t="s">
        <v>2341</v>
      </c>
      <c r="O483" s="86">
        <v>0.9</v>
      </c>
      <c r="P483" s="95" t="s">
        <v>3026</v>
      </c>
      <c r="Q483" s="86" t="s">
        <v>658</v>
      </c>
      <c r="R483" s="86">
        <v>9011.0</v>
      </c>
      <c r="S483" s="86">
        <v>6.0</v>
      </c>
      <c r="U483" s="86">
        <v>0.1</v>
      </c>
      <c r="V483" s="86">
        <v>70001.0</v>
      </c>
      <c r="W483" s="86">
        <v>3.0</v>
      </c>
      <c r="X483" s="86">
        <v>1.0</v>
      </c>
      <c r="Y483" s="86">
        <v>70002.0</v>
      </c>
      <c r="Z483" s="86">
        <v>3.0</v>
      </c>
      <c r="AA483" s="86">
        <v>1.0</v>
      </c>
      <c r="AB483" s="86">
        <v>1001.0</v>
      </c>
      <c r="AC483" s="86">
        <v>100.0</v>
      </c>
      <c r="AD483" s="86">
        <v>1.0</v>
      </c>
      <c r="AE483" s="86">
        <v>8000.0</v>
      </c>
      <c r="AF483" s="86">
        <v>7350.0</v>
      </c>
      <c r="AG483" s="86">
        <v>1.0</v>
      </c>
    </row>
    <row r="484" ht="38.25" customHeight="1">
      <c r="A484" s="86">
        <v>1378.0</v>
      </c>
      <c r="B484" s="86" t="s">
        <v>1605</v>
      </c>
      <c r="C484" s="86">
        <v>11.0</v>
      </c>
      <c r="D484" s="86" t="s">
        <v>3088</v>
      </c>
      <c r="E484" s="86">
        <v>150.0</v>
      </c>
      <c r="G484" s="96" t="s">
        <v>3090</v>
      </c>
      <c r="I484" s="86">
        <v>48470.0</v>
      </c>
      <c r="J484" s="95" t="s">
        <v>3025</v>
      </c>
      <c r="K484" s="86" t="s">
        <v>647</v>
      </c>
      <c r="L484" s="86">
        <v>9008.0</v>
      </c>
      <c r="M484" s="86" t="s">
        <v>3092</v>
      </c>
      <c r="O484" s="86">
        <v>0.6</v>
      </c>
      <c r="P484" s="95" t="s">
        <v>3026</v>
      </c>
      <c r="Q484" s="86" t="s">
        <v>658</v>
      </c>
      <c r="R484" s="86">
        <v>9011.0</v>
      </c>
      <c r="S484" s="86">
        <v>4.0</v>
      </c>
      <c r="U484" s="86">
        <v>0.5</v>
      </c>
      <c r="V484" s="86">
        <v>70001.0</v>
      </c>
      <c r="W484" s="86">
        <v>3.0</v>
      </c>
      <c r="X484" s="86">
        <v>1.0</v>
      </c>
      <c r="Y484" s="86">
        <v>70002.0</v>
      </c>
      <c r="Z484" s="86">
        <v>3.0</v>
      </c>
      <c r="AA484" s="86">
        <v>1.0</v>
      </c>
      <c r="AB484" s="86">
        <v>1001.0</v>
      </c>
      <c r="AC484" s="86">
        <v>100.0</v>
      </c>
      <c r="AD484" s="86">
        <v>1.0</v>
      </c>
      <c r="AE484" s="86">
        <v>8000.0</v>
      </c>
      <c r="AF484" s="86">
        <v>7350.0</v>
      </c>
      <c r="AG484" s="86">
        <v>1.0</v>
      </c>
    </row>
    <row r="485" ht="38.25" customHeight="1">
      <c r="A485" s="86">
        <v>1379.0</v>
      </c>
      <c r="B485" s="86" t="s">
        <v>1605</v>
      </c>
      <c r="C485" s="86">
        <v>11.0</v>
      </c>
      <c r="D485" s="86" t="s">
        <v>3095</v>
      </c>
      <c r="E485" s="86">
        <v>150.0</v>
      </c>
      <c r="G485" s="96" t="s">
        <v>3096</v>
      </c>
      <c r="I485" s="86">
        <v>48595.0</v>
      </c>
      <c r="J485" s="95" t="s">
        <v>3025</v>
      </c>
      <c r="K485" s="86" t="s">
        <v>647</v>
      </c>
      <c r="L485" s="86">
        <v>9001.0</v>
      </c>
      <c r="M485" s="86" t="s">
        <v>1089</v>
      </c>
      <c r="O485" s="86">
        <v>0.2</v>
      </c>
      <c r="P485" s="95" t="s">
        <v>3026</v>
      </c>
      <c r="Q485" s="86" t="s">
        <v>658</v>
      </c>
      <c r="R485" s="86">
        <v>9007.0</v>
      </c>
      <c r="S485" s="86" t="s">
        <v>2012</v>
      </c>
      <c r="U485" s="86">
        <v>0.3</v>
      </c>
      <c r="V485" s="86">
        <v>70001.0</v>
      </c>
      <c r="W485" s="86">
        <v>3.0</v>
      </c>
      <c r="X485" s="86">
        <v>1.0</v>
      </c>
      <c r="Y485" s="86">
        <v>70002.0</v>
      </c>
      <c r="Z485" s="86">
        <v>3.0</v>
      </c>
      <c r="AA485" s="86">
        <v>1.0</v>
      </c>
      <c r="AB485" s="86">
        <v>1001.0</v>
      </c>
      <c r="AC485" s="86">
        <v>100.0</v>
      </c>
      <c r="AD485" s="86">
        <v>1.0</v>
      </c>
      <c r="AE485" s="86">
        <v>8000.0</v>
      </c>
      <c r="AF485" s="86">
        <v>7400.0</v>
      </c>
      <c r="AG485" s="86">
        <v>1.0</v>
      </c>
    </row>
    <row r="486" ht="38.25" customHeight="1">
      <c r="A486" s="86">
        <v>1380.0</v>
      </c>
      <c r="B486" s="86" t="s">
        <v>1605</v>
      </c>
      <c r="C486" s="86">
        <v>11.0</v>
      </c>
      <c r="D486" s="86" t="s">
        <v>3098</v>
      </c>
      <c r="E486" s="86">
        <v>150.0</v>
      </c>
      <c r="G486" s="96" t="s">
        <v>3099</v>
      </c>
      <c r="I486" s="86">
        <v>48720.0</v>
      </c>
      <c r="J486" s="95" t="s">
        <v>3025</v>
      </c>
      <c r="K486" s="86" t="s">
        <v>647</v>
      </c>
      <c r="L486" s="86">
        <v>9002.0</v>
      </c>
      <c r="M486" s="86">
        <v>6.0</v>
      </c>
      <c r="O486" s="86">
        <v>0.1</v>
      </c>
      <c r="P486" s="95" t="s">
        <v>3026</v>
      </c>
      <c r="Q486" s="86" t="s">
        <v>658</v>
      </c>
      <c r="R486" s="86">
        <v>9004.0</v>
      </c>
      <c r="S486" s="86" t="s">
        <v>2021</v>
      </c>
      <c r="U486" s="86">
        <v>0.6</v>
      </c>
      <c r="V486" s="86">
        <v>70001.0</v>
      </c>
      <c r="W486" s="86">
        <v>3.0</v>
      </c>
      <c r="X486" s="86">
        <v>1.0</v>
      </c>
      <c r="Y486" s="86">
        <v>70002.0</v>
      </c>
      <c r="Z486" s="86">
        <v>3.0</v>
      </c>
      <c r="AA486" s="86">
        <v>1.0</v>
      </c>
      <c r="AB486" s="86">
        <v>1001.0</v>
      </c>
      <c r="AC486" s="86">
        <v>100.0</v>
      </c>
      <c r="AD486" s="86">
        <v>1.0</v>
      </c>
      <c r="AE486" s="86">
        <v>8000.0</v>
      </c>
      <c r="AF486" s="86">
        <v>7400.0</v>
      </c>
      <c r="AG486" s="86">
        <v>1.0</v>
      </c>
    </row>
    <row r="487" ht="38.25" customHeight="1">
      <c r="A487" s="86">
        <v>1381.0</v>
      </c>
      <c r="B487" s="86" t="s">
        <v>1605</v>
      </c>
      <c r="C487" s="86">
        <v>11.0</v>
      </c>
      <c r="D487" s="86" t="s">
        <v>3100</v>
      </c>
      <c r="E487" s="86">
        <v>150.0</v>
      </c>
      <c r="G487" s="96" t="s">
        <v>3101</v>
      </c>
      <c r="I487" s="86">
        <v>48845.0</v>
      </c>
      <c r="J487" s="95" t="s">
        <v>3025</v>
      </c>
      <c r="K487" s="86" t="s">
        <v>647</v>
      </c>
      <c r="L487" s="86">
        <v>9001.0</v>
      </c>
      <c r="M487" s="86" t="s">
        <v>2173</v>
      </c>
      <c r="O487" s="86">
        <v>1.0</v>
      </c>
      <c r="P487" s="95" t="s">
        <v>3026</v>
      </c>
      <c r="Q487" s="86" t="s">
        <v>658</v>
      </c>
      <c r="R487" s="86">
        <v>9004.0</v>
      </c>
      <c r="S487" s="86" t="s">
        <v>1885</v>
      </c>
      <c r="U487" s="86">
        <v>0.9</v>
      </c>
      <c r="V487" s="86">
        <v>70001.0</v>
      </c>
      <c r="W487" s="86">
        <v>3.0</v>
      </c>
      <c r="X487" s="86">
        <v>1.0</v>
      </c>
      <c r="Y487" s="86">
        <v>70002.0</v>
      </c>
      <c r="Z487" s="86">
        <v>3.0</v>
      </c>
      <c r="AA487" s="86">
        <v>1.0</v>
      </c>
      <c r="AB487" s="86">
        <v>1001.0</v>
      </c>
      <c r="AC487" s="86">
        <v>100.0</v>
      </c>
      <c r="AD487" s="86">
        <v>1.0</v>
      </c>
      <c r="AE487" s="86">
        <v>8000.0</v>
      </c>
      <c r="AF487" s="86">
        <v>7450.0</v>
      </c>
      <c r="AG487" s="86">
        <v>1.0</v>
      </c>
    </row>
    <row r="488" ht="38.25" customHeight="1">
      <c r="A488" s="86">
        <v>1382.0</v>
      </c>
      <c r="B488" s="86" t="s">
        <v>1605</v>
      </c>
      <c r="C488" s="86">
        <v>11.0</v>
      </c>
      <c r="D488" s="86" t="s">
        <v>3102</v>
      </c>
      <c r="E488" s="86">
        <v>150.0</v>
      </c>
      <c r="G488" s="96" t="s">
        <v>3103</v>
      </c>
      <c r="I488" s="86">
        <v>48970.0</v>
      </c>
      <c r="J488" s="95" t="s">
        <v>3025</v>
      </c>
      <c r="K488" s="86" t="s">
        <v>647</v>
      </c>
      <c r="L488" s="86">
        <v>9006.0</v>
      </c>
      <c r="M488" s="86">
        <v>5.0</v>
      </c>
      <c r="O488" s="86">
        <v>0.3</v>
      </c>
      <c r="P488" s="95" t="s">
        <v>3026</v>
      </c>
      <c r="Q488" s="86" t="s">
        <v>658</v>
      </c>
      <c r="R488" s="86">
        <v>9004.0</v>
      </c>
      <c r="S488" s="86" t="s">
        <v>1185</v>
      </c>
      <c r="U488" s="86">
        <v>0.3</v>
      </c>
      <c r="V488" s="86">
        <v>70001.0</v>
      </c>
      <c r="W488" s="86">
        <v>3.0</v>
      </c>
      <c r="X488" s="86">
        <v>1.0</v>
      </c>
      <c r="Y488" s="86">
        <v>70002.0</v>
      </c>
      <c r="Z488" s="86">
        <v>3.0</v>
      </c>
      <c r="AA488" s="86">
        <v>1.0</v>
      </c>
      <c r="AB488" s="86">
        <v>1001.0</v>
      </c>
      <c r="AC488" s="86">
        <v>100.0</v>
      </c>
      <c r="AD488" s="86">
        <v>1.0</v>
      </c>
      <c r="AE488" s="86">
        <v>8000.0</v>
      </c>
      <c r="AF488" s="86">
        <v>7450.0</v>
      </c>
      <c r="AG488" s="86">
        <v>1.0</v>
      </c>
    </row>
    <row r="489" ht="38.25" customHeight="1">
      <c r="A489" s="86">
        <v>1383.0</v>
      </c>
      <c r="B489" s="86" t="s">
        <v>1605</v>
      </c>
      <c r="C489" s="86">
        <v>11.0</v>
      </c>
      <c r="D489" s="86" t="s">
        <v>3104</v>
      </c>
      <c r="E489" s="86">
        <v>150.0</v>
      </c>
      <c r="G489" s="96" t="s">
        <v>3105</v>
      </c>
      <c r="I489" s="86">
        <v>49095.0</v>
      </c>
      <c r="J489" s="95" t="s">
        <v>3025</v>
      </c>
      <c r="K489" s="86" t="s">
        <v>647</v>
      </c>
      <c r="L489" s="86">
        <v>9002.0</v>
      </c>
      <c r="M489" s="86">
        <v>3.0</v>
      </c>
      <c r="O489" s="86">
        <v>0.9</v>
      </c>
      <c r="P489" s="95" t="s">
        <v>3026</v>
      </c>
      <c r="Q489" s="86" t="s">
        <v>658</v>
      </c>
      <c r="R489" s="86">
        <v>9003.0</v>
      </c>
      <c r="S489" s="86" t="s">
        <v>1132</v>
      </c>
      <c r="U489" s="86">
        <v>0.1</v>
      </c>
      <c r="V489" s="86">
        <v>70001.0</v>
      </c>
      <c r="W489" s="86">
        <v>3.0</v>
      </c>
      <c r="X489" s="86">
        <v>1.0</v>
      </c>
      <c r="Y489" s="86">
        <v>70002.0</v>
      </c>
      <c r="Z489" s="86">
        <v>3.0</v>
      </c>
      <c r="AA489" s="86">
        <v>1.0</v>
      </c>
      <c r="AB489" s="86">
        <v>1001.0</v>
      </c>
      <c r="AC489" s="86">
        <v>100.0</v>
      </c>
      <c r="AD489" s="86">
        <v>1.0</v>
      </c>
      <c r="AE489" s="86">
        <v>8000.0</v>
      </c>
      <c r="AF489" s="86">
        <v>7500.0</v>
      </c>
      <c r="AG489" s="86">
        <v>1.0</v>
      </c>
    </row>
    <row r="490" ht="38.25" customHeight="1">
      <c r="A490" s="86">
        <v>1384.0</v>
      </c>
      <c r="B490" s="86" t="s">
        <v>1605</v>
      </c>
      <c r="C490" s="86">
        <v>11.0</v>
      </c>
      <c r="D490" s="86" t="s">
        <v>3106</v>
      </c>
      <c r="E490" s="86">
        <v>150.0</v>
      </c>
      <c r="G490" s="96" t="s">
        <v>3107</v>
      </c>
      <c r="I490" s="86">
        <v>49220.0</v>
      </c>
      <c r="J490" s="95" t="s">
        <v>3025</v>
      </c>
      <c r="K490" s="86" t="s">
        <v>647</v>
      </c>
      <c r="L490" s="86">
        <v>9006.0</v>
      </c>
      <c r="M490" s="86" t="s">
        <v>3108</v>
      </c>
      <c r="O490" s="86">
        <v>0.5</v>
      </c>
      <c r="P490" s="95" t="s">
        <v>3026</v>
      </c>
      <c r="Q490" s="86" t="s">
        <v>658</v>
      </c>
      <c r="R490" s="86">
        <v>9010.0</v>
      </c>
      <c r="S490" s="86">
        <v>8.0</v>
      </c>
      <c r="U490" s="86">
        <v>0.8</v>
      </c>
      <c r="V490" s="86">
        <v>70001.0</v>
      </c>
      <c r="W490" s="86">
        <v>3.0</v>
      </c>
      <c r="X490" s="86">
        <v>1.0</v>
      </c>
      <c r="Y490" s="86">
        <v>70002.0</v>
      </c>
      <c r="Z490" s="86">
        <v>3.0</v>
      </c>
      <c r="AA490" s="86">
        <v>1.0</v>
      </c>
      <c r="AB490" s="86">
        <v>1001.0</v>
      </c>
      <c r="AC490" s="86">
        <v>100.0</v>
      </c>
      <c r="AD490" s="86">
        <v>1.0</v>
      </c>
      <c r="AE490" s="86">
        <v>8000.0</v>
      </c>
      <c r="AF490" s="86">
        <v>7550.0</v>
      </c>
      <c r="AG490" s="86">
        <v>1.0</v>
      </c>
    </row>
    <row r="491" ht="38.25" customHeight="1">
      <c r="A491" s="86">
        <v>1385.0</v>
      </c>
      <c r="B491" s="86" t="s">
        <v>1605</v>
      </c>
      <c r="C491" s="86">
        <v>11.0</v>
      </c>
      <c r="D491" s="86" t="s">
        <v>3109</v>
      </c>
      <c r="E491" s="86">
        <v>150.0</v>
      </c>
      <c r="G491" s="96" t="s">
        <v>3110</v>
      </c>
      <c r="I491" s="86">
        <v>49345.0</v>
      </c>
      <c r="J491" s="95" t="s">
        <v>3025</v>
      </c>
      <c r="K491" s="86" t="s">
        <v>647</v>
      </c>
      <c r="L491" s="86">
        <v>9002.0</v>
      </c>
      <c r="M491" s="86" t="s">
        <v>3111</v>
      </c>
      <c r="O491" s="86">
        <v>0.5</v>
      </c>
      <c r="P491" s="95" t="s">
        <v>3026</v>
      </c>
      <c r="Q491" s="86" t="s">
        <v>658</v>
      </c>
      <c r="R491" s="86">
        <v>9010.0</v>
      </c>
      <c r="S491" s="86" t="s">
        <v>1114</v>
      </c>
      <c r="U491" s="86">
        <v>0.6</v>
      </c>
      <c r="V491" s="86">
        <v>70001.0</v>
      </c>
      <c r="W491" s="86">
        <v>3.0</v>
      </c>
      <c r="X491" s="86">
        <v>1.0</v>
      </c>
      <c r="Y491" s="86">
        <v>70002.0</v>
      </c>
      <c r="Z491" s="86">
        <v>3.0</v>
      </c>
      <c r="AA491" s="86">
        <v>1.0</v>
      </c>
      <c r="AB491" s="86">
        <v>1001.0</v>
      </c>
      <c r="AC491" s="86">
        <v>100.0</v>
      </c>
      <c r="AD491" s="86">
        <v>1.0</v>
      </c>
      <c r="AE491" s="86">
        <v>8000.0</v>
      </c>
      <c r="AF491" s="86">
        <v>7550.0</v>
      </c>
      <c r="AG491" s="86">
        <v>1.0</v>
      </c>
    </row>
    <row r="492" ht="38.25" customHeight="1">
      <c r="A492" s="86">
        <v>1386.0</v>
      </c>
      <c r="B492" s="86" t="s">
        <v>1605</v>
      </c>
      <c r="C492" s="86">
        <v>11.0</v>
      </c>
      <c r="D492" s="86" t="s">
        <v>3112</v>
      </c>
      <c r="E492" s="86">
        <v>150.0</v>
      </c>
      <c r="G492" s="96" t="s">
        <v>3113</v>
      </c>
      <c r="I492" s="86">
        <v>49470.0</v>
      </c>
      <c r="J492" s="95" t="s">
        <v>3025</v>
      </c>
      <c r="K492" s="86" t="s">
        <v>647</v>
      </c>
      <c r="L492" s="86">
        <v>9002.0</v>
      </c>
      <c r="M492" s="86">
        <v>6.0</v>
      </c>
      <c r="O492" s="86">
        <v>0.8</v>
      </c>
      <c r="P492" s="95" t="s">
        <v>3026</v>
      </c>
      <c r="Q492" s="86" t="s">
        <v>658</v>
      </c>
      <c r="R492" s="86">
        <v>9008.0</v>
      </c>
      <c r="S492" s="86">
        <v>12.0</v>
      </c>
      <c r="U492" s="86">
        <v>0.6</v>
      </c>
      <c r="V492" s="86">
        <v>70001.0</v>
      </c>
      <c r="W492" s="86">
        <v>3.0</v>
      </c>
      <c r="X492" s="86">
        <v>1.0</v>
      </c>
      <c r="Y492" s="86">
        <v>70002.0</v>
      </c>
      <c r="Z492" s="86">
        <v>3.0</v>
      </c>
      <c r="AA492" s="86">
        <v>1.0</v>
      </c>
      <c r="AB492" s="86">
        <v>1001.0</v>
      </c>
      <c r="AC492" s="86">
        <v>100.0</v>
      </c>
      <c r="AD492" s="86">
        <v>1.0</v>
      </c>
      <c r="AE492" s="86">
        <v>8000.0</v>
      </c>
      <c r="AF492" s="86">
        <v>7600.0</v>
      </c>
      <c r="AG492" s="86">
        <v>1.0</v>
      </c>
    </row>
    <row r="493" ht="38.25" customHeight="1">
      <c r="A493" s="86">
        <v>1387.0</v>
      </c>
      <c r="B493" s="86" t="s">
        <v>1605</v>
      </c>
      <c r="C493" s="86">
        <v>11.0</v>
      </c>
      <c r="D493" s="86" t="s">
        <v>3114</v>
      </c>
      <c r="E493" s="86">
        <v>150.0</v>
      </c>
      <c r="G493" s="96" t="s">
        <v>3115</v>
      </c>
      <c r="I493" s="86">
        <v>49595.0</v>
      </c>
      <c r="J493" s="95" t="s">
        <v>3025</v>
      </c>
      <c r="K493" s="86" t="s">
        <v>647</v>
      </c>
      <c r="L493" s="86">
        <v>9008.0</v>
      </c>
      <c r="M493" s="86" t="s">
        <v>2021</v>
      </c>
      <c r="O493" s="86">
        <v>0.9</v>
      </c>
      <c r="P493" s="95" t="s">
        <v>3026</v>
      </c>
      <c r="Q493" s="86" t="s">
        <v>658</v>
      </c>
      <c r="R493" s="86">
        <v>9012.0</v>
      </c>
      <c r="S493" s="86" t="s">
        <v>2283</v>
      </c>
      <c r="U493" s="86">
        <v>0.5</v>
      </c>
      <c r="V493" s="86">
        <v>70001.0</v>
      </c>
      <c r="W493" s="86">
        <v>3.0</v>
      </c>
      <c r="X493" s="86">
        <v>1.0</v>
      </c>
      <c r="Y493" s="86">
        <v>70002.0</v>
      </c>
      <c r="Z493" s="86">
        <v>3.0</v>
      </c>
      <c r="AA493" s="86">
        <v>1.0</v>
      </c>
      <c r="AB493" s="86">
        <v>1001.0</v>
      </c>
      <c r="AC493" s="86">
        <v>100.0</v>
      </c>
      <c r="AD493" s="86">
        <v>1.0</v>
      </c>
      <c r="AE493" s="86">
        <v>8000.0</v>
      </c>
      <c r="AF493" s="86">
        <v>7600.0</v>
      </c>
      <c r="AG493" s="86">
        <v>1.0</v>
      </c>
    </row>
    <row r="494" ht="38.25" customHeight="1">
      <c r="A494" s="86">
        <v>1388.0</v>
      </c>
      <c r="B494" s="86" t="s">
        <v>1605</v>
      </c>
      <c r="C494" s="86">
        <v>11.0</v>
      </c>
      <c r="D494" s="86" t="s">
        <v>3116</v>
      </c>
      <c r="E494" s="86">
        <v>150.0</v>
      </c>
      <c r="G494" s="96" t="s">
        <v>3117</v>
      </c>
      <c r="I494" s="86">
        <v>49720.0</v>
      </c>
      <c r="J494" s="95" t="s">
        <v>3025</v>
      </c>
      <c r="K494" s="86" t="s">
        <v>647</v>
      </c>
      <c r="L494" s="86">
        <v>9012.0</v>
      </c>
      <c r="M494" s="86" t="s">
        <v>2172</v>
      </c>
      <c r="O494" s="86">
        <v>0.8</v>
      </c>
      <c r="P494" s="95" t="s">
        <v>3026</v>
      </c>
      <c r="Q494" s="86" t="s">
        <v>658</v>
      </c>
      <c r="R494" s="86">
        <v>9008.0</v>
      </c>
      <c r="S494" s="86">
        <v>5.0</v>
      </c>
      <c r="U494" s="86">
        <v>0.3</v>
      </c>
      <c r="V494" s="86">
        <v>70001.0</v>
      </c>
      <c r="W494" s="86">
        <v>3.0</v>
      </c>
      <c r="X494" s="86">
        <v>1.0</v>
      </c>
      <c r="Y494" s="86">
        <v>70002.0</v>
      </c>
      <c r="Z494" s="86">
        <v>3.0</v>
      </c>
      <c r="AA494" s="86">
        <v>1.0</v>
      </c>
      <c r="AB494" s="86">
        <v>1001.0</v>
      </c>
      <c r="AC494" s="86">
        <v>100.0</v>
      </c>
      <c r="AD494" s="86">
        <v>1.0</v>
      </c>
      <c r="AE494" s="86">
        <v>8000.0</v>
      </c>
      <c r="AF494" s="86">
        <v>7650.0</v>
      </c>
      <c r="AG494" s="86">
        <v>1.0</v>
      </c>
    </row>
    <row r="495" ht="38.25" customHeight="1">
      <c r="A495" s="86">
        <v>1389.0</v>
      </c>
      <c r="B495" s="86" t="s">
        <v>1605</v>
      </c>
      <c r="C495" s="86">
        <v>11.0</v>
      </c>
      <c r="D495" s="86" t="s">
        <v>3118</v>
      </c>
      <c r="E495" s="86">
        <v>150.0</v>
      </c>
      <c r="G495" s="96" t="s">
        <v>3119</v>
      </c>
      <c r="I495" s="86">
        <v>49845.0</v>
      </c>
      <c r="J495" s="95" t="s">
        <v>3025</v>
      </c>
      <c r="K495" s="86" t="s">
        <v>647</v>
      </c>
      <c r="L495" s="86">
        <v>9001.0</v>
      </c>
      <c r="M495" s="86" t="s">
        <v>1329</v>
      </c>
      <c r="O495" s="86">
        <v>0.9</v>
      </c>
      <c r="P495" s="95" t="s">
        <v>3026</v>
      </c>
      <c r="Q495" s="86" t="s">
        <v>658</v>
      </c>
      <c r="R495" s="86">
        <v>9011.0</v>
      </c>
      <c r="S495" s="86" t="s">
        <v>1113</v>
      </c>
      <c r="U495" s="86">
        <v>0.9</v>
      </c>
      <c r="V495" s="86">
        <v>70001.0</v>
      </c>
      <c r="W495" s="86">
        <v>3.0</v>
      </c>
      <c r="X495" s="86">
        <v>1.0</v>
      </c>
      <c r="Y495" s="86">
        <v>70002.0</v>
      </c>
      <c r="Z495" s="86">
        <v>3.0</v>
      </c>
      <c r="AA495" s="86">
        <v>1.0</v>
      </c>
      <c r="AB495" s="86">
        <v>1001.0</v>
      </c>
      <c r="AC495" s="86">
        <v>500.0</v>
      </c>
      <c r="AD495" s="86">
        <v>1.0</v>
      </c>
      <c r="AE495" s="86">
        <v>8000.0</v>
      </c>
      <c r="AF495" s="86">
        <v>7650.0</v>
      </c>
      <c r="AG495" s="86">
        <v>1.0</v>
      </c>
    </row>
    <row r="496" ht="38.25" customHeight="1">
      <c r="A496" s="86">
        <v>1390.0</v>
      </c>
      <c r="B496" s="86" t="s">
        <v>1605</v>
      </c>
      <c r="C496" s="86">
        <v>11.0</v>
      </c>
      <c r="D496" s="86" t="s">
        <v>3120</v>
      </c>
      <c r="E496" s="86">
        <v>150.0</v>
      </c>
      <c r="G496" s="96" t="s">
        <v>3121</v>
      </c>
      <c r="I496" s="86">
        <v>49970.0</v>
      </c>
      <c r="J496" s="95" t="s">
        <v>3025</v>
      </c>
      <c r="K496" s="86" t="s">
        <v>647</v>
      </c>
      <c r="L496" s="86">
        <v>9001.0</v>
      </c>
      <c r="M496" s="86">
        <v>3.0</v>
      </c>
      <c r="O496" s="86">
        <v>0.2</v>
      </c>
      <c r="P496" s="95" t="s">
        <v>3026</v>
      </c>
      <c r="Q496" s="86" t="s">
        <v>658</v>
      </c>
      <c r="R496" s="86">
        <v>9008.0</v>
      </c>
      <c r="S496" s="86" t="s">
        <v>1335</v>
      </c>
      <c r="U496" s="86">
        <v>0.3</v>
      </c>
      <c r="V496" s="86">
        <v>70001.0</v>
      </c>
      <c r="W496" s="86">
        <v>3.0</v>
      </c>
      <c r="X496" s="86">
        <v>1.0</v>
      </c>
      <c r="Y496" s="86">
        <v>70002.0</v>
      </c>
      <c r="Z496" s="86">
        <v>3.0</v>
      </c>
      <c r="AA496" s="86">
        <v>1.0</v>
      </c>
      <c r="AB496" s="86">
        <v>1001.0</v>
      </c>
      <c r="AC496" s="86">
        <v>100.0</v>
      </c>
      <c r="AD496" s="86">
        <v>1.0</v>
      </c>
      <c r="AE496" s="86">
        <v>8000.0</v>
      </c>
      <c r="AF496" s="86">
        <v>7700.0</v>
      </c>
      <c r="AG496" s="86">
        <v>1.0</v>
      </c>
    </row>
    <row r="497" ht="38.25" customHeight="1">
      <c r="A497" s="86">
        <v>1391.0</v>
      </c>
      <c r="B497" s="86" t="s">
        <v>1605</v>
      </c>
      <c r="C497" s="86">
        <v>11.0</v>
      </c>
      <c r="D497" s="86" t="s">
        <v>3122</v>
      </c>
      <c r="E497" s="86">
        <v>150.0</v>
      </c>
      <c r="G497" s="96" t="s">
        <v>3123</v>
      </c>
      <c r="I497" s="86">
        <v>50095.0</v>
      </c>
      <c r="J497" s="95" t="s">
        <v>3025</v>
      </c>
      <c r="K497" s="86" t="s">
        <v>647</v>
      </c>
      <c r="L497" s="86">
        <v>9012.0</v>
      </c>
      <c r="M497" s="86" t="s">
        <v>2895</v>
      </c>
      <c r="O497" s="86">
        <v>0.3</v>
      </c>
      <c r="P497" s="95" t="s">
        <v>3026</v>
      </c>
      <c r="Q497" s="86" t="s">
        <v>658</v>
      </c>
      <c r="R497" s="86">
        <v>9011.0</v>
      </c>
      <c r="S497" s="86" t="s">
        <v>1513</v>
      </c>
      <c r="U497" s="86">
        <v>0.3</v>
      </c>
      <c r="V497" s="86">
        <v>70001.0</v>
      </c>
      <c r="W497" s="86">
        <v>3.0</v>
      </c>
      <c r="X497" s="86">
        <v>1.0</v>
      </c>
      <c r="Y497" s="86">
        <v>70002.0</v>
      </c>
      <c r="Z497" s="86">
        <v>3.0</v>
      </c>
      <c r="AA497" s="86">
        <v>1.0</v>
      </c>
      <c r="AB497" s="86">
        <v>1001.0</v>
      </c>
      <c r="AC497" s="86">
        <v>100.0</v>
      </c>
      <c r="AD497" s="86">
        <v>1.0</v>
      </c>
      <c r="AE497" s="86">
        <v>8000.0</v>
      </c>
      <c r="AF497" s="86">
        <v>7700.0</v>
      </c>
      <c r="AG497" s="86">
        <v>1.0</v>
      </c>
    </row>
    <row r="498" ht="38.25" customHeight="1">
      <c r="A498" s="86">
        <v>1392.0</v>
      </c>
      <c r="B498" s="86" t="s">
        <v>1605</v>
      </c>
      <c r="C498" s="86">
        <v>11.0</v>
      </c>
      <c r="D498" s="86" t="s">
        <v>3124</v>
      </c>
      <c r="E498" s="86">
        <v>150.0</v>
      </c>
      <c r="G498" s="96" t="s">
        <v>3125</v>
      </c>
      <c r="I498" s="86">
        <v>50220.0</v>
      </c>
      <c r="J498" s="95" t="s">
        <v>3025</v>
      </c>
      <c r="K498" s="86" t="s">
        <v>647</v>
      </c>
      <c r="L498" s="86">
        <v>9006.0</v>
      </c>
      <c r="M498" s="86">
        <v>8.0</v>
      </c>
      <c r="O498" s="86">
        <v>0.9</v>
      </c>
      <c r="P498" s="95" t="s">
        <v>3026</v>
      </c>
      <c r="Q498" s="86" t="s">
        <v>658</v>
      </c>
      <c r="R498" s="86">
        <v>9003.0</v>
      </c>
      <c r="S498" s="86" t="s">
        <v>3126</v>
      </c>
      <c r="U498" s="86">
        <v>0.9</v>
      </c>
      <c r="V498" s="86">
        <v>70001.0</v>
      </c>
      <c r="W498" s="86">
        <v>3.0</v>
      </c>
      <c r="X498" s="86">
        <v>1.0</v>
      </c>
      <c r="Y498" s="86">
        <v>70002.0</v>
      </c>
      <c r="Z498" s="86">
        <v>3.0</v>
      </c>
      <c r="AA498" s="86">
        <v>1.0</v>
      </c>
      <c r="AB498" s="86">
        <v>1001.0</v>
      </c>
      <c r="AC498" s="86">
        <v>100.0</v>
      </c>
      <c r="AD498" s="86">
        <v>1.0</v>
      </c>
      <c r="AE498" s="86">
        <v>8000.0</v>
      </c>
      <c r="AF498" s="86">
        <v>7750.0</v>
      </c>
      <c r="AG498" s="86">
        <v>1.0</v>
      </c>
    </row>
    <row r="499" ht="38.25" customHeight="1">
      <c r="A499" s="86">
        <v>1393.0</v>
      </c>
      <c r="B499" s="86" t="s">
        <v>1605</v>
      </c>
      <c r="C499" s="86">
        <v>11.0</v>
      </c>
      <c r="D499" s="86" t="s">
        <v>3127</v>
      </c>
      <c r="E499" s="86">
        <v>150.0</v>
      </c>
      <c r="G499" s="96" t="s">
        <v>3128</v>
      </c>
      <c r="I499" s="86">
        <v>50345.0</v>
      </c>
      <c r="J499" s="95" t="s">
        <v>3025</v>
      </c>
      <c r="K499" s="86" t="s">
        <v>647</v>
      </c>
      <c r="L499" s="86">
        <v>9002.0</v>
      </c>
      <c r="M499" s="86">
        <v>13.0</v>
      </c>
      <c r="O499" s="86">
        <v>0.3</v>
      </c>
      <c r="P499" s="95" t="s">
        <v>3026</v>
      </c>
      <c r="Q499" s="86" t="s">
        <v>658</v>
      </c>
      <c r="R499" s="86">
        <v>9007.0</v>
      </c>
      <c r="S499" s="86" t="s">
        <v>1601</v>
      </c>
      <c r="U499" s="86">
        <v>0.3</v>
      </c>
      <c r="V499" s="86">
        <v>70001.0</v>
      </c>
      <c r="W499" s="86">
        <v>3.0</v>
      </c>
      <c r="X499" s="86">
        <v>1.0</v>
      </c>
      <c r="Y499" s="86">
        <v>70002.0</v>
      </c>
      <c r="Z499" s="86">
        <v>3.0</v>
      </c>
      <c r="AA499" s="86">
        <v>1.0</v>
      </c>
      <c r="AB499" s="86">
        <v>1001.0</v>
      </c>
      <c r="AC499" s="86">
        <v>100.0</v>
      </c>
      <c r="AD499" s="86">
        <v>1.0</v>
      </c>
      <c r="AE499" s="86">
        <v>8000.0</v>
      </c>
      <c r="AF499" s="86">
        <v>7750.0</v>
      </c>
      <c r="AG499" s="86">
        <v>1.0</v>
      </c>
    </row>
    <row r="500" ht="38.25" customHeight="1">
      <c r="A500" s="86">
        <v>1394.0</v>
      </c>
      <c r="B500" s="86" t="s">
        <v>1605</v>
      </c>
      <c r="C500" s="86">
        <v>11.0</v>
      </c>
      <c r="D500" s="86" t="s">
        <v>3129</v>
      </c>
      <c r="E500" s="86">
        <v>150.0</v>
      </c>
      <c r="G500" s="96" t="s">
        <v>3130</v>
      </c>
      <c r="I500" s="86">
        <v>50470.0</v>
      </c>
      <c r="J500" s="95" t="s">
        <v>3025</v>
      </c>
      <c r="K500" s="86" t="s">
        <v>647</v>
      </c>
      <c r="L500" s="86">
        <v>9001.0</v>
      </c>
      <c r="M500" s="86" t="s">
        <v>1658</v>
      </c>
      <c r="O500" s="86">
        <v>0.7</v>
      </c>
      <c r="P500" s="95" t="s">
        <v>3026</v>
      </c>
      <c r="Q500" s="86" t="s">
        <v>658</v>
      </c>
      <c r="R500" s="86">
        <v>9008.0</v>
      </c>
      <c r="S500" s="86" t="s">
        <v>2138</v>
      </c>
      <c r="U500" s="86">
        <v>1.0</v>
      </c>
      <c r="V500" s="86">
        <v>70001.0</v>
      </c>
      <c r="W500" s="86">
        <v>3.0</v>
      </c>
      <c r="X500" s="86">
        <v>1.0</v>
      </c>
      <c r="Y500" s="86">
        <v>70002.0</v>
      </c>
      <c r="Z500" s="86">
        <v>3.0</v>
      </c>
      <c r="AA500" s="86">
        <v>1.0</v>
      </c>
      <c r="AB500" s="86">
        <v>1001.0</v>
      </c>
      <c r="AC500" s="86">
        <v>100.0</v>
      </c>
      <c r="AD500" s="86">
        <v>1.0</v>
      </c>
      <c r="AE500" s="86">
        <v>8000.0</v>
      </c>
      <c r="AF500" s="86">
        <v>7800.0</v>
      </c>
      <c r="AG500" s="86">
        <v>1.0</v>
      </c>
    </row>
    <row r="501" ht="38.25" customHeight="1">
      <c r="A501" s="86">
        <v>1395.0</v>
      </c>
      <c r="B501" s="86" t="s">
        <v>1605</v>
      </c>
      <c r="C501" s="86">
        <v>11.0</v>
      </c>
      <c r="D501" s="86" t="s">
        <v>3131</v>
      </c>
      <c r="E501" s="86">
        <v>150.0</v>
      </c>
      <c r="G501" s="96" t="s">
        <v>3132</v>
      </c>
      <c r="I501" s="86">
        <v>50595.0</v>
      </c>
      <c r="J501" s="95" t="s">
        <v>3025</v>
      </c>
      <c r="K501" s="86" t="s">
        <v>647</v>
      </c>
      <c r="L501" s="86">
        <v>9011.0</v>
      </c>
      <c r="M501" s="86" t="s">
        <v>2121</v>
      </c>
      <c r="O501" s="86">
        <v>0.5</v>
      </c>
      <c r="P501" s="95" t="s">
        <v>3026</v>
      </c>
      <c r="Q501" s="86" t="s">
        <v>658</v>
      </c>
      <c r="R501" s="86">
        <v>9007.0</v>
      </c>
      <c r="S501" s="86" t="s">
        <v>1559</v>
      </c>
      <c r="U501" s="86">
        <v>0.9</v>
      </c>
      <c r="V501" s="86">
        <v>70001.0</v>
      </c>
      <c r="W501" s="86">
        <v>3.0</v>
      </c>
      <c r="X501" s="86">
        <v>1.0</v>
      </c>
      <c r="Y501" s="86">
        <v>70002.0</v>
      </c>
      <c r="Z501" s="86">
        <v>3.0</v>
      </c>
      <c r="AA501" s="86">
        <v>1.0</v>
      </c>
      <c r="AB501" s="86">
        <v>1001.0</v>
      </c>
      <c r="AC501" s="86">
        <v>100.0</v>
      </c>
      <c r="AD501" s="86">
        <v>1.0</v>
      </c>
      <c r="AE501" s="86">
        <v>8000.0</v>
      </c>
      <c r="AF501" s="86">
        <v>7800.0</v>
      </c>
      <c r="AG501" s="86">
        <v>1.0</v>
      </c>
    </row>
    <row r="502" ht="38.25" customHeight="1">
      <c r="A502" s="86">
        <v>1396.0</v>
      </c>
      <c r="B502" s="86" t="s">
        <v>1605</v>
      </c>
      <c r="C502" s="86">
        <v>11.0</v>
      </c>
      <c r="D502" s="86" t="s">
        <v>3133</v>
      </c>
      <c r="E502" s="86">
        <v>150.0</v>
      </c>
      <c r="G502" s="96" t="s">
        <v>3134</v>
      </c>
      <c r="I502" s="86">
        <v>50720.0</v>
      </c>
      <c r="J502" s="95" t="s">
        <v>3025</v>
      </c>
      <c r="K502" s="86" t="s">
        <v>647</v>
      </c>
      <c r="L502" s="86">
        <v>9012.0</v>
      </c>
      <c r="M502" s="86" t="s">
        <v>3135</v>
      </c>
      <c r="O502" s="86">
        <v>0.3</v>
      </c>
      <c r="P502" s="95" t="s">
        <v>3026</v>
      </c>
      <c r="Q502" s="86" t="s">
        <v>658</v>
      </c>
      <c r="R502" s="86">
        <v>9003.0</v>
      </c>
      <c r="S502" s="86" t="s">
        <v>1677</v>
      </c>
      <c r="U502" s="86">
        <v>0.3</v>
      </c>
      <c r="V502" s="86">
        <v>70001.0</v>
      </c>
      <c r="W502" s="86">
        <v>3.0</v>
      </c>
      <c r="X502" s="86">
        <v>1.0</v>
      </c>
      <c r="Y502" s="86">
        <v>70002.0</v>
      </c>
      <c r="Z502" s="86">
        <v>3.0</v>
      </c>
      <c r="AA502" s="86">
        <v>1.0</v>
      </c>
      <c r="AB502" s="86">
        <v>1001.0</v>
      </c>
      <c r="AC502" s="86">
        <v>100.0</v>
      </c>
      <c r="AD502" s="86">
        <v>1.0</v>
      </c>
      <c r="AE502" s="86">
        <v>8000.0</v>
      </c>
      <c r="AF502" s="86">
        <v>7850.0</v>
      </c>
      <c r="AG502" s="86">
        <v>1.0</v>
      </c>
    </row>
    <row r="503" ht="38.25" customHeight="1">
      <c r="A503" s="86">
        <v>1397.0</v>
      </c>
      <c r="B503" s="86" t="s">
        <v>1605</v>
      </c>
      <c r="C503" s="86">
        <v>11.0</v>
      </c>
      <c r="D503" s="86" t="s">
        <v>3136</v>
      </c>
      <c r="E503" s="86">
        <v>150.0</v>
      </c>
      <c r="G503" s="96" t="s">
        <v>3137</v>
      </c>
      <c r="I503" s="86">
        <v>50845.0</v>
      </c>
      <c r="J503" s="95" t="s">
        <v>3025</v>
      </c>
      <c r="K503" s="86" t="s">
        <v>647</v>
      </c>
      <c r="L503" s="86">
        <v>9006.0</v>
      </c>
      <c r="M503" s="86" t="s">
        <v>2013</v>
      </c>
      <c r="O503" s="86">
        <v>0.3</v>
      </c>
      <c r="P503" s="95" t="s">
        <v>3026</v>
      </c>
      <c r="Q503" s="86" t="s">
        <v>658</v>
      </c>
      <c r="R503" s="86">
        <v>9003.0</v>
      </c>
      <c r="S503" s="86" t="s">
        <v>1701</v>
      </c>
      <c r="U503" s="86">
        <v>0.6</v>
      </c>
      <c r="V503" s="86">
        <v>70001.0</v>
      </c>
      <c r="W503" s="86">
        <v>3.0</v>
      </c>
      <c r="X503" s="86">
        <v>1.0</v>
      </c>
      <c r="Y503" s="86">
        <v>70002.0</v>
      </c>
      <c r="Z503" s="86">
        <v>3.0</v>
      </c>
      <c r="AA503" s="86">
        <v>1.0</v>
      </c>
      <c r="AB503" s="86">
        <v>1001.0</v>
      </c>
      <c r="AC503" s="86">
        <v>100.0</v>
      </c>
      <c r="AD503" s="86">
        <v>1.0</v>
      </c>
      <c r="AE503" s="86">
        <v>8000.0</v>
      </c>
      <c r="AF503" s="86">
        <v>7850.0</v>
      </c>
      <c r="AG503" s="86">
        <v>1.0</v>
      </c>
    </row>
    <row r="504" ht="38.25" customHeight="1">
      <c r="A504" s="86">
        <v>1398.0</v>
      </c>
      <c r="B504" s="86" t="s">
        <v>1605</v>
      </c>
      <c r="C504" s="86">
        <v>11.0</v>
      </c>
      <c r="D504" s="86" t="s">
        <v>3138</v>
      </c>
      <c r="E504" s="86">
        <v>150.0</v>
      </c>
      <c r="G504" s="96" t="s">
        <v>3139</v>
      </c>
      <c r="I504" s="86">
        <v>50970.0</v>
      </c>
      <c r="J504" s="95" t="s">
        <v>3025</v>
      </c>
      <c r="K504" s="86" t="s">
        <v>647</v>
      </c>
      <c r="L504" s="86">
        <v>9006.0</v>
      </c>
      <c r="M504" s="86" t="s">
        <v>1437</v>
      </c>
      <c r="O504" s="86">
        <v>0.2</v>
      </c>
      <c r="P504" s="95" t="s">
        <v>3026</v>
      </c>
      <c r="Q504" s="86" t="s">
        <v>658</v>
      </c>
      <c r="R504" s="86">
        <v>9004.0</v>
      </c>
      <c r="S504" s="86" t="s">
        <v>2037</v>
      </c>
      <c r="U504" s="86">
        <v>0.7</v>
      </c>
      <c r="V504" s="86">
        <v>70001.0</v>
      </c>
      <c r="W504" s="86">
        <v>3.0</v>
      </c>
      <c r="X504" s="86">
        <v>1.0</v>
      </c>
      <c r="Y504" s="86">
        <v>70002.0</v>
      </c>
      <c r="Z504" s="86">
        <v>3.0</v>
      </c>
      <c r="AA504" s="86">
        <v>1.0</v>
      </c>
      <c r="AB504" s="86">
        <v>1001.0</v>
      </c>
      <c r="AC504" s="86">
        <v>100.0</v>
      </c>
      <c r="AD504" s="86">
        <v>1.0</v>
      </c>
      <c r="AE504" s="86">
        <v>8000.0</v>
      </c>
      <c r="AF504" s="86">
        <v>7900.0</v>
      </c>
      <c r="AG504" s="86">
        <v>1.0</v>
      </c>
    </row>
    <row r="505" ht="38.25" customHeight="1">
      <c r="A505" s="86">
        <v>1399.0</v>
      </c>
      <c r="B505" s="86" t="s">
        <v>1605</v>
      </c>
      <c r="C505" s="86">
        <v>11.0</v>
      </c>
      <c r="D505" s="86" t="s">
        <v>3140</v>
      </c>
      <c r="E505" s="86">
        <v>150.0</v>
      </c>
      <c r="G505" s="96" t="s">
        <v>3141</v>
      </c>
      <c r="I505" s="86">
        <v>51095.0</v>
      </c>
      <c r="J505" s="95" t="s">
        <v>3025</v>
      </c>
      <c r="K505" s="86" t="s">
        <v>647</v>
      </c>
      <c r="L505" s="86">
        <v>9001.0</v>
      </c>
      <c r="M505" s="86" t="s">
        <v>3142</v>
      </c>
      <c r="O505" s="86">
        <v>0.5</v>
      </c>
      <c r="P505" s="95" t="s">
        <v>3026</v>
      </c>
      <c r="Q505" s="86" t="s">
        <v>658</v>
      </c>
      <c r="R505" s="86">
        <v>9012.0</v>
      </c>
      <c r="S505" s="86" t="s">
        <v>1752</v>
      </c>
      <c r="U505" s="86">
        <v>0.3</v>
      </c>
      <c r="V505" s="86">
        <v>70001.0</v>
      </c>
      <c r="W505" s="86">
        <v>3.0</v>
      </c>
      <c r="X505" s="86">
        <v>1.0</v>
      </c>
      <c r="Y505" s="86">
        <v>70002.0</v>
      </c>
      <c r="Z505" s="86">
        <v>3.0</v>
      </c>
      <c r="AA505" s="86">
        <v>1.0</v>
      </c>
      <c r="AB505" s="86">
        <v>1001.0</v>
      </c>
      <c r="AC505" s="86">
        <v>100.0</v>
      </c>
      <c r="AD505" s="86">
        <v>1.0</v>
      </c>
      <c r="AE505" s="86">
        <v>8000.0</v>
      </c>
      <c r="AF505" s="86">
        <v>7900.0</v>
      </c>
      <c r="AG505" s="86">
        <v>1.0</v>
      </c>
    </row>
    <row r="506" ht="38.25" customHeight="1">
      <c r="A506" s="86">
        <v>1400.0</v>
      </c>
      <c r="B506" s="86" t="s">
        <v>1605</v>
      </c>
      <c r="C506" s="86">
        <v>12.0</v>
      </c>
      <c r="D506" s="86" t="s">
        <v>3143</v>
      </c>
      <c r="E506" s="86">
        <v>150.0</v>
      </c>
      <c r="G506" s="96" t="s">
        <v>3144</v>
      </c>
      <c r="I506" s="86">
        <v>51220.0</v>
      </c>
      <c r="J506" s="95" t="s">
        <v>3145</v>
      </c>
      <c r="K506" s="86" t="s">
        <v>647</v>
      </c>
      <c r="L506" s="86">
        <v>9005.0</v>
      </c>
      <c r="M506" s="86">
        <v>10.0</v>
      </c>
      <c r="O506" s="86">
        <v>0.3</v>
      </c>
      <c r="P506" s="95" t="s">
        <v>3146</v>
      </c>
      <c r="Q506" s="86" t="s">
        <v>658</v>
      </c>
      <c r="R506" s="86">
        <v>9008.0</v>
      </c>
      <c r="S506" s="86">
        <v>6.0</v>
      </c>
      <c r="U506" s="86">
        <v>0.9</v>
      </c>
      <c r="V506" s="86">
        <v>70001.0</v>
      </c>
      <c r="W506" s="86">
        <v>3.0</v>
      </c>
      <c r="X506" s="86">
        <v>1.0</v>
      </c>
      <c r="Y506" s="86">
        <v>70002.0</v>
      </c>
      <c r="Z506" s="86">
        <v>3.0</v>
      </c>
      <c r="AA506" s="86">
        <v>1.0</v>
      </c>
      <c r="AB506" s="86">
        <v>1001.0</v>
      </c>
      <c r="AC506" s="86">
        <v>100.0</v>
      </c>
      <c r="AD506" s="86">
        <v>1.0</v>
      </c>
      <c r="AE506" s="86">
        <v>8000.0</v>
      </c>
      <c r="AF506" s="86">
        <v>7950.0</v>
      </c>
      <c r="AG506" s="86">
        <v>1.0</v>
      </c>
    </row>
    <row r="507" ht="38.25" customHeight="1">
      <c r="A507" s="86">
        <v>1401.0</v>
      </c>
      <c r="B507" s="86" t="s">
        <v>1605</v>
      </c>
      <c r="C507" s="86">
        <v>12.0</v>
      </c>
      <c r="D507" s="86" t="s">
        <v>3147</v>
      </c>
      <c r="E507" s="86">
        <v>150.0</v>
      </c>
      <c r="G507" s="96" t="s">
        <v>3148</v>
      </c>
      <c r="I507" s="86">
        <v>51345.0</v>
      </c>
      <c r="J507" s="95" t="s">
        <v>3145</v>
      </c>
      <c r="K507" s="86" t="s">
        <v>647</v>
      </c>
      <c r="L507" s="86">
        <v>9006.0</v>
      </c>
      <c r="M507" s="86">
        <v>8.0</v>
      </c>
      <c r="O507" s="86">
        <v>0.5</v>
      </c>
      <c r="P507" s="95" t="s">
        <v>3146</v>
      </c>
      <c r="Q507" s="86" t="s">
        <v>658</v>
      </c>
      <c r="R507" s="86">
        <v>9011.0</v>
      </c>
      <c r="S507" s="86" t="s">
        <v>1855</v>
      </c>
      <c r="U507" s="86">
        <v>0.2</v>
      </c>
      <c r="V507" s="86">
        <v>70001.0</v>
      </c>
      <c r="W507" s="86">
        <v>3.0</v>
      </c>
      <c r="X507" s="86">
        <v>1.0</v>
      </c>
      <c r="Y507" s="86">
        <v>70002.0</v>
      </c>
      <c r="Z507" s="86">
        <v>3.0</v>
      </c>
      <c r="AA507" s="86">
        <v>1.0</v>
      </c>
      <c r="AB507" s="86">
        <v>1001.0</v>
      </c>
      <c r="AC507" s="86">
        <v>100.0</v>
      </c>
      <c r="AD507" s="86">
        <v>1.0</v>
      </c>
      <c r="AE507" s="86">
        <v>8000.0</v>
      </c>
      <c r="AF507" s="86">
        <v>7950.0</v>
      </c>
      <c r="AG507" s="86">
        <v>1.0</v>
      </c>
    </row>
    <row r="508" ht="38.25" customHeight="1">
      <c r="A508" s="86">
        <v>1402.0</v>
      </c>
      <c r="B508" s="86" t="s">
        <v>1605</v>
      </c>
      <c r="C508" s="86">
        <v>12.0</v>
      </c>
      <c r="D508" s="86" t="s">
        <v>3149</v>
      </c>
      <c r="E508" s="86">
        <v>150.0</v>
      </c>
      <c r="G508" s="96" t="s">
        <v>3150</v>
      </c>
      <c r="I508" s="86">
        <v>51470.0</v>
      </c>
      <c r="J508" s="95" t="s">
        <v>3145</v>
      </c>
      <c r="K508" s="86" t="s">
        <v>647</v>
      </c>
      <c r="L508" s="86">
        <v>9011.0</v>
      </c>
      <c r="M508" s="86" t="s">
        <v>1171</v>
      </c>
      <c r="O508" s="86">
        <v>0.5</v>
      </c>
      <c r="P508" s="95" t="s">
        <v>3146</v>
      </c>
      <c r="Q508" s="86" t="s">
        <v>658</v>
      </c>
      <c r="R508" s="86">
        <v>9008.0</v>
      </c>
      <c r="S508" s="86" t="s">
        <v>2302</v>
      </c>
      <c r="U508" s="86">
        <v>0.8</v>
      </c>
      <c r="V508" s="86">
        <v>70001.0</v>
      </c>
      <c r="W508" s="86">
        <v>3.0</v>
      </c>
      <c r="X508" s="86">
        <v>1.0</v>
      </c>
      <c r="Y508" s="86">
        <v>70002.0</v>
      </c>
      <c r="Z508" s="86">
        <v>3.0</v>
      </c>
      <c r="AA508" s="86">
        <v>1.0</v>
      </c>
      <c r="AB508" s="86">
        <v>1001.0</v>
      </c>
      <c r="AC508" s="86">
        <v>100.0</v>
      </c>
      <c r="AD508" s="86">
        <v>1.0</v>
      </c>
      <c r="AE508" s="86">
        <v>8000.0</v>
      </c>
      <c r="AF508" s="86">
        <v>8000.0</v>
      </c>
      <c r="AG508" s="86">
        <v>1.0</v>
      </c>
    </row>
    <row r="509" ht="38.25" customHeight="1">
      <c r="A509" s="86">
        <v>1403.0</v>
      </c>
      <c r="B509" s="86" t="s">
        <v>1605</v>
      </c>
      <c r="C509" s="86">
        <v>12.0</v>
      </c>
      <c r="D509" s="86" t="s">
        <v>3151</v>
      </c>
      <c r="E509" s="86">
        <v>150.0</v>
      </c>
      <c r="G509" s="96" t="s">
        <v>3144</v>
      </c>
      <c r="I509" s="86">
        <v>51595.0</v>
      </c>
      <c r="J509" s="95" t="s">
        <v>3145</v>
      </c>
      <c r="K509" s="86" t="s">
        <v>647</v>
      </c>
      <c r="L509" s="86">
        <v>9002.0</v>
      </c>
      <c r="M509" s="86">
        <v>1.0</v>
      </c>
      <c r="O509" s="86">
        <v>0.6</v>
      </c>
      <c r="P509" s="95" t="s">
        <v>3146</v>
      </c>
      <c r="Q509" s="86" t="s">
        <v>658</v>
      </c>
      <c r="R509" s="86">
        <v>9011.0</v>
      </c>
      <c r="S509" s="86" t="s">
        <v>1755</v>
      </c>
      <c r="U509" s="86">
        <v>0.3</v>
      </c>
      <c r="V509" s="86">
        <v>70001.0</v>
      </c>
      <c r="W509" s="86">
        <v>3.0</v>
      </c>
      <c r="X509" s="86">
        <v>1.0</v>
      </c>
      <c r="Y509" s="86">
        <v>70002.0</v>
      </c>
      <c r="Z509" s="86">
        <v>3.0</v>
      </c>
      <c r="AA509" s="86">
        <v>1.0</v>
      </c>
      <c r="AB509" s="86">
        <v>1001.0</v>
      </c>
      <c r="AC509" s="86">
        <v>100.0</v>
      </c>
      <c r="AD509" s="86">
        <v>1.0</v>
      </c>
      <c r="AE509" s="86">
        <v>8000.0</v>
      </c>
      <c r="AF509" s="86">
        <v>8000.0</v>
      </c>
      <c r="AG509" s="86">
        <v>1.0</v>
      </c>
    </row>
    <row r="510" ht="38.25" customHeight="1">
      <c r="A510" s="86">
        <v>1404.0</v>
      </c>
      <c r="B510" s="86" t="s">
        <v>1605</v>
      </c>
      <c r="C510" s="86">
        <v>12.0</v>
      </c>
      <c r="D510" s="86" t="s">
        <v>3152</v>
      </c>
      <c r="E510" s="86">
        <v>150.0</v>
      </c>
      <c r="G510" s="96" t="s">
        <v>3150</v>
      </c>
      <c r="I510" s="86">
        <v>51720.0</v>
      </c>
      <c r="J510" s="95" t="s">
        <v>3145</v>
      </c>
      <c r="K510" s="86" t="s">
        <v>647</v>
      </c>
      <c r="L510" s="86">
        <v>9008.0</v>
      </c>
      <c r="M510" s="86">
        <v>4.0</v>
      </c>
      <c r="O510" s="86">
        <v>0.3</v>
      </c>
      <c r="P510" s="95" t="s">
        <v>3146</v>
      </c>
      <c r="Q510" s="86" t="s">
        <v>658</v>
      </c>
      <c r="R510" s="86">
        <v>9012.0</v>
      </c>
      <c r="S510" s="86">
        <v>13.0</v>
      </c>
      <c r="U510" s="86">
        <v>0.7</v>
      </c>
      <c r="V510" s="86">
        <v>70001.0</v>
      </c>
      <c r="W510" s="86">
        <v>3.0</v>
      </c>
      <c r="X510" s="86">
        <v>1.0</v>
      </c>
      <c r="Y510" s="86">
        <v>70002.0</v>
      </c>
      <c r="Z510" s="86">
        <v>3.0</v>
      </c>
      <c r="AA510" s="86">
        <v>1.0</v>
      </c>
      <c r="AB510" s="86">
        <v>1001.0</v>
      </c>
      <c r="AC510" s="86">
        <v>100.0</v>
      </c>
      <c r="AD510" s="86">
        <v>1.0</v>
      </c>
      <c r="AE510" s="86">
        <v>8000.0</v>
      </c>
      <c r="AF510" s="86">
        <v>8050.0</v>
      </c>
      <c r="AG510" s="86">
        <v>1.0</v>
      </c>
    </row>
    <row r="511" ht="38.25" customHeight="1">
      <c r="A511" s="86">
        <v>1405.0</v>
      </c>
      <c r="B511" s="86" t="s">
        <v>1605</v>
      </c>
      <c r="C511" s="86">
        <v>12.0</v>
      </c>
      <c r="D511" s="86" t="s">
        <v>3153</v>
      </c>
      <c r="E511" s="86">
        <v>150.0</v>
      </c>
      <c r="G511" s="96" t="s">
        <v>3154</v>
      </c>
      <c r="I511" s="86">
        <v>51845.0</v>
      </c>
      <c r="J511" s="95" t="s">
        <v>3145</v>
      </c>
      <c r="K511" s="86" t="s">
        <v>647</v>
      </c>
      <c r="L511" s="86">
        <v>9008.0</v>
      </c>
      <c r="M511" s="86" t="s">
        <v>1349</v>
      </c>
      <c r="O511" s="86">
        <v>0.8</v>
      </c>
      <c r="P511" s="95" t="s">
        <v>3146</v>
      </c>
      <c r="Q511" s="86" t="s">
        <v>658</v>
      </c>
      <c r="R511" s="86">
        <v>9010.0</v>
      </c>
      <c r="S511" s="86">
        <v>6.0</v>
      </c>
      <c r="U511" s="86">
        <v>0.7</v>
      </c>
      <c r="V511" s="86">
        <v>70001.0</v>
      </c>
      <c r="W511" s="86">
        <v>3.0</v>
      </c>
      <c r="X511" s="86">
        <v>1.0</v>
      </c>
      <c r="Y511" s="86">
        <v>70002.0</v>
      </c>
      <c r="Z511" s="86">
        <v>3.0</v>
      </c>
      <c r="AA511" s="86">
        <v>1.0</v>
      </c>
      <c r="AB511" s="86">
        <v>1001.0</v>
      </c>
      <c r="AC511" s="86">
        <v>100.0</v>
      </c>
      <c r="AD511" s="86">
        <v>1.0</v>
      </c>
      <c r="AE511" s="86">
        <v>8000.0</v>
      </c>
      <c r="AF511" s="86">
        <v>8050.0</v>
      </c>
      <c r="AG511" s="86">
        <v>1.0</v>
      </c>
    </row>
    <row r="512" ht="38.25" customHeight="1">
      <c r="A512" s="86">
        <v>1406.0</v>
      </c>
      <c r="B512" s="86" t="s">
        <v>1605</v>
      </c>
      <c r="C512" s="86">
        <v>12.0</v>
      </c>
      <c r="D512" s="86" t="s">
        <v>3155</v>
      </c>
      <c r="E512" s="86">
        <v>150.0</v>
      </c>
      <c r="G512" s="96" t="s">
        <v>3156</v>
      </c>
      <c r="I512" s="86">
        <v>51970.0</v>
      </c>
      <c r="J512" s="95" t="s">
        <v>3145</v>
      </c>
      <c r="K512" s="86" t="s">
        <v>647</v>
      </c>
      <c r="L512" s="86">
        <v>9005.0</v>
      </c>
      <c r="M512" s="86">
        <v>12.0</v>
      </c>
      <c r="O512" s="86">
        <v>0.3</v>
      </c>
      <c r="P512" s="95" t="s">
        <v>3146</v>
      </c>
      <c r="Q512" s="86" t="s">
        <v>658</v>
      </c>
      <c r="R512" s="86">
        <v>9003.0</v>
      </c>
      <c r="S512" s="86">
        <v>3.0</v>
      </c>
      <c r="U512" s="86">
        <v>0.7</v>
      </c>
      <c r="V512" s="86">
        <v>70001.0</v>
      </c>
      <c r="W512" s="86">
        <v>3.0</v>
      </c>
      <c r="X512" s="86">
        <v>1.0</v>
      </c>
      <c r="Y512" s="86">
        <v>70002.0</v>
      </c>
      <c r="Z512" s="86">
        <v>3.0</v>
      </c>
      <c r="AA512" s="86">
        <v>1.0</v>
      </c>
      <c r="AB512" s="86">
        <v>1001.0</v>
      </c>
      <c r="AC512" s="86">
        <v>100.0</v>
      </c>
      <c r="AD512" s="86">
        <v>1.0</v>
      </c>
      <c r="AE512" s="86">
        <v>8000.0</v>
      </c>
      <c r="AF512" s="86">
        <v>8100.0</v>
      </c>
      <c r="AG512" s="86">
        <v>1.0</v>
      </c>
    </row>
    <row r="513" ht="38.25" customHeight="1">
      <c r="A513" s="86">
        <v>1407.0</v>
      </c>
      <c r="B513" s="86" t="s">
        <v>1605</v>
      </c>
      <c r="C513" s="86">
        <v>12.0</v>
      </c>
      <c r="D513" s="86" t="s">
        <v>3157</v>
      </c>
      <c r="E513" s="86">
        <v>150.0</v>
      </c>
      <c r="G513" s="96" t="s">
        <v>3158</v>
      </c>
      <c r="I513" s="86">
        <v>52095.0</v>
      </c>
      <c r="J513" s="95" t="s">
        <v>3145</v>
      </c>
      <c r="K513" s="86" t="s">
        <v>647</v>
      </c>
      <c r="L513" s="86">
        <v>9008.0</v>
      </c>
      <c r="M513" s="86" t="s">
        <v>2017</v>
      </c>
      <c r="O513" s="86">
        <v>0.2</v>
      </c>
      <c r="P513" s="95" t="s">
        <v>3146</v>
      </c>
      <c r="Q513" s="86" t="s">
        <v>658</v>
      </c>
      <c r="R513" s="86">
        <v>9010.0</v>
      </c>
      <c r="S513" s="86" t="s">
        <v>3159</v>
      </c>
      <c r="U513" s="86">
        <v>0.4</v>
      </c>
      <c r="V513" s="86">
        <v>70001.0</v>
      </c>
      <c r="W513" s="86">
        <v>3.0</v>
      </c>
      <c r="X513" s="86">
        <v>1.0</v>
      </c>
      <c r="Y513" s="86">
        <v>70002.0</v>
      </c>
      <c r="Z513" s="86">
        <v>3.0</v>
      </c>
      <c r="AA513" s="86">
        <v>1.0</v>
      </c>
      <c r="AB513" s="86">
        <v>1001.0</v>
      </c>
      <c r="AC513" s="86">
        <v>100.0</v>
      </c>
      <c r="AD513" s="86">
        <v>1.0</v>
      </c>
      <c r="AE513" s="86">
        <v>8000.0</v>
      </c>
      <c r="AF513" s="86">
        <v>8100.0</v>
      </c>
      <c r="AG513" s="86">
        <v>1.0</v>
      </c>
    </row>
    <row r="514" ht="38.25" customHeight="1">
      <c r="A514" s="86">
        <v>1408.0</v>
      </c>
      <c r="B514" s="86" t="s">
        <v>1605</v>
      </c>
      <c r="C514" s="86">
        <v>12.0</v>
      </c>
      <c r="D514" s="86" t="s">
        <v>3160</v>
      </c>
      <c r="E514" s="86">
        <v>150.0</v>
      </c>
      <c r="G514" s="96" t="s">
        <v>3161</v>
      </c>
      <c r="I514" s="86">
        <v>52220.0</v>
      </c>
      <c r="J514" s="95" t="s">
        <v>3145</v>
      </c>
      <c r="K514" s="86" t="s">
        <v>647</v>
      </c>
      <c r="L514" s="86">
        <v>9008.0</v>
      </c>
      <c r="M514" s="86" t="s">
        <v>1312</v>
      </c>
      <c r="O514" s="86">
        <v>0.3</v>
      </c>
      <c r="P514" s="95" t="s">
        <v>3146</v>
      </c>
      <c r="Q514" s="86" t="s">
        <v>658</v>
      </c>
      <c r="R514" s="86">
        <v>9004.0</v>
      </c>
      <c r="S514" s="86" t="s">
        <v>1631</v>
      </c>
      <c r="U514" s="86">
        <v>0.6</v>
      </c>
      <c r="V514" s="86">
        <v>70001.0</v>
      </c>
      <c r="W514" s="86">
        <v>3.0</v>
      </c>
      <c r="X514" s="86">
        <v>1.0</v>
      </c>
      <c r="Y514" s="86">
        <v>70002.0</v>
      </c>
      <c r="Z514" s="86">
        <v>3.0</v>
      </c>
      <c r="AA514" s="86">
        <v>1.0</v>
      </c>
      <c r="AB514" s="86">
        <v>1001.0</v>
      </c>
      <c r="AC514" s="86">
        <v>100.0</v>
      </c>
      <c r="AD514" s="86">
        <v>1.0</v>
      </c>
      <c r="AE514" s="86">
        <v>8000.0</v>
      </c>
      <c r="AF514" s="86">
        <v>8150.0</v>
      </c>
      <c r="AG514" s="86">
        <v>1.0</v>
      </c>
    </row>
    <row r="515" ht="38.25" customHeight="1">
      <c r="A515" s="86">
        <v>1409.0</v>
      </c>
      <c r="B515" s="86" t="s">
        <v>1605</v>
      </c>
      <c r="C515" s="86">
        <v>12.0</v>
      </c>
      <c r="D515" s="86" t="s">
        <v>3162</v>
      </c>
      <c r="E515" s="86">
        <v>150.0</v>
      </c>
      <c r="G515" s="96" t="s">
        <v>3163</v>
      </c>
      <c r="I515" s="86">
        <v>52345.0</v>
      </c>
      <c r="J515" s="95" t="s">
        <v>3145</v>
      </c>
      <c r="K515" s="86" t="s">
        <v>647</v>
      </c>
      <c r="L515" s="86">
        <v>9011.0</v>
      </c>
      <c r="M515" s="86" t="s">
        <v>1311</v>
      </c>
      <c r="O515" s="86">
        <v>0.9</v>
      </c>
      <c r="P515" s="95" t="s">
        <v>3146</v>
      </c>
      <c r="Q515" s="86" t="s">
        <v>658</v>
      </c>
      <c r="R515" s="86">
        <v>9003.0</v>
      </c>
      <c r="S515" s="86" t="s">
        <v>1114</v>
      </c>
      <c r="U515" s="86">
        <v>0.2</v>
      </c>
      <c r="V515" s="86">
        <v>70001.0</v>
      </c>
      <c r="W515" s="86">
        <v>3.0</v>
      </c>
      <c r="X515" s="86">
        <v>1.0</v>
      </c>
      <c r="Y515" s="86">
        <v>70002.0</v>
      </c>
      <c r="Z515" s="86">
        <v>3.0</v>
      </c>
      <c r="AA515" s="86">
        <v>1.0</v>
      </c>
      <c r="AB515" s="86">
        <v>1001.0</v>
      </c>
      <c r="AC515" s="86">
        <v>100.0</v>
      </c>
      <c r="AD515" s="86">
        <v>1.0</v>
      </c>
      <c r="AE515" s="86">
        <v>8000.0</v>
      </c>
      <c r="AF515" s="86">
        <v>8150.0</v>
      </c>
      <c r="AG515" s="86">
        <v>1.0</v>
      </c>
    </row>
    <row r="516" ht="38.25" customHeight="1">
      <c r="A516" s="86">
        <v>1410.0</v>
      </c>
      <c r="B516" s="86" t="s">
        <v>1605</v>
      </c>
      <c r="C516" s="86">
        <v>12.0</v>
      </c>
      <c r="D516" s="86" t="s">
        <v>3164</v>
      </c>
      <c r="E516" s="86">
        <v>150.0</v>
      </c>
      <c r="G516" s="96" t="s">
        <v>3165</v>
      </c>
      <c r="I516" s="86">
        <v>52470.0</v>
      </c>
      <c r="J516" s="95" t="s">
        <v>3145</v>
      </c>
      <c r="K516" s="86" t="s">
        <v>647</v>
      </c>
      <c r="L516" s="86">
        <v>9011.0</v>
      </c>
      <c r="M516" s="86" t="s">
        <v>1559</v>
      </c>
      <c r="O516" s="86">
        <v>0.7</v>
      </c>
      <c r="P516" s="95" t="s">
        <v>3146</v>
      </c>
      <c r="Q516" s="86" t="s">
        <v>658</v>
      </c>
      <c r="R516" s="86">
        <v>9011.0</v>
      </c>
      <c r="S516" s="86" t="s">
        <v>1225</v>
      </c>
      <c r="U516" s="86">
        <v>0.5</v>
      </c>
      <c r="V516" s="86">
        <v>70001.0</v>
      </c>
      <c r="W516" s="86">
        <v>3.0</v>
      </c>
      <c r="X516" s="86">
        <v>1.0</v>
      </c>
      <c r="Y516" s="86">
        <v>70002.0</v>
      </c>
      <c r="Z516" s="86">
        <v>3.0</v>
      </c>
      <c r="AA516" s="86">
        <v>1.0</v>
      </c>
      <c r="AB516" s="86">
        <v>1001.0</v>
      </c>
      <c r="AC516" s="86">
        <v>100.0</v>
      </c>
      <c r="AD516" s="86">
        <v>1.0</v>
      </c>
      <c r="AE516" s="86">
        <v>8000.0</v>
      </c>
      <c r="AF516" s="86">
        <v>8200.0</v>
      </c>
      <c r="AG516" s="86">
        <v>1.0</v>
      </c>
    </row>
    <row r="517" ht="38.25" customHeight="1">
      <c r="A517" s="86">
        <v>1411.0</v>
      </c>
      <c r="B517" s="86" t="s">
        <v>1605</v>
      </c>
      <c r="C517" s="86">
        <v>12.0</v>
      </c>
      <c r="D517" s="86" t="s">
        <v>3166</v>
      </c>
      <c r="E517" s="86">
        <v>150.0</v>
      </c>
      <c r="G517" s="96" t="s">
        <v>3156</v>
      </c>
      <c r="I517" s="86">
        <v>52595.0</v>
      </c>
      <c r="J517" s="95" t="s">
        <v>3145</v>
      </c>
      <c r="K517" s="86" t="s">
        <v>647</v>
      </c>
      <c r="L517" s="86">
        <v>9001.0</v>
      </c>
      <c r="M517" s="86">
        <v>2.0</v>
      </c>
      <c r="O517" s="86">
        <v>0.9</v>
      </c>
      <c r="P517" s="95" t="s">
        <v>3146</v>
      </c>
      <c r="Q517" s="86" t="s">
        <v>658</v>
      </c>
      <c r="R517" s="86">
        <v>9011.0</v>
      </c>
      <c r="S517" s="86">
        <v>11.0</v>
      </c>
      <c r="U517" s="86">
        <v>0.6</v>
      </c>
      <c r="V517" s="86">
        <v>70001.0</v>
      </c>
      <c r="W517" s="86">
        <v>3.0</v>
      </c>
      <c r="X517" s="86">
        <v>1.0</v>
      </c>
      <c r="Y517" s="86">
        <v>70002.0</v>
      </c>
      <c r="Z517" s="86">
        <v>3.0</v>
      </c>
      <c r="AA517" s="86">
        <v>1.0</v>
      </c>
      <c r="AB517" s="86">
        <v>1001.0</v>
      </c>
      <c r="AC517" s="86">
        <v>100.0</v>
      </c>
      <c r="AD517" s="86">
        <v>1.0</v>
      </c>
      <c r="AE517" s="86">
        <v>8000.0</v>
      </c>
      <c r="AF517" s="86">
        <v>8200.0</v>
      </c>
      <c r="AG517" s="86">
        <v>1.0</v>
      </c>
    </row>
    <row r="518" ht="38.25" customHeight="1">
      <c r="A518" s="86">
        <v>1412.0</v>
      </c>
      <c r="B518" s="86" t="s">
        <v>1605</v>
      </c>
      <c r="C518" s="86">
        <v>12.0</v>
      </c>
      <c r="D518" s="86" t="s">
        <v>3167</v>
      </c>
      <c r="E518" s="86">
        <v>150.0</v>
      </c>
      <c r="G518" s="96" t="s">
        <v>3168</v>
      </c>
      <c r="I518" s="86">
        <v>52720.0</v>
      </c>
      <c r="J518" s="95" t="s">
        <v>3145</v>
      </c>
      <c r="K518" s="86" t="s">
        <v>647</v>
      </c>
      <c r="L518" s="86">
        <v>9002.0</v>
      </c>
      <c r="M518" s="86" t="s">
        <v>1379</v>
      </c>
      <c r="O518" s="86">
        <v>0.5</v>
      </c>
      <c r="P518" s="95" t="s">
        <v>3146</v>
      </c>
      <c r="Q518" s="86" t="s">
        <v>658</v>
      </c>
      <c r="R518" s="86">
        <v>9011.0</v>
      </c>
      <c r="S518" s="86" t="s">
        <v>1440</v>
      </c>
      <c r="U518" s="86">
        <v>0.3</v>
      </c>
      <c r="V518" s="86">
        <v>70001.0</v>
      </c>
      <c r="W518" s="86">
        <v>3.0</v>
      </c>
      <c r="X518" s="86">
        <v>1.0</v>
      </c>
      <c r="Y518" s="86">
        <v>70002.0</v>
      </c>
      <c r="Z518" s="86">
        <v>3.0</v>
      </c>
      <c r="AA518" s="86">
        <v>1.0</v>
      </c>
      <c r="AB518" s="86">
        <v>1001.0</v>
      </c>
      <c r="AC518" s="86">
        <v>100.0</v>
      </c>
      <c r="AD518" s="86">
        <v>1.0</v>
      </c>
      <c r="AE518" s="86">
        <v>8000.0</v>
      </c>
      <c r="AF518" s="86">
        <v>8250.0</v>
      </c>
      <c r="AG518" s="86">
        <v>1.0</v>
      </c>
    </row>
    <row r="519" ht="38.25" customHeight="1">
      <c r="A519" s="86">
        <v>1413.0</v>
      </c>
      <c r="B519" s="86" t="s">
        <v>1605</v>
      </c>
      <c r="C519" s="86">
        <v>12.0</v>
      </c>
      <c r="D519" s="86" t="s">
        <v>3169</v>
      </c>
      <c r="E519" s="86">
        <v>150.0</v>
      </c>
      <c r="G519" s="96" t="s">
        <v>3170</v>
      </c>
      <c r="I519" s="86">
        <v>52845.0</v>
      </c>
      <c r="J519" s="95" t="s">
        <v>3145</v>
      </c>
      <c r="K519" s="86" t="s">
        <v>647</v>
      </c>
      <c r="L519" s="86">
        <v>9007.0</v>
      </c>
      <c r="M519" s="86">
        <v>11.0</v>
      </c>
      <c r="O519" s="86">
        <v>0.3</v>
      </c>
      <c r="P519" s="95" t="s">
        <v>3146</v>
      </c>
      <c r="Q519" s="86" t="s">
        <v>658</v>
      </c>
      <c r="R519" s="86">
        <v>9008.0</v>
      </c>
      <c r="S519" s="86">
        <v>9.0</v>
      </c>
      <c r="U519" s="86">
        <v>0.9</v>
      </c>
      <c r="V519" s="86">
        <v>70001.0</v>
      </c>
      <c r="W519" s="86">
        <v>3.0</v>
      </c>
      <c r="X519" s="86">
        <v>1.0</v>
      </c>
      <c r="Y519" s="86">
        <v>70002.0</v>
      </c>
      <c r="Z519" s="86">
        <v>3.0</v>
      </c>
      <c r="AA519" s="86">
        <v>1.0</v>
      </c>
      <c r="AB519" s="86">
        <v>1001.0</v>
      </c>
      <c r="AC519" s="86">
        <v>100.0</v>
      </c>
      <c r="AD519" s="86">
        <v>1.0</v>
      </c>
      <c r="AE519" s="86">
        <v>8000.0</v>
      </c>
      <c r="AF519" s="86">
        <v>8250.0</v>
      </c>
      <c r="AG519" s="86">
        <v>1.0</v>
      </c>
    </row>
    <row r="520" ht="38.25" customHeight="1">
      <c r="A520" s="86">
        <v>1414.0</v>
      </c>
      <c r="B520" s="86" t="s">
        <v>1605</v>
      </c>
      <c r="C520" s="86">
        <v>12.0</v>
      </c>
      <c r="D520" s="86" t="s">
        <v>3171</v>
      </c>
      <c r="E520" s="86">
        <v>150.0</v>
      </c>
      <c r="G520" s="96" t="s">
        <v>3172</v>
      </c>
      <c r="I520" s="86">
        <v>52970.0</v>
      </c>
      <c r="J520" s="95" t="s">
        <v>3145</v>
      </c>
      <c r="K520" s="86" t="s">
        <v>647</v>
      </c>
      <c r="L520" s="86">
        <v>9001.0</v>
      </c>
      <c r="M520" s="86">
        <v>3.0</v>
      </c>
      <c r="O520" s="86">
        <v>0.1</v>
      </c>
      <c r="P520" s="95" t="s">
        <v>3146</v>
      </c>
      <c r="Q520" s="86" t="s">
        <v>658</v>
      </c>
      <c r="R520" s="86">
        <v>9012.0</v>
      </c>
      <c r="S520" s="86">
        <v>4.0</v>
      </c>
      <c r="U520" s="86">
        <v>0.5</v>
      </c>
      <c r="V520" s="86">
        <v>70001.0</v>
      </c>
      <c r="W520" s="86">
        <v>3.0</v>
      </c>
      <c r="X520" s="86">
        <v>1.0</v>
      </c>
      <c r="Y520" s="86">
        <v>70002.0</v>
      </c>
      <c r="Z520" s="86">
        <v>3.0</v>
      </c>
      <c r="AA520" s="86">
        <v>1.0</v>
      </c>
      <c r="AB520" s="86">
        <v>1001.0</v>
      </c>
      <c r="AC520" s="86">
        <v>100.0</v>
      </c>
      <c r="AD520" s="86">
        <v>1.0</v>
      </c>
      <c r="AE520" s="86">
        <v>8000.0</v>
      </c>
      <c r="AF520" s="86">
        <v>8300.0</v>
      </c>
      <c r="AG520" s="86">
        <v>1.0</v>
      </c>
    </row>
    <row r="521" ht="38.25" customHeight="1">
      <c r="A521" s="86">
        <v>1415.0</v>
      </c>
      <c r="B521" s="86" t="s">
        <v>1605</v>
      </c>
      <c r="C521" s="86">
        <v>12.0</v>
      </c>
      <c r="D521" s="86" t="s">
        <v>3173</v>
      </c>
      <c r="E521" s="86">
        <v>150.0</v>
      </c>
      <c r="G521" s="96" t="s">
        <v>3174</v>
      </c>
      <c r="I521" s="86">
        <v>53095.0</v>
      </c>
      <c r="J521" s="95" t="s">
        <v>3145</v>
      </c>
      <c r="K521" s="86" t="s">
        <v>647</v>
      </c>
      <c r="L521" s="86">
        <v>9001.0</v>
      </c>
      <c r="M521" s="86">
        <v>13.0</v>
      </c>
      <c r="O521" s="86">
        <v>0.8</v>
      </c>
      <c r="P521" s="95" t="s">
        <v>3146</v>
      </c>
      <c r="Q521" s="86" t="s">
        <v>658</v>
      </c>
      <c r="R521" s="86">
        <v>9003.0</v>
      </c>
      <c r="S521" s="86" t="s">
        <v>1517</v>
      </c>
      <c r="U521" s="86">
        <v>0.4</v>
      </c>
      <c r="V521" s="86">
        <v>70001.0</v>
      </c>
      <c r="W521" s="86">
        <v>3.0</v>
      </c>
      <c r="X521" s="86">
        <v>1.0</v>
      </c>
      <c r="Y521" s="86">
        <v>70002.0</v>
      </c>
      <c r="Z521" s="86">
        <v>3.0</v>
      </c>
      <c r="AA521" s="86">
        <v>1.0</v>
      </c>
      <c r="AB521" s="86">
        <v>1001.0</v>
      </c>
      <c r="AC521" s="86">
        <v>100.0</v>
      </c>
      <c r="AD521" s="86">
        <v>1.0</v>
      </c>
      <c r="AE521" s="86">
        <v>8000.0</v>
      </c>
      <c r="AF521" s="86">
        <v>8300.0</v>
      </c>
      <c r="AG521" s="86">
        <v>1.0</v>
      </c>
    </row>
    <row r="522" ht="38.25" customHeight="1">
      <c r="A522" s="86">
        <v>1416.0</v>
      </c>
      <c r="B522" s="86" t="s">
        <v>1605</v>
      </c>
      <c r="C522" s="86">
        <v>12.0</v>
      </c>
      <c r="D522" s="86" t="s">
        <v>3175</v>
      </c>
      <c r="E522" s="86">
        <v>150.0</v>
      </c>
      <c r="G522" s="96" t="s">
        <v>3176</v>
      </c>
      <c r="I522" s="86">
        <v>53220.0</v>
      </c>
      <c r="J522" s="95" t="s">
        <v>3145</v>
      </c>
      <c r="K522" s="86" t="s">
        <v>647</v>
      </c>
      <c r="L522" s="86">
        <v>9005.0</v>
      </c>
      <c r="M522" s="86" t="s">
        <v>1372</v>
      </c>
      <c r="O522" s="86">
        <v>0.1</v>
      </c>
      <c r="P522" s="95" t="s">
        <v>3146</v>
      </c>
      <c r="Q522" s="86" t="s">
        <v>658</v>
      </c>
      <c r="R522" s="86">
        <v>9003.0</v>
      </c>
      <c r="S522" s="86" t="s">
        <v>1648</v>
      </c>
      <c r="U522" s="86">
        <v>0.3</v>
      </c>
      <c r="V522" s="86">
        <v>70001.0</v>
      </c>
      <c r="W522" s="86">
        <v>3.0</v>
      </c>
      <c r="X522" s="86">
        <v>1.0</v>
      </c>
      <c r="Y522" s="86">
        <v>70002.0</v>
      </c>
      <c r="Z522" s="86">
        <v>3.0</v>
      </c>
      <c r="AA522" s="86">
        <v>1.0</v>
      </c>
      <c r="AB522" s="86">
        <v>1001.0</v>
      </c>
      <c r="AC522" s="86">
        <v>100.0</v>
      </c>
      <c r="AD522" s="86">
        <v>1.0</v>
      </c>
      <c r="AE522" s="86">
        <v>8000.0</v>
      </c>
      <c r="AF522" s="86">
        <v>8350.0</v>
      </c>
      <c r="AG522" s="86">
        <v>1.0</v>
      </c>
    </row>
    <row r="523" ht="38.25" customHeight="1">
      <c r="A523" s="86">
        <v>1417.0</v>
      </c>
      <c r="B523" s="86" t="s">
        <v>1605</v>
      </c>
      <c r="C523" s="86">
        <v>12.0</v>
      </c>
      <c r="D523" s="86" t="s">
        <v>3177</v>
      </c>
      <c r="E523" s="86">
        <v>150.0</v>
      </c>
      <c r="G523" s="96" t="s">
        <v>3178</v>
      </c>
      <c r="I523" s="86">
        <v>53345.0</v>
      </c>
      <c r="J523" s="95" t="s">
        <v>3145</v>
      </c>
      <c r="K523" s="86" t="s">
        <v>647</v>
      </c>
      <c r="L523" s="86">
        <v>9006.0</v>
      </c>
      <c r="M523" s="86">
        <v>7.0</v>
      </c>
      <c r="O523" s="86">
        <v>0.3</v>
      </c>
      <c r="P523" s="95" t="s">
        <v>3146</v>
      </c>
      <c r="Q523" s="86" t="s">
        <v>658</v>
      </c>
      <c r="R523" s="86">
        <v>9007.0</v>
      </c>
      <c r="S523" s="86" t="s">
        <v>1176</v>
      </c>
      <c r="U523" s="86">
        <v>0.9</v>
      </c>
      <c r="V523" s="86">
        <v>70001.0</v>
      </c>
      <c r="W523" s="86">
        <v>3.0</v>
      </c>
      <c r="X523" s="86">
        <v>1.0</v>
      </c>
      <c r="Y523" s="86">
        <v>70002.0</v>
      </c>
      <c r="Z523" s="86">
        <v>3.0</v>
      </c>
      <c r="AA523" s="86">
        <v>1.0</v>
      </c>
      <c r="AB523" s="86">
        <v>1001.0</v>
      </c>
      <c r="AC523" s="86">
        <v>100.0</v>
      </c>
      <c r="AD523" s="86">
        <v>1.0</v>
      </c>
      <c r="AE523" s="86">
        <v>8000.0</v>
      </c>
      <c r="AF523" s="86">
        <v>8400.0</v>
      </c>
      <c r="AG523" s="86">
        <v>1.0</v>
      </c>
    </row>
    <row r="524" ht="38.25" customHeight="1">
      <c r="A524" s="86">
        <v>1418.0</v>
      </c>
      <c r="B524" s="86" t="s">
        <v>1605</v>
      </c>
      <c r="C524" s="86">
        <v>12.0</v>
      </c>
      <c r="D524" s="86" t="s">
        <v>3179</v>
      </c>
      <c r="E524" s="86">
        <v>150.0</v>
      </c>
      <c r="G524" s="96" t="s">
        <v>3180</v>
      </c>
      <c r="I524" s="86">
        <v>53470.0</v>
      </c>
      <c r="J524" s="95" t="s">
        <v>3145</v>
      </c>
      <c r="K524" s="86" t="s">
        <v>647</v>
      </c>
      <c r="L524" s="86">
        <v>9006.0</v>
      </c>
      <c r="M524" s="86" t="s">
        <v>1855</v>
      </c>
      <c r="O524" s="86">
        <v>0.3</v>
      </c>
      <c r="P524" s="95" t="s">
        <v>3146</v>
      </c>
      <c r="Q524" s="86" t="s">
        <v>658</v>
      </c>
      <c r="R524" s="86">
        <v>9003.0</v>
      </c>
      <c r="S524" s="86" t="s">
        <v>1379</v>
      </c>
      <c r="U524" s="86">
        <v>0.6</v>
      </c>
      <c r="V524" s="86">
        <v>70001.0</v>
      </c>
      <c r="W524" s="86">
        <v>3.0</v>
      </c>
      <c r="X524" s="86">
        <v>1.0</v>
      </c>
      <c r="Y524" s="86">
        <v>70002.0</v>
      </c>
      <c r="Z524" s="86">
        <v>3.0</v>
      </c>
      <c r="AA524" s="86">
        <v>1.0</v>
      </c>
      <c r="AB524" s="86">
        <v>1001.0</v>
      </c>
      <c r="AC524" s="86">
        <v>100.0</v>
      </c>
      <c r="AD524" s="86">
        <v>1.0</v>
      </c>
      <c r="AE524" s="86">
        <v>8000.0</v>
      </c>
      <c r="AF524" s="86">
        <v>8400.0</v>
      </c>
      <c r="AG524" s="86">
        <v>1.0</v>
      </c>
    </row>
    <row r="525" ht="38.25" customHeight="1">
      <c r="A525" s="86">
        <v>1419.0</v>
      </c>
      <c r="B525" s="86" t="s">
        <v>1605</v>
      </c>
      <c r="C525" s="86">
        <v>12.0</v>
      </c>
      <c r="D525" s="86" t="s">
        <v>3181</v>
      </c>
      <c r="E525" s="86">
        <v>150.0</v>
      </c>
      <c r="G525" s="96" t="s">
        <v>3182</v>
      </c>
      <c r="I525" s="86">
        <v>53595.0</v>
      </c>
      <c r="J525" s="95" t="s">
        <v>3145</v>
      </c>
      <c r="K525" s="86" t="s">
        <v>647</v>
      </c>
      <c r="L525" s="86">
        <v>9006.0</v>
      </c>
      <c r="M525" s="86" t="s">
        <v>1781</v>
      </c>
      <c r="O525" s="86">
        <v>0.6</v>
      </c>
      <c r="P525" s="95" t="s">
        <v>3146</v>
      </c>
      <c r="Q525" s="86" t="s">
        <v>658</v>
      </c>
      <c r="R525" s="86">
        <v>9011.0</v>
      </c>
      <c r="S525" s="86">
        <v>12.0</v>
      </c>
      <c r="U525" s="86">
        <v>0.2</v>
      </c>
      <c r="V525" s="86">
        <v>70001.0</v>
      </c>
      <c r="W525" s="86">
        <v>3.0</v>
      </c>
      <c r="X525" s="86">
        <v>1.0</v>
      </c>
      <c r="Y525" s="86">
        <v>70002.0</v>
      </c>
      <c r="Z525" s="86">
        <v>3.0</v>
      </c>
      <c r="AA525" s="86">
        <v>1.0</v>
      </c>
      <c r="AB525" s="86">
        <v>1001.0</v>
      </c>
      <c r="AC525" s="86">
        <v>500.0</v>
      </c>
      <c r="AD525" s="86">
        <v>1.0</v>
      </c>
      <c r="AE525" s="86">
        <v>8000.0</v>
      </c>
      <c r="AF525" s="86">
        <v>8450.0</v>
      </c>
      <c r="AG525" s="86">
        <v>1.0</v>
      </c>
    </row>
    <row r="526" ht="38.25" customHeight="1">
      <c r="A526" s="86">
        <v>1420.0</v>
      </c>
      <c r="B526" s="86" t="s">
        <v>1605</v>
      </c>
      <c r="C526" s="86">
        <v>12.0</v>
      </c>
      <c r="D526" s="86" t="s">
        <v>3183</v>
      </c>
      <c r="E526" s="86">
        <v>150.0</v>
      </c>
      <c r="G526" s="96" t="s">
        <v>3184</v>
      </c>
      <c r="I526" s="86">
        <v>53720.0</v>
      </c>
      <c r="J526" s="95" t="s">
        <v>3145</v>
      </c>
      <c r="K526" s="86" t="s">
        <v>647</v>
      </c>
      <c r="L526" s="86">
        <v>9011.0</v>
      </c>
      <c r="M526" s="86" t="s">
        <v>3185</v>
      </c>
      <c r="O526" s="86">
        <v>0.9</v>
      </c>
      <c r="P526" s="95" t="s">
        <v>3146</v>
      </c>
      <c r="Q526" s="86" t="s">
        <v>658</v>
      </c>
      <c r="R526" s="86">
        <v>9011.0</v>
      </c>
      <c r="S526" s="86" t="s">
        <v>2286</v>
      </c>
      <c r="U526" s="86">
        <v>0.8</v>
      </c>
      <c r="V526" s="86">
        <v>70001.0</v>
      </c>
      <c r="W526" s="86">
        <v>3.0</v>
      </c>
      <c r="X526" s="86">
        <v>1.0</v>
      </c>
      <c r="Y526" s="86">
        <v>70002.0</v>
      </c>
      <c r="Z526" s="86">
        <v>3.0</v>
      </c>
      <c r="AA526" s="86">
        <v>1.0</v>
      </c>
      <c r="AB526" s="86">
        <v>1001.0</v>
      </c>
      <c r="AC526" s="86">
        <v>100.0</v>
      </c>
      <c r="AD526" s="86">
        <v>1.0</v>
      </c>
      <c r="AE526" s="86">
        <v>8000.0</v>
      </c>
      <c r="AF526" s="86">
        <v>8450.0</v>
      </c>
      <c r="AG526" s="86">
        <v>1.0</v>
      </c>
    </row>
    <row r="527" ht="38.25" customHeight="1">
      <c r="A527" s="86">
        <v>1421.0</v>
      </c>
      <c r="B527" s="86" t="s">
        <v>1605</v>
      </c>
      <c r="C527" s="86">
        <v>12.0</v>
      </c>
      <c r="D527" s="86" t="s">
        <v>3186</v>
      </c>
      <c r="E527" s="86">
        <v>150.0</v>
      </c>
      <c r="G527" s="96" t="s">
        <v>3187</v>
      </c>
      <c r="I527" s="86">
        <v>53845.0</v>
      </c>
      <c r="J527" s="95" t="s">
        <v>3145</v>
      </c>
      <c r="K527" s="86" t="s">
        <v>647</v>
      </c>
      <c r="L527" s="86">
        <v>9006.0</v>
      </c>
      <c r="M527" s="86">
        <v>8.0</v>
      </c>
      <c r="O527" s="86">
        <v>0.7</v>
      </c>
      <c r="P527" s="95" t="s">
        <v>3146</v>
      </c>
      <c r="Q527" s="86" t="s">
        <v>658</v>
      </c>
      <c r="R527" s="86">
        <v>9003.0</v>
      </c>
      <c r="S527" s="86" t="s">
        <v>1306</v>
      </c>
      <c r="U527" s="86">
        <v>0.6</v>
      </c>
      <c r="V527" s="86">
        <v>70001.0</v>
      </c>
      <c r="W527" s="86">
        <v>3.0</v>
      </c>
      <c r="X527" s="86">
        <v>1.0</v>
      </c>
      <c r="Y527" s="86">
        <v>70002.0</v>
      </c>
      <c r="Z527" s="86">
        <v>3.0</v>
      </c>
      <c r="AA527" s="86">
        <v>1.0</v>
      </c>
      <c r="AB527" s="86">
        <v>1001.0</v>
      </c>
      <c r="AC527" s="86">
        <v>100.0</v>
      </c>
      <c r="AD527" s="86">
        <v>1.0</v>
      </c>
      <c r="AE527" s="86">
        <v>8000.0</v>
      </c>
      <c r="AF527" s="86">
        <v>8500.0</v>
      </c>
      <c r="AG527" s="86">
        <v>1.0</v>
      </c>
    </row>
    <row r="528" ht="38.25" customHeight="1">
      <c r="A528" s="86">
        <v>1422.0</v>
      </c>
      <c r="B528" s="86" t="s">
        <v>1605</v>
      </c>
      <c r="C528" s="86">
        <v>12.0</v>
      </c>
      <c r="D528" s="86" t="s">
        <v>3188</v>
      </c>
      <c r="E528" s="86">
        <v>150.0</v>
      </c>
      <c r="G528" s="96" t="s">
        <v>3189</v>
      </c>
      <c r="I528" s="86">
        <v>53970.0</v>
      </c>
      <c r="J528" s="95" t="s">
        <v>3145</v>
      </c>
      <c r="K528" s="86" t="s">
        <v>647</v>
      </c>
      <c r="L528" s="86">
        <v>9005.0</v>
      </c>
      <c r="M528" s="86">
        <v>11.0</v>
      </c>
      <c r="O528" s="86">
        <v>0.9</v>
      </c>
      <c r="P528" s="95" t="s">
        <v>3146</v>
      </c>
      <c r="Q528" s="86" t="s">
        <v>658</v>
      </c>
      <c r="R528" s="86">
        <v>9008.0</v>
      </c>
      <c r="S528" s="86">
        <v>12.0</v>
      </c>
      <c r="U528" s="86">
        <v>0.9</v>
      </c>
      <c r="V528" s="86">
        <v>70001.0</v>
      </c>
      <c r="W528" s="86">
        <v>3.0</v>
      </c>
      <c r="X528" s="86">
        <v>1.0</v>
      </c>
      <c r="Y528" s="86">
        <v>70002.0</v>
      </c>
      <c r="Z528" s="86">
        <v>3.0</v>
      </c>
      <c r="AA528" s="86">
        <v>1.0</v>
      </c>
      <c r="AB528" s="86">
        <v>1001.0</v>
      </c>
      <c r="AC528" s="86">
        <v>100.0</v>
      </c>
      <c r="AD528" s="86">
        <v>1.0</v>
      </c>
      <c r="AE528" s="86">
        <v>8000.0</v>
      </c>
      <c r="AF528" s="86">
        <v>8500.0</v>
      </c>
      <c r="AG528" s="86">
        <v>1.0</v>
      </c>
    </row>
    <row r="529" ht="38.25" customHeight="1">
      <c r="A529" s="86">
        <v>1423.0</v>
      </c>
      <c r="B529" s="86" t="s">
        <v>1605</v>
      </c>
      <c r="C529" s="86">
        <v>12.0</v>
      </c>
      <c r="D529" s="86" t="s">
        <v>3190</v>
      </c>
      <c r="E529" s="86">
        <v>150.0</v>
      </c>
      <c r="G529" s="96" t="s">
        <v>3191</v>
      </c>
      <c r="I529" s="86">
        <v>54095.0</v>
      </c>
      <c r="J529" s="95" t="s">
        <v>3145</v>
      </c>
      <c r="K529" s="86" t="s">
        <v>647</v>
      </c>
      <c r="L529" s="86">
        <v>9011.0</v>
      </c>
      <c r="M529" s="86" t="s">
        <v>1329</v>
      </c>
      <c r="O529" s="86">
        <v>0.8</v>
      </c>
      <c r="P529" s="95" t="s">
        <v>3146</v>
      </c>
      <c r="Q529" s="86" t="s">
        <v>658</v>
      </c>
      <c r="R529" s="86">
        <v>9008.0</v>
      </c>
      <c r="S529" s="86" t="s">
        <v>1755</v>
      </c>
      <c r="U529" s="86">
        <v>0.5</v>
      </c>
      <c r="V529" s="86">
        <v>70001.0</v>
      </c>
      <c r="W529" s="86">
        <v>3.0</v>
      </c>
      <c r="X529" s="86">
        <v>1.0</v>
      </c>
      <c r="Y529" s="86">
        <v>70002.0</v>
      </c>
      <c r="Z529" s="86">
        <v>3.0</v>
      </c>
      <c r="AA529" s="86">
        <v>1.0</v>
      </c>
      <c r="AB529" s="86">
        <v>1001.0</v>
      </c>
      <c r="AC529" s="86">
        <v>100.0</v>
      </c>
      <c r="AD529" s="86">
        <v>1.0</v>
      </c>
      <c r="AE529" s="86">
        <v>8000.0</v>
      </c>
      <c r="AF529" s="86">
        <v>8550.0</v>
      </c>
      <c r="AG529" s="86">
        <v>1.0</v>
      </c>
    </row>
    <row r="530" ht="38.25" customHeight="1">
      <c r="A530" s="86">
        <v>1424.0</v>
      </c>
      <c r="B530" s="86" t="s">
        <v>1605</v>
      </c>
      <c r="C530" s="86">
        <v>12.0</v>
      </c>
      <c r="D530" s="86" t="s">
        <v>3192</v>
      </c>
      <c r="E530" s="86">
        <v>150.0</v>
      </c>
      <c r="G530" s="96" t="s">
        <v>3193</v>
      </c>
      <c r="I530" s="86">
        <v>54220.0</v>
      </c>
      <c r="J530" s="95" t="s">
        <v>3145</v>
      </c>
      <c r="K530" s="86" t="s">
        <v>647</v>
      </c>
      <c r="L530" s="86">
        <v>9002.0</v>
      </c>
      <c r="M530" s="86" t="s">
        <v>1322</v>
      </c>
      <c r="O530" s="86">
        <v>0.1</v>
      </c>
      <c r="P530" s="95" t="s">
        <v>3146</v>
      </c>
      <c r="Q530" s="86" t="s">
        <v>658</v>
      </c>
      <c r="R530" s="86">
        <v>9011.0</v>
      </c>
      <c r="S530" s="86">
        <v>1.0</v>
      </c>
      <c r="U530" s="86">
        <v>0.6</v>
      </c>
      <c r="V530" s="86">
        <v>70001.0</v>
      </c>
      <c r="W530" s="86">
        <v>3.0</v>
      </c>
      <c r="X530" s="86">
        <v>1.0</v>
      </c>
      <c r="Y530" s="86">
        <v>70002.0</v>
      </c>
      <c r="Z530" s="86">
        <v>3.0</v>
      </c>
      <c r="AA530" s="86">
        <v>1.0</v>
      </c>
      <c r="AB530" s="86">
        <v>1001.0</v>
      </c>
      <c r="AC530" s="86">
        <v>100.0</v>
      </c>
      <c r="AD530" s="86">
        <v>1.0</v>
      </c>
      <c r="AE530" s="86">
        <v>8000.0</v>
      </c>
      <c r="AF530" s="86">
        <v>8550.0</v>
      </c>
      <c r="AG530" s="86">
        <v>1.0</v>
      </c>
    </row>
    <row r="531" ht="38.25" customHeight="1">
      <c r="A531" s="86">
        <v>1425.0</v>
      </c>
      <c r="B531" s="86" t="s">
        <v>1605</v>
      </c>
      <c r="C531" s="86">
        <v>12.0</v>
      </c>
      <c r="D531" s="86" t="s">
        <v>3194</v>
      </c>
      <c r="E531" s="86">
        <v>150.0</v>
      </c>
      <c r="G531" s="96" t="s">
        <v>3195</v>
      </c>
      <c r="I531" s="86">
        <v>54345.0</v>
      </c>
      <c r="J531" s="95" t="s">
        <v>3145</v>
      </c>
      <c r="K531" s="86" t="s">
        <v>647</v>
      </c>
      <c r="L531" s="86">
        <v>9001.0</v>
      </c>
      <c r="M531" s="86">
        <v>3.0</v>
      </c>
      <c r="O531" s="86">
        <v>0.9</v>
      </c>
      <c r="P531" s="95" t="s">
        <v>3146</v>
      </c>
      <c r="Q531" s="86" t="s">
        <v>658</v>
      </c>
      <c r="R531" s="86">
        <v>9003.0</v>
      </c>
      <c r="S531" s="86" t="s">
        <v>1277</v>
      </c>
      <c r="U531" s="86">
        <v>0.1</v>
      </c>
      <c r="V531" s="86">
        <v>70001.0</v>
      </c>
      <c r="W531" s="86">
        <v>3.0</v>
      </c>
      <c r="X531" s="86">
        <v>1.0</v>
      </c>
      <c r="Y531" s="86">
        <v>70002.0</v>
      </c>
      <c r="Z531" s="86">
        <v>3.0</v>
      </c>
      <c r="AA531" s="86">
        <v>1.0</v>
      </c>
      <c r="AB531" s="86">
        <v>1001.0</v>
      </c>
      <c r="AC531" s="86">
        <v>100.0</v>
      </c>
      <c r="AD531" s="86">
        <v>1.0</v>
      </c>
      <c r="AE531" s="86">
        <v>8000.0</v>
      </c>
      <c r="AF531" s="86">
        <v>8600.0</v>
      </c>
      <c r="AG531" s="86">
        <v>1.0</v>
      </c>
    </row>
    <row r="532" ht="38.25" customHeight="1">
      <c r="A532" s="86">
        <v>1426.0</v>
      </c>
      <c r="B532" s="86" t="s">
        <v>1605</v>
      </c>
      <c r="C532" s="86">
        <v>12.0</v>
      </c>
      <c r="D532" s="86" t="s">
        <v>3196</v>
      </c>
      <c r="E532" s="86">
        <v>150.0</v>
      </c>
      <c r="G532" s="96" t="s">
        <v>3197</v>
      </c>
      <c r="I532" s="86">
        <v>54470.0</v>
      </c>
      <c r="J532" s="95" t="s">
        <v>3145</v>
      </c>
      <c r="K532" s="86" t="s">
        <v>647</v>
      </c>
      <c r="L532" s="86">
        <v>9001.0</v>
      </c>
      <c r="M532" s="86">
        <v>13.0</v>
      </c>
      <c r="O532" s="86">
        <v>0.2</v>
      </c>
      <c r="P532" s="95" t="s">
        <v>3146</v>
      </c>
      <c r="Q532" s="86" t="s">
        <v>658</v>
      </c>
      <c r="R532" s="86">
        <v>9010.0</v>
      </c>
      <c r="S532" s="86">
        <v>13.0</v>
      </c>
      <c r="U532" s="86">
        <v>0.6</v>
      </c>
      <c r="V532" s="86">
        <v>70001.0</v>
      </c>
      <c r="W532" s="86">
        <v>3.0</v>
      </c>
      <c r="X532" s="86">
        <v>1.0</v>
      </c>
      <c r="Y532" s="86">
        <v>70002.0</v>
      </c>
      <c r="Z532" s="86">
        <v>3.0</v>
      </c>
      <c r="AA532" s="86">
        <v>1.0</v>
      </c>
      <c r="AB532" s="86">
        <v>1001.0</v>
      </c>
      <c r="AC532" s="86">
        <v>100.0</v>
      </c>
      <c r="AD532" s="86">
        <v>1.0</v>
      </c>
      <c r="AE532" s="86">
        <v>8000.0</v>
      </c>
      <c r="AF532" s="86">
        <v>8600.0</v>
      </c>
      <c r="AG532" s="86">
        <v>1.0</v>
      </c>
    </row>
    <row r="533" ht="38.25" customHeight="1">
      <c r="A533" s="86">
        <v>1427.0</v>
      </c>
      <c r="B533" s="86" t="s">
        <v>1605</v>
      </c>
      <c r="C533" s="86">
        <v>12.0</v>
      </c>
      <c r="D533" s="86" t="s">
        <v>3198</v>
      </c>
      <c r="E533" s="86">
        <v>150.0</v>
      </c>
      <c r="G533" s="96" t="s">
        <v>3199</v>
      </c>
      <c r="I533" s="86">
        <v>54595.0</v>
      </c>
      <c r="J533" s="95" t="s">
        <v>3145</v>
      </c>
      <c r="K533" s="86" t="s">
        <v>647</v>
      </c>
      <c r="L533" s="86">
        <v>9007.0</v>
      </c>
      <c r="M533" s="86" t="s">
        <v>1437</v>
      </c>
      <c r="O533" s="86">
        <v>0.2</v>
      </c>
      <c r="P533" s="95" t="s">
        <v>3146</v>
      </c>
      <c r="Q533" s="86" t="s">
        <v>658</v>
      </c>
      <c r="R533" s="86">
        <v>9004.0</v>
      </c>
      <c r="S533" s="86" t="s">
        <v>1386</v>
      </c>
      <c r="U533" s="86">
        <v>0.4</v>
      </c>
      <c r="V533" s="86">
        <v>70001.0</v>
      </c>
      <c r="W533" s="86">
        <v>3.0</v>
      </c>
      <c r="X533" s="86">
        <v>1.0</v>
      </c>
      <c r="Y533" s="86">
        <v>70002.0</v>
      </c>
      <c r="Z533" s="86">
        <v>3.0</v>
      </c>
      <c r="AA533" s="86">
        <v>1.0</v>
      </c>
      <c r="AB533" s="86">
        <v>1001.0</v>
      </c>
      <c r="AC533" s="86">
        <v>100.0</v>
      </c>
      <c r="AD533" s="86">
        <v>1.0</v>
      </c>
      <c r="AE533" s="86">
        <v>8000.0</v>
      </c>
      <c r="AF533" s="86">
        <v>8650.0</v>
      </c>
      <c r="AG533" s="86">
        <v>1.0</v>
      </c>
    </row>
    <row r="534" ht="38.25" customHeight="1">
      <c r="A534" s="86">
        <v>1428.0</v>
      </c>
      <c r="B534" s="86" t="s">
        <v>1605</v>
      </c>
      <c r="C534" s="86">
        <v>12.0</v>
      </c>
      <c r="D534" s="86" t="s">
        <v>3200</v>
      </c>
      <c r="E534" s="86">
        <v>150.0</v>
      </c>
      <c r="G534" s="96" t="s">
        <v>3201</v>
      </c>
      <c r="I534" s="86">
        <v>54720.0</v>
      </c>
      <c r="J534" s="95" t="s">
        <v>3145</v>
      </c>
      <c r="K534" s="86" t="s">
        <v>647</v>
      </c>
      <c r="L534" s="86">
        <v>9002.0</v>
      </c>
      <c r="M534" s="86" t="s">
        <v>1668</v>
      </c>
      <c r="O534" s="86">
        <v>0.6</v>
      </c>
      <c r="P534" s="95" t="s">
        <v>3146</v>
      </c>
      <c r="Q534" s="86" t="s">
        <v>658</v>
      </c>
      <c r="R534" s="86">
        <v>9011.0</v>
      </c>
      <c r="S534" s="86" t="s">
        <v>3053</v>
      </c>
      <c r="U534" s="86">
        <v>0.5</v>
      </c>
      <c r="V534" s="86">
        <v>70001.0</v>
      </c>
      <c r="W534" s="86">
        <v>3.0</v>
      </c>
      <c r="X534" s="86">
        <v>1.0</v>
      </c>
      <c r="Y534" s="86">
        <v>70002.0</v>
      </c>
      <c r="Z534" s="86">
        <v>3.0</v>
      </c>
      <c r="AA534" s="86">
        <v>1.0</v>
      </c>
      <c r="AB534" s="86">
        <v>1001.0</v>
      </c>
      <c r="AC534" s="86">
        <v>100.0</v>
      </c>
      <c r="AD534" s="86">
        <v>1.0</v>
      </c>
      <c r="AE534" s="86">
        <v>8000.0</v>
      </c>
      <c r="AF534" s="86">
        <v>8650.0</v>
      </c>
      <c r="AG534" s="86">
        <v>1.0</v>
      </c>
    </row>
    <row r="535" ht="38.25" customHeight="1">
      <c r="A535" s="86">
        <v>1429.0</v>
      </c>
      <c r="B535" s="86" t="s">
        <v>1605</v>
      </c>
      <c r="C535" s="86">
        <v>12.0</v>
      </c>
      <c r="D535" s="86" t="s">
        <v>3202</v>
      </c>
      <c r="E535" s="86">
        <v>150.0</v>
      </c>
      <c r="G535" s="96" t="s">
        <v>3203</v>
      </c>
      <c r="I535" s="86">
        <v>54845.0</v>
      </c>
      <c r="J535" s="95" t="s">
        <v>3145</v>
      </c>
      <c r="K535" s="86" t="s">
        <v>647</v>
      </c>
      <c r="L535" s="86">
        <v>9001.0</v>
      </c>
      <c r="M535" s="86">
        <v>6.0</v>
      </c>
      <c r="O535" s="86">
        <v>0.3</v>
      </c>
      <c r="P535" s="95" t="s">
        <v>3146</v>
      </c>
      <c r="Q535" s="86" t="s">
        <v>658</v>
      </c>
      <c r="R535" s="86">
        <v>9008.0</v>
      </c>
      <c r="S535" s="86" t="s">
        <v>1668</v>
      </c>
      <c r="U535" s="86">
        <v>0.3</v>
      </c>
      <c r="V535" s="86">
        <v>70001.0</v>
      </c>
      <c r="W535" s="86">
        <v>3.0</v>
      </c>
      <c r="X535" s="86">
        <v>1.0</v>
      </c>
      <c r="Y535" s="86">
        <v>70002.0</v>
      </c>
      <c r="Z535" s="86">
        <v>3.0</v>
      </c>
      <c r="AA535" s="86">
        <v>1.0</v>
      </c>
      <c r="AB535" s="86">
        <v>1001.0</v>
      </c>
      <c r="AC535" s="86">
        <v>100.0</v>
      </c>
      <c r="AD535" s="86">
        <v>1.0</v>
      </c>
      <c r="AE535" s="86">
        <v>8000.0</v>
      </c>
      <c r="AF535" s="86">
        <v>8700.0</v>
      </c>
      <c r="AG535" s="86">
        <v>1.0</v>
      </c>
    </row>
    <row r="536" ht="38.25" customHeight="1">
      <c r="A536" s="86">
        <v>1430.0</v>
      </c>
      <c r="B536" s="86" t="s">
        <v>1605</v>
      </c>
      <c r="C536" s="86">
        <v>12.0</v>
      </c>
      <c r="D536" s="86" t="s">
        <v>3204</v>
      </c>
      <c r="E536" s="86">
        <v>150.0</v>
      </c>
      <c r="G536" s="96" t="s">
        <v>3205</v>
      </c>
      <c r="I536" s="86">
        <v>54970.0</v>
      </c>
      <c r="J536" s="95" t="s">
        <v>3145</v>
      </c>
      <c r="K536" s="86" t="s">
        <v>647</v>
      </c>
      <c r="L536" s="86">
        <v>9002.0</v>
      </c>
      <c r="M536" s="86" t="s">
        <v>1306</v>
      </c>
      <c r="O536" s="86">
        <v>0.9</v>
      </c>
      <c r="P536" s="95" t="s">
        <v>3146</v>
      </c>
      <c r="Q536" s="86" t="s">
        <v>658</v>
      </c>
      <c r="R536" s="86">
        <v>9008.0</v>
      </c>
      <c r="S536" s="86">
        <v>4.0</v>
      </c>
      <c r="U536" s="86">
        <v>0.9</v>
      </c>
      <c r="V536" s="86">
        <v>70001.0</v>
      </c>
      <c r="W536" s="86">
        <v>3.0</v>
      </c>
      <c r="X536" s="86">
        <v>1.0</v>
      </c>
      <c r="Y536" s="86">
        <v>70002.0</v>
      </c>
      <c r="Z536" s="86">
        <v>3.0</v>
      </c>
      <c r="AA536" s="86">
        <v>1.0</v>
      </c>
      <c r="AB536" s="86">
        <v>1001.0</v>
      </c>
      <c r="AC536" s="86">
        <v>100.0</v>
      </c>
      <c r="AD536" s="86">
        <v>1.0</v>
      </c>
      <c r="AE536" s="86">
        <v>8000.0</v>
      </c>
      <c r="AF536" s="86">
        <v>8700.0</v>
      </c>
      <c r="AG536" s="86">
        <v>1.0</v>
      </c>
    </row>
    <row r="537" ht="38.25" customHeight="1">
      <c r="A537" s="86">
        <v>1431.0</v>
      </c>
      <c r="B537" s="86" t="s">
        <v>1605</v>
      </c>
      <c r="C537" s="86">
        <v>12.0</v>
      </c>
      <c r="D537" s="86" t="s">
        <v>3206</v>
      </c>
      <c r="E537" s="86">
        <v>150.0</v>
      </c>
      <c r="G537" s="96" t="s">
        <v>3207</v>
      </c>
      <c r="I537" s="86">
        <v>55095.0</v>
      </c>
      <c r="J537" s="95" t="s">
        <v>3145</v>
      </c>
      <c r="K537" s="86" t="s">
        <v>647</v>
      </c>
      <c r="L537" s="86">
        <v>9011.0</v>
      </c>
      <c r="M537" s="86" t="s">
        <v>1549</v>
      </c>
      <c r="O537" s="86">
        <v>0.6</v>
      </c>
      <c r="P537" s="95" t="s">
        <v>3146</v>
      </c>
      <c r="Q537" s="86" t="s">
        <v>658</v>
      </c>
      <c r="R537" s="86">
        <v>9011.0</v>
      </c>
      <c r="S537" s="86">
        <v>9.0</v>
      </c>
      <c r="U537" s="86">
        <v>0.7</v>
      </c>
      <c r="V537" s="86">
        <v>70001.0</v>
      </c>
      <c r="W537" s="86">
        <v>3.0</v>
      </c>
      <c r="X537" s="86">
        <v>1.0</v>
      </c>
      <c r="Y537" s="86">
        <v>70002.0</v>
      </c>
      <c r="Z537" s="86">
        <v>3.0</v>
      </c>
      <c r="AA537" s="86">
        <v>1.0</v>
      </c>
      <c r="AB537" s="86">
        <v>1001.0</v>
      </c>
      <c r="AC537" s="86">
        <v>100.0</v>
      </c>
      <c r="AD537" s="86">
        <v>1.0</v>
      </c>
      <c r="AE537" s="86">
        <v>8000.0</v>
      </c>
      <c r="AF537" s="86">
        <v>8750.0</v>
      </c>
      <c r="AG537" s="86">
        <v>1.0</v>
      </c>
    </row>
    <row r="538" ht="38.25" customHeight="1">
      <c r="A538" s="86">
        <v>1432.0</v>
      </c>
      <c r="B538" s="86" t="s">
        <v>1605</v>
      </c>
      <c r="C538" s="86">
        <v>12.0</v>
      </c>
      <c r="D538" s="86" t="s">
        <v>3208</v>
      </c>
      <c r="E538" s="86">
        <v>150.0</v>
      </c>
      <c r="G538" s="96" t="s">
        <v>3209</v>
      </c>
      <c r="I538" s="86">
        <v>55220.0</v>
      </c>
      <c r="J538" s="95" t="s">
        <v>3145</v>
      </c>
      <c r="K538" s="86" t="s">
        <v>647</v>
      </c>
      <c r="L538" s="86">
        <v>9008.0</v>
      </c>
      <c r="M538" s="86" t="s">
        <v>1913</v>
      </c>
      <c r="O538" s="86">
        <v>0.5</v>
      </c>
      <c r="P538" s="95" t="s">
        <v>3146</v>
      </c>
      <c r="Q538" s="86" t="s">
        <v>658</v>
      </c>
      <c r="R538" s="86">
        <v>9010.0</v>
      </c>
      <c r="S538" s="86" t="s">
        <v>2181</v>
      </c>
      <c r="U538" s="86">
        <v>0.1</v>
      </c>
      <c r="V538" s="86">
        <v>70001.0</v>
      </c>
      <c r="W538" s="86">
        <v>3.0</v>
      </c>
      <c r="X538" s="86">
        <v>1.0</v>
      </c>
      <c r="Y538" s="86">
        <v>70002.0</v>
      </c>
      <c r="Z538" s="86">
        <v>3.0</v>
      </c>
      <c r="AA538" s="86">
        <v>1.0</v>
      </c>
      <c r="AB538" s="86">
        <v>1001.0</v>
      </c>
      <c r="AC538" s="86">
        <v>100.0</v>
      </c>
      <c r="AD538" s="86">
        <v>1.0</v>
      </c>
      <c r="AE538" s="86">
        <v>8000.0</v>
      </c>
      <c r="AF538" s="86">
        <v>8750.0</v>
      </c>
      <c r="AG538" s="86">
        <v>1.0</v>
      </c>
    </row>
    <row r="539" ht="38.25" customHeight="1">
      <c r="A539" s="86">
        <v>1433.0</v>
      </c>
      <c r="B539" s="86" t="s">
        <v>1605</v>
      </c>
      <c r="C539" s="86">
        <v>12.0</v>
      </c>
      <c r="D539" s="86" t="s">
        <v>3210</v>
      </c>
      <c r="E539" s="86">
        <v>150.0</v>
      </c>
      <c r="G539" s="96" t="s">
        <v>3211</v>
      </c>
      <c r="I539" s="86">
        <v>55345.0</v>
      </c>
      <c r="J539" s="95" t="s">
        <v>3145</v>
      </c>
      <c r="K539" s="86" t="s">
        <v>647</v>
      </c>
      <c r="L539" s="86">
        <v>9012.0</v>
      </c>
      <c r="M539" s="86">
        <v>11.0</v>
      </c>
      <c r="O539" s="86">
        <v>0.8</v>
      </c>
      <c r="P539" s="95" t="s">
        <v>3146</v>
      </c>
      <c r="Q539" s="86" t="s">
        <v>658</v>
      </c>
      <c r="R539" s="86">
        <v>9007.0</v>
      </c>
      <c r="S539" s="86" t="s">
        <v>1425</v>
      </c>
      <c r="U539" s="86">
        <v>0.4</v>
      </c>
      <c r="V539" s="86">
        <v>70001.0</v>
      </c>
      <c r="W539" s="86">
        <v>3.0</v>
      </c>
      <c r="X539" s="86">
        <v>1.0</v>
      </c>
      <c r="Y539" s="86">
        <v>70002.0</v>
      </c>
      <c r="Z539" s="86">
        <v>3.0</v>
      </c>
      <c r="AA539" s="86">
        <v>1.0</v>
      </c>
      <c r="AB539" s="86">
        <v>1001.0</v>
      </c>
      <c r="AC539" s="86">
        <v>100.0</v>
      </c>
      <c r="AD539" s="86">
        <v>1.0</v>
      </c>
      <c r="AE539" s="86">
        <v>8000.0</v>
      </c>
      <c r="AF539" s="86">
        <v>8800.0</v>
      </c>
      <c r="AG539" s="86">
        <v>1.0</v>
      </c>
    </row>
    <row r="540" ht="38.25" customHeight="1">
      <c r="A540" s="86">
        <v>1434.0</v>
      </c>
      <c r="B540" s="86" t="s">
        <v>1605</v>
      </c>
      <c r="C540" s="86">
        <v>12.0</v>
      </c>
      <c r="D540" s="86" t="s">
        <v>3212</v>
      </c>
      <c r="E540" s="86">
        <v>150.0</v>
      </c>
      <c r="G540" s="96" t="s">
        <v>3213</v>
      </c>
      <c r="I540" s="86">
        <v>55470.0</v>
      </c>
      <c r="J540" s="95" t="s">
        <v>3145</v>
      </c>
      <c r="K540" s="86" t="s">
        <v>647</v>
      </c>
      <c r="L540" s="86">
        <v>9008.0</v>
      </c>
      <c r="M540" s="86" t="s">
        <v>1200</v>
      </c>
      <c r="O540" s="86">
        <v>0.9</v>
      </c>
      <c r="P540" s="95" t="s">
        <v>3146</v>
      </c>
      <c r="Q540" s="86" t="s">
        <v>658</v>
      </c>
      <c r="R540" s="86">
        <v>9012.0</v>
      </c>
      <c r="S540" s="86" t="s">
        <v>1365</v>
      </c>
      <c r="U540" s="86">
        <v>0.9</v>
      </c>
      <c r="V540" s="86">
        <v>70001.0</v>
      </c>
      <c r="W540" s="86">
        <v>3.0</v>
      </c>
      <c r="X540" s="86">
        <v>1.0</v>
      </c>
      <c r="Y540" s="86">
        <v>70002.0</v>
      </c>
      <c r="Z540" s="86">
        <v>3.0</v>
      </c>
      <c r="AA540" s="86">
        <v>1.0</v>
      </c>
      <c r="AB540" s="86">
        <v>1001.0</v>
      </c>
      <c r="AC540" s="86">
        <v>100.0</v>
      </c>
      <c r="AD540" s="86">
        <v>1.0</v>
      </c>
      <c r="AE540" s="86">
        <v>8000.0</v>
      </c>
      <c r="AF540" s="86">
        <v>8800.0</v>
      </c>
      <c r="AG540" s="86">
        <v>1.0</v>
      </c>
    </row>
    <row r="541" ht="38.25" customHeight="1">
      <c r="A541" s="86">
        <v>1435.0</v>
      </c>
      <c r="B541" s="86" t="s">
        <v>1605</v>
      </c>
      <c r="C541" s="86">
        <v>12.0</v>
      </c>
      <c r="D541" s="86" t="s">
        <v>3214</v>
      </c>
      <c r="E541" s="86">
        <v>150.0</v>
      </c>
      <c r="G541" s="96" t="s">
        <v>3215</v>
      </c>
      <c r="I541" s="86">
        <v>55595.0</v>
      </c>
      <c r="J541" s="95" t="s">
        <v>3145</v>
      </c>
      <c r="K541" s="86" t="s">
        <v>647</v>
      </c>
      <c r="L541" s="86">
        <v>9012.0</v>
      </c>
      <c r="M541" s="86" t="s">
        <v>1392</v>
      </c>
      <c r="O541" s="86">
        <v>0.7</v>
      </c>
      <c r="P541" s="95" t="s">
        <v>3146</v>
      </c>
      <c r="Q541" s="86" t="s">
        <v>658</v>
      </c>
      <c r="R541" s="86">
        <v>9010.0</v>
      </c>
      <c r="S541" s="86" t="s">
        <v>3216</v>
      </c>
      <c r="U541" s="86">
        <v>0.5</v>
      </c>
      <c r="V541" s="86">
        <v>70001.0</v>
      </c>
      <c r="W541" s="86">
        <v>3.0</v>
      </c>
      <c r="X541" s="86">
        <v>1.0</v>
      </c>
      <c r="Y541" s="86">
        <v>70002.0</v>
      </c>
      <c r="Z541" s="86">
        <v>3.0</v>
      </c>
      <c r="AA541" s="86">
        <v>1.0</v>
      </c>
      <c r="AB541" s="86">
        <v>1001.0</v>
      </c>
      <c r="AC541" s="86">
        <v>100.0</v>
      </c>
      <c r="AD541" s="86">
        <v>1.0</v>
      </c>
      <c r="AE541" s="86">
        <v>8000.0</v>
      </c>
      <c r="AF541" s="86">
        <v>8850.0</v>
      </c>
      <c r="AG541" s="86">
        <v>1.0</v>
      </c>
    </row>
    <row r="542" ht="38.25" customHeight="1">
      <c r="A542" s="86">
        <v>1436.0</v>
      </c>
      <c r="B542" s="86" t="s">
        <v>1605</v>
      </c>
      <c r="C542" s="86">
        <v>12.0</v>
      </c>
      <c r="D542" s="86" t="s">
        <v>3217</v>
      </c>
      <c r="E542" s="86">
        <v>150.0</v>
      </c>
      <c r="G542" s="96" t="s">
        <v>3218</v>
      </c>
      <c r="I542" s="86">
        <v>55720.0</v>
      </c>
      <c r="J542" s="95" t="s">
        <v>3145</v>
      </c>
      <c r="K542" s="86" t="s">
        <v>647</v>
      </c>
      <c r="L542" s="86">
        <v>9002.0</v>
      </c>
      <c r="M542" s="86">
        <v>12.0</v>
      </c>
      <c r="O542" s="86">
        <v>0.3</v>
      </c>
      <c r="P542" s="95" t="s">
        <v>3146</v>
      </c>
      <c r="Q542" s="86" t="s">
        <v>658</v>
      </c>
      <c r="R542" s="86">
        <v>9010.0</v>
      </c>
      <c r="S542" s="86" t="s">
        <v>2118</v>
      </c>
      <c r="U542" s="86">
        <v>0.4</v>
      </c>
      <c r="V542" s="86">
        <v>70001.0</v>
      </c>
      <c r="W542" s="86">
        <v>3.0</v>
      </c>
      <c r="X542" s="86">
        <v>1.0</v>
      </c>
      <c r="Y542" s="86">
        <v>70002.0</v>
      </c>
      <c r="Z542" s="86">
        <v>3.0</v>
      </c>
      <c r="AA542" s="86">
        <v>1.0</v>
      </c>
      <c r="AB542" s="86">
        <v>1001.0</v>
      </c>
      <c r="AC542" s="86">
        <v>100.0</v>
      </c>
      <c r="AD542" s="86">
        <v>1.0</v>
      </c>
      <c r="AE542" s="86">
        <v>8000.0</v>
      </c>
      <c r="AF542" s="86">
        <v>8900.0</v>
      </c>
      <c r="AG542" s="86">
        <v>1.0</v>
      </c>
    </row>
    <row r="543" ht="38.25" customHeight="1">
      <c r="A543" s="86">
        <v>1437.0</v>
      </c>
      <c r="B543" s="86" t="s">
        <v>1605</v>
      </c>
      <c r="C543" s="86">
        <v>12.0</v>
      </c>
      <c r="D543" s="86" t="s">
        <v>3219</v>
      </c>
      <c r="E543" s="86">
        <v>150.0</v>
      </c>
      <c r="G543" s="96" t="s">
        <v>3220</v>
      </c>
      <c r="I543" s="86">
        <v>55845.0</v>
      </c>
      <c r="J543" s="95" t="s">
        <v>3145</v>
      </c>
      <c r="K543" s="86" t="s">
        <v>647</v>
      </c>
      <c r="L543" s="86">
        <v>9001.0</v>
      </c>
      <c r="M543" s="86">
        <v>3.0</v>
      </c>
      <c r="O543" s="86">
        <v>0.2</v>
      </c>
      <c r="P543" s="95" t="s">
        <v>3146</v>
      </c>
      <c r="Q543" s="86" t="s">
        <v>658</v>
      </c>
      <c r="R543" s="86">
        <v>9008.0</v>
      </c>
      <c r="S543" s="86" t="s">
        <v>3221</v>
      </c>
      <c r="U543" s="86">
        <v>0.8</v>
      </c>
      <c r="V543" s="86">
        <v>70001.0</v>
      </c>
      <c r="W543" s="86">
        <v>3.0</v>
      </c>
      <c r="X543" s="86">
        <v>1.0</v>
      </c>
      <c r="Y543" s="86">
        <v>70002.0</v>
      </c>
      <c r="Z543" s="86">
        <v>3.0</v>
      </c>
      <c r="AA543" s="86">
        <v>1.0</v>
      </c>
      <c r="AB543" s="86">
        <v>1001.0</v>
      </c>
      <c r="AC543" s="86">
        <v>100.0</v>
      </c>
      <c r="AD543" s="86">
        <v>1.0</v>
      </c>
      <c r="AE543" s="86">
        <v>8000.0</v>
      </c>
      <c r="AF543" s="86">
        <v>8900.0</v>
      </c>
      <c r="AG543" s="86">
        <v>1.0</v>
      </c>
    </row>
    <row r="544" ht="38.25" customHeight="1">
      <c r="A544" s="86">
        <v>1438.0</v>
      </c>
      <c r="B544" s="86" t="s">
        <v>1605</v>
      </c>
      <c r="C544" s="86">
        <v>12.0</v>
      </c>
      <c r="D544" s="86" t="s">
        <v>3222</v>
      </c>
      <c r="E544" s="86">
        <v>150.0</v>
      </c>
      <c r="G544" s="96" t="s">
        <v>3223</v>
      </c>
      <c r="I544" s="86">
        <v>55970.0</v>
      </c>
      <c r="J544" s="95" t="s">
        <v>3145</v>
      </c>
      <c r="K544" s="86" t="s">
        <v>647</v>
      </c>
      <c r="L544" s="86">
        <v>9007.0</v>
      </c>
      <c r="M544" s="86" t="s">
        <v>1160</v>
      </c>
      <c r="O544" s="86">
        <v>0.4</v>
      </c>
      <c r="P544" s="95" t="s">
        <v>3146</v>
      </c>
      <c r="Q544" s="86" t="s">
        <v>658</v>
      </c>
      <c r="R544" s="86">
        <v>9012.0</v>
      </c>
      <c r="S544" s="86" t="s">
        <v>1356</v>
      </c>
      <c r="U544" s="86">
        <v>0.4</v>
      </c>
      <c r="V544" s="86">
        <v>70001.0</v>
      </c>
      <c r="W544" s="86">
        <v>3.0</v>
      </c>
      <c r="X544" s="86">
        <v>1.0</v>
      </c>
      <c r="Y544" s="86">
        <v>70002.0</v>
      </c>
      <c r="Z544" s="86">
        <v>3.0</v>
      </c>
      <c r="AA544" s="86">
        <v>1.0</v>
      </c>
      <c r="AB544" s="86">
        <v>1001.0</v>
      </c>
      <c r="AC544" s="86">
        <v>100.0</v>
      </c>
      <c r="AD544" s="86">
        <v>1.0</v>
      </c>
      <c r="AE544" s="86">
        <v>8000.0</v>
      </c>
      <c r="AF544" s="86">
        <v>8950.0</v>
      </c>
      <c r="AG544" s="86">
        <v>1.0</v>
      </c>
    </row>
    <row r="545" ht="38.25" customHeight="1">
      <c r="A545" s="86">
        <v>1439.0</v>
      </c>
      <c r="B545" s="86" t="s">
        <v>1605</v>
      </c>
      <c r="C545" s="86">
        <v>12.0</v>
      </c>
      <c r="D545" s="86" t="s">
        <v>3224</v>
      </c>
      <c r="E545" s="86">
        <v>150.0</v>
      </c>
      <c r="G545" s="96" t="s">
        <v>3225</v>
      </c>
      <c r="I545" s="86">
        <v>56095.0</v>
      </c>
      <c r="J545" s="95" t="s">
        <v>3145</v>
      </c>
      <c r="K545" s="86" t="s">
        <v>647</v>
      </c>
      <c r="L545" s="86">
        <v>9001.0</v>
      </c>
      <c r="M545" s="86" t="s">
        <v>2830</v>
      </c>
      <c r="O545" s="86">
        <v>0.6</v>
      </c>
      <c r="P545" s="95" t="s">
        <v>3146</v>
      </c>
      <c r="Q545" s="86" t="s">
        <v>658</v>
      </c>
      <c r="R545" s="86">
        <v>9012.0</v>
      </c>
      <c r="S545" s="86">
        <v>4.0</v>
      </c>
      <c r="U545" s="86">
        <v>0.5</v>
      </c>
      <c r="V545" s="86">
        <v>70001.0</v>
      </c>
      <c r="W545" s="86">
        <v>3.0</v>
      </c>
      <c r="X545" s="86">
        <v>1.0</v>
      </c>
      <c r="Y545" s="86">
        <v>70002.0</v>
      </c>
      <c r="Z545" s="86">
        <v>3.0</v>
      </c>
      <c r="AA545" s="86">
        <v>1.0</v>
      </c>
      <c r="AB545" s="86">
        <v>1001.0</v>
      </c>
      <c r="AC545" s="86">
        <v>100.0</v>
      </c>
      <c r="AD545" s="86">
        <v>1.0</v>
      </c>
      <c r="AE545" s="86">
        <v>8000.0</v>
      </c>
      <c r="AF545" s="86">
        <v>8950.0</v>
      </c>
      <c r="AG545" s="86">
        <v>1.0</v>
      </c>
    </row>
    <row r="546" ht="38.25" customHeight="1">
      <c r="A546" s="86">
        <v>1440.0</v>
      </c>
      <c r="B546" s="86" t="s">
        <v>1605</v>
      </c>
      <c r="C546" s="86">
        <v>12.0</v>
      </c>
      <c r="D546" s="86" t="s">
        <v>3226</v>
      </c>
      <c r="E546" s="86">
        <v>150.0</v>
      </c>
      <c r="G546" s="96" t="s">
        <v>3227</v>
      </c>
      <c r="I546" s="86">
        <v>56220.0</v>
      </c>
      <c r="J546" s="95" t="s">
        <v>3145</v>
      </c>
      <c r="K546" s="86" t="s">
        <v>647</v>
      </c>
      <c r="L546" s="86">
        <v>9006.0</v>
      </c>
      <c r="M546" s="86">
        <v>13.0</v>
      </c>
      <c r="O546" s="86">
        <v>0.3</v>
      </c>
      <c r="P546" s="95" t="s">
        <v>3146</v>
      </c>
      <c r="Q546" s="86" t="s">
        <v>658</v>
      </c>
      <c r="R546" s="86">
        <v>9007.0</v>
      </c>
      <c r="S546" s="86" t="s">
        <v>1862</v>
      </c>
      <c r="U546" s="86">
        <v>0.7</v>
      </c>
      <c r="V546" s="86">
        <v>70001.0</v>
      </c>
      <c r="W546" s="86">
        <v>3.0</v>
      </c>
      <c r="X546" s="86">
        <v>1.0</v>
      </c>
      <c r="Y546" s="86">
        <v>70002.0</v>
      </c>
      <c r="Z546" s="86">
        <v>3.0</v>
      </c>
      <c r="AA546" s="86">
        <v>1.0</v>
      </c>
      <c r="AB546" s="86">
        <v>1001.0</v>
      </c>
      <c r="AC546" s="86">
        <v>100.0</v>
      </c>
      <c r="AD546" s="86">
        <v>1.0</v>
      </c>
      <c r="AE546" s="86">
        <v>8000.0</v>
      </c>
      <c r="AF546" s="86">
        <v>9000.0</v>
      </c>
      <c r="AG546" s="86">
        <v>1.0</v>
      </c>
    </row>
    <row r="547" ht="38.25" customHeight="1">
      <c r="A547" s="86">
        <v>1441.0</v>
      </c>
      <c r="B547" s="86" t="s">
        <v>1605</v>
      </c>
      <c r="C547" s="86">
        <v>12.0</v>
      </c>
      <c r="D547" s="86" t="s">
        <v>3228</v>
      </c>
      <c r="E547" s="86">
        <v>150.0</v>
      </c>
      <c r="G547" s="96" t="s">
        <v>3229</v>
      </c>
      <c r="I547" s="86">
        <v>56345.0</v>
      </c>
      <c r="J547" s="95" t="s">
        <v>3145</v>
      </c>
      <c r="K547" s="86" t="s">
        <v>647</v>
      </c>
      <c r="L547" s="86">
        <v>9007.0</v>
      </c>
      <c r="M547" s="86">
        <v>13.0</v>
      </c>
      <c r="O547" s="86">
        <v>0.5</v>
      </c>
      <c r="P547" s="95" t="s">
        <v>3146</v>
      </c>
      <c r="Q547" s="86" t="s">
        <v>658</v>
      </c>
      <c r="R547" s="86">
        <v>9012.0</v>
      </c>
      <c r="S547" s="86" t="s">
        <v>1913</v>
      </c>
      <c r="U547" s="86">
        <v>0.7</v>
      </c>
      <c r="V547" s="86">
        <v>70001.0</v>
      </c>
      <c r="W547" s="86">
        <v>3.0</v>
      </c>
      <c r="X547" s="86">
        <v>1.0</v>
      </c>
      <c r="Y547" s="86">
        <v>70002.0</v>
      </c>
      <c r="Z547" s="86">
        <v>3.0</v>
      </c>
      <c r="AA547" s="86">
        <v>1.0</v>
      </c>
      <c r="AB547" s="86">
        <v>1001.0</v>
      </c>
      <c r="AC547" s="86">
        <v>100.0</v>
      </c>
      <c r="AD547" s="86">
        <v>1.0</v>
      </c>
      <c r="AE547" s="86">
        <v>8000.0</v>
      </c>
      <c r="AF547" s="86">
        <v>9000.0</v>
      </c>
      <c r="AG547" s="86">
        <v>1.0</v>
      </c>
    </row>
    <row r="548" ht="38.25" customHeight="1">
      <c r="A548" s="86">
        <v>1442.0</v>
      </c>
      <c r="B548" s="86" t="s">
        <v>1605</v>
      </c>
      <c r="C548" s="86">
        <v>12.0</v>
      </c>
      <c r="D548" s="86" t="s">
        <v>3230</v>
      </c>
      <c r="E548" s="86">
        <v>150.0</v>
      </c>
      <c r="G548" s="96" t="s">
        <v>3231</v>
      </c>
      <c r="I548" s="86">
        <v>56470.0</v>
      </c>
      <c r="J548" s="95" t="s">
        <v>3145</v>
      </c>
      <c r="K548" s="86" t="s">
        <v>647</v>
      </c>
      <c r="L548" s="86">
        <v>9012.0</v>
      </c>
      <c r="M548" s="86" t="s">
        <v>1220</v>
      </c>
      <c r="O548" s="86">
        <v>0.7</v>
      </c>
      <c r="P548" s="95" t="s">
        <v>3146</v>
      </c>
      <c r="Q548" s="86" t="s">
        <v>658</v>
      </c>
      <c r="R548" s="86">
        <v>9010.0</v>
      </c>
      <c r="S548" s="86" t="s">
        <v>3232</v>
      </c>
      <c r="U548" s="86">
        <v>0.4</v>
      </c>
      <c r="V548" s="86">
        <v>70001.0</v>
      </c>
      <c r="W548" s="86">
        <v>3.0</v>
      </c>
      <c r="X548" s="86">
        <v>1.0</v>
      </c>
      <c r="Y548" s="86">
        <v>70002.0</v>
      </c>
      <c r="Z548" s="86">
        <v>3.0</v>
      </c>
      <c r="AA548" s="86">
        <v>1.0</v>
      </c>
      <c r="AB548" s="86">
        <v>1001.0</v>
      </c>
      <c r="AC548" s="86">
        <v>100.0</v>
      </c>
      <c r="AD548" s="86">
        <v>1.0</v>
      </c>
      <c r="AE548" s="86">
        <v>8000.0</v>
      </c>
      <c r="AF548" s="86">
        <v>9050.0</v>
      </c>
      <c r="AG548" s="86">
        <v>1.0</v>
      </c>
    </row>
    <row r="549" ht="38.25" customHeight="1">
      <c r="A549" s="86">
        <v>1443.0</v>
      </c>
      <c r="B549" s="86" t="s">
        <v>1605</v>
      </c>
      <c r="C549" s="86">
        <v>12.0</v>
      </c>
      <c r="D549" s="86" t="s">
        <v>3233</v>
      </c>
      <c r="E549" s="86">
        <v>150.0</v>
      </c>
      <c r="G549" s="96" t="s">
        <v>3234</v>
      </c>
      <c r="I549" s="86">
        <v>56595.0</v>
      </c>
      <c r="J549" s="95" t="s">
        <v>3145</v>
      </c>
      <c r="K549" s="86" t="s">
        <v>647</v>
      </c>
      <c r="L549" s="86">
        <v>9002.0</v>
      </c>
      <c r="M549" s="86" t="s">
        <v>1592</v>
      </c>
      <c r="O549" s="86">
        <v>0.8</v>
      </c>
      <c r="P549" s="95" t="s">
        <v>3146</v>
      </c>
      <c r="Q549" s="86" t="s">
        <v>658</v>
      </c>
      <c r="R549" s="86">
        <v>9011.0</v>
      </c>
      <c r="S549" s="86" t="s">
        <v>3235</v>
      </c>
      <c r="U549" s="86">
        <v>0.1</v>
      </c>
      <c r="V549" s="86">
        <v>70001.0</v>
      </c>
      <c r="W549" s="86">
        <v>3.0</v>
      </c>
      <c r="X549" s="86">
        <v>1.0</v>
      </c>
      <c r="Y549" s="86">
        <v>70002.0</v>
      </c>
      <c r="Z549" s="86">
        <v>3.0</v>
      </c>
      <c r="AA549" s="86">
        <v>1.0</v>
      </c>
      <c r="AB549" s="86">
        <v>1001.0</v>
      </c>
      <c r="AC549" s="86">
        <v>100.0</v>
      </c>
      <c r="AD549" s="86">
        <v>1.0</v>
      </c>
      <c r="AE549" s="86">
        <v>8000.0</v>
      </c>
      <c r="AF549" s="86">
        <v>9050.0</v>
      </c>
      <c r="AG549" s="86">
        <v>1.0</v>
      </c>
    </row>
    <row r="550" ht="38.25" customHeight="1">
      <c r="A550" s="86">
        <v>1444.0</v>
      </c>
      <c r="B550" s="86" t="s">
        <v>1605</v>
      </c>
      <c r="C550" s="86">
        <v>12.0</v>
      </c>
      <c r="D550" s="86" t="s">
        <v>3236</v>
      </c>
      <c r="E550" s="86">
        <v>150.0</v>
      </c>
      <c r="G550" s="96" t="s">
        <v>3237</v>
      </c>
      <c r="I550" s="86">
        <v>56720.0</v>
      </c>
      <c r="J550" s="95" t="s">
        <v>3145</v>
      </c>
      <c r="K550" s="86" t="s">
        <v>647</v>
      </c>
      <c r="L550" s="86">
        <v>9008.0</v>
      </c>
      <c r="M550" s="86" t="s">
        <v>3238</v>
      </c>
      <c r="O550" s="86">
        <v>0.9</v>
      </c>
      <c r="P550" s="95" t="s">
        <v>3146</v>
      </c>
      <c r="Q550" s="86" t="s">
        <v>658</v>
      </c>
      <c r="R550" s="86">
        <v>9012.0</v>
      </c>
      <c r="S550" s="86" t="s">
        <v>3239</v>
      </c>
      <c r="U550" s="86">
        <v>0.9</v>
      </c>
      <c r="V550" s="86">
        <v>70001.0</v>
      </c>
      <c r="W550" s="86">
        <v>3.0</v>
      </c>
      <c r="X550" s="86">
        <v>1.0</v>
      </c>
      <c r="Y550" s="86">
        <v>70002.0</v>
      </c>
      <c r="Z550" s="86">
        <v>3.0</v>
      </c>
      <c r="AA550" s="86">
        <v>1.0</v>
      </c>
      <c r="AB550" s="86">
        <v>1001.0</v>
      </c>
      <c r="AC550" s="86">
        <v>100.0</v>
      </c>
      <c r="AD550" s="86">
        <v>1.0</v>
      </c>
      <c r="AE550" s="86">
        <v>8000.0</v>
      </c>
      <c r="AF550" s="86">
        <v>9100.0</v>
      </c>
      <c r="AG550" s="86">
        <v>1.0</v>
      </c>
    </row>
    <row r="551" ht="38.25" customHeight="1">
      <c r="A551" s="86">
        <v>1445.0</v>
      </c>
      <c r="B551" s="86" t="s">
        <v>1605</v>
      </c>
      <c r="C551" s="86">
        <v>12.0</v>
      </c>
      <c r="D551" s="86" t="s">
        <v>3240</v>
      </c>
      <c r="E551" s="86">
        <v>150.0</v>
      </c>
      <c r="G551" s="96" t="s">
        <v>3241</v>
      </c>
      <c r="I551" s="86">
        <v>56845.0</v>
      </c>
      <c r="J551" s="95" t="s">
        <v>3145</v>
      </c>
      <c r="K551" s="86" t="s">
        <v>647</v>
      </c>
      <c r="L551" s="86">
        <v>9001.0</v>
      </c>
      <c r="M551" s="86" t="s">
        <v>3159</v>
      </c>
      <c r="O551" s="86">
        <v>0.1</v>
      </c>
      <c r="P551" s="95" t="s">
        <v>3146</v>
      </c>
      <c r="Q551" s="86" t="s">
        <v>658</v>
      </c>
      <c r="R551" s="86">
        <v>9007.0</v>
      </c>
      <c r="S551" s="86">
        <v>3.0</v>
      </c>
      <c r="U551" s="86">
        <v>0.5</v>
      </c>
      <c r="V551" s="86">
        <v>70001.0</v>
      </c>
      <c r="W551" s="86">
        <v>3.0</v>
      </c>
      <c r="X551" s="86">
        <v>1.0</v>
      </c>
      <c r="Y551" s="86">
        <v>70002.0</v>
      </c>
      <c r="Z551" s="86">
        <v>3.0</v>
      </c>
      <c r="AA551" s="86">
        <v>1.0</v>
      </c>
      <c r="AB551" s="86">
        <v>1001.0</v>
      </c>
      <c r="AC551" s="86">
        <v>100.0</v>
      </c>
      <c r="AD551" s="86">
        <v>1.0</v>
      </c>
      <c r="AE551" s="86">
        <v>8000.0</v>
      </c>
      <c r="AF551" s="86">
        <v>9100.0</v>
      </c>
      <c r="AG551" s="86">
        <v>1.0</v>
      </c>
    </row>
    <row r="552" ht="38.25" customHeight="1">
      <c r="A552" s="86">
        <v>1446.0</v>
      </c>
      <c r="B552" s="86" t="s">
        <v>1605</v>
      </c>
      <c r="C552" s="86">
        <v>12.0</v>
      </c>
      <c r="D552" s="86" t="s">
        <v>3242</v>
      </c>
      <c r="E552" s="86">
        <v>150.0</v>
      </c>
      <c r="G552" s="96" t="s">
        <v>3243</v>
      </c>
      <c r="I552" s="86">
        <v>56970.0</v>
      </c>
      <c r="J552" s="95" t="s">
        <v>3145</v>
      </c>
      <c r="K552" s="86" t="s">
        <v>647</v>
      </c>
      <c r="L552" s="86">
        <v>9008.0</v>
      </c>
      <c r="M552" s="86" t="s">
        <v>1220</v>
      </c>
      <c r="O552" s="86">
        <v>0.5</v>
      </c>
      <c r="P552" s="95" t="s">
        <v>3146</v>
      </c>
      <c r="Q552" s="86" t="s">
        <v>658</v>
      </c>
      <c r="R552" s="86">
        <v>9011.0</v>
      </c>
      <c r="S552" s="86" t="s">
        <v>1425</v>
      </c>
      <c r="U552" s="86">
        <v>0.2</v>
      </c>
      <c r="V552" s="86">
        <v>70001.0</v>
      </c>
      <c r="W552" s="86">
        <v>3.0</v>
      </c>
      <c r="X552" s="86">
        <v>1.0</v>
      </c>
      <c r="Y552" s="86">
        <v>70002.0</v>
      </c>
      <c r="Z552" s="86">
        <v>3.0</v>
      </c>
      <c r="AA552" s="86">
        <v>1.0</v>
      </c>
      <c r="AB552" s="86">
        <v>1001.0</v>
      </c>
      <c r="AC552" s="86">
        <v>100.0</v>
      </c>
      <c r="AD552" s="86">
        <v>1.0</v>
      </c>
      <c r="AE552" s="86">
        <v>8000.0</v>
      </c>
      <c r="AF552" s="86">
        <v>9150.0</v>
      </c>
      <c r="AG552" s="86">
        <v>1.0</v>
      </c>
    </row>
    <row r="553" ht="38.25" customHeight="1">
      <c r="A553" s="86">
        <v>1447.0</v>
      </c>
      <c r="B553" s="86" t="s">
        <v>1605</v>
      </c>
      <c r="C553" s="86">
        <v>12.0</v>
      </c>
      <c r="D553" s="86" t="s">
        <v>3244</v>
      </c>
      <c r="E553" s="86">
        <v>150.0</v>
      </c>
      <c r="G553" s="96" t="s">
        <v>3245</v>
      </c>
      <c r="I553" s="86">
        <v>57095.0</v>
      </c>
      <c r="J553" s="95" t="s">
        <v>3145</v>
      </c>
      <c r="K553" s="86" t="s">
        <v>647</v>
      </c>
      <c r="L553" s="86">
        <v>9011.0</v>
      </c>
      <c r="M553" s="86">
        <v>13.0</v>
      </c>
      <c r="O553" s="86">
        <v>0.8</v>
      </c>
      <c r="P553" s="95" t="s">
        <v>3146</v>
      </c>
      <c r="Q553" s="86" t="s">
        <v>658</v>
      </c>
      <c r="R553" s="86">
        <v>9004.0</v>
      </c>
      <c r="S553" s="86" t="s">
        <v>1440</v>
      </c>
      <c r="U553" s="86">
        <v>0.2</v>
      </c>
      <c r="V553" s="86">
        <v>70001.0</v>
      </c>
      <c r="W553" s="86">
        <v>3.0</v>
      </c>
      <c r="X553" s="86">
        <v>1.0</v>
      </c>
      <c r="Y553" s="86">
        <v>70002.0</v>
      </c>
      <c r="Z553" s="86">
        <v>3.0</v>
      </c>
      <c r="AA553" s="86">
        <v>1.0</v>
      </c>
      <c r="AB553" s="86">
        <v>1001.0</v>
      </c>
      <c r="AC553" s="86">
        <v>100.0</v>
      </c>
      <c r="AD553" s="86">
        <v>1.0</v>
      </c>
      <c r="AE553" s="86">
        <v>8000.0</v>
      </c>
      <c r="AF553" s="86">
        <v>9150.0</v>
      </c>
      <c r="AG553" s="86">
        <v>1.0</v>
      </c>
    </row>
    <row r="554" ht="38.25" customHeight="1">
      <c r="A554" s="86">
        <v>1448.0</v>
      </c>
      <c r="B554" s="86" t="s">
        <v>1605</v>
      </c>
      <c r="C554" s="86">
        <v>12.0</v>
      </c>
      <c r="D554" s="86" t="s">
        <v>3246</v>
      </c>
      <c r="E554" s="86">
        <v>150.0</v>
      </c>
      <c r="G554" s="96" t="s">
        <v>3247</v>
      </c>
      <c r="I554" s="86">
        <v>57220.0</v>
      </c>
      <c r="J554" s="95" t="s">
        <v>3145</v>
      </c>
      <c r="K554" s="86" t="s">
        <v>647</v>
      </c>
      <c r="L554" s="86">
        <v>9011.0</v>
      </c>
      <c r="M554" s="86" t="s">
        <v>2042</v>
      </c>
      <c r="O554" s="86">
        <v>0.4</v>
      </c>
      <c r="P554" s="95" t="s">
        <v>3146</v>
      </c>
      <c r="Q554" s="86" t="s">
        <v>658</v>
      </c>
      <c r="R554" s="86">
        <v>9004.0</v>
      </c>
      <c r="S554" s="86" t="s">
        <v>2382</v>
      </c>
      <c r="U554" s="86">
        <v>0.9</v>
      </c>
      <c r="V554" s="86">
        <v>70001.0</v>
      </c>
      <c r="W554" s="86">
        <v>3.0</v>
      </c>
      <c r="X554" s="86">
        <v>1.0</v>
      </c>
      <c r="Y554" s="86">
        <v>70002.0</v>
      </c>
      <c r="Z554" s="86">
        <v>3.0</v>
      </c>
      <c r="AA554" s="86">
        <v>1.0</v>
      </c>
      <c r="AB554" s="86">
        <v>1001.0</v>
      </c>
      <c r="AC554" s="86">
        <v>100.0</v>
      </c>
      <c r="AD554" s="86">
        <v>1.0</v>
      </c>
      <c r="AE554" s="86">
        <v>8000.0</v>
      </c>
      <c r="AF554" s="86">
        <v>9200.0</v>
      </c>
      <c r="AG554" s="86">
        <v>1.0</v>
      </c>
    </row>
    <row r="555" ht="38.25" customHeight="1">
      <c r="A555" s="86">
        <v>1449.0</v>
      </c>
      <c r="B555" s="86" t="s">
        <v>1605</v>
      </c>
      <c r="C555" s="86">
        <v>12.0</v>
      </c>
      <c r="D555" s="86" t="s">
        <v>3248</v>
      </c>
      <c r="E555" s="86">
        <v>150.0</v>
      </c>
      <c r="G555" s="96" t="s">
        <v>3249</v>
      </c>
      <c r="I555" s="86">
        <v>57345.0</v>
      </c>
      <c r="J555" s="95" t="s">
        <v>3145</v>
      </c>
      <c r="K555" s="86" t="s">
        <v>647</v>
      </c>
      <c r="L555" s="86">
        <v>9006.0</v>
      </c>
      <c r="M555" s="86">
        <v>1.0</v>
      </c>
      <c r="O555" s="86">
        <v>0.2</v>
      </c>
      <c r="P555" s="95" t="s">
        <v>3146</v>
      </c>
      <c r="Q555" s="86" t="s">
        <v>658</v>
      </c>
      <c r="R555" s="86">
        <v>9007.0</v>
      </c>
      <c r="S555" s="86" t="s">
        <v>1329</v>
      </c>
      <c r="U555" s="86">
        <v>0.4</v>
      </c>
      <c r="V555" s="86">
        <v>70001.0</v>
      </c>
      <c r="W555" s="86">
        <v>3.0</v>
      </c>
      <c r="X555" s="86">
        <v>1.0</v>
      </c>
      <c r="Y555" s="86">
        <v>70002.0</v>
      </c>
      <c r="Z555" s="86">
        <v>3.0</v>
      </c>
      <c r="AA555" s="86">
        <v>1.0</v>
      </c>
      <c r="AB555" s="86">
        <v>1001.0</v>
      </c>
      <c r="AC555" s="86">
        <v>500.0</v>
      </c>
      <c r="AD555" s="86">
        <v>1.0</v>
      </c>
      <c r="AE555" s="86">
        <v>8000.0</v>
      </c>
      <c r="AF555" s="86">
        <v>9200.0</v>
      </c>
      <c r="AG555" s="86">
        <v>1.0</v>
      </c>
    </row>
    <row r="556" ht="38.25" customHeight="1">
      <c r="A556" s="86">
        <v>1450.0</v>
      </c>
      <c r="B556" s="86" t="s">
        <v>1605</v>
      </c>
      <c r="C556" s="86">
        <v>13.0</v>
      </c>
      <c r="D556" s="86" t="s">
        <v>3250</v>
      </c>
      <c r="E556" s="86">
        <v>150.0</v>
      </c>
      <c r="G556" s="96" t="s">
        <v>3251</v>
      </c>
      <c r="I556" s="86">
        <v>57470.0</v>
      </c>
      <c r="J556" s="95" t="s">
        <v>3252</v>
      </c>
      <c r="K556" s="86" t="s">
        <v>647</v>
      </c>
      <c r="L556" s="86">
        <v>9005.0</v>
      </c>
      <c r="M556" s="86" t="s">
        <v>3126</v>
      </c>
      <c r="O556" s="86">
        <v>0.1</v>
      </c>
      <c r="P556" s="95" t="s">
        <v>3253</v>
      </c>
      <c r="Q556" s="86" t="s">
        <v>658</v>
      </c>
      <c r="R556" s="86">
        <v>9010.0</v>
      </c>
      <c r="S556" s="86" t="s">
        <v>1271</v>
      </c>
      <c r="U556" s="86">
        <v>0.4</v>
      </c>
      <c r="V556" s="86">
        <v>70001.0</v>
      </c>
      <c r="W556" s="86">
        <v>3.0</v>
      </c>
      <c r="X556" s="86">
        <v>1.0</v>
      </c>
      <c r="Y556" s="86">
        <v>70002.0</v>
      </c>
      <c r="Z556" s="86">
        <v>3.0</v>
      </c>
      <c r="AA556" s="86">
        <v>1.0</v>
      </c>
      <c r="AB556" s="86">
        <v>1001.0</v>
      </c>
      <c r="AC556" s="86">
        <v>100.0</v>
      </c>
      <c r="AD556" s="86">
        <v>1.0</v>
      </c>
      <c r="AE556" s="86">
        <v>8000.0</v>
      </c>
      <c r="AF556" s="86">
        <v>9250.0</v>
      </c>
      <c r="AG556" s="86">
        <v>1.0</v>
      </c>
    </row>
    <row r="557" ht="38.25" customHeight="1">
      <c r="A557" s="86">
        <v>1451.0</v>
      </c>
      <c r="B557" s="86" t="s">
        <v>1605</v>
      </c>
      <c r="C557" s="86">
        <v>13.0</v>
      </c>
      <c r="D557" s="86" t="s">
        <v>3254</v>
      </c>
      <c r="E557" s="86">
        <v>150.0</v>
      </c>
      <c r="G557" s="96" t="s">
        <v>3255</v>
      </c>
      <c r="I557" s="86">
        <v>57595.0</v>
      </c>
      <c r="J557" s="95" t="s">
        <v>3252</v>
      </c>
      <c r="K557" s="86" t="s">
        <v>647</v>
      </c>
      <c r="L557" s="86">
        <v>9008.0</v>
      </c>
      <c r="M557" s="86">
        <v>5.0</v>
      </c>
      <c r="O557" s="86">
        <v>0.2</v>
      </c>
      <c r="P557" s="95" t="s">
        <v>3253</v>
      </c>
      <c r="Q557" s="86" t="s">
        <v>658</v>
      </c>
      <c r="R557" s="86">
        <v>9003.0</v>
      </c>
      <c r="S557" s="86" t="s">
        <v>1875</v>
      </c>
      <c r="U557" s="86">
        <v>1.0</v>
      </c>
      <c r="V557" s="86">
        <v>70001.0</v>
      </c>
      <c r="W557" s="86">
        <v>3.0</v>
      </c>
      <c r="X557" s="86">
        <v>1.0</v>
      </c>
      <c r="Y557" s="86">
        <v>70002.0</v>
      </c>
      <c r="Z557" s="86">
        <v>3.0</v>
      </c>
      <c r="AA557" s="86">
        <v>1.0</v>
      </c>
      <c r="AB557" s="86">
        <v>1001.0</v>
      </c>
      <c r="AC557" s="86">
        <v>100.0</v>
      </c>
      <c r="AD557" s="86">
        <v>1.0</v>
      </c>
      <c r="AE557" s="86">
        <v>8000.0</v>
      </c>
      <c r="AF557" s="86">
        <v>9250.0</v>
      </c>
      <c r="AG557" s="86">
        <v>1.0</v>
      </c>
    </row>
    <row r="558" ht="38.25" customHeight="1">
      <c r="A558" s="86">
        <v>1452.0</v>
      </c>
      <c r="B558" s="86" t="s">
        <v>1605</v>
      </c>
      <c r="C558" s="86">
        <v>13.0</v>
      </c>
      <c r="D558" s="86" t="s">
        <v>3256</v>
      </c>
      <c r="E558" s="86">
        <v>150.0</v>
      </c>
      <c r="G558" s="96" t="s">
        <v>3257</v>
      </c>
      <c r="I558" s="86">
        <v>57720.0</v>
      </c>
      <c r="J558" s="95" t="s">
        <v>3252</v>
      </c>
      <c r="K558" s="86" t="s">
        <v>647</v>
      </c>
      <c r="L558" s="86">
        <v>9002.0</v>
      </c>
      <c r="M558" s="86">
        <v>7.0</v>
      </c>
      <c r="O558" s="86">
        <v>0.2</v>
      </c>
      <c r="P558" s="95" t="s">
        <v>3253</v>
      </c>
      <c r="Q558" s="86" t="s">
        <v>658</v>
      </c>
      <c r="R558" s="86">
        <v>9011.0</v>
      </c>
      <c r="S558" s="86">
        <v>7.0</v>
      </c>
      <c r="U558" s="86">
        <v>0.4</v>
      </c>
      <c r="V558" s="86">
        <v>70001.0</v>
      </c>
      <c r="W558" s="86">
        <v>3.0</v>
      </c>
      <c r="X558" s="86">
        <v>1.0</v>
      </c>
      <c r="Y558" s="86">
        <v>70002.0</v>
      </c>
      <c r="Z558" s="86">
        <v>3.0</v>
      </c>
      <c r="AA558" s="86">
        <v>1.0</v>
      </c>
      <c r="AB558" s="86">
        <v>1001.0</v>
      </c>
      <c r="AC558" s="86">
        <v>100.0</v>
      </c>
      <c r="AD558" s="86">
        <v>1.0</v>
      </c>
      <c r="AE558" s="86">
        <v>8000.0</v>
      </c>
      <c r="AF558" s="86">
        <v>9300.0</v>
      </c>
      <c r="AG558" s="86">
        <v>1.0</v>
      </c>
    </row>
    <row r="559" ht="38.25" customHeight="1">
      <c r="A559" s="86">
        <v>1453.0</v>
      </c>
      <c r="B559" s="86" t="s">
        <v>1605</v>
      </c>
      <c r="C559" s="86">
        <v>13.0</v>
      </c>
      <c r="D559" s="86" t="s">
        <v>3258</v>
      </c>
      <c r="E559" s="86">
        <v>150.0</v>
      </c>
      <c r="G559" s="96" t="s">
        <v>3259</v>
      </c>
      <c r="I559" s="86">
        <v>57845.0</v>
      </c>
      <c r="J559" s="95" t="s">
        <v>3252</v>
      </c>
      <c r="K559" s="86" t="s">
        <v>647</v>
      </c>
      <c r="L559" s="86">
        <v>9002.0</v>
      </c>
      <c r="M559" s="86" t="s">
        <v>1829</v>
      </c>
      <c r="O559" s="86">
        <v>0.3</v>
      </c>
      <c r="P559" s="95" t="s">
        <v>3253</v>
      </c>
      <c r="Q559" s="86" t="s">
        <v>658</v>
      </c>
      <c r="R559" s="86">
        <v>9012.0</v>
      </c>
      <c r="S559" s="86" t="s">
        <v>1091</v>
      </c>
      <c r="U559" s="86">
        <v>0.1</v>
      </c>
      <c r="V559" s="86">
        <v>70001.0</v>
      </c>
      <c r="W559" s="86">
        <v>3.0</v>
      </c>
      <c r="X559" s="86">
        <v>1.0</v>
      </c>
      <c r="Y559" s="86">
        <v>70002.0</v>
      </c>
      <c r="Z559" s="86">
        <v>3.0</v>
      </c>
      <c r="AA559" s="86">
        <v>1.0</v>
      </c>
      <c r="AB559" s="86">
        <v>1001.0</v>
      </c>
      <c r="AC559" s="86">
        <v>100.0</v>
      </c>
      <c r="AD559" s="86">
        <v>1.0</v>
      </c>
      <c r="AE559" s="86">
        <v>8000.0</v>
      </c>
      <c r="AF559" s="86">
        <v>9350.0</v>
      </c>
      <c r="AG559" s="86">
        <v>1.0</v>
      </c>
    </row>
    <row r="560" ht="38.25" customHeight="1">
      <c r="A560" s="86">
        <v>1454.0</v>
      </c>
      <c r="B560" s="86" t="s">
        <v>1605</v>
      </c>
      <c r="C560" s="86">
        <v>13.0</v>
      </c>
      <c r="D560" s="86" t="s">
        <v>3260</v>
      </c>
      <c r="E560" s="86">
        <v>150.0</v>
      </c>
      <c r="G560" s="96" t="s">
        <v>3261</v>
      </c>
      <c r="I560" s="86">
        <v>57970.0</v>
      </c>
      <c r="J560" s="95" t="s">
        <v>3252</v>
      </c>
      <c r="K560" s="86" t="s">
        <v>647</v>
      </c>
      <c r="L560" s="86">
        <v>9008.0</v>
      </c>
      <c r="M560" s="86" t="s">
        <v>1185</v>
      </c>
      <c r="O560" s="86">
        <v>0.5</v>
      </c>
      <c r="P560" s="95" t="s">
        <v>3253</v>
      </c>
      <c r="Q560" s="86" t="s">
        <v>658</v>
      </c>
      <c r="R560" s="86">
        <v>9008.0</v>
      </c>
      <c r="S560" s="86" t="s">
        <v>1913</v>
      </c>
      <c r="U560" s="86">
        <v>0.8</v>
      </c>
      <c r="V560" s="86">
        <v>70001.0</v>
      </c>
      <c r="W560" s="86">
        <v>3.0</v>
      </c>
      <c r="X560" s="86">
        <v>1.0</v>
      </c>
      <c r="Y560" s="86">
        <v>70002.0</v>
      </c>
      <c r="Z560" s="86">
        <v>3.0</v>
      </c>
      <c r="AA560" s="86">
        <v>1.0</v>
      </c>
      <c r="AB560" s="86">
        <v>1001.0</v>
      </c>
      <c r="AC560" s="86">
        <v>100.0</v>
      </c>
      <c r="AD560" s="86">
        <v>1.0</v>
      </c>
      <c r="AE560" s="86">
        <v>8000.0</v>
      </c>
      <c r="AF560" s="86">
        <v>9350.0</v>
      </c>
      <c r="AG560" s="86">
        <v>1.0</v>
      </c>
    </row>
    <row r="561" ht="38.25" customHeight="1">
      <c r="A561" s="86">
        <v>1455.0</v>
      </c>
      <c r="B561" s="86" t="s">
        <v>1605</v>
      </c>
      <c r="C561" s="86">
        <v>13.0</v>
      </c>
      <c r="D561" s="86" t="s">
        <v>3262</v>
      </c>
      <c r="E561" s="86">
        <v>150.0</v>
      </c>
      <c r="G561" s="96" t="s">
        <v>3263</v>
      </c>
      <c r="I561" s="86">
        <v>58095.0</v>
      </c>
      <c r="J561" s="95" t="s">
        <v>3252</v>
      </c>
      <c r="K561" s="86" t="s">
        <v>647</v>
      </c>
      <c r="L561" s="86">
        <v>9007.0</v>
      </c>
      <c r="M561" s="86" t="s">
        <v>1287</v>
      </c>
      <c r="O561" s="86">
        <v>0.6</v>
      </c>
      <c r="P561" s="95" t="s">
        <v>3253</v>
      </c>
      <c r="Q561" s="86" t="s">
        <v>658</v>
      </c>
      <c r="R561" s="86">
        <v>9004.0</v>
      </c>
      <c r="S561" s="86" t="s">
        <v>2012</v>
      </c>
      <c r="U561" s="86">
        <v>0.5</v>
      </c>
      <c r="V561" s="86">
        <v>70001.0</v>
      </c>
      <c r="W561" s="86">
        <v>3.0</v>
      </c>
      <c r="X561" s="86">
        <v>1.0</v>
      </c>
      <c r="Y561" s="86">
        <v>70002.0</v>
      </c>
      <c r="Z561" s="86">
        <v>3.0</v>
      </c>
      <c r="AA561" s="86">
        <v>1.0</v>
      </c>
      <c r="AB561" s="86">
        <v>1001.0</v>
      </c>
      <c r="AC561" s="86">
        <v>100.0</v>
      </c>
      <c r="AD561" s="86">
        <v>1.0</v>
      </c>
      <c r="AE561" s="86">
        <v>8000.0</v>
      </c>
      <c r="AF561" s="86">
        <v>9400.0</v>
      </c>
      <c r="AG561" s="86">
        <v>1.0</v>
      </c>
    </row>
    <row r="562" ht="38.25" customHeight="1">
      <c r="A562" s="86">
        <v>1456.0</v>
      </c>
      <c r="B562" s="86" t="s">
        <v>1605</v>
      </c>
      <c r="C562" s="86">
        <v>13.0</v>
      </c>
      <c r="D562" s="86" t="s">
        <v>3264</v>
      </c>
      <c r="E562" s="86">
        <v>150.0</v>
      </c>
      <c r="G562" s="96" t="s">
        <v>3265</v>
      </c>
      <c r="I562" s="86">
        <v>58220.0</v>
      </c>
      <c r="J562" s="95" t="s">
        <v>3252</v>
      </c>
      <c r="K562" s="86" t="s">
        <v>647</v>
      </c>
      <c r="L562" s="86">
        <v>9005.0</v>
      </c>
      <c r="M562" s="86" t="s">
        <v>1673</v>
      </c>
      <c r="O562" s="86">
        <v>0.3</v>
      </c>
      <c r="P562" s="95" t="s">
        <v>3253</v>
      </c>
      <c r="Q562" s="86" t="s">
        <v>658</v>
      </c>
      <c r="R562" s="86">
        <v>9010.0</v>
      </c>
      <c r="S562" s="86" t="s">
        <v>1477</v>
      </c>
      <c r="U562" s="86">
        <v>0.7</v>
      </c>
      <c r="V562" s="86">
        <v>70001.0</v>
      </c>
      <c r="W562" s="86">
        <v>3.0</v>
      </c>
      <c r="X562" s="86">
        <v>1.0</v>
      </c>
      <c r="Y562" s="86">
        <v>70002.0</v>
      </c>
      <c r="Z562" s="86">
        <v>3.0</v>
      </c>
      <c r="AA562" s="86">
        <v>1.0</v>
      </c>
      <c r="AB562" s="86">
        <v>1001.0</v>
      </c>
      <c r="AC562" s="86">
        <v>100.0</v>
      </c>
      <c r="AD562" s="86">
        <v>1.0</v>
      </c>
      <c r="AE562" s="86">
        <v>8000.0</v>
      </c>
      <c r="AF562" s="86">
        <v>9400.0</v>
      </c>
      <c r="AG562" s="86">
        <v>1.0</v>
      </c>
    </row>
    <row r="563" ht="38.25" customHeight="1">
      <c r="A563" s="86">
        <v>1457.0</v>
      </c>
      <c r="B563" s="86" t="s">
        <v>1605</v>
      </c>
      <c r="C563" s="86">
        <v>13.0</v>
      </c>
      <c r="D563" s="86" t="s">
        <v>3266</v>
      </c>
      <c r="E563" s="86">
        <v>150.0</v>
      </c>
      <c r="G563" s="96" t="s">
        <v>3267</v>
      </c>
      <c r="I563" s="86">
        <v>58345.0</v>
      </c>
      <c r="J563" s="95" t="s">
        <v>3252</v>
      </c>
      <c r="K563" s="86" t="s">
        <v>647</v>
      </c>
      <c r="L563" s="86">
        <v>9007.0</v>
      </c>
      <c r="M563" s="86">
        <v>11.0</v>
      </c>
      <c r="O563" s="86">
        <v>0.5</v>
      </c>
      <c r="P563" s="95" t="s">
        <v>3253</v>
      </c>
      <c r="Q563" s="86" t="s">
        <v>658</v>
      </c>
      <c r="R563" s="86">
        <v>9011.0</v>
      </c>
      <c r="S563" s="86" t="s">
        <v>2021</v>
      </c>
      <c r="U563" s="86">
        <v>0.4</v>
      </c>
      <c r="V563" s="86">
        <v>70001.0</v>
      </c>
      <c r="W563" s="86">
        <v>3.0</v>
      </c>
      <c r="X563" s="86">
        <v>1.0</v>
      </c>
      <c r="Y563" s="86">
        <v>70002.0</v>
      </c>
      <c r="Z563" s="86">
        <v>3.0</v>
      </c>
      <c r="AA563" s="86">
        <v>1.0</v>
      </c>
      <c r="AB563" s="86">
        <v>1001.0</v>
      </c>
      <c r="AC563" s="86">
        <v>100.0</v>
      </c>
      <c r="AD563" s="86">
        <v>1.0</v>
      </c>
      <c r="AE563" s="86">
        <v>8000.0</v>
      </c>
      <c r="AF563" s="86">
        <v>9450.0</v>
      </c>
      <c r="AG563" s="86">
        <v>1.0</v>
      </c>
    </row>
    <row r="564" ht="38.25" customHeight="1">
      <c r="A564" s="86">
        <v>1458.0</v>
      </c>
      <c r="B564" s="86" t="s">
        <v>1605</v>
      </c>
      <c r="C564" s="86">
        <v>13.0</v>
      </c>
      <c r="D564" s="86" t="s">
        <v>3268</v>
      </c>
      <c r="E564" s="86">
        <v>150.0</v>
      </c>
      <c r="G564" s="96" t="s">
        <v>3265</v>
      </c>
      <c r="I564" s="86">
        <v>58470.0</v>
      </c>
      <c r="J564" s="95" t="s">
        <v>3252</v>
      </c>
      <c r="K564" s="86" t="s">
        <v>647</v>
      </c>
      <c r="L564" s="86">
        <v>9002.0</v>
      </c>
      <c r="M564" s="86" t="s">
        <v>1554</v>
      </c>
      <c r="O564" s="86">
        <v>0.3</v>
      </c>
      <c r="P564" s="95" t="s">
        <v>3253</v>
      </c>
      <c r="Q564" s="86" t="s">
        <v>658</v>
      </c>
      <c r="R564" s="86">
        <v>9011.0</v>
      </c>
      <c r="S564" s="86">
        <v>2.0</v>
      </c>
      <c r="U564" s="86">
        <v>0.5</v>
      </c>
      <c r="V564" s="86">
        <v>70001.0</v>
      </c>
      <c r="W564" s="86">
        <v>3.0</v>
      </c>
      <c r="X564" s="86">
        <v>1.0</v>
      </c>
      <c r="Y564" s="86">
        <v>70002.0</v>
      </c>
      <c r="Z564" s="86">
        <v>3.0</v>
      </c>
      <c r="AA564" s="86">
        <v>1.0</v>
      </c>
      <c r="AB564" s="86">
        <v>1001.0</v>
      </c>
      <c r="AC564" s="86">
        <v>100.0</v>
      </c>
      <c r="AD564" s="86">
        <v>1.0</v>
      </c>
      <c r="AE564" s="86">
        <v>8000.0</v>
      </c>
      <c r="AF564" s="86">
        <v>9450.0</v>
      </c>
      <c r="AG564" s="86">
        <v>1.0</v>
      </c>
    </row>
    <row r="565" ht="38.25" customHeight="1">
      <c r="A565" s="86">
        <v>1459.0</v>
      </c>
      <c r="B565" s="86" t="s">
        <v>1605</v>
      </c>
      <c r="C565" s="86">
        <v>13.0</v>
      </c>
      <c r="D565" s="86" t="s">
        <v>3269</v>
      </c>
      <c r="E565" s="86">
        <v>150.0</v>
      </c>
      <c r="G565" s="96" t="s">
        <v>3270</v>
      </c>
      <c r="I565" s="86">
        <v>58595.0</v>
      </c>
      <c r="J565" s="95" t="s">
        <v>3252</v>
      </c>
      <c r="K565" s="86" t="s">
        <v>647</v>
      </c>
      <c r="L565" s="86">
        <v>9001.0</v>
      </c>
      <c r="M565" s="86" t="s">
        <v>1798</v>
      </c>
      <c r="O565" s="86">
        <v>0.1</v>
      </c>
      <c r="P565" s="95" t="s">
        <v>3253</v>
      </c>
      <c r="Q565" s="86" t="s">
        <v>658</v>
      </c>
      <c r="R565" s="86">
        <v>9004.0</v>
      </c>
      <c r="S565" s="86">
        <v>3.0</v>
      </c>
      <c r="U565" s="86">
        <v>0.5</v>
      </c>
      <c r="V565" s="86">
        <v>70001.0</v>
      </c>
      <c r="W565" s="86">
        <v>3.0</v>
      </c>
      <c r="X565" s="86">
        <v>1.0</v>
      </c>
      <c r="Y565" s="86">
        <v>70002.0</v>
      </c>
      <c r="Z565" s="86">
        <v>3.0</v>
      </c>
      <c r="AA565" s="86">
        <v>1.0</v>
      </c>
      <c r="AB565" s="86">
        <v>1001.0</v>
      </c>
      <c r="AC565" s="86">
        <v>100.0</v>
      </c>
      <c r="AD565" s="86">
        <v>1.0</v>
      </c>
      <c r="AE565" s="86">
        <v>8000.0</v>
      </c>
      <c r="AF565" s="86">
        <v>9500.0</v>
      </c>
      <c r="AG565" s="86">
        <v>1.0</v>
      </c>
    </row>
    <row r="566" ht="38.25" customHeight="1">
      <c r="A566" s="86">
        <v>1460.0</v>
      </c>
      <c r="B566" s="86" t="s">
        <v>1605</v>
      </c>
      <c r="C566" s="86">
        <v>13.0</v>
      </c>
      <c r="D566" s="86" t="s">
        <v>3271</v>
      </c>
      <c r="E566" s="86">
        <v>150.0</v>
      </c>
      <c r="G566" s="96" t="s">
        <v>3272</v>
      </c>
      <c r="I566" s="86">
        <v>58720.0</v>
      </c>
      <c r="J566" s="95" t="s">
        <v>3252</v>
      </c>
      <c r="K566" s="86" t="s">
        <v>647</v>
      </c>
      <c r="L566" s="86">
        <v>9001.0</v>
      </c>
      <c r="M566" s="86" t="s">
        <v>1616</v>
      </c>
      <c r="O566" s="86">
        <v>0.7</v>
      </c>
      <c r="P566" s="95" t="s">
        <v>3253</v>
      </c>
      <c r="Q566" s="86" t="s">
        <v>658</v>
      </c>
      <c r="R566" s="86">
        <v>9011.0</v>
      </c>
      <c r="S566" s="86" t="s">
        <v>1287</v>
      </c>
      <c r="U566" s="86">
        <v>0.4</v>
      </c>
      <c r="V566" s="86">
        <v>70001.0</v>
      </c>
      <c r="W566" s="86">
        <v>3.0</v>
      </c>
      <c r="X566" s="86">
        <v>1.0</v>
      </c>
      <c r="Y566" s="86">
        <v>70002.0</v>
      </c>
      <c r="Z566" s="86">
        <v>3.0</v>
      </c>
      <c r="AA566" s="86">
        <v>1.0</v>
      </c>
      <c r="AB566" s="86">
        <v>1001.0</v>
      </c>
      <c r="AC566" s="86">
        <v>100.0</v>
      </c>
      <c r="AD566" s="86">
        <v>1.0</v>
      </c>
      <c r="AE566" s="86">
        <v>8000.0</v>
      </c>
      <c r="AF566" s="86">
        <v>9500.0</v>
      </c>
      <c r="AG566" s="86">
        <v>1.0</v>
      </c>
    </row>
    <row r="567" ht="38.25" customHeight="1">
      <c r="A567" s="86">
        <v>1461.0</v>
      </c>
      <c r="B567" s="86" t="s">
        <v>1605</v>
      </c>
      <c r="C567" s="86">
        <v>13.0</v>
      </c>
      <c r="D567" s="86" t="s">
        <v>3273</v>
      </c>
      <c r="E567" s="86">
        <v>150.0</v>
      </c>
      <c r="G567" s="96" t="s">
        <v>3274</v>
      </c>
      <c r="I567" s="86">
        <v>58845.0</v>
      </c>
      <c r="J567" s="95" t="s">
        <v>3252</v>
      </c>
      <c r="K567" s="86" t="s">
        <v>647</v>
      </c>
      <c r="L567" s="86">
        <v>9002.0</v>
      </c>
      <c r="M567" s="86" t="s">
        <v>2049</v>
      </c>
      <c r="O567" s="86">
        <v>0.7</v>
      </c>
      <c r="P567" s="95" t="s">
        <v>3253</v>
      </c>
      <c r="Q567" s="86" t="s">
        <v>658</v>
      </c>
      <c r="R567" s="86">
        <v>9011.0</v>
      </c>
      <c r="S567" s="86" t="s">
        <v>1742</v>
      </c>
      <c r="U567" s="86">
        <v>0.6</v>
      </c>
      <c r="V567" s="86">
        <v>70001.0</v>
      </c>
      <c r="W567" s="86">
        <v>3.0</v>
      </c>
      <c r="X567" s="86">
        <v>1.0</v>
      </c>
      <c r="Y567" s="86">
        <v>70002.0</v>
      </c>
      <c r="Z567" s="86">
        <v>3.0</v>
      </c>
      <c r="AA567" s="86">
        <v>1.0</v>
      </c>
      <c r="AB567" s="86">
        <v>1001.0</v>
      </c>
      <c r="AC567" s="86">
        <v>100.0</v>
      </c>
      <c r="AD567" s="86">
        <v>1.0</v>
      </c>
      <c r="AE567" s="86">
        <v>8000.0</v>
      </c>
      <c r="AF567" s="86">
        <v>9550.0</v>
      </c>
      <c r="AG567" s="86">
        <v>1.0</v>
      </c>
    </row>
    <row r="568" ht="38.25" customHeight="1">
      <c r="A568" s="86">
        <v>1462.0</v>
      </c>
      <c r="B568" s="86" t="s">
        <v>1605</v>
      </c>
      <c r="C568" s="86">
        <v>13.0</v>
      </c>
      <c r="D568" s="86" t="s">
        <v>3275</v>
      </c>
      <c r="E568" s="86">
        <v>150.0</v>
      </c>
      <c r="G568" s="96" t="s">
        <v>3276</v>
      </c>
      <c r="I568" s="86">
        <v>58970.0</v>
      </c>
      <c r="J568" s="95" t="s">
        <v>3252</v>
      </c>
      <c r="K568" s="86" t="s">
        <v>647</v>
      </c>
      <c r="L568" s="86">
        <v>9012.0</v>
      </c>
      <c r="M568" s="86">
        <v>8.0</v>
      </c>
      <c r="O568" s="86">
        <v>0.5</v>
      </c>
      <c r="P568" s="95" t="s">
        <v>3253</v>
      </c>
      <c r="Q568" s="86" t="s">
        <v>658</v>
      </c>
      <c r="R568" s="86">
        <v>9007.0</v>
      </c>
      <c r="S568" s="86">
        <v>1.0</v>
      </c>
      <c r="U568" s="86">
        <v>0.2</v>
      </c>
      <c r="V568" s="86">
        <v>70001.0</v>
      </c>
      <c r="W568" s="86">
        <v>3.0</v>
      </c>
      <c r="X568" s="86">
        <v>1.0</v>
      </c>
      <c r="Y568" s="86">
        <v>70002.0</v>
      </c>
      <c r="Z568" s="86">
        <v>3.0</v>
      </c>
      <c r="AA568" s="86">
        <v>1.0</v>
      </c>
      <c r="AB568" s="86">
        <v>1001.0</v>
      </c>
      <c r="AC568" s="86">
        <v>100.0</v>
      </c>
      <c r="AD568" s="86">
        <v>1.0</v>
      </c>
      <c r="AE568" s="86">
        <v>8000.0</v>
      </c>
      <c r="AF568" s="86">
        <v>9550.0</v>
      </c>
      <c r="AG568" s="86">
        <v>1.0</v>
      </c>
    </row>
    <row r="569" ht="38.25" customHeight="1">
      <c r="A569" s="86">
        <v>1463.0</v>
      </c>
      <c r="B569" s="86" t="s">
        <v>1605</v>
      </c>
      <c r="C569" s="86">
        <v>13.0</v>
      </c>
      <c r="D569" s="86" t="s">
        <v>3277</v>
      </c>
      <c r="E569" s="86">
        <v>150.0</v>
      </c>
      <c r="G569" s="96" t="s">
        <v>3278</v>
      </c>
      <c r="I569" s="86">
        <v>59095.0</v>
      </c>
      <c r="J569" s="95" t="s">
        <v>3252</v>
      </c>
      <c r="K569" s="86" t="s">
        <v>647</v>
      </c>
      <c r="L569" s="86">
        <v>9005.0</v>
      </c>
      <c r="M569" s="86" t="s">
        <v>1160</v>
      </c>
      <c r="O569" s="86">
        <v>1.0</v>
      </c>
      <c r="P569" s="95" t="s">
        <v>3253</v>
      </c>
      <c r="Q569" s="86" t="s">
        <v>658</v>
      </c>
      <c r="R569" s="86">
        <v>9003.0</v>
      </c>
      <c r="S569" s="86" t="s">
        <v>1311</v>
      </c>
      <c r="U569" s="86">
        <v>0.2</v>
      </c>
      <c r="V569" s="86">
        <v>70001.0</v>
      </c>
      <c r="W569" s="86">
        <v>3.0</v>
      </c>
      <c r="X569" s="86">
        <v>1.0</v>
      </c>
      <c r="Y569" s="86">
        <v>70002.0</v>
      </c>
      <c r="Z569" s="86">
        <v>3.0</v>
      </c>
      <c r="AA569" s="86">
        <v>1.0</v>
      </c>
      <c r="AB569" s="86">
        <v>1001.0</v>
      </c>
      <c r="AC569" s="86">
        <v>100.0</v>
      </c>
      <c r="AD569" s="86">
        <v>1.0</v>
      </c>
      <c r="AE569" s="86">
        <v>8000.0</v>
      </c>
      <c r="AF569" s="86">
        <v>9600.0</v>
      </c>
      <c r="AG569" s="86">
        <v>1.0</v>
      </c>
    </row>
    <row r="570" ht="38.25" customHeight="1">
      <c r="A570" s="86">
        <v>1464.0</v>
      </c>
      <c r="B570" s="86" t="s">
        <v>1605</v>
      </c>
      <c r="C570" s="86">
        <v>13.0</v>
      </c>
      <c r="D570" s="86" t="s">
        <v>3279</v>
      </c>
      <c r="E570" s="86">
        <v>150.0</v>
      </c>
      <c r="G570" s="96" t="s">
        <v>3280</v>
      </c>
      <c r="I570" s="86">
        <v>59220.0</v>
      </c>
      <c r="J570" s="95" t="s">
        <v>3252</v>
      </c>
      <c r="K570" s="86" t="s">
        <v>647</v>
      </c>
      <c r="L570" s="86">
        <v>9007.0</v>
      </c>
      <c r="M570" s="86" t="s">
        <v>3281</v>
      </c>
      <c r="O570" s="86">
        <v>0.6</v>
      </c>
      <c r="P570" s="95" t="s">
        <v>3253</v>
      </c>
      <c r="Q570" s="86" t="s">
        <v>658</v>
      </c>
      <c r="R570" s="86">
        <v>9011.0</v>
      </c>
      <c r="S570" s="86" t="s">
        <v>3282</v>
      </c>
      <c r="U570" s="86">
        <v>0.1</v>
      </c>
      <c r="V570" s="86">
        <v>70001.0</v>
      </c>
      <c r="W570" s="86">
        <v>3.0</v>
      </c>
      <c r="X570" s="86">
        <v>1.0</v>
      </c>
      <c r="Y570" s="86">
        <v>70002.0</v>
      </c>
      <c r="Z570" s="86">
        <v>3.0</v>
      </c>
      <c r="AA570" s="86">
        <v>1.0</v>
      </c>
      <c r="AB570" s="86">
        <v>1001.0</v>
      </c>
      <c r="AC570" s="86">
        <v>100.0</v>
      </c>
      <c r="AD570" s="86">
        <v>1.0</v>
      </c>
      <c r="AE570" s="86">
        <v>8000.0</v>
      </c>
      <c r="AF570" s="86">
        <v>9600.0</v>
      </c>
      <c r="AG570" s="86">
        <v>1.0</v>
      </c>
    </row>
    <row r="571" ht="38.25" customHeight="1">
      <c r="A571" s="86">
        <v>1465.0</v>
      </c>
      <c r="B571" s="86" t="s">
        <v>1605</v>
      </c>
      <c r="C571" s="86">
        <v>13.0</v>
      </c>
      <c r="D571" s="86" t="s">
        <v>3283</v>
      </c>
      <c r="E571" s="86">
        <v>150.0</v>
      </c>
      <c r="G571" s="96" t="s">
        <v>3284</v>
      </c>
      <c r="I571" s="86">
        <v>59345.0</v>
      </c>
      <c r="J571" s="95" t="s">
        <v>3252</v>
      </c>
      <c r="K571" s="86" t="s">
        <v>647</v>
      </c>
      <c r="L571" s="86">
        <v>9007.0</v>
      </c>
      <c r="M571" s="86" t="s">
        <v>1855</v>
      </c>
      <c r="O571" s="86">
        <v>0.4</v>
      </c>
      <c r="P571" s="95" t="s">
        <v>3253</v>
      </c>
      <c r="Q571" s="86" t="s">
        <v>658</v>
      </c>
      <c r="R571" s="86">
        <v>9008.0</v>
      </c>
      <c r="S571" s="86" t="s">
        <v>2146</v>
      </c>
      <c r="U571" s="86">
        <v>0.5</v>
      </c>
      <c r="V571" s="86">
        <v>70001.0</v>
      </c>
      <c r="W571" s="86">
        <v>3.0</v>
      </c>
      <c r="X571" s="86">
        <v>1.0</v>
      </c>
      <c r="Y571" s="86">
        <v>70002.0</v>
      </c>
      <c r="Z571" s="86">
        <v>3.0</v>
      </c>
      <c r="AA571" s="86">
        <v>1.0</v>
      </c>
      <c r="AB571" s="86">
        <v>1001.0</v>
      </c>
      <c r="AC571" s="86">
        <v>100.0</v>
      </c>
      <c r="AD571" s="86">
        <v>1.0</v>
      </c>
      <c r="AE571" s="86">
        <v>8000.0</v>
      </c>
      <c r="AF571" s="86">
        <v>9650.0</v>
      </c>
      <c r="AG571" s="86">
        <v>1.0</v>
      </c>
    </row>
    <row r="572" ht="38.25" customHeight="1">
      <c r="A572" s="86">
        <v>1466.0</v>
      </c>
      <c r="B572" s="86" t="s">
        <v>1605</v>
      </c>
      <c r="C572" s="86">
        <v>13.0</v>
      </c>
      <c r="D572" s="86" t="s">
        <v>3285</v>
      </c>
      <c r="E572" s="86">
        <v>150.0</v>
      </c>
      <c r="G572" s="96" t="s">
        <v>3286</v>
      </c>
      <c r="I572" s="86">
        <v>59470.0</v>
      </c>
      <c r="J572" s="95" t="s">
        <v>3252</v>
      </c>
      <c r="K572" s="86" t="s">
        <v>647</v>
      </c>
      <c r="L572" s="86">
        <v>9006.0</v>
      </c>
      <c r="M572" s="86">
        <v>8.0</v>
      </c>
      <c r="O572" s="86">
        <v>0.4</v>
      </c>
      <c r="P572" s="95" t="s">
        <v>3253</v>
      </c>
      <c r="Q572" s="86" t="s">
        <v>658</v>
      </c>
      <c r="R572" s="86">
        <v>9007.0</v>
      </c>
      <c r="S572" s="86" t="s">
        <v>1592</v>
      </c>
      <c r="U572" s="86">
        <v>0.3</v>
      </c>
      <c r="V572" s="86">
        <v>70001.0</v>
      </c>
      <c r="W572" s="86">
        <v>3.0</v>
      </c>
      <c r="X572" s="86">
        <v>1.0</v>
      </c>
      <c r="Y572" s="86">
        <v>70002.0</v>
      </c>
      <c r="Z572" s="86">
        <v>3.0</v>
      </c>
      <c r="AA572" s="86">
        <v>1.0</v>
      </c>
      <c r="AB572" s="86">
        <v>1001.0</v>
      </c>
      <c r="AC572" s="86">
        <v>100.0</v>
      </c>
      <c r="AD572" s="86">
        <v>1.0</v>
      </c>
      <c r="AE572" s="86">
        <v>8000.0</v>
      </c>
      <c r="AF572" s="86">
        <v>9700.0</v>
      </c>
      <c r="AG572" s="86">
        <v>1.0</v>
      </c>
    </row>
    <row r="573" ht="38.25" customHeight="1">
      <c r="A573" s="86">
        <v>1467.0</v>
      </c>
      <c r="B573" s="86" t="s">
        <v>1605</v>
      </c>
      <c r="C573" s="86">
        <v>13.0</v>
      </c>
      <c r="D573" s="86" t="s">
        <v>3287</v>
      </c>
      <c r="E573" s="86">
        <v>150.0</v>
      </c>
      <c r="G573" s="96" t="s">
        <v>3288</v>
      </c>
      <c r="I573" s="86">
        <v>59595.0</v>
      </c>
      <c r="J573" s="95" t="s">
        <v>3252</v>
      </c>
      <c r="K573" s="86" t="s">
        <v>647</v>
      </c>
      <c r="L573" s="86">
        <v>9001.0</v>
      </c>
      <c r="M573" s="86">
        <v>11.0</v>
      </c>
      <c r="O573" s="86">
        <v>0.9</v>
      </c>
      <c r="P573" s="95" t="s">
        <v>3253</v>
      </c>
      <c r="Q573" s="86" t="s">
        <v>658</v>
      </c>
      <c r="R573" s="86">
        <v>9003.0</v>
      </c>
      <c r="S573" s="86" t="s">
        <v>1455</v>
      </c>
      <c r="U573" s="86">
        <v>0.7</v>
      </c>
      <c r="V573" s="86">
        <v>70001.0</v>
      </c>
      <c r="W573" s="86">
        <v>3.0</v>
      </c>
      <c r="X573" s="86">
        <v>1.0</v>
      </c>
      <c r="Y573" s="86">
        <v>70002.0</v>
      </c>
      <c r="Z573" s="86">
        <v>3.0</v>
      </c>
      <c r="AA573" s="86">
        <v>1.0</v>
      </c>
      <c r="AB573" s="86">
        <v>1001.0</v>
      </c>
      <c r="AC573" s="86">
        <v>100.0</v>
      </c>
      <c r="AD573" s="86">
        <v>1.0</v>
      </c>
      <c r="AE573" s="86">
        <v>8000.0</v>
      </c>
      <c r="AF573" s="86">
        <v>9700.0</v>
      </c>
      <c r="AG573" s="86">
        <v>1.0</v>
      </c>
    </row>
    <row r="574" ht="38.25" customHeight="1">
      <c r="A574" s="86">
        <v>1468.0</v>
      </c>
      <c r="B574" s="86" t="s">
        <v>1605</v>
      </c>
      <c r="C574" s="86">
        <v>13.0</v>
      </c>
      <c r="D574" s="86" t="s">
        <v>3289</v>
      </c>
      <c r="E574" s="86">
        <v>150.0</v>
      </c>
      <c r="G574" s="96" t="s">
        <v>3290</v>
      </c>
      <c r="I574" s="86">
        <v>59720.0</v>
      </c>
      <c r="J574" s="95" t="s">
        <v>3252</v>
      </c>
      <c r="K574" s="86" t="s">
        <v>647</v>
      </c>
      <c r="L574" s="86">
        <v>9011.0</v>
      </c>
      <c r="M574" s="86" t="s">
        <v>1933</v>
      </c>
      <c r="O574" s="86">
        <v>0.7</v>
      </c>
      <c r="P574" s="95" t="s">
        <v>3253</v>
      </c>
      <c r="Q574" s="86" t="s">
        <v>658</v>
      </c>
      <c r="R574" s="86">
        <v>9003.0</v>
      </c>
      <c r="S574" s="86" t="s">
        <v>2012</v>
      </c>
      <c r="U574" s="86">
        <v>0.7</v>
      </c>
      <c r="V574" s="86">
        <v>70001.0</v>
      </c>
      <c r="W574" s="86">
        <v>3.0</v>
      </c>
      <c r="X574" s="86">
        <v>1.0</v>
      </c>
      <c r="Y574" s="86">
        <v>70002.0</v>
      </c>
      <c r="Z574" s="86">
        <v>3.0</v>
      </c>
      <c r="AA574" s="86">
        <v>1.0</v>
      </c>
      <c r="AB574" s="86">
        <v>1001.0</v>
      </c>
      <c r="AC574" s="86">
        <v>100.0</v>
      </c>
      <c r="AD574" s="86">
        <v>1.0</v>
      </c>
      <c r="AE574" s="86">
        <v>8000.0</v>
      </c>
      <c r="AF574" s="86">
        <v>9750.0</v>
      </c>
      <c r="AG574" s="86">
        <v>1.0</v>
      </c>
    </row>
    <row r="575" ht="38.25" customHeight="1">
      <c r="A575" s="86">
        <v>1469.0</v>
      </c>
      <c r="B575" s="86" t="s">
        <v>1605</v>
      </c>
      <c r="C575" s="86">
        <v>13.0</v>
      </c>
      <c r="D575" s="86" t="s">
        <v>3291</v>
      </c>
      <c r="E575" s="86">
        <v>150.0</v>
      </c>
      <c r="G575" s="96" t="s">
        <v>3292</v>
      </c>
      <c r="I575" s="86">
        <v>59845.0</v>
      </c>
      <c r="J575" s="95" t="s">
        <v>3252</v>
      </c>
      <c r="K575" s="86" t="s">
        <v>647</v>
      </c>
      <c r="L575" s="86">
        <v>9005.0</v>
      </c>
      <c r="M575" s="86" t="s">
        <v>3293</v>
      </c>
      <c r="O575" s="86">
        <v>0.5</v>
      </c>
      <c r="P575" s="95" t="s">
        <v>3253</v>
      </c>
      <c r="Q575" s="86" t="s">
        <v>658</v>
      </c>
      <c r="R575" s="86">
        <v>9008.0</v>
      </c>
      <c r="S575" s="86" t="s">
        <v>1689</v>
      </c>
      <c r="U575" s="86">
        <v>0.1</v>
      </c>
      <c r="V575" s="86">
        <v>70001.0</v>
      </c>
      <c r="W575" s="86">
        <v>3.0</v>
      </c>
      <c r="X575" s="86">
        <v>1.0</v>
      </c>
      <c r="Y575" s="86">
        <v>70002.0</v>
      </c>
      <c r="Z575" s="86">
        <v>3.0</v>
      </c>
      <c r="AA575" s="86">
        <v>1.0</v>
      </c>
      <c r="AB575" s="86">
        <v>1001.0</v>
      </c>
      <c r="AC575" s="86">
        <v>100.0</v>
      </c>
      <c r="AD575" s="86">
        <v>1.0</v>
      </c>
      <c r="AE575" s="86">
        <v>8000.0</v>
      </c>
      <c r="AF575" s="86">
        <v>9750.0</v>
      </c>
      <c r="AG575" s="86">
        <v>1.0</v>
      </c>
    </row>
    <row r="576" ht="38.25" customHeight="1">
      <c r="A576" s="86">
        <v>1470.0</v>
      </c>
      <c r="B576" s="86" t="s">
        <v>1605</v>
      </c>
      <c r="C576" s="86">
        <v>13.0</v>
      </c>
      <c r="D576" s="86" t="s">
        <v>3294</v>
      </c>
      <c r="E576" s="86">
        <v>150.0</v>
      </c>
      <c r="G576" s="96" t="s">
        <v>3295</v>
      </c>
      <c r="I576" s="86">
        <v>59970.0</v>
      </c>
      <c r="J576" s="95" t="s">
        <v>3252</v>
      </c>
      <c r="K576" s="86" t="s">
        <v>647</v>
      </c>
      <c r="L576" s="86">
        <v>9008.0</v>
      </c>
      <c r="M576" s="86">
        <v>12.0</v>
      </c>
      <c r="O576" s="86">
        <v>0.1</v>
      </c>
      <c r="P576" s="95" t="s">
        <v>3253</v>
      </c>
      <c r="Q576" s="86" t="s">
        <v>658</v>
      </c>
      <c r="R576" s="86">
        <v>9003.0</v>
      </c>
      <c r="S576" s="86" t="s">
        <v>3296</v>
      </c>
      <c r="U576" s="86">
        <v>0.4</v>
      </c>
      <c r="V576" s="86">
        <v>70001.0</v>
      </c>
      <c r="W576" s="86">
        <v>3.0</v>
      </c>
      <c r="X576" s="86">
        <v>1.0</v>
      </c>
      <c r="Y576" s="86">
        <v>70002.0</v>
      </c>
      <c r="Z576" s="86">
        <v>3.0</v>
      </c>
      <c r="AA576" s="86">
        <v>1.0</v>
      </c>
      <c r="AB576" s="86">
        <v>1001.0</v>
      </c>
      <c r="AC576" s="86">
        <v>100.0</v>
      </c>
      <c r="AD576" s="86">
        <v>1.0</v>
      </c>
      <c r="AE576" s="86">
        <v>8000.0</v>
      </c>
      <c r="AF576" s="86">
        <v>9800.0</v>
      </c>
      <c r="AG576" s="86">
        <v>1.0</v>
      </c>
    </row>
    <row r="577" ht="38.25" customHeight="1">
      <c r="A577" s="86">
        <v>1471.0</v>
      </c>
      <c r="B577" s="86" t="s">
        <v>1605</v>
      </c>
      <c r="C577" s="86">
        <v>13.0</v>
      </c>
      <c r="D577" s="86" t="s">
        <v>3297</v>
      </c>
      <c r="E577" s="86">
        <v>150.0</v>
      </c>
      <c r="G577" s="96" t="s">
        <v>3298</v>
      </c>
      <c r="I577" s="86">
        <v>60095.0</v>
      </c>
      <c r="J577" s="95" t="s">
        <v>3252</v>
      </c>
      <c r="K577" s="86" t="s">
        <v>647</v>
      </c>
      <c r="L577" s="86">
        <v>9011.0</v>
      </c>
      <c r="M577" s="86" t="s">
        <v>1200</v>
      </c>
      <c r="O577" s="86">
        <v>0.7</v>
      </c>
      <c r="P577" s="95" t="s">
        <v>3253</v>
      </c>
      <c r="Q577" s="86" t="s">
        <v>658</v>
      </c>
      <c r="R577" s="86">
        <v>9011.0</v>
      </c>
      <c r="S577" s="86" t="s">
        <v>2319</v>
      </c>
      <c r="U577" s="86">
        <v>0.5</v>
      </c>
      <c r="V577" s="86">
        <v>70001.0</v>
      </c>
      <c r="W577" s="86">
        <v>3.0</v>
      </c>
      <c r="X577" s="86">
        <v>1.0</v>
      </c>
      <c r="Y577" s="86">
        <v>70002.0</v>
      </c>
      <c r="Z577" s="86">
        <v>3.0</v>
      </c>
      <c r="AA577" s="86">
        <v>1.0</v>
      </c>
      <c r="AB577" s="86">
        <v>1001.0</v>
      </c>
      <c r="AC577" s="86">
        <v>100.0</v>
      </c>
      <c r="AD577" s="86">
        <v>1.0</v>
      </c>
      <c r="AE577" s="86">
        <v>8000.0</v>
      </c>
      <c r="AF577" s="86">
        <v>9800.0</v>
      </c>
      <c r="AG577" s="86">
        <v>1.0</v>
      </c>
    </row>
    <row r="578" ht="38.25" customHeight="1">
      <c r="A578" s="86">
        <v>1472.0</v>
      </c>
      <c r="B578" s="86" t="s">
        <v>1605</v>
      </c>
      <c r="C578" s="86">
        <v>13.0</v>
      </c>
      <c r="D578" s="86" t="s">
        <v>3299</v>
      </c>
      <c r="E578" s="86">
        <v>150.0</v>
      </c>
      <c r="G578" s="96" t="s">
        <v>3300</v>
      </c>
      <c r="I578" s="86">
        <v>60220.0</v>
      </c>
      <c r="J578" s="95" t="s">
        <v>3252</v>
      </c>
      <c r="K578" s="86" t="s">
        <v>647</v>
      </c>
      <c r="L578" s="86">
        <v>9005.0</v>
      </c>
      <c r="M578" s="86" t="s">
        <v>2830</v>
      </c>
      <c r="O578" s="86">
        <v>0.2</v>
      </c>
      <c r="P578" s="95" t="s">
        <v>3253</v>
      </c>
      <c r="Q578" s="86" t="s">
        <v>658</v>
      </c>
      <c r="R578" s="86">
        <v>9007.0</v>
      </c>
      <c r="S578" s="86" t="s">
        <v>3301</v>
      </c>
      <c r="U578" s="86">
        <v>0.5</v>
      </c>
      <c r="V578" s="86">
        <v>70001.0</v>
      </c>
      <c r="W578" s="86">
        <v>3.0</v>
      </c>
      <c r="X578" s="86">
        <v>1.0</v>
      </c>
      <c r="Y578" s="86">
        <v>70002.0</v>
      </c>
      <c r="Z578" s="86">
        <v>3.0</v>
      </c>
      <c r="AA578" s="86">
        <v>1.0</v>
      </c>
      <c r="AB578" s="86">
        <v>1001.0</v>
      </c>
      <c r="AC578" s="86">
        <v>100.0</v>
      </c>
      <c r="AD578" s="86">
        <v>1.0</v>
      </c>
      <c r="AE578" s="86">
        <v>8000.0</v>
      </c>
      <c r="AF578" s="86">
        <v>9850.0</v>
      </c>
      <c r="AG578" s="86">
        <v>1.0</v>
      </c>
    </row>
    <row r="579" ht="38.25" customHeight="1">
      <c r="A579" s="86">
        <v>1473.0</v>
      </c>
      <c r="B579" s="86" t="s">
        <v>1605</v>
      </c>
      <c r="C579" s="86">
        <v>13.0</v>
      </c>
      <c r="D579" s="86" t="s">
        <v>3302</v>
      </c>
      <c r="E579" s="86">
        <v>150.0</v>
      </c>
      <c r="G579" s="96" t="s">
        <v>3303</v>
      </c>
      <c r="I579" s="86">
        <v>60345.0</v>
      </c>
      <c r="J579" s="95" t="s">
        <v>3252</v>
      </c>
      <c r="K579" s="86" t="s">
        <v>647</v>
      </c>
      <c r="L579" s="86">
        <v>9011.0</v>
      </c>
      <c r="M579" s="86" t="s">
        <v>1412</v>
      </c>
      <c r="O579" s="86">
        <v>0.1</v>
      </c>
      <c r="P579" s="95" t="s">
        <v>3253</v>
      </c>
      <c r="Q579" s="86" t="s">
        <v>658</v>
      </c>
      <c r="R579" s="86">
        <v>9010.0</v>
      </c>
      <c r="S579" s="86" t="s">
        <v>3304</v>
      </c>
      <c r="U579" s="86">
        <v>0.3</v>
      </c>
      <c r="V579" s="86">
        <v>70001.0</v>
      </c>
      <c r="W579" s="86">
        <v>3.0</v>
      </c>
      <c r="X579" s="86">
        <v>1.0</v>
      </c>
      <c r="Y579" s="86">
        <v>70002.0</v>
      </c>
      <c r="Z579" s="86">
        <v>3.0</v>
      </c>
      <c r="AA579" s="86">
        <v>1.0</v>
      </c>
      <c r="AB579" s="86">
        <v>1001.0</v>
      </c>
      <c r="AC579" s="86">
        <v>100.0</v>
      </c>
      <c r="AD579" s="86">
        <v>1.0</v>
      </c>
      <c r="AE579" s="86">
        <v>8000.0</v>
      </c>
      <c r="AF579" s="86">
        <v>9850.0</v>
      </c>
      <c r="AG579" s="86">
        <v>1.0</v>
      </c>
    </row>
    <row r="580" ht="38.25" customHeight="1">
      <c r="A580" s="86">
        <v>1474.0</v>
      </c>
      <c r="B580" s="86" t="s">
        <v>1605</v>
      </c>
      <c r="C580" s="86">
        <v>13.0</v>
      </c>
      <c r="D580" s="86" t="s">
        <v>3305</v>
      </c>
      <c r="E580" s="86">
        <v>150.0</v>
      </c>
      <c r="G580" s="96" t="s">
        <v>3306</v>
      </c>
      <c r="I580" s="86">
        <v>60470.0</v>
      </c>
      <c r="J580" s="95" t="s">
        <v>3252</v>
      </c>
      <c r="K580" s="86" t="s">
        <v>647</v>
      </c>
      <c r="L580" s="86">
        <v>9005.0</v>
      </c>
      <c r="M580" s="86">
        <v>8.0</v>
      </c>
      <c r="O580" s="86">
        <v>0.3</v>
      </c>
      <c r="P580" s="95" t="s">
        <v>3253</v>
      </c>
      <c r="Q580" s="86" t="s">
        <v>658</v>
      </c>
      <c r="R580" s="86">
        <v>9007.0</v>
      </c>
      <c r="S580" s="86" t="s">
        <v>2172</v>
      </c>
      <c r="U580" s="86">
        <v>0.8</v>
      </c>
      <c r="V580" s="86">
        <v>70001.0</v>
      </c>
      <c r="W580" s="86">
        <v>3.0</v>
      </c>
      <c r="X580" s="86">
        <v>1.0</v>
      </c>
      <c r="Y580" s="86">
        <v>70002.0</v>
      </c>
      <c r="Z580" s="86">
        <v>3.0</v>
      </c>
      <c r="AA580" s="86">
        <v>1.0</v>
      </c>
      <c r="AB580" s="86">
        <v>1001.0</v>
      </c>
      <c r="AC580" s="86">
        <v>100.0</v>
      </c>
      <c r="AD580" s="86">
        <v>1.0</v>
      </c>
      <c r="AE580" s="86">
        <v>8000.0</v>
      </c>
      <c r="AF580" s="86">
        <v>9900.0</v>
      </c>
      <c r="AG580" s="86">
        <v>1.0</v>
      </c>
    </row>
    <row r="581" ht="38.25" customHeight="1">
      <c r="A581" s="86">
        <v>1475.0</v>
      </c>
      <c r="B581" s="86" t="s">
        <v>1605</v>
      </c>
      <c r="C581" s="86">
        <v>13.0</v>
      </c>
      <c r="D581" s="86" t="s">
        <v>3307</v>
      </c>
      <c r="E581" s="86">
        <v>150.0</v>
      </c>
      <c r="G581" s="96" t="s">
        <v>3308</v>
      </c>
      <c r="I581" s="86">
        <v>60595.0</v>
      </c>
      <c r="J581" s="95" t="s">
        <v>3252</v>
      </c>
      <c r="K581" s="86" t="s">
        <v>647</v>
      </c>
      <c r="L581" s="86">
        <v>9002.0</v>
      </c>
      <c r="M581" s="86" t="s">
        <v>2830</v>
      </c>
      <c r="O581" s="86">
        <v>0.3</v>
      </c>
      <c r="P581" s="95" t="s">
        <v>3253</v>
      </c>
      <c r="Q581" s="86" t="s">
        <v>658</v>
      </c>
      <c r="R581" s="86">
        <v>9004.0</v>
      </c>
      <c r="S581" s="86" t="s">
        <v>1499</v>
      </c>
      <c r="U581" s="86">
        <v>0.1</v>
      </c>
      <c r="V581" s="86">
        <v>70001.0</v>
      </c>
      <c r="W581" s="86">
        <v>3.0</v>
      </c>
      <c r="X581" s="86">
        <v>1.0</v>
      </c>
      <c r="Y581" s="86">
        <v>70002.0</v>
      </c>
      <c r="Z581" s="86">
        <v>3.0</v>
      </c>
      <c r="AA581" s="86">
        <v>1.0</v>
      </c>
      <c r="AB581" s="86">
        <v>1001.0</v>
      </c>
      <c r="AC581" s="86">
        <v>100.0</v>
      </c>
      <c r="AD581" s="86">
        <v>1.0</v>
      </c>
      <c r="AE581" s="86">
        <v>8000.0</v>
      </c>
      <c r="AF581" s="86">
        <v>9900.0</v>
      </c>
      <c r="AG581" s="86">
        <v>1.0</v>
      </c>
    </row>
    <row r="582" ht="38.25" customHeight="1">
      <c r="A582" s="86">
        <v>1476.0</v>
      </c>
      <c r="B582" s="86" t="s">
        <v>1605</v>
      </c>
      <c r="C582" s="86">
        <v>13.0</v>
      </c>
      <c r="D582" s="86" t="s">
        <v>3309</v>
      </c>
      <c r="E582" s="86">
        <v>150.0</v>
      </c>
      <c r="G582" s="96" t="s">
        <v>3310</v>
      </c>
      <c r="I582" s="86">
        <v>60720.0</v>
      </c>
      <c r="J582" s="95" t="s">
        <v>3252</v>
      </c>
      <c r="K582" s="86" t="s">
        <v>647</v>
      </c>
      <c r="L582" s="86">
        <v>9006.0</v>
      </c>
      <c r="M582" s="86" t="s">
        <v>2319</v>
      </c>
      <c r="O582" s="86">
        <v>0.5</v>
      </c>
      <c r="P582" s="95" t="s">
        <v>3253</v>
      </c>
      <c r="Q582" s="86" t="s">
        <v>658</v>
      </c>
      <c r="R582" s="86">
        <v>9011.0</v>
      </c>
      <c r="S582" s="86" t="s">
        <v>1185</v>
      </c>
      <c r="U582" s="86">
        <v>0.2</v>
      </c>
      <c r="V582" s="86">
        <v>70001.0</v>
      </c>
      <c r="W582" s="86">
        <v>3.0</v>
      </c>
      <c r="X582" s="86">
        <v>1.0</v>
      </c>
      <c r="Y582" s="86">
        <v>70002.0</v>
      </c>
      <c r="Z582" s="86">
        <v>3.0</v>
      </c>
      <c r="AA582" s="86">
        <v>1.0</v>
      </c>
      <c r="AB582" s="86">
        <v>1001.0</v>
      </c>
      <c r="AC582" s="86">
        <v>100.0</v>
      </c>
      <c r="AD582" s="86">
        <v>1.0</v>
      </c>
      <c r="AE582" s="86">
        <v>8000.0</v>
      </c>
      <c r="AF582" s="86">
        <v>9950.0</v>
      </c>
      <c r="AG582" s="86">
        <v>1.0</v>
      </c>
    </row>
    <row r="583" ht="38.25" customHeight="1">
      <c r="A583" s="86">
        <v>1477.0</v>
      </c>
      <c r="B583" s="86" t="s">
        <v>1605</v>
      </c>
      <c r="C583" s="86">
        <v>13.0</v>
      </c>
      <c r="D583" s="86" t="s">
        <v>3311</v>
      </c>
      <c r="E583" s="86">
        <v>150.0</v>
      </c>
      <c r="G583" s="96" t="s">
        <v>3312</v>
      </c>
      <c r="I583" s="86">
        <v>60845.0</v>
      </c>
      <c r="J583" s="95" t="s">
        <v>3252</v>
      </c>
      <c r="K583" s="86" t="s">
        <v>647</v>
      </c>
      <c r="L583" s="86">
        <v>9012.0</v>
      </c>
      <c r="M583" s="86">
        <v>9.0</v>
      </c>
      <c r="O583" s="86">
        <v>0.3</v>
      </c>
      <c r="P583" s="95" t="s">
        <v>3253</v>
      </c>
      <c r="Q583" s="86" t="s">
        <v>658</v>
      </c>
      <c r="R583" s="86">
        <v>9008.0</v>
      </c>
      <c r="S583" s="86">
        <v>8.0</v>
      </c>
      <c r="U583" s="86">
        <v>0.7</v>
      </c>
      <c r="V583" s="86">
        <v>70001.0</v>
      </c>
      <c r="W583" s="86">
        <v>3.0</v>
      </c>
      <c r="X583" s="86">
        <v>1.0</v>
      </c>
      <c r="Y583" s="86">
        <v>70002.0</v>
      </c>
      <c r="Z583" s="86">
        <v>3.0</v>
      </c>
      <c r="AA583" s="86">
        <v>1.0</v>
      </c>
      <c r="AB583" s="86">
        <v>1001.0</v>
      </c>
      <c r="AC583" s="86">
        <v>100.0</v>
      </c>
      <c r="AD583" s="86">
        <v>1.0</v>
      </c>
      <c r="AE583" s="86">
        <v>8000.0</v>
      </c>
      <c r="AF583" s="86">
        <v>10000.0</v>
      </c>
      <c r="AG583" s="86">
        <v>1.0</v>
      </c>
    </row>
    <row r="584" ht="38.25" customHeight="1">
      <c r="A584" s="86">
        <v>1478.0</v>
      </c>
      <c r="B584" s="86" t="s">
        <v>1605</v>
      </c>
      <c r="C584" s="86">
        <v>13.0</v>
      </c>
      <c r="D584" s="86" t="s">
        <v>3313</v>
      </c>
      <c r="E584" s="86">
        <v>150.0</v>
      </c>
      <c r="G584" s="96" t="s">
        <v>3314</v>
      </c>
      <c r="I584" s="86">
        <v>60970.0</v>
      </c>
      <c r="J584" s="95" t="s">
        <v>3252</v>
      </c>
      <c r="K584" s="86" t="s">
        <v>647</v>
      </c>
      <c r="L584" s="86">
        <v>9011.0</v>
      </c>
      <c r="M584" s="86">
        <v>3.0</v>
      </c>
      <c r="O584" s="86">
        <v>0.9</v>
      </c>
      <c r="P584" s="95" t="s">
        <v>3253</v>
      </c>
      <c r="Q584" s="86" t="s">
        <v>658</v>
      </c>
      <c r="R584" s="86">
        <v>9011.0</v>
      </c>
      <c r="S584" s="86" t="s">
        <v>2315</v>
      </c>
      <c r="U584" s="86">
        <v>0.2</v>
      </c>
      <c r="V584" s="86">
        <v>70001.0</v>
      </c>
      <c r="W584" s="86">
        <v>3.0</v>
      </c>
      <c r="X584" s="86">
        <v>1.0</v>
      </c>
      <c r="Y584" s="86">
        <v>70002.0</v>
      </c>
      <c r="Z584" s="86">
        <v>3.0</v>
      </c>
      <c r="AA584" s="86">
        <v>1.0</v>
      </c>
      <c r="AB584" s="86">
        <v>1001.0</v>
      </c>
      <c r="AC584" s="86">
        <v>100.0</v>
      </c>
      <c r="AD584" s="86">
        <v>1.0</v>
      </c>
      <c r="AE584" s="86">
        <v>8000.0</v>
      </c>
      <c r="AF584" s="86">
        <v>10000.0</v>
      </c>
      <c r="AG584" s="86">
        <v>1.0</v>
      </c>
    </row>
    <row r="585" ht="38.25" customHeight="1">
      <c r="A585" s="86">
        <v>1479.0</v>
      </c>
      <c r="B585" s="86" t="s">
        <v>1605</v>
      </c>
      <c r="C585" s="86">
        <v>13.0</v>
      </c>
      <c r="D585" s="86" t="s">
        <v>3315</v>
      </c>
      <c r="E585" s="86">
        <v>150.0</v>
      </c>
      <c r="G585" s="96" t="s">
        <v>3316</v>
      </c>
      <c r="I585" s="86">
        <v>61095.0</v>
      </c>
      <c r="J585" s="95" t="s">
        <v>3252</v>
      </c>
      <c r="K585" s="86" t="s">
        <v>647</v>
      </c>
      <c r="L585" s="86">
        <v>9008.0</v>
      </c>
      <c r="M585" s="86" t="s">
        <v>3317</v>
      </c>
      <c r="O585" s="86">
        <v>0.8</v>
      </c>
      <c r="P585" s="95" t="s">
        <v>3253</v>
      </c>
      <c r="Q585" s="86" t="s">
        <v>658</v>
      </c>
      <c r="R585" s="86">
        <v>9010.0</v>
      </c>
      <c r="S585" s="86">
        <v>9.0</v>
      </c>
      <c r="U585" s="86">
        <v>0.5</v>
      </c>
      <c r="V585" s="86">
        <v>70001.0</v>
      </c>
      <c r="W585" s="86">
        <v>3.0</v>
      </c>
      <c r="X585" s="86">
        <v>1.0</v>
      </c>
      <c r="Y585" s="86">
        <v>70002.0</v>
      </c>
      <c r="Z585" s="86">
        <v>3.0</v>
      </c>
      <c r="AA585" s="86">
        <v>1.0</v>
      </c>
      <c r="AB585" s="86">
        <v>1001.0</v>
      </c>
      <c r="AC585" s="86">
        <v>500.0</v>
      </c>
      <c r="AD585" s="86">
        <v>1.0</v>
      </c>
      <c r="AE585" s="86">
        <v>8000.0</v>
      </c>
      <c r="AF585" s="86">
        <v>10050.0</v>
      </c>
      <c r="AG585" s="86">
        <v>1.0</v>
      </c>
    </row>
    <row r="586" ht="38.25" customHeight="1">
      <c r="A586" s="86">
        <v>1480.0</v>
      </c>
      <c r="B586" s="86" t="s">
        <v>1605</v>
      </c>
      <c r="C586" s="86">
        <v>13.0</v>
      </c>
      <c r="D586" s="86" t="s">
        <v>3318</v>
      </c>
      <c r="E586" s="86">
        <v>150.0</v>
      </c>
      <c r="G586" s="96" t="s">
        <v>3319</v>
      </c>
      <c r="I586" s="86">
        <v>61220.0</v>
      </c>
      <c r="J586" s="95" t="s">
        <v>3252</v>
      </c>
      <c r="K586" s="86" t="s">
        <v>647</v>
      </c>
      <c r="L586" s="86">
        <v>9006.0</v>
      </c>
      <c r="M586" s="86" t="s">
        <v>2220</v>
      </c>
      <c r="O586" s="86">
        <v>0.2</v>
      </c>
      <c r="P586" s="95" t="s">
        <v>3253</v>
      </c>
      <c r="Q586" s="86" t="s">
        <v>658</v>
      </c>
      <c r="R586" s="86">
        <v>9008.0</v>
      </c>
      <c r="S586" s="86">
        <v>12.0</v>
      </c>
      <c r="U586" s="86">
        <v>0.8</v>
      </c>
      <c r="V586" s="86">
        <v>70001.0</v>
      </c>
      <c r="W586" s="86">
        <v>3.0</v>
      </c>
      <c r="X586" s="86">
        <v>1.0</v>
      </c>
      <c r="Y586" s="86">
        <v>70002.0</v>
      </c>
      <c r="Z586" s="86">
        <v>3.0</v>
      </c>
      <c r="AA586" s="86">
        <v>1.0</v>
      </c>
      <c r="AB586" s="86">
        <v>1001.0</v>
      </c>
      <c r="AC586" s="86">
        <v>100.0</v>
      </c>
      <c r="AD586" s="86">
        <v>1.0</v>
      </c>
      <c r="AE586" s="86">
        <v>8000.0</v>
      </c>
      <c r="AF586" s="86">
        <v>10050.0</v>
      </c>
      <c r="AG586" s="86">
        <v>1.0</v>
      </c>
    </row>
    <row r="587" ht="38.25" customHeight="1">
      <c r="A587" s="86">
        <v>1481.0</v>
      </c>
      <c r="B587" s="86" t="s">
        <v>1605</v>
      </c>
      <c r="C587" s="86">
        <v>13.0</v>
      </c>
      <c r="D587" s="86" t="s">
        <v>3320</v>
      </c>
      <c r="E587" s="86">
        <v>150.0</v>
      </c>
      <c r="G587" s="96" t="s">
        <v>3321</v>
      </c>
      <c r="I587" s="86">
        <v>61345.0</v>
      </c>
      <c r="J587" s="95" t="s">
        <v>3252</v>
      </c>
      <c r="K587" s="86" t="s">
        <v>647</v>
      </c>
      <c r="L587" s="86">
        <v>9007.0</v>
      </c>
      <c r="M587" s="86">
        <v>12.0</v>
      </c>
      <c r="O587" s="86">
        <v>0.9</v>
      </c>
      <c r="P587" s="95" t="s">
        <v>3253</v>
      </c>
      <c r="Q587" s="86" t="s">
        <v>658</v>
      </c>
      <c r="R587" s="86">
        <v>9012.0</v>
      </c>
      <c r="S587" s="86" t="s">
        <v>1386</v>
      </c>
      <c r="U587" s="86">
        <v>1.0</v>
      </c>
      <c r="V587" s="86">
        <v>70001.0</v>
      </c>
      <c r="W587" s="86">
        <v>3.0</v>
      </c>
      <c r="X587" s="86">
        <v>1.0</v>
      </c>
      <c r="Y587" s="86">
        <v>70002.0</v>
      </c>
      <c r="Z587" s="86">
        <v>3.0</v>
      </c>
      <c r="AA587" s="86">
        <v>1.0</v>
      </c>
      <c r="AB587" s="86">
        <v>1001.0</v>
      </c>
      <c r="AC587" s="86">
        <v>100.0</v>
      </c>
      <c r="AD587" s="86">
        <v>1.0</v>
      </c>
      <c r="AE587" s="86">
        <v>8000.0</v>
      </c>
      <c r="AF587" s="86">
        <v>10100.0</v>
      </c>
      <c r="AG587" s="86">
        <v>1.0</v>
      </c>
    </row>
    <row r="588" ht="38.25" customHeight="1">
      <c r="A588" s="86">
        <v>1482.0</v>
      </c>
      <c r="B588" s="86" t="s">
        <v>1605</v>
      </c>
      <c r="C588" s="86">
        <v>13.0</v>
      </c>
      <c r="D588" s="86" t="s">
        <v>3322</v>
      </c>
      <c r="E588" s="86">
        <v>150.0</v>
      </c>
      <c r="G588" s="96" t="s">
        <v>3323</v>
      </c>
      <c r="I588" s="86">
        <v>61470.0</v>
      </c>
      <c r="J588" s="95" t="s">
        <v>3252</v>
      </c>
      <c r="K588" s="86" t="s">
        <v>647</v>
      </c>
      <c r="L588" s="86">
        <v>9011.0</v>
      </c>
      <c r="M588" s="86" t="s">
        <v>1311</v>
      </c>
      <c r="O588" s="86">
        <v>0.6</v>
      </c>
      <c r="P588" s="95" t="s">
        <v>3253</v>
      </c>
      <c r="Q588" s="86" t="s">
        <v>658</v>
      </c>
      <c r="R588" s="86">
        <v>9007.0</v>
      </c>
      <c r="S588" s="86" t="s">
        <v>1450</v>
      </c>
      <c r="U588" s="86">
        <v>0.7</v>
      </c>
      <c r="V588" s="86">
        <v>70001.0</v>
      </c>
      <c r="W588" s="86">
        <v>3.0</v>
      </c>
      <c r="X588" s="86">
        <v>1.0</v>
      </c>
      <c r="Y588" s="86">
        <v>70002.0</v>
      </c>
      <c r="Z588" s="86">
        <v>3.0</v>
      </c>
      <c r="AA588" s="86">
        <v>1.0</v>
      </c>
      <c r="AB588" s="86">
        <v>1001.0</v>
      </c>
      <c r="AC588" s="86">
        <v>100.0</v>
      </c>
      <c r="AD588" s="86">
        <v>1.0</v>
      </c>
      <c r="AE588" s="86">
        <v>8000.0</v>
      </c>
      <c r="AF588" s="86">
        <v>10100.0</v>
      </c>
      <c r="AG588" s="86">
        <v>1.0</v>
      </c>
    </row>
    <row r="589" ht="38.25" customHeight="1">
      <c r="A589" s="86">
        <v>1483.0</v>
      </c>
      <c r="B589" s="86" t="s">
        <v>1605</v>
      </c>
      <c r="C589" s="86">
        <v>13.0</v>
      </c>
      <c r="D589" s="86" t="s">
        <v>3324</v>
      </c>
      <c r="E589" s="86">
        <v>150.0</v>
      </c>
      <c r="G589" s="96" t="s">
        <v>3325</v>
      </c>
      <c r="I589" s="86">
        <v>61595.0</v>
      </c>
      <c r="J589" s="95" t="s">
        <v>3252</v>
      </c>
      <c r="K589" s="86" t="s">
        <v>647</v>
      </c>
      <c r="L589" s="86">
        <v>9005.0</v>
      </c>
      <c r="M589" s="86" t="s">
        <v>1225</v>
      </c>
      <c r="O589" s="86">
        <v>0.7</v>
      </c>
      <c r="P589" s="95" t="s">
        <v>3253</v>
      </c>
      <c r="Q589" s="86" t="s">
        <v>658</v>
      </c>
      <c r="R589" s="86">
        <v>9004.0</v>
      </c>
      <c r="S589" s="86">
        <v>11.0</v>
      </c>
      <c r="U589" s="86">
        <v>0.8</v>
      </c>
      <c r="V589" s="86">
        <v>70001.0</v>
      </c>
      <c r="W589" s="86">
        <v>3.0</v>
      </c>
      <c r="X589" s="86">
        <v>1.0</v>
      </c>
      <c r="Y589" s="86">
        <v>70002.0</v>
      </c>
      <c r="Z589" s="86">
        <v>3.0</v>
      </c>
      <c r="AA589" s="86">
        <v>1.0</v>
      </c>
      <c r="AB589" s="86">
        <v>1001.0</v>
      </c>
      <c r="AC589" s="86">
        <v>100.0</v>
      </c>
      <c r="AD589" s="86">
        <v>1.0</v>
      </c>
      <c r="AE589" s="86">
        <v>8000.0</v>
      </c>
      <c r="AF589" s="86">
        <v>10150.0</v>
      </c>
      <c r="AG589" s="86">
        <v>1.0</v>
      </c>
    </row>
    <row r="590" ht="38.25" customHeight="1">
      <c r="A590" s="86">
        <v>1484.0</v>
      </c>
      <c r="B590" s="86" t="s">
        <v>1605</v>
      </c>
      <c r="C590" s="86">
        <v>13.0</v>
      </c>
      <c r="D590" s="86" t="s">
        <v>3326</v>
      </c>
      <c r="E590" s="86">
        <v>150.0</v>
      </c>
      <c r="G590" s="96" t="s">
        <v>3327</v>
      </c>
      <c r="I590" s="86">
        <v>61720.0</v>
      </c>
      <c r="J590" s="95" t="s">
        <v>3252</v>
      </c>
      <c r="K590" s="86" t="s">
        <v>647</v>
      </c>
      <c r="L590" s="86">
        <v>9005.0</v>
      </c>
      <c r="M590" s="86">
        <v>10.0</v>
      </c>
      <c r="O590" s="86">
        <v>0.4</v>
      </c>
      <c r="P590" s="95" t="s">
        <v>3253</v>
      </c>
      <c r="Q590" s="86" t="s">
        <v>658</v>
      </c>
      <c r="R590" s="86">
        <v>9008.0</v>
      </c>
      <c r="S590" s="86">
        <v>2.0</v>
      </c>
      <c r="U590" s="86">
        <v>0.6</v>
      </c>
      <c r="V590" s="86">
        <v>70001.0</v>
      </c>
      <c r="W590" s="86">
        <v>3.0</v>
      </c>
      <c r="X590" s="86">
        <v>1.0</v>
      </c>
      <c r="Y590" s="86">
        <v>70002.0</v>
      </c>
      <c r="Z590" s="86">
        <v>3.0</v>
      </c>
      <c r="AA590" s="86">
        <v>1.0</v>
      </c>
      <c r="AB590" s="86">
        <v>1001.0</v>
      </c>
      <c r="AC590" s="86">
        <v>100.0</v>
      </c>
      <c r="AD590" s="86">
        <v>1.0</v>
      </c>
      <c r="AE590" s="86">
        <v>8000.0</v>
      </c>
      <c r="AF590" s="86">
        <v>10150.0</v>
      </c>
      <c r="AG590" s="86">
        <v>1.0</v>
      </c>
    </row>
    <row r="591" ht="38.25" customHeight="1">
      <c r="A591" s="86">
        <v>1485.0</v>
      </c>
      <c r="B591" s="86" t="s">
        <v>1605</v>
      </c>
      <c r="C591" s="86">
        <v>13.0</v>
      </c>
      <c r="D591" s="86" t="s">
        <v>3328</v>
      </c>
      <c r="E591" s="86">
        <v>150.0</v>
      </c>
      <c r="G591" s="96" t="s">
        <v>3329</v>
      </c>
      <c r="I591" s="86">
        <v>61845.0</v>
      </c>
      <c r="J591" s="95" t="s">
        <v>3252</v>
      </c>
      <c r="K591" s="86" t="s">
        <v>647</v>
      </c>
      <c r="L591" s="86">
        <v>9006.0</v>
      </c>
      <c r="M591" s="86" t="s">
        <v>2733</v>
      </c>
      <c r="O591" s="86">
        <v>0.4</v>
      </c>
      <c r="P591" s="95" t="s">
        <v>3253</v>
      </c>
      <c r="Q591" s="86" t="s">
        <v>658</v>
      </c>
      <c r="R591" s="86">
        <v>9012.0</v>
      </c>
      <c r="S591" s="86">
        <v>6.0</v>
      </c>
      <c r="U591" s="86">
        <v>0.8</v>
      </c>
      <c r="V591" s="86">
        <v>70001.0</v>
      </c>
      <c r="W591" s="86">
        <v>3.0</v>
      </c>
      <c r="X591" s="86">
        <v>1.0</v>
      </c>
      <c r="Y591" s="86">
        <v>70002.0</v>
      </c>
      <c r="Z591" s="86">
        <v>3.0</v>
      </c>
      <c r="AA591" s="86">
        <v>1.0</v>
      </c>
      <c r="AB591" s="86">
        <v>1001.0</v>
      </c>
      <c r="AC591" s="86">
        <v>100.0</v>
      </c>
      <c r="AD591" s="86">
        <v>1.0</v>
      </c>
      <c r="AE591" s="86">
        <v>8000.0</v>
      </c>
      <c r="AF591" s="86">
        <v>10200.0</v>
      </c>
      <c r="AG591" s="86">
        <v>1.0</v>
      </c>
    </row>
    <row r="592" ht="38.25" customHeight="1">
      <c r="A592" s="86">
        <v>1486.0</v>
      </c>
      <c r="B592" s="86" t="s">
        <v>1605</v>
      </c>
      <c r="C592" s="86">
        <v>13.0</v>
      </c>
      <c r="D592" s="86" t="s">
        <v>3330</v>
      </c>
      <c r="E592" s="86">
        <v>150.0</v>
      </c>
      <c r="G592" s="96" t="s">
        <v>3331</v>
      </c>
      <c r="I592" s="86">
        <v>61970.0</v>
      </c>
      <c r="J592" s="95" t="s">
        <v>3252</v>
      </c>
      <c r="K592" s="86" t="s">
        <v>647</v>
      </c>
      <c r="L592" s="86">
        <v>9001.0</v>
      </c>
      <c r="M592" s="86" t="s">
        <v>2830</v>
      </c>
      <c r="O592" s="86">
        <v>0.3</v>
      </c>
      <c r="P592" s="95" t="s">
        <v>3253</v>
      </c>
      <c r="Q592" s="86" t="s">
        <v>658</v>
      </c>
      <c r="R592" s="86">
        <v>9011.0</v>
      </c>
      <c r="S592" s="86" t="s">
        <v>1527</v>
      </c>
      <c r="U592" s="86">
        <v>0.2</v>
      </c>
      <c r="V592" s="86">
        <v>70001.0</v>
      </c>
      <c r="W592" s="86">
        <v>3.0</v>
      </c>
      <c r="X592" s="86">
        <v>1.0</v>
      </c>
      <c r="Y592" s="86">
        <v>70002.0</v>
      </c>
      <c r="Z592" s="86">
        <v>3.0</v>
      </c>
      <c r="AA592" s="86">
        <v>1.0</v>
      </c>
      <c r="AB592" s="86">
        <v>1001.0</v>
      </c>
      <c r="AC592" s="86">
        <v>100.0</v>
      </c>
      <c r="AD592" s="86">
        <v>1.0</v>
      </c>
      <c r="AE592" s="86">
        <v>8000.0</v>
      </c>
      <c r="AF592" s="86">
        <v>10200.0</v>
      </c>
      <c r="AG592" s="86">
        <v>1.0</v>
      </c>
    </row>
    <row r="593" ht="38.25" customHeight="1">
      <c r="A593" s="86">
        <v>1487.0</v>
      </c>
      <c r="B593" s="86" t="s">
        <v>1605</v>
      </c>
      <c r="C593" s="86">
        <v>13.0</v>
      </c>
      <c r="D593" s="86" t="s">
        <v>3332</v>
      </c>
      <c r="E593" s="86">
        <v>150.0</v>
      </c>
      <c r="G593" s="96" t="s">
        <v>3333</v>
      </c>
      <c r="I593" s="86">
        <v>62095.0</v>
      </c>
      <c r="J593" s="95" t="s">
        <v>3252</v>
      </c>
      <c r="K593" s="86" t="s">
        <v>647</v>
      </c>
      <c r="L593" s="86">
        <v>9001.0</v>
      </c>
      <c r="M593" s="86">
        <v>5.0</v>
      </c>
      <c r="O593" s="86">
        <v>0.5</v>
      </c>
      <c r="P593" s="95" t="s">
        <v>3253</v>
      </c>
      <c r="Q593" s="86" t="s">
        <v>658</v>
      </c>
      <c r="R593" s="86">
        <v>9011.0</v>
      </c>
      <c r="S593" s="86" t="s">
        <v>2181</v>
      </c>
      <c r="U593" s="86">
        <v>0.1</v>
      </c>
      <c r="V593" s="86">
        <v>70001.0</v>
      </c>
      <c r="W593" s="86">
        <v>3.0</v>
      </c>
      <c r="X593" s="86">
        <v>1.0</v>
      </c>
      <c r="Y593" s="86">
        <v>70002.0</v>
      </c>
      <c r="Z593" s="86">
        <v>3.0</v>
      </c>
      <c r="AA593" s="86">
        <v>1.0</v>
      </c>
      <c r="AB593" s="86">
        <v>1001.0</v>
      </c>
      <c r="AC593" s="86">
        <v>100.0</v>
      </c>
      <c r="AD593" s="86">
        <v>1.0</v>
      </c>
      <c r="AE593" s="86">
        <v>8000.0</v>
      </c>
      <c r="AF593" s="86">
        <v>10250.0</v>
      </c>
      <c r="AG593" s="86">
        <v>1.0</v>
      </c>
    </row>
    <row r="594" ht="38.25" customHeight="1">
      <c r="A594" s="86">
        <v>1488.0</v>
      </c>
      <c r="B594" s="86" t="s">
        <v>1605</v>
      </c>
      <c r="C594" s="86">
        <v>13.0</v>
      </c>
      <c r="D594" s="86" t="s">
        <v>3334</v>
      </c>
      <c r="E594" s="86">
        <v>150.0</v>
      </c>
      <c r="G594" s="96" t="s">
        <v>3335</v>
      </c>
      <c r="I594" s="86">
        <v>62220.0</v>
      </c>
      <c r="J594" s="95" t="s">
        <v>3252</v>
      </c>
      <c r="K594" s="86" t="s">
        <v>647</v>
      </c>
      <c r="L594" s="86">
        <v>9002.0</v>
      </c>
      <c r="M594" s="86" t="s">
        <v>3336</v>
      </c>
      <c r="O594" s="86">
        <v>0.5</v>
      </c>
      <c r="P594" s="95" t="s">
        <v>3253</v>
      </c>
      <c r="Q594" s="86" t="s">
        <v>658</v>
      </c>
      <c r="R594" s="86">
        <v>9008.0</v>
      </c>
      <c r="S594" s="86" t="s">
        <v>1648</v>
      </c>
      <c r="U594" s="86">
        <v>0.6</v>
      </c>
      <c r="V594" s="86">
        <v>70001.0</v>
      </c>
      <c r="W594" s="86">
        <v>3.0</v>
      </c>
      <c r="X594" s="86">
        <v>1.0</v>
      </c>
      <c r="Y594" s="86">
        <v>70002.0</v>
      </c>
      <c r="Z594" s="86">
        <v>3.0</v>
      </c>
      <c r="AA594" s="86">
        <v>1.0</v>
      </c>
      <c r="AB594" s="86">
        <v>1001.0</v>
      </c>
      <c r="AC594" s="86">
        <v>100.0</v>
      </c>
      <c r="AD594" s="86">
        <v>1.0</v>
      </c>
      <c r="AE594" s="86">
        <v>8000.0</v>
      </c>
      <c r="AF594" s="86">
        <v>10300.0</v>
      </c>
      <c r="AG594" s="86">
        <v>1.0</v>
      </c>
    </row>
    <row r="595" ht="38.25" customHeight="1">
      <c r="A595" s="86">
        <v>1489.0</v>
      </c>
      <c r="B595" s="86" t="s">
        <v>1605</v>
      </c>
      <c r="C595" s="86">
        <v>13.0</v>
      </c>
      <c r="D595" s="86" t="s">
        <v>3337</v>
      </c>
      <c r="E595" s="86">
        <v>150.0</v>
      </c>
      <c r="G595" s="96" t="s">
        <v>3338</v>
      </c>
      <c r="I595" s="86">
        <v>62345.0</v>
      </c>
      <c r="J595" s="95" t="s">
        <v>3252</v>
      </c>
      <c r="K595" s="86" t="s">
        <v>647</v>
      </c>
      <c r="L595" s="86">
        <v>9005.0</v>
      </c>
      <c r="M595" s="86" t="s">
        <v>2350</v>
      </c>
      <c r="O595" s="86">
        <v>0.6</v>
      </c>
      <c r="P595" s="95" t="s">
        <v>3253</v>
      </c>
      <c r="Q595" s="86" t="s">
        <v>658</v>
      </c>
      <c r="R595" s="86">
        <v>9012.0</v>
      </c>
      <c r="S595" s="86">
        <v>1.0</v>
      </c>
      <c r="U595" s="86">
        <v>0.6</v>
      </c>
      <c r="V595" s="86">
        <v>70001.0</v>
      </c>
      <c r="W595" s="86">
        <v>3.0</v>
      </c>
      <c r="X595" s="86">
        <v>1.0</v>
      </c>
      <c r="Y595" s="86">
        <v>70002.0</v>
      </c>
      <c r="Z595" s="86">
        <v>3.0</v>
      </c>
      <c r="AA595" s="86">
        <v>1.0</v>
      </c>
      <c r="AB595" s="86">
        <v>1001.0</v>
      </c>
      <c r="AC595" s="86">
        <v>100.0</v>
      </c>
      <c r="AD595" s="86">
        <v>1.0</v>
      </c>
      <c r="AE595" s="86">
        <v>8000.0</v>
      </c>
      <c r="AF595" s="86">
        <v>10300.0</v>
      </c>
      <c r="AG595" s="86">
        <v>1.0</v>
      </c>
    </row>
    <row r="596" ht="38.25" customHeight="1">
      <c r="A596" s="86">
        <v>1490.0</v>
      </c>
      <c r="B596" s="86" t="s">
        <v>1605</v>
      </c>
      <c r="C596" s="86">
        <v>13.0</v>
      </c>
      <c r="D596" s="86" t="s">
        <v>3339</v>
      </c>
      <c r="E596" s="86">
        <v>150.0</v>
      </c>
      <c r="G596" s="96" t="s">
        <v>3340</v>
      </c>
      <c r="I596" s="86">
        <v>62470.0</v>
      </c>
      <c r="J596" s="95" t="s">
        <v>3252</v>
      </c>
      <c r="K596" s="86" t="s">
        <v>647</v>
      </c>
      <c r="L596" s="86">
        <v>9005.0</v>
      </c>
      <c r="M596" s="86" t="s">
        <v>1191</v>
      </c>
      <c r="O596" s="86">
        <v>0.6</v>
      </c>
      <c r="P596" s="95" t="s">
        <v>3253</v>
      </c>
      <c r="Q596" s="86" t="s">
        <v>658</v>
      </c>
      <c r="R596" s="86">
        <v>9012.0</v>
      </c>
      <c r="S596" s="86" t="s">
        <v>1200</v>
      </c>
      <c r="U596" s="86">
        <v>0.6</v>
      </c>
      <c r="V596" s="86">
        <v>70001.0</v>
      </c>
      <c r="W596" s="86">
        <v>3.0</v>
      </c>
      <c r="X596" s="86">
        <v>1.0</v>
      </c>
      <c r="Y596" s="86">
        <v>70002.0</v>
      </c>
      <c r="Z596" s="86">
        <v>3.0</v>
      </c>
      <c r="AA596" s="86">
        <v>1.0</v>
      </c>
      <c r="AB596" s="86">
        <v>1001.0</v>
      </c>
      <c r="AC596" s="86">
        <v>100.0</v>
      </c>
      <c r="AD596" s="86">
        <v>1.0</v>
      </c>
      <c r="AE596" s="86">
        <v>8000.0</v>
      </c>
      <c r="AF596" s="86">
        <v>10350.0</v>
      </c>
      <c r="AG596" s="86">
        <v>1.0</v>
      </c>
    </row>
    <row r="597" ht="38.25" customHeight="1">
      <c r="A597" s="86">
        <v>1491.0</v>
      </c>
      <c r="B597" s="86" t="s">
        <v>1605</v>
      </c>
      <c r="C597" s="86">
        <v>13.0</v>
      </c>
      <c r="D597" s="86" t="s">
        <v>3341</v>
      </c>
      <c r="E597" s="86">
        <v>150.0</v>
      </c>
      <c r="G597" s="96" t="s">
        <v>3342</v>
      </c>
      <c r="I597" s="86">
        <v>62595.0</v>
      </c>
      <c r="J597" s="95" t="s">
        <v>3252</v>
      </c>
      <c r="K597" s="86" t="s">
        <v>647</v>
      </c>
      <c r="L597" s="86">
        <v>9007.0</v>
      </c>
      <c r="M597" s="86" t="s">
        <v>1631</v>
      </c>
      <c r="O597" s="86">
        <v>0.4</v>
      </c>
      <c r="P597" s="95" t="s">
        <v>3253</v>
      </c>
      <c r="Q597" s="86" t="s">
        <v>658</v>
      </c>
      <c r="R597" s="86">
        <v>9003.0</v>
      </c>
      <c r="S597" s="86">
        <v>5.0</v>
      </c>
      <c r="U597" s="86">
        <v>0.2</v>
      </c>
      <c r="V597" s="86">
        <v>70001.0</v>
      </c>
      <c r="W597" s="86">
        <v>3.0</v>
      </c>
      <c r="X597" s="86">
        <v>1.0</v>
      </c>
      <c r="Y597" s="86">
        <v>70002.0</v>
      </c>
      <c r="Z597" s="86">
        <v>3.0</v>
      </c>
      <c r="AA597" s="86">
        <v>1.0</v>
      </c>
      <c r="AB597" s="86">
        <v>1001.0</v>
      </c>
      <c r="AC597" s="86">
        <v>100.0</v>
      </c>
      <c r="AD597" s="86">
        <v>1.0</v>
      </c>
      <c r="AE597" s="86">
        <v>8000.0</v>
      </c>
      <c r="AF597" s="86">
        <v>10350.0</v>
      </c>
      <c r="AG597" s="86">
        <v>1.0</v>
      </c>
    </row>
    <row r="598" ht="38.25" customHeight="1">
      <c r="A598" s="86">
        <v>1492.0</v>
      </c>
      <c r="B598" s="86" t="s">
        <v>1605</v>
      </c>
      <c r="C598" s="86">
        <v>13.0</v>
      </c>
      <c r="D598" s="86" t="s">
        <v>3343</v>
      </c>
      <c r="E598" s="86">
        <v>150.0</v>
      </c>
      <c r="G598" s="96" t="s">
        <v>3344</v>
      </c>
      <c r="I598" s="86">
        <v>62720.0</v>
      </c>
      <c r="J598" s="95" t="s">
        <v>3252</v>
      </c>
      <c r="K598" s="86" t="s">
        <v>647</v>
      </c>
      <c r="L598" s="86">
        <v>9007.0</v>
      </c>
      <c r="M598" s="86" t="s">
        <v>1217</v>
      </c>
      <c r="O598" s="86">
        <v>0.3</v>
      </c>
      <c r="P598" s="95" t="s">
        <v>3253</v>
      </c>
      <c r="Q598" s="86" t="s">
        <v>658</v>
      </c>
      <c r="R598" s="86">
        <v>9012.0</v>
      </c>
      <c r="S598" s="86">
        <v>1.0</v>
      </c>
      <c r="U598" s="86">
        <v>0.9</v>
      </c>
      <c r="V598" s="86">
        <v>70001.0</v>
      </c>
      <c r="W598" s="86">
        <v>3.0</v>
      </c>
      <c r="X598" s="86">
        <v>1.0</v>
      </c>
      <c r="Y598" s="86">
        <v>70002.0</v>
      </c>
      <c r="Z598" s="86">
        <v>3.0</v>
      </c>
      <c r="AA598" s="86">
        <v>1.0</v>
      </c>
      <c r="AB598" s="86">
        <v>1001.0</v>
      </c>
      <c r="AC598" s="86">
        <v>100.0</v>
      </c>
      <c r="AD598" s="86">
        <v>1.0</v>
      </c>
      <c r="AE598" s="86">
        <v>8000.0</v>
      </c>
      <c r="AF598" s="86">
        <v>10400.0</v>
      </c>
      <c r="AG598" s="86">
        <v>1.0</v>
      </c>
    </row>
    <row r="599" ht="38.25" customHeight="1">
      <c r="A599" s="86">
        <v>1493.0</v>
      </c>
      <c r="B599" s="86" t="s">
        <v>1605</v>
      </c>
      <c r="C599" s="86">
        <v>13.0</v>
      </c>
      <c r="D599" s="86" t="s">
        <v>3345</v>
      </c>
      <c r="E599" s="86">
        <v>150.0</v>
      </c>
      <c r="G599" s="96" t="s">
        <v>3346</v>
      </c>
      <c r="I599" s="86">
        <v>62845.0</v>
      </c>
      <c r="J599" s="95" t="s">
        <v>3252</v>
      </c>
      <c r="K599" s="86" t="s">
        <v>647</v>
      </c>
      <c r="L599" s="86">
        <v>9012.0</v>
      </c>
      <c r="M599" s="86">
        <v>6.0</v>
      </c>
      <c r="O599" s="86">
        <v>0.9</v>
      </c>
      <c r="P599" s="95" t="s">
        <v>3253</v>
      </c>
      <c r="Q599" s="86" t="s">
        <v>658</v>
      </c>
      <c r="R599" s="86">
        <v>9003.0</v>
      </c>
      <c r="S599" s="86" t="s">
        <v>1946</v>
      </c>
      <c r="U599" s="86">
        <v>0.7</v>
      </c>
      <c r="V599" s="86">
        <v>70001.0</v>
      </c>
      <c r="W599" s="86">
        <v>3.0</v>
      </c>
      <c r="X599" s="86">
        <v>1.0</v>
      </c>
      <c r="Y599" s="86">
        <v>70002.0</v>
      </c>
      <c r="Z599" s="86">
        <v>3.0</v>
      </c>
      <c r="AA599" s="86">
        <v>1.0</v>
      </c>
      <c r="AB599" s="86">
        <v>1001.0</v>
      </c>
      <c r="AC599" s="86">
        <v>100.0</v>
      </c>
      <c r="AD599" s="86">
        <v>1.0</v>
      </c>
      <c r="AE599" s="86">
        <v>8000.0</v>
      </c>
      <c r="AF599" s="86">
        <v>10400.0</v>
      </c>
      <c r="AG599" s="86">
        <v>1.0</v>
      </c>
    </row>
    <row r="600" ht="38.25" customHeight="1">
      <c r="A600" s="86">
        <v>1494.0</v>
      </c>
      <c r="B600" s="86" t="s">
        <v>1605</v>
      </c>
      <c r="C600" s="86">
        <v>13.0</v>
      </c>
      <c r="D600" s="86" t="s">
        <v>3347</v>
      </c>
      <c r="E600" s="86">
        <v>150.0</v>
      </c>
      <c r="G600" s="96" t="s">
        <v>3348</v>
      </c>
      <c r="I600" s="86">
        <v>62970.0</v>
      </c>
      <c r="J600" s="95" t="s">
        <v>3252</v>
      </c>
      <c r="K600" s="86" t="s">
        <v>647</v>
      </c>
      <c r="L600" s="86">
        <v>9006.0</v>
      </c>
      <c r="M600" s="86" t="s">
        <v>1114</v>
      </c>
      <c r="O600" s="86">
        <v>0.7</v>
      </c>
      <c r="P600" s="95" t="s">
        <v>3253</v>
      </c>
      <c r="Q600" s="86" t="s">
        <v>658</v>
      </c>
      <c r="R600" s="86">
        <v>9012.0</v>
      </c>
      <c r="S600" s="86" t="s">
        <v>2330</v>
      </c>
      <c r="U600" s="86">
        <v>0.8</v>
      </c>
      <c r="V600" s="86">
        <v>70001.0</v>
      </c>
      <c r="W600" s="86">
        <v>3.0</v>
      </c>
      <c r="X600" s="86">
        <v>1.0</v>
      </c>
      <c r="Y600" s="86">
        <v>70002.0</v>
      </c>
      <c r="Z600" s="86">
        <v>3.0</v>
      </c>
      <c r="AA600" s="86">
        <v>1.0</v>
      </c>
      <c r="AB600" s="86">
        <v>1001.0</v>
      </c>
      <c r="AC600" s="86">
        <v>100.0</v>
      </c>
      <c r="AD600" s="86">
        <v>1.0</v>
      </c>
      <c r="AE600" s="86">
        <v>8000.0</v>
      </c>
      <c r="AF600" s="86">
        <v>10450.0</v>
      </c>
      <c r="AG600" s="86">
        <v>1.0</v>
      </c>
    </row>
    <row r="601" ht="38.25" customHeight="1">
      <c r="A601" s="86">
        <v>1495.0</v>
      </c>
      <c r="B601" s="86" t="s">
        <v>1605</v>
      </c>
      <c r="C601" s="86">
        <v>13.0</v>
      </c>
      <c r="D601" s="86" t="s">
        <v>3349</v>
      </c>
      <c r="E601" s="86">
        <v>150.0</v>
      </c>
      <c r="G601" s="96" t="s">
        <v>3350</v>
      </c>
      <c r="I601" s="86">
        <v>63095.0</v>
      </c>
      <c r="J601" s="95" t="s">
        <v>3252</v>
      </c>
      <c r="K601" s="86" t="s">
        <v>647</v>
      </c>
      <c r="L601" s="86">
        <v>9006.0</v>
      </c>
      <c r="M601" s="86" t="s">
        <v>2097</v>
      </c>
      <c r="O601" s="86">
        <v>0.9</v>
      </c>
      <c r="P601" s="95" t="s">
        <v>3253</v>
      </c>
      <c r="Q601" s="86" t="s">
        <v>658</v>
      </c>
      <c r="R601" s="86">
        <v>9003.0</v>
      </c>
      <c r="S601" s="86" t="s">
        <v>1190</v>
      </c>
      <c r="U601" s="86">
        <v>1.0</v>
      </c>
      <c r="V601" s="86">
        <v>70001.0</v>
      </c>
      <c r="W601" s="86">
        <v>3.0</v>
      </c>
      <c r="X601" s="86">
        <v>1.0</v>
      </c>
      <c r="Y601" s="86">
        <v>70002.0</v>
      </c>
      <c r="Z601" s="86">
        <v>3.0</v>
      </c>
      <c r="AA601" s="86">
        <v>1.0</v>
      </c>
      <c r="AB601" s="86">
        <v>1001.0</v>
      </c>
      <c r="AC601" s="86">
        <v>100.0</v>
      </c>
      <c r="AD601" s="86">
        <v>1.0</v>
      </c>
      <c r="AE601" s="86">
        <v>8000.0</v>
      </c>
      <c r="AF601" s="86">
        <v>10450.0</v>
      </c>
      <c r="AG601" s="86">
        <v>1.0</v>
      </c>
    </row>
    <row r="602" ht="38.25" customHeight="1">
      <c r="A602" s="86">
        <v>1496.0</v>
      </c>
      <c r="B602" s="86" t="s">
        <v>1605</v>
      </c>
      <c r="C602" s="86">
        <v>13.0</v>
      </c>
      <c r="D602" s="86" t="s">
        <v>3351</v>
      </c>
      <c r="E602" s="86">
        <v>150.0</v>
      </c>
      <c r="G602" s="96" t="s">
        <v>3352</v>
      </c>
      <c r="I602" s="86">
        <v>63220.0</v>
      </c>
      <c r="J602" s="95" t="s">
        <v>3252</v>
      </c>
      <c r="K602" s="86" t="s">
        <v>647</v>
      </c>
      <c r="L602" s="86">
        <v>9002.0</v>
      </c>
      <c r="M602" s="86">
        <v>11.0</v>
      </c>
      <c r="O602" s="86">
        <v>0.9</v>
      </c>
      <c r="P602" s="95" t="s">
        <v>3253</v>
      </c>
      <c r="Q602" s="86" t="s">
        <v>658</v>
      </c>
      <c r="R602" s="86">
        <v>9007.0</v>
      </c>
      <c r="S602" s="86" t="s">
        <v>1440</v>
      </c>
      <c r="U602" s="86">
        <v>0.4</v>
      </c>
      <c r="V602" s="86">
        <v>70001.0</v>
      </c>
      <c r="W602" s="86">
        <v>3.0</v>
      </c>
      <c r="X602" s="86">
        <v>1.0</v>
      </c>
      <c r="Y602" s="86">
        <v>70002.0</v>
      </c>
      <c r="Z602" s="86">
        <v>3.0</v>
      </c>
      <c r="AA602" s="86">
        <v>1.0</v>
      </c>
      <c r="AB602" s="86">
        <v>1001.0</v>
      </c>
      <c r="AC602" s="86">
        <v>100.0</v>
      </c>
      <c r="AD602" s="86">
        <v>1.0</v>
      </c>
      <c r="AE602" s="86">
        <v>8000.0</v>
      </c>
      <c r="AF602" s="86">
        <v>10500.0</v>
      </c>
      <c r="AG602" s="86">
        <v>1.0</v>
      </c>
    </row>
    <row r="603" ht="38.25" customHeight="1">
      <c r="A603" s="86">
        <v>1497.0</v>
      </c>
      <c r="B603" s="86" t="s">
        <v>1605</v>
      </c>
      <c r="C603" s="86">
        <v>13.0</v>
      </c>
      <c r="D603" s="86" t="s">
        <v>3353</v>
      </c>
      <c r="E603" s="86">
        <v>150.0</v>
      </c>
      <c r="G603" s="96" t="s">
        <v>3354</v>
      </c>
      <c r="I603" s="86">
        <v>63345.0</v>
      </c>
      <c r="J603" s="95" t="s">
        <v>3252</v>
      </c>
      <c r="K603" s="86" t="s">
        <v>647</v>
      </c>
      <c r="L603" s="86">
        <v>9007.0</v>
      </c>
      <c r="M603" s="86">
        <v>13.0</v>
      </c>
      <c r="O603" s="86">
        <v>0.4</v>
      </c>
      <c r="P603" s="95" t="s">
        <v>3253</v>
      </c>
      <c r="Q603" s="86" t="s">
        <v>658</v>
      </c>
      <c r="R603" s="86">
        <v>9003.0</v>
      </c>
      <c r="S603" s="86" t="s">
        <v>1885</v>
      </c>
      <c r="U603" s="86">
        <v>0.2</v>
      </c>
      <c r="V603" s="86">
        <v>70001.0</v>
      </c>
      <c r="W603" s="86">
        <v>3.0</v>
      </c>
      <c r="X603" s="86">
        <v>1.0</v>
      </c>
      <c r="Y603" s="86">
        <v>70002.0</v>
      </c>
      <c r="Z603" s="86">
        <v>3.0</v>
      </c>
      <c r="AA603" s="86">
        <v>1.0</v>
      </c>
      <c r="AB603" s="86">
        <v>1001.0</v>
      </c>
      <c r="AC603" s="86">
        <v>100.0</v>
      </c>
      <c r="AD603" s="86">
        <v>1.0</v>
      </c>
      <c r="AE603" s="86">
        <v>8000.0</v>
      </c>
      <c r="AF603" s="86">
        <v>10500.0</v>
      </c>
      <c r="AG603" s="86">
        <v>1.0</v>
      </c>
    </row>
    <row r="604" ht="38.25" customHeight="1">
      <c r="A604" s="86">
        <v>1498.0</v>
      </c>
      <c r="B604" s="86" t="s">
        <v>1605</v>
      </c>
      <c r="C604" s="86">
        <v>13.0</v>
      </c>
      <c r="D604" s="86" t="s">
        <v>3355</v>
      </c>
      <c r="E604" s="86">
        <v>150.0</v>
      </c>
      <c r="G604" s="96" t="s">
        <v>3356</v>
      </c>
      <c r="I604" s="86">
        <v>63470.0</v>
      </c>
      <c r="J604" s="95" t="s">
        <v>3252</v>
      </c>
      <c r="K604" s="86" t="s">
        <v>647</v>
      </c>
      <c r="L604" s="86">
        <v>9007.0</v>
      </c>
      <c r="M604" s="86">
        <v>13.0</v>
      </c>
      <c r="O604" s="86">
        <v>0.4</v>
      </c>
      <c r="P604" s="95" t="s">
        <v>3253</v>
      </c>
      <c r="Q604" s="86" t="s">
        <v>658</v>
      </c>
      <c r="R604" s="86">
        <v>9012.0</v>
      </c>
      <c r="S604" s="86" t="s">
        <v>1701</v>
      </c>
      <c r="U604" s="86">
        <v>0.9</v>
      </c>
      <c r="V604" s="86">
        <v>70001.0</v>
      </c>
      <c r="W604" s="86">
        <v>3.0</v>
      </c>
      <c r="X604" s="86">
        <v>1.0</v>
      </c>
      <c r="Y604" s="86">
        <v>70002.0</v>
      </c>
      <c r="Z604" s="86">
        <v>3.0</v>
      </c>
      <c r="AA604" s="86">
        <v>1.0</v>
      </c>
      <c r="AB604" s="86">
        <v>1001.0</v>
      </c>
      <c r="AC604" s="86">
        <v>100.0</v>
      </c>
      <c r="AD604" s="86">
        <v>1.0</v>
      </c>
      <c r="AE604" s="86">
        <v>8000.0</v>
      </c>
      <c r="AF604" s="86">
        <v>10550.0</v>
      </c>
      <c r="AG604" s="86">
        <v>1.0</v>
      </c>
    </row>
    <row r="605" ht="38.25" customHeight="1">
      <c r="A605" s="86">
        <v>1499.0</v>
      </c>
      <c r="B605" s="86" t="s">
        <v>1605</v>
      </c>
      <c r="C605" s="86">
        <v>13.0</v>
      </c>
      <c r="D605" s="86" t="s">
        <v>3357</v>
      </c>
      <c r="E605" s="86">
        <v>150.0</v>
      </c>
      <c r="G605" s="96" t="s">
        <v>3358</v>
      </c>
      <c r="I605" s="86">
        <v>63595.0</v>
      </c>
      <c r="J605" s="95" t="s">
        <v>3252</v>
      </c>
      <c r="K605" s="86" t="s">
        <v>647</v>
      </c>
      <c r="L605" s="86">
        <v>9002.0</v>
      </c>
      <c r="M605" s="86" t="s">
        <v>3359</v>
      </c>
      <c r="O605" s="86">
        <v>0.7</v>
      </c>
      <c r="P605" s="95" t="s">
        <v>3253</v>
      </c>
      <c r="Q605" s="86" t="s">
        <v>658</v>
      </c>
      <c r="R605" s="86">
        <v>9007.0</v>
      </c>
      <c r="S605" s="86" t="s">
        <v>1755</v>
      </c>
      <c r="U605" s="86">
        <v>0.1</v>
      </c>
      <c r="V605" s="86">
        <v>70001.0</v>
      </c>
      <c r="W605" s="86">
        <v>3.0</v>
      </c>
      <c r="X605" s="86">
        <v>1.0</v>
      </c>
      <c r="Y605" s="86">
        <v>70002.0</v>
      </c>
      <c r="Z605" s="86">
        <v>3.0</v>
      </c>
      <c r="AA605" s="86">
        <v>1.0</v>
      </c>
      <c r="AB605" s="86">
        <v>1001.0</v>
      </c>
      <c r="AC605" s="86">
        <v>100.0</v>
      </c>
      <c r="AD605" s="86">
        <v>1.0</v>
      </c>
      <c r="AE605" s="86">
        <v>8000.0</v>
      </c>
      <c r="AF605" s="86">
        <v>10600.0</v>
      </c>
      <c r="AG605" s="86">
        <v>1.0</v>
      </c>
    </row>
    <row r="606" ht="38.25" customHeight="1">
      <c r="A606" s="86">
        <v>1500.0</v>
      </c>
      <c r="B606" s="86" t="s">
        <v>1605</v>
      </c>
      <c r="C606" s="86">
        <v>14.0</v>
      </c>
      <c r="D606" s="86" t="s">
        <v>3360</v>
      </c>
      <c r="E606" s="86">
        <v>150.0</v>
      </c>
      <c r="G606" s="96" t="s">
        <v>3361</v>
      </c>
      <c r="I606" s="86">
        <v>63720.0</v>
      </c>
      <c r="J606" s="95" t="s">
        <v>3362</v>
      </c>
      <c r="K606" s="86" t="s">
        <v>647</v>
      </c>
      <c r="L606" s="86">
        <v>9006.0</v>
      </c>
      <c r="M606" s="86">
        <v>7.0</v>
      </c>
      <c r="O606" s="86">
        <v>0.7</v>
      </c>
      <c r="P606" s="95" t="s">
        <v>3363</v>
      </c>
      <c r="Q606" s="86" t="s">
        <v>658</v>
      </c>
      <c r="R606" s="86">
        <v>9007.0</v>
      </c>
      <c r="S606" s="86" t="s">
        <v>1402</v>
      </c>
      <c r="U606" s="86">
        <v>0.5</v>
      </c>
      <c r="V606" s="86">
        <v>70001.0</v>
      </c>
      <c r="W606" s="86">
        <v>3.0</v>
      </c>
      <c r="X606" s="86">
        <v>1.0</v>
      </c>
      <c r="Y606" s="86">
        <v>70002.0</v>
      </c>
      <c r="Z606" s="86">
        <v>3.0</v>
      </c>
      <c r="AA606" s="86">
        <v>1.0</v>
      </c>
      <c r="AB606" s="86">
        <v>1001.0</v>
      </c>
      <c r="AC606" s="86">
        <v>100.0</v>
      </c>
      <c r="AD606" s="86">
        <v>1.0</v>
      </c>
      <c r="AE606" s="86">
        <v>8000.0</v>
      </c>
      <c r="AF606" s="86">
        <v>10600.0</v>
      </c>
      <c r="AG606" s="86">
        <v>1.0</v>
      </c>
    </row>
    <row r="607" ht="38.25" customHeight="1">
      <c r="A607" s="86">
        <v>1501.0</v>
      </c>
      <c r="B607" s="86" t="s">
        <v>1605</v>
      </c>
      <c r="C607" s="86">
        <v>14.0</v>
      </c>
      <c r="D607" s="86" t="s">
        <v>3364</v>
      </c>
      <c r="E607" s="86">
        <v>150.0</v>
      </c>
      <c r="G607" s="96" t="s">
        <v>3365</v>
      </c>
      <c r="I607" s="86">
        <v>63845.0</v>
      </c>
      <c r="J607" s="95" t="s">
        <v>3362</v>
      </c>
      <c r="K607" s="86" t="s">
        <v>647</v>
      </c>
      <c r="L607" s="86">
        <v>9007.0</v>
      </c>
      <c r="M607" s="86" t="s">
        <v>3366</v>
      </c>
      <c r="O607" s="86">
        <v>0.9</v>
      </c>
      <c r="P607" s="95" t="s">
        <v>3363</v>
      </c>
      <c r="Q607" s="86" t="s">
        <v>658</v>
      </c>
      <c r="R607" s="86">
        <v>9012.0</v>
      </c>
      <c r="S607" s="86">
        <v>1.0</v>
      </c>
      <c r="U607" s="86">
        <v>0.8</v>
      </c>
      <c r="V607" s="86">
        <v>70001.0</v>
      </c>
      <c r="W607" s="86">
        <v>3.0</v>
      </c>
      <c r="X607" s="86">
        <v>1.0</v>
      </c>
      <c r="Y607" s="86">
        <v>70002.0</v>
      </c>
      <c r="Z607" s="86">
        <v>3.0</v>
      </c>
      <c r="AA607" s="86">
        <v>1.0</v>
      </c>
      <c r="AB607" s="86">
        <v>1001.0</v>
      </c>
      <c r="AC607" s="86">
        <v>100.0</v>
      </c>
      <c r="AD607" s="86">
        <v>1.0</v>
      </c>
      <c r="AE607" s="86">
        <v>8000.0</v>
      </c>
      <c r="AF607" s="86">
        <v>10650.0</v>
      </c>
      <c r="AG607" s="86">
        <v>1.0</v>
      </c>
    </row>
    <row r="608" ht="38.25" customHeight="1">
      <c r="A608" s="86">
        <v>1502.0</v>
      </c>
      <c r="B608" s="86" t="s">
        <v>1605</v>
      </c>
      <c r="C608" s="86">
        <v>14.0</v>
      </c>
      <c r="D608" s="86" t="s">
        <v>3367</v>
      </c>
      <c r="E608" s="86">
        <v>150.0</v>
      </c>
      <c r="G608" s="96" t="s">
        <v>3368</v>
      </c>
      <c r="I608" s="86">
        <v>63970.0</v>
      </c>
      <c r="J608" s="95" t="s">
        <v>3362</v>
      </c>
      <c r="K608" s="86" t="s">
        <v>647</v>
      </c>
      <c r="L608" s="86">
        <v>9005.0</v>
      </c>
      <c r="M608" s="86" t="s">
        <v>3111</v>
      </c>
      <c r="O608" s="86">
        <v>0.9</v>
      </c>
      <c r="P608" s="95" t="s">
        <v>3363</v>
      </c>
      <c r="Q608" s="86" t="s">
        <v>658</v>
      </c>
      <c r="R608" s="86">
        <v>9007.0</v>
      </c>
      <c r="S608" s="86">
        <v>3.0</v>
      </c>
      <c r="U608" s="86">
        <v>0.1</v>
      </c>
      <c r="V608" s="86">
        <v>70001.0</v>
      </c>
      <c r="W608" s="86">
        <v>3.0</v>
      </c>
      <c r="X608" s="86">
        <v>1.0</v>
      </c>
      <c r="Y608" s="86">
        <v>70002.0</v>
      </c>
      <c r="Z608" s="86">
        <v>3.0</v>
      </c>
      <c r="AA608" s="86">
        <v>1.0</v>
      </c>
      <c r="AB608" s="86">
        <v>1001.0</v>
      </c>
      <c r="AC608" s="86">
        <v>100.0</v>
      </c>
      <c r="AD608" s="86">
        <v>1.0</v>
      </c>
      <c r="AE608" s="86">
        <v>8000.0</v>
      </c>
      <c r="AF608" s="86">
        <v>10650.0</v>
      </c>
      <c r="AG608" s="86">
        <v>1.0</v>
      </c>
    </row>
    <row r="609" ht="38.25" customHeight="1">
      <c r="A609" s="86">
        <v>1503.0</v>
      </c>
      <c r="B609" s="86" t="s">
        <v>1605</v>
      </c>
      <c r="C609" s="86">
        <v>14.0</v>
      </c>
      <c r="D609" s="86" t="s">
        <v>3369</v>
      </c>
      <c r="E609" s="86">
        <v>150.0</v>
      </c>
      <c r="G609" s="96" t="s">
        <v>3370</v>
      </c>
      <c r="I609" s="86">
        <v>64095.0</v>
      </c>
      <c r="J609" s="95" t="s">
        <v>3362</v>
      </c>
      <c r="K609" s="86" t="s">
        <v>647</v>
      </c>
      <c r="L609" s="86">
        <v>9012.0</v>
      </c>
      <c r="M609" s="86" t="s">
        <v>1407</v>
      </c>
      <c r="O609" s="86">
        <v>0.9</v>
      </c>
      <c r="P609" s="95" t="s">
        <v>3363</v>
      </c>
      <c r="Q609" s="86" t="s">
        <v>658</v>
      </c>
      <c r="R609" s="86">
        <v>9007.0</v>
      </c>
      <c r="S609" s="86" t="s">
        <v>1328</v>
      </c>
      <c r="U609" s="86">
        <v>0.3</v>
      </c>
      <c r="V609" s="86">
        <v>70001.0</v>
      </c>
      <c r="W609" s="86">
        <v>3.0</v>
      </c>
      <c r="X609" s="86">
        <v>1.0</v>
      </c>
      <c r="Y609" s="86">
        <v>70002.0</v>
      </c>
      <c r="Z609" s="86">
        <v>3.0</v>
      </c>
      <c r="AA609" s="86">
        <v>1.0</v>
      </c>
      <c r="AB609" s="86">
        <v>1001.0</v>
      </c>
      <c r="AC609" s="86">
        <v>100.0</v>
      </c>
      <c r="AD609" s="86">
        <v>1.0</v>
      </c>
      <c r="AE609" s="86">
        <v>8000.0</v>
      </c>
      <c r="AF609" s="86">
        <v>10700.0</v>
      </c>
      <c r="AG609" s="86">
        <v>1.0</v>
      </c>
    </row>
    <row r="610" ht="38.25" customHeight="1">
      <c r="A610" s="86">
        <v>1504.0</v>
      </c>
      <c r="B610" s="86" t="s">
        <v>1605</v>
      </c>
      <c r="C610" s="86">
        <v>14.0</v>
      </c>
      <c r="D610" s="86" t="s">
        <v>3372</v>
      </c>
      <c r="E610" s="86">
        <v>150.0</v>
      </c>
      <c r="G610" s="96" t="s">
        <v>3373</v>
      </c>
      <c r="I610" s="86">
        <v>64220.0</v>
      </c>
      <c r="J610" s="95" t="s">
        <v>3362</v>
      </c>
      <c r="K610" s="86" t="s">
        <v>647</v>
      </c>
      <c r="L610" s="86">
        <v>9012.0</v>
      </c>
      <c r="M610" s="86">
        <v>13.0</v>
      </c>
      <c r="O610" s="86">
        <v>0.6</v>
      </c>
      <c r="P610" s="95" t="s">
        <v>3363</v>
      </c>
      <c r="Q610" s="86" t="s">
        <v>658</v>
      </c>
      <c r="R610" s="86">
        <v>9011.0</v>
      </c>
      <c r="S610" s="86">
        <v>9.0</v>
      </c>
      <c r="U610" s="86">
        <v>0.2</v>
      </c>
      <c r="V610" s="86">
        <v>70001.0</v>
      </c>
      <c r="W610" s="86">
        <v>3.0</v>
      </c>
      <c r="X610" s="86">
        <v>1.0</v>
      </c>
      <c r="Y610" s="86">
        <v>70002.0</v>
      </c>
      <c r="Z610" s="86">
        <v>3.0</v>
      </c>
      <c r="AA610" s="86">
        <v>1.0</v>
      </c>
      <c r="AB610" s="86">
        <v>1001.0</v>
      </c>
      <c r="AC610" s="86">
        <v>100.0</v>
      </c>
      <c r="AD610" s="86">
        <v>1.0</v>
      </c>
      <c r="AE610" s="86">
        <v>8000.0</v>
      </c>
      <c r="AF610" s="86">
        <v>10700.0</v>
      </c>
      <c r="AG610" s="86">
        <v>1.0</v>
      </c>
    </row>
    <row r="611" ht="38.25" customHeight="1">
      <c r="A611" s="86">
        <v>1505.0</v>
      </c>
      <c r="B611" s="86" t="s">
        <v>1605</v>
      </c>
      <c r="C611" s="86">
        <v>14.0</v>
      </c>
      <c r="D611" s="86" t="s">
        <v>3374</v>
      </c>
      <c r="E611" s="86">
        <v>150.0</v>
      </c>
      <c r="G611" s="96" t="s">
        <v>3375</v>
      </c>
      <c r="I611" s="86">
        <v>64345.0</v>
      </c>
      <c r="J611" s="95" t="s">
        <v>3362</v>
      </c>
      <c r="K611" s="86" t="s">
        <v>647</v>
      </c>
      <c r="L611" s="86">
        <v>9002.0</v>
      </c>
      <c r="M611" s="86">
        <v>1.0</v>
      </c>
      <c r="O611" s="86">
        <v>0.9</v>
      </c>
      <c r="P611" s="95" t="s">
        <v>3363</v>
      </c>
      <c r="Q611" s="86" t="s">
        <v>658</v>
      </c>
      <c r="R611" s="86">
        <v>9008.0</v>
      </c>
      <c r="S611" s="86" t="s">
        <v>1658</v>
      </c>
      <c r="U611" s="86">
        <v>0.8</v>
      </c>
      <c r="V611" s="86">
        <v>70001.0</v>
      </c>
      <c r="W611" s="86">
        <v>3.0</v>
      </c>
      <c r="X611" s="86">
        <v>1.0</v>
      </c>
      <c r="Y611" s="86">
        <v>70002.0</v>
      </c>
      <c r="Z611" s="86">
        <v>3.0</v>
      </c>
      <c r="AA611" s="86">
        <v>1.0</v>
      </c>
      <c r="AB611" s="86">
        <v>1001.0</v>
      </c>
      <c r="AC611" s="86">
        <v>100.0</v>
      </c>
      <c r="AD611" s="86">
        <v>1.0</v>
      </c>
      <c r="AE611" s="86">
        <v>8000.0</v>
      </c>
      <c r="AF611" s="86">
        <v>10750.0</v>
      </c>
      <c r="AG611" s="86">
        <v>1.0</v>
      </c>
    </row>
    <row r="612" ht="38.25" customHeight="1">
      <c r="A612" s="86">
        <v>1506.0</v>
      </c>
      <c r="B612" s="86" t="s">
        <v>1605</v>
      </c>
      <c r="C612" s="86">
        <v>14.0</v>
      </c>
      <c r="D612" s="86" t="s">
        <v>3376</v>
      </c>
      <c r="E612" s="86">
        <v>150.0</v>
      </c>
      <c r="G612" s="96" t="s">
        <v>3377</v>
      </c>
      <c r="I612" s="86">
        <v>64470.0</v>
      </c>
      <c r="J612" s="95" t="s">
        <v>3362</v>
      </c>
      <c r="K612" s="86" t="s">
        <v>647</v>
      </c>
      <c r="L612" s="86">
        <v>9007.0</v>
      </c>
      <c r="M612" s="86" t="s">
        <v>3378</v>
      </c>
      <c r="O612" s="86">
        <v>0.2</v>
      </c>
      <c r="P612" s="95" t="s">
        <v>3363</v>
      </c>
      <c r="Q612" s="86" t="s">
        <v>658</v>
      </c>
      <c r="R612" s="86">
        <v>9003.0</v>
      </c>
      <c r="S612" s="86" t="s">
        <v>2830</v>
      </c>
      <c r="U612" s="86">
        <v>0.8</v>
      </c>
      <c r="V612" s="86">
        <v>70001.0</v>
      </c>
      <c r="W612" s="86">
        <v>3.0</v>
      </c>
      <c r="X612" s="86">
        <v>1.0</v>
      </c>
      <c r="Y612" s="86">
        <v>70002.0</v>
      </c>
      <c r="Z612" s="86">
        <v>3.0</v>
      </c>
      <c r="AA612" s="86">
        <v>1.0</v>
      </c>
      <c r="AB612" s="86">
        <v>1001.0</v>
      </c>
      <c r="AC612" s="86">
        <v>100.0</v>
      </c>
      <c r="AD612" s="86">
        <v>1.0</v>
      </c>
      <c r="AE612" s="86">
        <v>8000.0</v>
      </c>
      <c r="AF612" s="86">
        <v>10750.0</v>
      </c>
      <c r="AG612" s="86">
        <v>1.0</v>
      </c>
    </row>
    <row r="613" ht="38.25" customHeight="1">
      <c r="A613" s="86">
        <v>1507.0</v>
      </c>
      <c r="B613" s="86" t="s">
        <v>1605</v>
      </c>
      <c r="C613" s="86">
        <v>14.0</v>
      </c>
      <c r="D613" s="86" t="s">
        <v>3379</v>
      </c>
      <c r="E613" s="86">
        <v>150.0</v>
      </c>
      <c r="G613" s="96" t="s">
        <v>3380</v>
      </c>
      <c r="I613" s="86">
        <v>64595.0</v>
      </c>
      <c r="J613" s="95" t="s">
        <v>3362</v>
      </c>
      <c r="K613" s="86" t="s">
        <v>647</v>
      </c>
      <c r="L613" s="86">
        <v>9001.0</v>
      </c>
      <c r="M613" s="86" t="s">
        <v>1361</v>
      </c>
      <c r="O613" s="86">
        <v>0.6</v>
      </c>
      <c r="P613" s="95" t="s">
        <v>3363</v>
      </c>
      <c r="Q613" s="86" t="s">
        <v>658</v>
      </c>
      <c r="R613" s="86">
        <v>9011.0</v>
      </c>
      <c r="S613" s="86">
        <v>12.0</v>
      </c>
      <c r="U613" s="86">
        <v>0.7</v>
      </c>
      <c r="V613" s="86">
        <v>70001.0</v>
      </c>
      <c r="W613" s="86">
        <v>3.0</v>
      </c>
      <c r="X613" s="86">
        <v>1.0</v>
      </c>
      <c r="Y613" s="86">
        <v>70002.0</v>
      </c>
      <c r="Z613" s="86">
        <v>3.0</v>
      </c>
      <c r="AA613" s="86">
        <v>1.0</v>
      </c>
      <c r="AB613" s="86">
        <v>1001.0</v>
      </c>
      <c r="AC613" s="86">
        <v>100.0</v>
      </c>
      <c r="AD613" s="86">
        <v>1.0</v>
      </c>
      <c r="AE613" s="86">
        <v>8000.0</v>
      </c>
      <c r="AF613" s="86">
        <v>10800.0</v>
      </c>
      <c r="AG613" s="86">
        <v>1.0</v>
      </c>
    </row>
    <row r="614" ht="38.25" customHeight="1">
      <c r="A614" s="86">
        <v>1508.0</v>
      </c>
      <c r="B614" s="86" t="s">
        <v>1605</v>
      </c>
      <c r="C614" s="86">
        <v>14.0</v>
      </c>
      <c r="D614" s="86" t="s">
        <v>3382</v>
      </c>
      <c r="E614" s="86">
        <v>150.0</v>
      </c>
      <c r="G614" s="96" t="s">
        <v>3383</v>
      </c>
      <c r="I614" s="86">
        <v>64720.0</v>
      </c>
      <c r="J614" s="95" t="s">
        <v>3362</v>
      </c>
      <c r="K614" s="86" t="s">
        <v>647</v>
      </c>
      <c r="L614" s="86">
        <v>9011.0</v>
      </c>
      <c r="M614" s="86" t="s">
        <v>3384</v>
      </c>
      <c r="O614" s="86">
        <v>0.6</v>
      </c>
      <c r="P614" s="95" t="s">
        <v>3363</v>
      </c>
      <c r="Q614" s="86" t="s">
        <v>658</v>
      </c>
      <c r="R614" s="86">
        <v>9004.0</v>
      </c>
      <c r="S614" s="86">
        <v>11.0</v>
      </c>
      <c r="U614" s="86">
        <v>0.1</v>
      </c>
      <c r="V614" s="86">
        <v>70001.0</v>
      </c>
      <c r="W614" s="86">
        <v>3.0</v>
      </c>
      <c r="X614" s="86">
        <v>1.0</v>
      </c>
      <c r="Y614" s="86">
        <v>70002.0</v>
      </c>
      <c r="Z614" s="86">
        <v>3.0</v>
      </c>
      <c r="AA614" s="86">
        <v>1.0</v>
      </c>
      <c r="AB614" s="86">
        <v>1001.0</v>
      </c>
      <c r="AC614" s="86">
        <v>100.0</v>
      </c>
      <c r="AD614" s="86">
        <v>1.0</v>
      </c>
      <c r="AE614" s="86">
        <v>8000.0</v>
      </c>
      <c r="AF614" s="86">
        <v>10850.0</v>
      </c>
      <c r="AG614" s="86">
        <v>1.0</v>
      </c>
    </row>
    <row r="615" ht="38.25" customHeight="1">
      <c r="A615" s="86">
        <v>1509.0</v>
      </c>
      <c r="B615" s="86" t="s">
        <v>1605</v>
      </c>
      <c r="C615" s="86">
        <v>14.0</v>
      </c>
      <c r="D615" s="86" t="s">
        <v>3385</v>
      </c>
      <c r="E615" s="86">
        <v>150.0</v>
      </c>
      <c r="G615" s="96" t="s">
        <v>3375</v>
      </c>
      <c r="I615" s="86">
        <v>64845.0</v>
      </c>
      <c r="J615" s="95" t="s">
        <v>3362</v>
      </c>
      <c r="K615" s="86" t="s">
        <v>647</v>
      </c>
      <c r="L615" s="86">
        <v>9012.0</v>
      </c>
      <c r="M615" s="86">
        <v>3.0</v>
      </c>
      <c r="O615" s="86">
        <v>0.3</v>
      </c>
      <c r="P615" s="95" t="s">
        <v>3363</v>
      </c>
      <c r="Q615" s="86" t="s">
        <v>658</v>
      </c>
      <c r="R615" s="86">
        <v>9004.0</v>
      </c>
      <c r="S615" s="86" t="s">
        <v>1287</v>
      </c>
      <c r="U615" s="86">
        <v>0.4</v>
      </c>
      <c r="V615" s="86">
        <v>70001.0</v>
      </c>
      <c r="W615" s="86">
        <v>3.0</v>
      </c>
      <c r="X615" s="86">
        <v>1.0</v>
      </c>
      <c r="Y615" s="86">
        <v>70002.0</v>
      </c>
      <c r="Z615" s="86">
        <v>3.0</v>
      </c>
      <c r="AA615" s="86">
        <v>1.0</v>
      </c>
      <c r="AB615" s="86">
        <v>1001.0</v>
      </c>
      <c r="AC615" s="86">
        <v>500.0</v>
      </c>
      <c r="AD615" s="86">
        <v>1.0</v>
      </c>
      <c r="AE615" s="86">
        <v>8000.0</v>
      </c>
      <c r="AF615" s="86">
        <v>10850.0</v>
      </c>
      <c r="AG615" s="86">
        <v>1.0</v>
      </c>
    </row>
    <row r="616" ht="38.25" customHeight="1">
      <c r="A616" s="86">
        <v>1510.0</v>
      </c>
      <c r="B616" s="86" t="s">
        <v>1605</v>
      </c>
      <c r="C616" s="86">
        <v>14.0</v>
      </c>
      <c r="D616" s="86" t="s">
        <v>3386</v>
      </c>
      <c r="E616" s="86">
        <v>150.0</v>
      </c>
      <c r="G616" s="96" t="s">
        <v>3387</v>
      </c>
      <c r="I616" s="86">
        <v>64970.0</v>
      </c>
      <c r="J616" s="95" t="s">
        <v>3362</v>
      </c>
      <c r="K616" s="86" t="s">
        <v>647</v>
      </c>
      <c r="L616" s="86">
        <v>9006.0</v>
      </c>
      <c r="M616" s="86" t="s">
        <v>2253</v>
      </c>
      <c r="O616" s="86">
        <v>0.3</v>
      </c>
      <c r="P616" s="95" t="s">
        <v>3363</v>
      </c>
      <c r="Q616" s="86" t="s">
        <v>658</v>
      </c>
      <c r="R616" s="86">
        <v>9008.0</v>
      </c>
      <c r="S616" s="86">
        <v>5.0</v>
      </c>
      <c r="U616" s="86">
        <v>0.8</v>
      </c>
      <c r="V616" s="86">
        <v>70001.0</v>
      </c>
      <c r="W616" s="86">
        <v>3.0</v>
      </c>
      <c r="X616" s="86">
        <v>1.0</v>
      </c>
      <c r="Y616" s="86">
        <v>70002.0</v>
      </c>
      <c r="Z616" s="86">
        <v>3.0</v>
      </c>
      <c r="AA616" s="86">
        <v>1.0</v>
      </c>
      <c r="AB616" s="86">
        <v>1001.0</v>
      </c>
      <c r="AC616" s="86">
        <v>100.0</v>
      </c>
      <c r="AD616" s="86">
        <v>1.0</v>
      </c>
      <c r="AE616" s="86">
        <v>8000.0</v>
      </c>
      <c r="AF616" s="86">
        <v>10900.0</v>
      </c>
      <c r="AG616" s="86">
        <v>1.0</v>
      </c>
    </row>
    <row r="617" ht="38.25" customHeight="1">
      <c r="A617" s="86">
        <v>1511.0</v>
      </c>
      <c r="B617" s="86" t="s">
        <v>1605</v>
      </c>
      <c r="C617" s="86">
        <v>14.0</v>
      </c>
      <c r="D617" s="86" t="s">
        <v>3388</v>
      </c>
      <c r="E617" s="86">
        <v>150.0</v>
      </c>
      <c r="G617" s="96" t="s">
        <v>3389</v>
      </c>
      <c r="I617" s="86">
        <v>65095.0</v>
      </c>
      <c r="J617" s="95" t="s">
        <v>3362</v>
      </c>
      <c r="K617" s="86" t="s">
        <v>647</v>
      </c>
      <c r="L617" s="86">
        <v>9011.0</v>
      </c>
      <c r="M617" s="86">
        <v>8.0</v>
      </c>
      <c r="O617" s="86">
        <v>0.3</v>
      </c>
      <c r="P617" s="95" t="s">
        <v>3363</v>
      </c>
      <c r="Q617" s="86" t="s">
        <v>658</v>
      </c>
      <c r="R617" s="86">
        <v>9008.0</v>
      </c>
      <c r="S617" s="86" t="s">
        <v>2028</v>
      </c>
      <c r="U617" s="86">
        <v>1.0</v>
      </c>
      <c r="V617" s="86">
        <v>70001.0</v>
      </c>
      <c r="W617" s="86">
        <v>3.0</v>
      </c>
      <c r="X617" s="86">
        <v>1.0</v>
      </c>
      <c r="Y617" s="86">
        <v>70002.0</v>
      </c>
      <c r="Z617" s="86">
        <v>3.0</v>
      </c>
      <c r="AA617" s="86">
        <v>1.0</v>
      </c>
      <c r="AB617" s="86">
        <v>1001.0</v>
      </c>
      <c r="AC617" s="86">
        <v>100.0</v>
      </c>
      <c r="AD617" s="86">
        <v>1.0</v>
      </c>
      <c r="AE617" s="86">
        <v>8000.0</v>
      </c>
      <c r="AF617" s="86">
        <v>10900.0</v>
      </c>
      <c r="AG617" s="86">
        <v>1.0</v>
      </c>
    </row>
    <row r="618" ht="38.25" customHeight="1">
      <c r="A618" s="86">
        <v>1512.0</v>
      </c>
      <c r="B618" s="86" t="s">
        <v>1605</v>
      </c>
      <c r="C618" s="86">
        <v>14.0</v>
      </c>
      <c r="D618" s="86" t="s">
        <v>3391</v>
      </c>
      <c r="E618" s="86">
        <v>150.0</v>
      </c>
      <c r="G618" s="96" t="s">
        <v>3392</v>
      </c>
      <c r="I618" s="86">
        <v>65220.0</v>
      </c>
      <c r="J618" s="95" t="s">
        <v>3362</v>
      </c>
      <c r="K618" s="86" t="s">
        <v>647</v>
      </c>
      <c r="L618" s="86">
        <v>9001.0</v>
      </c>
      <c r="M618" s="86" t="s">
        <v>2686</v>
      </c>
      <c r="O618" s="86">
        <v>0.5</v>
      </c>
      <c r="P618" s="95" t="s">
        <v>3363</v>
      </c>
      <c r="Q618" s="86" t="s">
        <v>658</v>
      </c>
      <c r="R618" s="86">
        <v>9004.0</v>
      </c>
      <c r="S618" s="86">
        <v>13.0</v>
      </c>
      <c r="U618" s="86">
        <v>0.1</v>
      </c>
      <c r="V618" s="86">
        <v>70001.0</v>
      </c>
      <c r="W618" s="86">
        <v>3.0</v>
      </c>
      <c r="X618" s="86">
        <v>1.0</v>
      </c>
      <c r="Y618" s="86">
        <v>70002.0</v>
      </c>
      <c r="Z618" s="86">
        <v>3.0</v>
      </c>
      <c r="AA618" s="86">
        <v>1.0</v>
      </c>
      <c r="AB618" s="86">
        <v>1001.0</v>
      </c>
      <c r="AC618" s="86">
        <v>100.0</v>
      </c>
      <c r="AD618" s="86">
        <v>1.0</v>
      </c>
      <c r="AE618" s="86">
        <v>8000.0</v>
      </c>
      <c r="AF618" s="86">
        <v>10950.0</v>
      </c>
      <c r="AG618" s="86">
        <v>1.0</v>
      </c>
    </row>
    <row r="619" ht="38.25" customHeight="1">
      <c r="A619" s="86">
        <v>1513.0</v>
      </c>
      <c r="B619" s="86" t="s">
        <v>1605</v>
      </c>
      <c r="C619" s="86">
        <v>14.0</v>
      </c>
      <c r="D619" s="86" t="s">
        <v>3393</v>
      </c>
      <c r="E619" s="86">
        <v>150.0</v>
      </c>
      <c r="G619" s="96" t="s">
        <v>3394</v>
      </c>
      <c r="I619" s="86">
        <v>65345.0</v>
      </c>
      <c r="J619" s="95" t="s">
        <v>3362</v>
      </c>
      <c r="K619" s="86" t="s">
        <v>647</v>
      </c>
      <c r="L619" s="86">
        <v>9007.0</v>
      </c>
      <c r="M619" s="86" t="s">
        <v>3395</v>
      </c>
      <c r="O619" s="86">
        <v>0.5</v>
      </c>
      <c r="P619" s="95" t="s">
        <v>3363</v>
      </c>
      <c r="Q619" s="86" t="s">
        <v>658</v>
      </c>
      <c r="R619" s="86">
        <v>9007.0</v>
      </c>
      <c r="S619" s="86">
        <v>2.0</v>
      </c>
      <c r="U619" s="86">
        <v>0.5</v>
      </c>
      <c r="V619" s="86">
        <v>70001.0</v>
      </c>
      <c r="W619" s="86">
        <v>3.0</v>
      </c>
      <c r="X619" s="86">
        <v>1.0</v>
      </c>
      <c r="Y619" s="86">
        <v>70002.0</v>
      </c>
      <c r="Z619" s="86">
        <v>3.0</v>
      </c>
      <c r="AA619" s="86">
        <v>1.0</v>
      </c>
      <c r="AB619" s="86">
        <v>1001.0</v>
      </c>
      <c r="AC619" s="86">
        <v>100.0</v>
      </c>
      <c r="AD619" s="86">
        <v>1.0</v>
      </c>
      <c r="AE619" s="86">
        <v>8000.0</v>
      </c>
      <c r="AF619" s="86">
        <v>10950.0</v>
      </c>
      <c r="AG619" s="86">
        <v>1.0</v>
      </c>
    </row>
    <row r="620" ht="38.25" customHeight="1">
      <c r="A620" s="86">
        <v>1514.0</v>
      </c>
      <c r="B620" s="86" t="s">
        <v>1605</v>
      </c>
      <c r="C620" s="86">
        <v>14.0</v>
      </c>
      <c r="D620" s="86" t="s">
        <v>3396</v>
      </c>
      <c r="E620" s="86">
        <v>150.0</v>
      </c>
      <c r="G620" s="96" t="s">
        <v>3397</v>
      </c>
      <c r="I620" s="86">
        <v>65470.0</v>
      </c>
      <c r="J620" s="95" t="s">
        <v>3362</v>
      </c>
      <c r="K620" s="86" t="s">
        <v>647</v>
      </c>
      <c r="L620" s="86">
        <v>9001.0</v>
      </c>
      <c r="M620" s="86" t="s">
        <v>2283</v>
      </c>
      <c r="O620" s="86">
        <v>0.2</v>
      </c>
      <c r="P620" s="95" t="s">
        <v>3363</v>
      </c>
      <c r="Q620" s="86" t="s">
        <v>658</v>
      </c>
      <c r="R620" s="86">
        <v>9007.0</v>
      </c>
      <c r="S620" s="86">
        <v>7.0</v>
      </c>
      <c r="U620" s="86">
        <v>0.7</v>
      </c>
      <c r="V620" s="86">
        <v>70001.0</v>
      </c>
      <c r="W620" s="86">
        <v>3.0</v>
      </c>
      <c r="X620" s="86">
        <v>1.0</v>
      </c>
      <c r="Y620" s="86">
        <v>70002.0</v>
      </c>
      <c r="Z620" s="86">
        <v>3.0</v>
      </c>
      <c r="AA620" s="86">
        <v>1.0</v>
      </c>
      <c r="AB620" s="86">
        <v>1001.0</v>
      </c>
      <c r="AC620" s="86">
        <v>100.0</v>
      </c>
      <c r="AD620" s="86">
        <v>1.0</v>
      </c>
      <c r="AE620" s="86">
        <v>8000.0</v>
      </c>
      <c r="AF620" s="86">
        <v>11000.0</v>
      </c>
      <c r="AG620" s="86">
        <v>1.0</v>
      </c>
    </row>
    <row r="621" ht="38.25" customHeight="1">
      <c r="A621" s="86">
        <v>1515.0</v>
      </c>
      <c r="B621" s="86" t="s">
        <v>1605</v>
      </c>
      <c r="C621" s="86">
        <v>14.0</v>
      </c>
      <c r="D621" s="86" t="s">
        <v>3399</v>
      </c>
      <c r="E621" s="86">
        <v>150.0</v>
      </c>
      <c r="G621" s="96" t="s">
        <v>3400</v>
      </c>
      <c r="I621" s="86">
        <v>65595.0</v>
      </c>
      <c r="J621" s="95" t="s">
        <v>3362</v>
      </c>
      <c r="K621" s="86" t="s">
        <v>647</v>
      </c>
      <c r="L621" s="86">
        <v>9011.0</v>
      </c>
      <c r="M621" s="86">
        <v>3.0</v>
      </c>
      <c r="O621" s="86">
        <v>0.5</v>
      </c>
      <c r="P621" s="95" t="s">
        <v>3363</v>
      </c>
      <c r="Q621" s="86" t="s">
        <v>658</v>
      </c>
      <c r="R621" s="86">
        <v>9008.0</v>
      </c>
      <c r="S621" s="86" t="s">
        <v>1427</v>
      </c>
      <c r="U621" s="86">
        <v>0.4</v>
      </c>
      <c r="V621" s="86">
        <v>70001.0</v>
      </c>
      <c r="W621" s="86">
        <v>3.0</v>
      </c>
      <c r="X621" s="86">
        <v>1.0</v>
      </c>
      <c r="Y621" s="86">
        <v>70002.0</v>
      </c>
      <c r="Z621" s="86">
        <v>3.0</v>
      </c>
      <c r="AA621" s="86">
        <v>1.0</v>
      </c>
      <c r="AB621" s="86">
        <v>1001.0</v>
      </c>
      <c r="AC621" s="86">
        <v>100.0</v>
      </c>
      <c r="AD621" s="86">
        <v>1.0</v>
      </c>
      <c r="AE621" s="86">
        <v>8000.0</v>
      </c>
      <c r="AF621" s="86">
        <v>11000.0</v>
      </c>
      <c r="AG621" s="86">
        <v>1.0</v>
      </c>
    </row>
    <row r="622" ht="38.25" customHeight="1">
      <c r="A622" s="86">
        <v>1516.0</v>
      </c>
      <c r="B622" s="86" t="s">
        <v>1605</v>
      </c>
      <c r="C622" s="86">
        <v>14.0</v>
      </c>
      <c r="D622" s="86" t="s">
        <v>3403</v>
      </c>
      <c r="E622" s="86">
        <v>150.0</v>
      </c>
      <c r="G622" s="96" t="s">
        <v>3404</v>
      </c>
      <c r="I622" s="86">
        <v>65720.0</v>
      </c>
      <c r="J622" s="95" t="s">
        <v>3362</v>
      </c>
      <c r="K622" s="86" t="s">
        <v>647</v>
      </c>
      <c r="L622" s="86">
        <v>9011.0</v>
      </c>
      <c r="M622" s="86" t="s">
        <v>3405</v>
      </c>
      <c r="O622" s="86">
        <v>0.2</v>
      </c>
      <c r="P622" s="95" t="s">
        <v>3363</v>
      </c>
      <c r="Q622" s="86" t="s">
        <v>658</v>
      </c>
      <c r="R622" s="86">
        <v>9003.0</v>
      </c>
      <c r="S622" s="86" t="s">
        <v>1504</v>
      </c>
      <c r="U622" s="86">
        <v>0.4</v>
      </c>
      <c r="V622" s="86">
        <v>70001.0</v>
      </c>
      <c r="W622" s="86">
        <v>3.0</v>
      </c>
      <c r="X622" s="86">
        <v>1.0</v>
      </c>
      <c r="Y622" s="86">
        <v>70002.0</v>
      </c>
      <c r="Z622" s="86">
        <v>3.0</v>
      </c>
      <c r="AA622" s="86">
        <v>1.0</v>
      </c>
      <c r="AB622" s="86">
        <v>1001.0</v>
      </c>
      <c r="AC622" s="86">
        <v>100.0</v>
      </c>
      <c r="AD622" s="86">
        <v>1.0</v>
      </c>
      <c r="AE622" s="86">
        <v>8000.0</v>
      </c>
      <c r="AF622" s="86">
        <v>11050.0</v>
      </c>
      <c r="AG622" s="86">
        <v>1.0</v>
      </c>
    </row>
    <row r="623" ht="38.25" customHeight="1">
      <c r="A623" s="86">
        <v>1517.0</v>
      </c>
      <c r="B623" s="86" t="s">
        <v>1605</v>
      </c>
      <c r="C623" s="86">
        <v>14.0</v>
      </c>
      <c r="D623" s="86" t="s">
        <v>3408</v>
      </c>
      <c r="E623" s="86">
        <v>150.0</v>
      </c>
      <c r="G623" s="96" t="s">
        <v>3409</v>
      </c>
      <c r="I623" s="86">
        <v>65845.0</v>
      </c>
      <c r="J623" s="95" t="s">
        <v>3362</v>
      </c>
      <c r="K623" s="86" t="s">
        <v>647</v>
      </c>
      <c r="L623" s="86">
        <v>9011.0</v>
      </c>
      <c r="M623" s="86" t="s">
        <v>1268</v>
      </c>
      <c r="O623" s="86">
        <v>0.2</v>
      </c>
      <c r="P623" s="95" t="s">
        <v>3363</v>
      </c>
      <c r="Q623" s="86" t="s">
        <v>658</v>
      </c>
      <c r="R623" s="86">
        <v>9010.0</v>
      </c>
      <c r="S623" s="86">
        <v>8.0</v>
      </c>
      <c r="U623" s="86">
        <v>1.0</v>
      </c>
      <c r="V623" s="86">
        <v>70001.0</v>
      </c>
      <c r="W623" s="86">
        <v>3.0</v>
      </c>
      <c r="X623" s="86">
        <v>1.0</v>
      </c>
      <c r="Y623" s="86">
        <v>70002.0</v>
      </c>
      <c r="Z623" s="86">
        <v>3.0</v>
      </c>
      <c r="AA623" s="86">
        <v>1.0</v>
      </c>
      <c r="AB623" s="86">
        <v>1001.0</v>
      </c>
      <c r="AC623" s="86">
        <v>100.0</v>
      </c>
      <c r="AD623" s="86">
        <v>1.0</v>
      </c>
      <c r="AE623" s="86">
        <v>8000.0</v>
      </c>
      <c r="AF623" s="86">
        <v>11100.0</v>
      </c>
      <c r="AG623" s="86">
        <v>1.0</v>
      </c>
    </row>
    <row r="624" ht="38.25" customHeight="1">
      <c r="A624" s="86">
        <v>1518.0</v>
      </c>
      <c r="B624" s="86" t="s">
        <v>1605</v>
      </c>
      <c r="C624" s="86">
        <v>14.0</v>
      </c>
      <c r="D624" s="86" t="s">
        <v>3411</v>
      </c>
      <c r="E624" s="86">
        <v>150.0</v>
      </c>
      <c r="G624" s="96" t="s">
        <v>3412</v>
      </c>
      <c r="I624" s="86">
        <v>65970.0</v>
      </c>
      <c r="J624" s="95" t="s">
        <v>3362</v>
      </c>
      <c r="K624" s="86" t="s">
        <v>647</v>
      </c>
      <c r="L624" s="86">
        <v>9008.0</v>
      </c>
      <c r="M624" s="86">
        <v>6.0</v>
      </c>
      <c r="O624" s="86">
        <v>0.1</v>
      </c>
      <c r="P624" s="95" t="s">
        <v>3363</v>
      </c>
      <c r="Q624" s="86" t="s">
        <v>658</v>
      </c>
      <c r="R624" s="86">
        <v>9008.0</v>
      </c>
      <c r="S624" s="86" t="s">
        <v>1361</v>
      </c>
      <c r="U624" s="86">
        <v>0.5</v>
      </c>
      <c r="V624" s="86">
        <v>70001.0</v>
      </c>
      <c r="W624" s="86">
        <v>3.0</v>
      </c>
      <c r="X624" s="86">
        <v>1.0</v>
      </c>
      <c r="Y624" s="86">
        <v>70002.0</v>
      </c>
      <c r="Z624" s="86">
        <v>3.0</v>
      </c>
      <c r="AA624" s="86">
        <v>1.0</v>
      </c>
      <c r="AB624" s="86">
        <v>1001.0</v>
      </c>
      <c r="AC624" s="86">
        <v>100.0</v>
      </c>
      <c r="AD624" s="86">
        <v>1.0</v>
      </c>
      <c r="AE624" s="86">
        <v>8000.0</v>
      </c>
      <c r="AF624" s="86">
        <v>11100.0</v>
      </c>
      <c r="AG624" s="86">
        <v>1.0</v>
      </c>
    </row>
    <row r="625" ht="38.25" customHeight="1">
      <c r="A625" s="86">
        <v>1519.0</v>
      </c>
      <c r="B625" s="86" t="s">
        <v>1605</v>
      </c>
      <c r="C625" s="86">
        <v>14.0</v>
      </c>
      <c r="D625" s="86" t="s">
        <v>3415</v>
      </c>
      <c r="E625" s="86">
        <v>150.0</v>
      </c>
      <c r="G625" s="96" t="s">
        <v>3416</v>
      </c>
      <c r="I625" s="86">
        <v>66095.0</v>
      </c>
      <c r="J625" s="95" t="s">
        <v>3362</v>
      </c>
      <c r="K625" s="86" t="s">
        <v>647</v>
      </c>
      <c r="L625" s="86">
        <v>9005.0</v>
      </c>
      <c r="M625" s="86" t="s">
        <v>1784</v>
      </c>
      <c r="O625" s="86">
        <v>0.7</v>
      </c>
      <c r="P625" s="95" t="s">
        <v>3363</v>
      </c>
      <c r="Q625" s="86" t="s">
        <v>658</v>
      </c>
      <c r="R625" s="86">
        <v>9012.0</v>
      </c>
      <c r="S625" s="86" t="s">
        <v>2286</v>
      </c>
      <c r="U625" s="86">
        <v>0.9</v>
      </c>
      <c r="V625" s="86">
        <v>70001.0</v>
      </c>
      <c r="W625" s="86">
        <v>3.0</v>
      </c>
      <c r="X625" s="86">
        <v>1.0</v>
      </c>
      <c r="Y625" s="86">
        <v>70002.0</v>
      </c>
      <c r="Z625" s="86">
        <v>3.0</v>
      </c>
      <c r="AA625" s="86">
        <v>1.0</v>
      </c>
      <c r="AB625" s="86">
        <v>1001.0</v>
      </c>
      <c r="AC625" s="86">
        <v>100.0</v>
      </c>
      <c r="AD625" s="86">
        <v>1.0</v>
      </c>
      <c r="AE625" s="86">
        <v>8000.0</v>
      </c>
      <c r="AF625" s="86">
        <v>11150.0</v>
      </c>
      <c r="AG625" s="86">
        <v>1.0</v>
      </c>
    </row>
    <row r="626" ht="38.25" customHeight="1">
      <c r="A626" s="86">
        <v>1520.0</v>
      </c>
      <c r="B626" s="86" t="s">
        <v>1605</v>
      </c>
      <c r="C626" s="86">
        <v>14.0</v>
      </c>
      <c r="D626" s="86" t="s">
        <v>3419</v>
      </c>
      <c r="E626" s="86">
        <v>150.0</v>
      </c>
      <c r="G626" s="96" t="s">
        <v>3420</v>
      </c>
      <c r="I626" s="86">
        <v>66220.0</v>
      </c>
      <c r="J626" s="95" t="s">
        <v>3362</v>
      </c>
      <c r="K626" s="86" t="s">
        <v>647</v>
      </c>
      <c r="L626" s="86">
        <v>9012.0</v>
      </c>
      <c r="M626" s="86" t="s">
        <v>2012</v>
      </c>
      <c r="O626" s="86">
        <v>0.4</v>
      </c>
      <c r="P626" s="95" t="s">
        <v>3363</v>
      </c>
      <c r="Q626" s="86" t="s">
        <v>658</v>
      </c>
      <c r="R626" s="86">
        <v>9010.0</v>
      </c>
      <c r="S626" s="86" t="s">
        <v>1549</v>
      </c>
      <c r="U626" s="86">
        <v>0.3</v>
      </c>
      <c r="V626" s="86">
        <v>70001.0</v>
      </c>
      <c r="W626" s="86">
        <v>3.0</v>
      </c>
      <c r="X626" s="86">
        <v>1.0</v>
      </c>
      <c r="Y626" s="86">
        <v>70002.0</v>
      </c>
      <c r="Z626" s="86">
        <v>3.0</v>
      </c>
      <c r="AA626" s="86">
        <v>1.0</v>
      </c>
      <c r="AB626" s="86">
        <v>1001.0</v>
      </c>
      <c r="AC626" s="86">
        <v>100.0</v>
      </c>
      <c r="AD626" s="86">
        <v>1.0</v>
      </c>
      <c r="AE626" s="86">
        <v>8000.0</v>
      </c>
      <c r="AF626" s="86">
        <v>11150.0</v>
      </c>
      <c r="AG626" s="86">
        <v>1.0</v>
      </c>
    </row>
    <row r="627" ht="38.25" customHeight="1">
      <c r="A627" s="86">
        <v>1521.0</v>
      </c>
      <c r="B627" s="86" t="s">
        <v>1605</v>
      </c>
      <c r="C627" s="86">
        <v>14.0</v>
      </c>
      <c r="D627" s="86" t="s">
        <v>3421</v>
      </c>
      <c r="E627" s="86">
        <v>150.0</v>
      </c>
      <c r="G627" s="96" t="s">
        <v>3422</v>
      </c>
      <c r="I627" s="86">
        <v>66345.0</v>
      </c>
      <c r="J627" s="95" t="s">
        <v>3362</v>
      </c>
      <c r="K627" s="86" t="s">
        <v>647</v>
      </c>
      <c r="L627" s="86">
        <v>9006.0</v>
      </c>
      <c r="M627" s="86" t="s">
        <v>2530</v>
      </c>
      <c r="O627" s="86">
        <v>0.3</v>
      </c>
      <c r="P627" s="95" t="s">
        <v>3363</v>
      </c>
      <c r="Q627" s="86" t="s">
        <v>658</v>
      </c>
      <c r="R627" s="86">
        <v>9010.0</v>
      </c>
      <c r="S627" s="86" t="s">
        <v>1450</v>
      </c>
      <c r="U627" s="86">
        <v>0.7</v>
      </c>
      <c r="V627" s="86">
        <v>70001.0</v>
      </c>
      <c r="W627" s="86">
        <v>3.0</v>
      </c>
      <c r="X627" s="86">
        <v>1.0</v>
      </c>
      <c r="Y627" s="86">
        <v>70002.0</v>
      </c>
      <c r="Z627" s="86">
        <v>3.0</v>
      </c>
      <c r="AA627" s="86">
        <v>1.0</v>
      </c>
      <c r="AB627" s="86">
        <v>1001.0</v>
      </c>
      <c r="AC627" s="86">
        <v>100.0</v>
      </c>
      <c r="AD627" s="86">
        <v>1.0</v>
      </c>
      <c r="AE627" s="86">
        <v>8000.0</v>
      </c>
      <c r="AF627" s="86">
        <v>11200.0</v>
      </c>
      <c r="AG627" s="86">
        <v>1.0</v>
      </c>
    </row>
    <row r="628" ht="38.25" customHeight="1">
      <c r="A628" s="86">
        <v>1522.0</v>
      </c>
      <c r="B628" s="86" t="s">
        <v>1605</v>
      </c>
      <c r="C628" s="86">
        <v>14.0</v>
      </c>
      <c r="D628" s="86" t="s">
        <v>3424</v>
      </c>
      <c r="E628" s="86">
        <v>150.0</v>
      </c>
      <c r="G628" s="96" t="s">
        <v>3425</v>
      </c>
      <c r="I628" s="86">
        <v>66470.0</v>
      </c>
      <c r="J628" s="95" t="s">
        <v>3362</v>
      </c>
      <c r="K628" s="86" t="s">
        <v>647</v>
      </c>
      <c r="L628" s="86">
        <v>9005.0</v>
      </c>
      <c r="M628" s="86">
        <v>12.0</v>
      </c>
      <c r="O628" s="86">
        <v>0.9</v>
      </c>
      <c r="P628" s="95" t="s">
        <v>3363</v>
      </c>
      <c r="Q628" s="86" t="s">
        <v>658</v>
      </c>
      <c r="R628" s="86">
        <v>9007.0</v>
      </c>
      <c r="S628" s="86" t="s">
        <v>1826</v>
      </c>
      <c r="U628" s="86">
        <v>0.6</v>
      </c>
      <c r="V628" s="86">
        <v>70001.0</v>
      </c>
      <c r="W628" s="86">
        <v>3.0</v>
      </c>
      <c r="X628" s="86">
        <v>1.0</v>
      </c>
      <c r="Y628" s="86">
        <v>70002.0</v>
      </c>
      <c r="Z628" s="86">
        <v>3.0</v>
      </c>
      <c r="AA628" s="86">
        <v>1.0</v>
      </c>
      <c r="AB628" s="86">
        <v>1001.0</v>
      </c>
      <c r="AC628" s="86">
        <v>100.0</v>
      </c>
      <c r="AD628" s="86">
        <v>1.0</v>
      </c>
      <c r="AE628" s="86">
        <v>8000.0</v>
      </c>
      <c r="AF628" s="86">
        <v>11200.0</v>
      </c>
      <c r="AG628" s="86">
        <v>1.0</v>
      </c>
    </row>
    <row r="629" ht="38.25" customHeight="1">
      <c r="A629" s="86">
        <v>1523.0</v>
      </c>
      <c r="B629" s="86" t="s">
        <v>1605</v>
      </c>
      <c r="C629" s="86">
        <v>14.0</v>
      </c>
      <c r="D629" s="86" t="s">
        <v>3426</v>
      </c>
      <c r="E629" s="86">
        <v>150.0</v>
      </c>
      <c r="G629" s="96" t="s">
        <v>3427</v>
      </c>
      <c r="I629" s="86">
        <v>66595.0</v>
      </c>
      <c r="J629" s="95" t="s">
        <v>3362</v>
      </c>
      <c r="K629" s="86" t="s">
        <v>647</v>
      </c>
      <c r="L629" s="86">
        <v>9008.0</v>
      </c>
      <c r="M629" s="86">
        <v>5.0</v>
      </c>
      <c r="O629" s="86">
        <v>0.6</v>
      </c>
      <c r="P629" s="95" t="s">
        <v>3363</v>
      </c>
      <c r="Q629" s="86" t="s">
        <v>658</v>
      </c>
      <c r="R629" s="86">
        <v>9010.0</v>
      </c>
      <c r="S629" s="86">
        <v>3.0</v>
      </c>
      <c r="U629" s="86">
        <v>0.8</v>
      </c>
      <c r="V629" s="86">
        <v>70001.0</v>
      </c>
      <c r="W629" s="86">
        <v>3.0</v>
      </c>
      <c r="X629" s="86">
        <v>1.0</v>
      </c>
      <c r="Y629" s="86">
        <v>70002.0</v>
      </c>
      <c r="Z629" s="86">
        <v>3.0</v>
      </c>
      <c r="AA629" s="86">
        <v>1.0</v>
      </c>
      <c r="AB629" s="86">
        <v>1001.0</v>
      </c>
      <c r="AC629" s="86">
        <v>100.0</v>
      </c>
      <c r="AD629" s="86">
        <v>1.0</v>
      </c>
      <c r="AE629" s="86">
        <v>8000.0</v>
      </c>
      <c r="AF629" s="86">
        <v>11250.0</v>
      </c>
      <c r="AG629" s="86">
        <v>1.0</v>
      </c>
    </row>
    <row r="630" ht="38.25" customHeight="1">
      <c r="A630" s="86">
        <v>1524.0</v>
      </c>
      <c r="B630" s="86" t="s">
        <v>1605</v>
      </c>
      <c r="C630" s="86">
        <v>14.0</v>
      </c>
      <c r="D630" s="86" t="s">
        <v>3428</v>
      </c>
      <c r="E630" s="86">
        <v>150.0</v>
      </c>
      <c r="G630" s="96" t="s">
        <v>3429</v>
      </c>
      <c r="I630" s="86">
        <v>66720.0</v>
      </c>
      <c r="J630" s="95" t="s">
        <v>3362</v>
      </c>
      <c r="K630" s="86" t="s">
        <v>647</v>
      </c>
      <c r="L630" s="86">
        <v>9001.0</v>
      </c>
      <c r="M630" s="86" t="s">
        <v>3430</v>
      </c>
      <c r="O630" s="86">
        <v>0.9</v>
      </c>
      <c r="P630" s="95" t="s">
        <v>3363</v>
      </c>
      <c r="Q630" s="86" t="s">
        <v>658</v>
      </c>
      <c r="R630" s="86">
        <v>9010.0</v>
      </c>
      <c r="S630" s="86">
        <v>11.0</v>
      </c>
      <c r="U630" s="86">
        <v>0.2</v>
      </c>
      <c r="V630" s="86">
        <v>70001.0</v>
      </c>
      <c r="W630" s="86">
        <v>3.0</v>
      </c>
      <c r="X630" s="86">
        <v>1.0</v>
      </c>
      <c r="Y630" s="86">
        <v>70002.0</v>
      </c>
      <c r="Z630" s="86">
        <v>3.0</v>
      </c>
      <c r="AA630" s="86">
        <v>1.0</v>
      </c>
      <c r="AB630" s="86">
        <v>1001.0</v>
      </c>
      <c r="AC630" s="86">
        <v>100.0</v>
      </c>
      <c r="AD630" s="86">
        <v>1.0</v>
      </c>
      <c r="AE630" s="86">
        <v>8000.0</v>
      </c>
      <c r="AF630" s="86">
        <v>11250.0</v>
      </c>
      <c r="AG630" s="86">
        <v>1.0</v>
      </c>
    </row>
    <row r="631" ht="38.25" customHeight="1">
      <c r="A631" s="86">
        <v>1525.0</v>
      </c>
      <c r="B631" s="86" t="s">
        <v>1605</v>
      </c>
      <c r="C631" s="86">
        <v>14.0</v>
      </c>
      <c r="D631" s="86" t="s">
        <v>3432</v>
      </c>
      <c r="E631" s="86">
        <v>150.0</v>
      </c>
      <c r="G631" s="96" t="s">
        <v>3433</v>
      </c>
      <c r="I631" s="86">
        <v>66845.0</v>
      </c>
      <c r="J631" s="95" t="s">
        <v>3362</v>
      </c>
      <c r="K631" s="86" t="s">
        <v>647</v>
      </c>
      <c r="L631" s="86">
        <v>9011.0</v>
      </c>
      <c r="M631" s="86">
        <v>3.0</v>
      </c>
      <c r="O631" s="86">
        <v>0.2</v>
      </c>
      <c r="P631" s="95" t="s">
        <v>3363</v>
      </c>
      <c r="Q631" s="86" t="s">
        <v>658</v>
      </c>
      <c r="R631" s="86">
        <v>9011.0</v>
      </c>
      <c r="S631" s="86" t="s">
        <v>1513</v>
      </c>
      <c r="U631" s="86">
        <v>1.0</v>
      </c>
      <c r="V631" s="86">
        <v>70001.0</v>
      </c>
      <c r="W631" s="86">
        <v>3.0</v>
      </c>
      <c r="X631" s="86">
        <v>1.0</v>
      </c>
      <c r="Y631" s="86">
        <v>70002.0</v>
      </c>
      <c r="Z631" s="86">
        <v>3.0</v>
      </c>
      <c r="AA631" s="86">
        <v>1.0</v>
      </c>
      <c r="AB631" s="86">
        <v>1001.0</v>
      </c>
      <c r="AC631" s="86">
        <v>100.0</v>
      </c>
      <c r="AD631" s="86">
        <v>1.0</v>
      </c>
      <c r="AE631" s="86">
        <v>8000.0</v>
      </c>
      <c r="AF631" s="86">
        <v>11300.0</v>
      </c>
      <c r="AG631" s="86">
        <v>1.0</v>
      </c>
    </row>
    <row r="632" ht="38.25" customHeight="1">
      <c r="A632" s="86">
        <v>1526.0</v>
      </c>
      <c r="B632" s="86" t="s">
        <v>1605</v>
      </c>
      <c r="C632" s="86">
        <v>14.0</v>
      </c>
      <c r="D632" s="86" t="s">
        <v>3434</v>
      </c>
      <c r="E632" s="86">
        <v>150.0</v>
      </c>
      <c r="G632" s="96" t="s">
        <v>3435</v>
      </c>
      <c r="I632" s="86">
        <v>66970.0</v>
      </c>
      <c r="J632" s="95" t="s">
        <v>3362</v>
      </c>
      <c r="K632" s="86" t="s">
        <v>647</v>
      </c>
      <c r="L632" s="86">
        <v>9008.0</v>
      </c>
      <c r="M632" s="86" t="s">
        <v>1091</v>
      </c>
      <c r="O632" s="86">
        <v>0.4</v>
      </c>
      <c r="P632" s="95" t="s">
        <v>3363</v>
      </c>
      <c r="Q632" s="86" t="s">
        <v>658</v>
      </c>
      <c r="R632" s="86">
        <v>9004.0</v>
      </c>
      <c r="S632" s="86">
        <v>7.0</v>
      </c>
      <c r="U632" s="86">
        <v>0.8</v>
      </c>
      <c r="V632" s="86">
        <v>70001.0</v>
      </c>
      <c r="W632" s="86">
        <v>3.0</v>
      </c>
      <c r="X632" s="86">
        <v>1.0</v>
      </c>
      <c r="Y632" s="86">
        <v>70002.0</v>
      </c>
      <c r="Z632" s="86">
        <v>3.0</v>
      </c>
      <c r="AA632" s="86">
        <v>1.0</v>
      </c>
      <c r="AB632" s="86">
        <v>1001.0</v>
      </c>
      <c r="AC632" s="86">
        <v>100.0</v>
      </c>
      <c r="AD632" s="86">
        <v>1.0</v>
      </c>
      <c r="AE632" s="86">
        <v>8000.0</v>
      </c>
      <c r="AF632" s="86">
        <v>11350.0</v>
      </c>
      <c r="AG632" s="86">
        <v>1.0</v>
      </c>
    </row>
    <row r="633" ht="38.25" customHeight="1">
      <c r="A633" s="86">
        <v>1527.0</v>
      </c>
      <c r="B633" s="86" t="s">
        <v>1605</v>
      </c>
      <c r="C633" s="86">
        <v>14.0</v>
      </c>
      <c r="D633" s="86" t="s">
        <v>3436</v>
      </c>
      <c r="E633" s="86">
        <v>150.0</v>
      </c>
      <c r="G633" s="96" t="s">
        <v>3437</v>
      </c>
      <c r="I633" s="86">
        <v>67095.0</v>
      </c>
      <c r="J633" s="95" t="s">
        <v>3362</v>
      </c>
      <c r="K633" s="86" t="s">
        <v>647</v>
      </c>
      <c r="L633" s="86">
        <v>9011.0</v>
      </c>
      <c r="M633" s="86" t="s">
        <v>3438</v>
      </c>
      <c r="O633" s="86">
        <v>0.7</v>
      </c>
      <c r="P633" s="95" t="s">
        <v>3363</v>
      </c>
      <c r="Q633" s="86" t="s">
        <v>658</v>
      </c>
      <c r="R633" s="86">
        <v>9010.0</v>
      </c>
      <c r="S633" s="86" t="s">
        <v>1217</v>
      </c>
      <c r="U633" s="86">
        <v>0.8</v>
      </c>
      <c r="V633" s="86">
        <v>70001.0</v>
      </c>
      <c r="W633" s="86">
        <v>3.0</v>
      </c>
      <c r="X633" s="86">
        <v>1.0</v>
      </c>
      <c r="Y633" s="86">
        <v>70002.0</v>
      </c>
      <c r="Z633" s="86">
        <v>3.0</v>
      </c>
      <c r="AA633" s="86">
        <v>1.0</v>
      </c>
      <c r="AB633" s="86">
        <v>1001.0</v>
      </c>
      <c r="AC633" s="86">
        <v>100.0</v>
      </c>
      <c r="AD633" s="86">
        <v>1.0</v>
      </c>
      <c r="AE633" s="86">
        <v>8000.0</v>
      </c>
      <c r="AF633" s="86">
        <v>11350.0</v>
      </c>
      <c r="AG633" s="86">
        <v>1.0</v>
      </c>
    </row>
    <row r="634" ht="38.25" customHeight="1">
      <c r="A634" s="86">
        <v>1528.0</v>
      </c>
      <c r="B634" s="86" t="s">
        <v>1605</v>
      </c>
      <c r="C634" s="86">
        <v>14.0</v>
      </c>
      <c r="D634" s="86" t="s">
        <v>3439</v>
      </c>
      <c r="E634" s="86">
        <v>150.0</v>
      </c>
      <c r="G634" s="96" t="s">
        <v>3440</v>
      </c>
      <c r="I634" s="86">
        <v>67220.0</v>
      </c>
      <c r="J634" s="95" t="s">
        <v>3362</v>
      </c>
      <c r="K634" s="86" t="s">
        <v>647</v>
      </c>
      <c r="L634" s="86">
        <v>9007.0</v>
      </c>
      <c r="M634" s="86" t="s">
        <v>2055</v>
      </c>
      <c r="O634" s="86">
        <v>0.8</v>
      </c>
      <c r="P634" s="95" t="s">
        <v>3363</v>
      </c>
      <c r="Q634" s="86" t="s">
        <v>658</v>
      </c>
      <c r="R634" s="86">
        <v>9004.0</v>
      </c>
      <c r="S634" s="86">
        <v>5.0</v>
      </c>
      <c r="U634" s="86">
        <v>0.8</v>
      </c>
      <c r="V634" s="86">
        <v>70001.0</v>
      </c>
      <c r="W634" s="86">
        <v>3.0</v>
      </c>
      <c r="X634" s="86">
        <v>1.0</v>
      </c>
      <c r="Y634" s="86">
        <v>70002.0</v>
      </c>
      <c r="Z634" s="86">
        <v>3.0</v>
      </c>
      <c r="AA634" s="86">
        <v>1.0</v>
      </c>
      <c r="AB634" s="86">
        <v>1001.0</v>
      </c>
      <c r="AC634" s="86">
        <v>100.0</v>
      </c>
      <c r="AD634" s="86">
        <v>1.0</v>
      </c>
      <c r="AE634" s="86">
        <v>8000.0</v>
      </c>
      <c r="AF634" s="86">
        <v>11400.0</v>
      </c>
      <c r="AG634" s="86">
        <v>1.0</v>
      </c>
    </row>
    <row r="635" ht="38.25" customHeight="1">
      <c r="A635" s="86">
        <v>1529.0</v>
      </c>
      <c r="B635" s="86" t="s">
        <v>1605</v>
      </c>
      <c r="C635" s="86">
        <v>14.0</v>
      </c>
      <c r="D635" s="86" t="s">
        <v>3441</v>
      </c>
      <c r="E635" s="86">
        <v>150.0</v>
      </c>
      <c r="G635" s="96" t="s">
        <v>3442</v>
      </c>
      <c r="I635" s="86">
        <v>67345.0</v>
      </c>
      <c r="J635" s="95" t="s">
        <v>3362</v>
      </c>
      <c r="K635" s="86" t="s">
        <v>647</v>
      </c>
      <c r="L635" s="86">
        <v>9005.0</v>
      </c>
      <c r="M635" s="86" t="s">
        <v>3221</v>
      </c>
      <c r="O635" s="86">
        <v>0.8</v>
      </c>
      <c r="P635" s="95" t="s">
        <v>3363</v>
      </c>
      <c r="Q635" s="86" t="s">
        <v>658</v>
      </c>
      <c r="R635" s="86">
        <v>9010.0</v>
      </c>
      <c r="S635" s="86">
        <v>12.0</v>
      </c>
      <c r="U635" s="86">
        <v>0.5</v>
      </c>
      <c r="V635" s="86">
        <v>70001.0</v>
      </c>
      <c r="W635" s="86">
        <v>3.0</v>
      </c>
      <c r="X635" s="86">
        <v>1.0</v>
      </c>
      <c r="Y635" s="86">
        <v>70002.0</v>
      </c>
      <c r="Z635" s="86">
        <v>3.0</v>
      </c>
      <c r="AA635" s="86">
        <v>1.0</v>
      </c>
      <c r="AB635" s="86">
        <v>1001.0</v>
      </c>
      <c r="AC635" s="86">
        <v>100.0</v>
      </c>
      <c r="AD635" s="86">
        <v>1.0</v>
      </c>
      <c r="AE635" s="86">
        <v>8000.0</v>
      </c>
      <c r="AF635" s="86">
        <v>11400.0</v>
      </c>
      <c r="AG635" s="86">
        <v>1.0</v>
      </c>
    </row>
    <row r="636" ht="38.25" customHeight="1">
      <c r="A636" s="86">
        <v>1530.0</v>
      </c>
      <c r="B636" s="86" t="s">
        <v>1605</v>
      </c>
      <c r="C636" s="86">
        <v>14.0</v>
      </c>
      <c r="D636" s="86" t="s">
        <v>3444</v>
      </c>
      <c r="E636" s="86">
        <v>150.0</v>
      </c>
      <c r="G636" s="96" t="s">
        <v>3445</v>
      </c>
      <c r="I636" s="86">
        <v>67470.0</v>
      </c>
      <c r="J636" s="95" t="s">
        <v>3362</v>
      </c>
      <c r="K636" s="86" t="s">
        <v>647</v>
      </c>
      <c r="L636" s="86">
        <v>9007.0</v>
      </c>
      <c r="M636" s="86" t="s">
        <v>3446</v>
      </c>
      <c r="O636" s="86">
        <v>0.7</v>
      </c>
      <c r="P636" s="95" t="s">
        <v>3363</v>
      </c>
      <c r="Q636" s="86" t="s">
        <v>658</v>
      </c>
      <c r="R636" s="86">
        <v>9007.0</v>
      </c>
      <c r="S636" s="86" t="s">
        <v>2237</v>
      </c>
      <c r="U636" s="86">
        <v>0.4</v>
      </c>
      <c r="V636" s="86">
        <v>70001.0</v>
      </c>
      <c r="W636" s="86">
        <v>3.0</v>
      </c>
      <c r="X636" s="86">
        <v>1.0</v>
      </c>
      <c r="Y636" s="86">
        <v>70002.0</v>
      </c>
      <c r="Z636" s="86">
        <v>3.0</v>
      </c>
      <c r="AA636" s="86">
        <v>1.0</v>
      </c>
      <c r="AB636" s="86">
        <v>1001.0</v>
      </c>
      <c r="AC636" s="86">
        <v>100.0</v>
      </c>
      <c r="AD636" s="86">
        <v>1.0</v>
      </c>
      <c r="AE636" s="86">
        <v>8000.0</v>
      </c>
      <c r="AF636" s="86">
        <v>11450.0</v>
      </c>
      <c r="AG636" s="86">
        <v>1.0</v>
      </c>
    </row>
    <row r="637" ht="38.25" customHeight="1">
      <c r="A637" s="86">
        <v>1531.0</v>
      </c>
      <c r="B637" s="86" t="s">
        <v>1605</v>
      </c>
      <c r="C637" s="86">
        <v>14.0</v>
      </c>
      <c r="D637" s="86" t="s">
        <v>3447</v>
      </c>
      <c r="E637" s="86">
        <v>150.0</v>
      </c>
      <c r="G637" s="96" t="s">
        <v>3448</v>
      </c>
      <c r="I637" s="86">
        <v>67595.0</v>
      </c>
      <c r="J637" s="95" t="s">
        <v>3362</v>
      </c>
      <c r="K637" s="86" t="s">
        <v>647</v>
      </c>
      <c r="L637" s="86">
        <v>9002.0</v>
      </c>
      <c r="M637" s="86" t="s">
        <v>3430</v>
      </c>
      <c r="O637" s="86">
        <v>0.2</v>
      </c>
      <c r="P637" s="95" t="s">
        <v>3363</v>
      </c>
      <c r="Q637" s="86" t="s">
        <v>658</v>
      </c>
      <c r="R637" s="86">
        <v>9004.0</v>
      </c>
      <c r="S637" s="86" t="s">
        <v>1791</v>
      </c>
      <c r="U637" s="86">
        <v>0.5</v>
      </c>
      <c r="V637" s="86">
        <v>70001.0</v>
      </c>
      <c r="W637" s="86">
        <v>3.0</v>
      </c>
      <c r="X637" s="86">
        <v>1.0</v>
      </c>
      <c r="Y637" s="86">
        <v>70002.0</v>
      </c>
      <c r="Z637" s="86">
        <v>3.0</v>
      </c>
      <c r="AA637" s="86">
        <v>1.0</v>
      </c>
      <c r="AB637" s="86">
        <v>1001.0</v>
      </c>
      <c r="AC637" s="86">
        <v>100.0</v>
      </c>
      <c r="AD637" s="86">
        <v>1.0</v>
      </c>
      <c r="AE637" s="86">
        <v>8000.0</v>
      </c>
      <c r="AF637" s="86">
        <v>11450.0</v>
      </c>
      <c r="AG637" s="86">
        <v>1.0</v>
      </c>
    </row>
    <row r="638" ht="38.25" customHeight="1">
      <c r="A638" s="86">
        <v>1532.0</v>
      </c>
      <c r="B638" s="86" t="s">
        <v>1605</v>
      </c>
      <c r="C638" s="86">
        <v>14.0</v>
      </c>
      <c r="D638" s="86" t="s">
        <v>3449</v>
      </c>
      <c r="E638" s="86">
        <v>150.0</v>
      </c>
      <c r="G638" s="96" t="s">
        <v>3450</v>
      </c>
      <c r="I638" s="86">
        <v>67720.0</v>
      </c>
      <c r="J638" s="95" t="s">
        <v>3362</v>
      </c>
      <c r="K638" s="86" t="s">
        <v>647</v>
      </c>
      <c r="L638" s="86">
        <v>9007.0</v>
      </c>
      <c r="M638" s="86">
        <v>10.0</v>
      </c>
      <c r="O638" s="86">
        <v>0.8</v>
      </c>
      <c r="P638" s="95" t="s">
        <v>3363</v>
      </c>
      <c r="Q638" s="86" t="s">
        <v>658</v>
      </c>
      <c r="R638" s="86">
        <v>9004.0</v>
      </c>
      <c r="S638" s="86" t="s">
        <v>1091</v>
      </c>
      <c r="U638" s="86">
        <v>0.4</v>
      </c>
      <c r="V638" s="86">
        <v>70001.0</v>
      </c>
      <c r="W638" s="86">
        <v>3.0</v>
      </c>
      <c r="X638" s="86">
        <v>1.0</v>
      </c>
      <c r="Y638" s="86">
        <v>70002.0</v>
      </c>
      <c r="Z638" s="86">
        <v>3.0</v>
      </c>
      <c r="AA638" s="86">
        <v>1.0</v>
      </c>
      <c r="AB638" s="86">
        <v>1001.0</v>
      </c>
      <c r="AC638" s="86">
        <v>100.0</v>
      </c>
      <c r="AD638" s="86">
        <v>1.0</v>
      </c>
      <c r="AE638" s="86">
        <v>8000.0</v>
      </c>
      <c r="AF638" s="86">
        <v>11500.0</v>
      </c>
      <c r="AG638" s="86">
        <v>1.0</v>
      </c>
    </row>
    <row r="639" ht="38.25" customHeight="1">
      <c r="A639" s="86">
        <v>1533.0</v>
      </c>
      <c r="B639" s="86" t="s">
        <v>1605</v>
      </c>
      <c r="C639" s="86">
        <v>14.0</v>
      </c>
      <c r="D639" s="86" t="s">
        <v>3452</v>
      </c>
      <c r="E639" s="86">
        <v>150.0</v>
      </c>
      <c r="G639" s="96" t="s">
        <v>3453</v>
      </c>
      <c r="I639" s="86">
        <v>67845.0</v>
      </c>
      <c r="J639" s="95" t="s">
        <v>3362</v>
      </c>
      <c r="K639" s="86" t="s">
        <v>647</v>
      </c>
      <c r="L639" s="86">
        <v>9007.0</v>
      </c>
      <c r="M639" s="86">
        <v>9.0</v>
      </c>
      <c r="O639" s="86">
        <v>0.9</v>
      </c>
      <c r="P639" s="95" t="s">
        <v>3363</v>
      </c>
      <c r="Q639" s="86" t="s">
        <v>658</v>
      </c>
      <c r="R639" s="86">
        <v>9004.0</v>
      </c>
      <c r="S639" s="86">
        <v>1.0</v>
      </c>
      <c r="U639" s="86">
        <v>0.6</v>
      </c>
      <c r="V639" s="86">
        <v>70001.0</v>
      </c>
      <c r="W639" s="86">
        <v>3.0</v>
      </c>
      <c r="X639" s="86">
        <v>1.0</v>
      </c>
      <c r="Y639" s="86">
        <v>70002.0</v>
      </c>
      <c r="Z639" s="86">
        <v>3.0</v>
      </c>
      <c r="AA639" s="86">
        <v>1.0</v>
      </c>
      <c r="AB639" s="86">
        <v>1001.0</v>
      </c>
      <c r="AC639" s="86">
        <v>100.0</v>
      </c>
      <c r="AD639" s="86">
        <v>1.0</v>
      </c>
      <c r="AE639" s="86">
        <v>8000.0</v>
      </c>
      <c r="AF639" s="86">
        <v>11500.0</v>
      </c>
      <c r="AG639" s="86">
        <v>1.0</v>
      </c>
    </row>
    <row r="640" ht="38.25" customHeight="1">
      <c r="A640" s="86">
        <v>1534.0</v>
      </c>
      <c r="B640" s="86" t="s">
        <v>1605</v>
      </c>
      <c r="C640" s="86">
        <v>14.0</v>
      </c>
      <c r="D640" s="86" t="s">
        <v>3454</v>
      </c>
      <c r="E640" s="86">
        <v>150.0</v>
      </c>
      <c r="G640" s="96" t="s">
        <v>3455</v>
      </c>
      <c r="I640" s="86">
        <v>67970.0</v>
      </c>
      <c r="J640" s="95" t="s">
        <v>3362</v>
      </c>
      <c r="K640" s="86" t="s">
        <v>647</v>
      </c>
      <c r="L640" s="86">
        <v>9005.0</v>
      </c>
      <c r="M640" s="86" t="s">
        <v>1592</v>
      </c>
      <c r="O640" s="86">
        <v>0.1</v>
      </c>
      <c r="P640" s="95" t="s">
        <v>3363</v>
      </c>
      <c r="Q640" s="86" t="s">
        <v>658</v>
      </c>
      <c r="R640" s="86">
        <v>9008.0</v>
      </c>
      <c r="S640" s="86">
        <v>2.0</v>
      </c>
      <c r="U640" s="86">
        <v>0.3</v>
      </c>
      <c r="V640" s="86">
        <v>70001.0</v>
      </c>
      <c r="W640" s="86">
        <v>3.0</v>
      </c>
      <c r="X640" s="86">
        <v>1.0</v>
      </c>
      <c r="Y640" s="86">
        <v>70002.0</v>
      </c>
      <c r="Z640" s="86">
        <v>3.0</v>
      </c>
      <c r="AA640" s="86">
        <v>1.0</v>
      </c>
      <c r="AB640" s="86">
        <v>1001.0</v>
      </c>
      <c r="AC640" s="86">
        <v>100.0</v>
      </c>
      <c r="AD640" s="86">
        <v>1.0</v>
      </c>
      <c r="AE640" s="86">
        <v>8000.0</v>
      </c>
      <c r="AF640" s="86">
        <v>11550.0</v>
      </c>
      <c r="AG640" s="86">
        <v>1.0</v>
      </c>
    </row>
    <row r="641" ht="38.25" customHeight="1">
      <c r="A641" s="86">
        <v>1535.0</v>
      </c>
      <c r="B641" s="86" t="s">
        <v>1605</v>
      </c>
      <c r="C641" s="86">
        <v>14.0</v>
      </c>
      <c r="D641" s="86" t="s">
        <v>3456</v>
      </c>
      <c r="E641" s="86">
        <v>150.0</v>
      </c>
      <c r="G641" s="96" t="s">
        <v>3457</v>
      </c>
      <c r="I641" s="86">
        <v>68095.0</v>
      </c>
      <c r="J641" s="95" t="s">
        <v>3362</v>
      </c>
      <c r="K641" s="86" t="s">
        <v>647</v>
      </c>
      <c r="L641" s="86">
        <v>9012.0</v>
      </c>
      <c r="M641" s="86">
        <v>7.0</v>
      </c>
      <c r="O641" s="86">
        <v>0.8</v>
      </c>
      <c r="P641" s="95" t="s">
        <v>3363</v>
      </c>
      <c r="Q641" s="86" t="s">
        <v>658</v>
      </c>
      <c r="R641" s="86">
        <v>9004.0</v>
      </c>
      <c r="S641" s="86">
        <v>13.0</v>
      </c>
      <c r="U641" s="86">
        <v>0.7</v>
      </c>
      <c r="V641" s="86">
        <v>70001.0</v>
      </c>
      <c r="W641" s="86">
        <v>3.0</v>
      </c>
      <c r="X641" s="86">
        <v>1.0</v>
      </c>
      <c r="Y641" s="86">
        <v>70002.0</v>
      </c>
      <c r="Z641" s="86">
        <v>3.0</v>
      </c>
      <c r="AA641" s="86">
        <v>1.0</v>
      </c>
      <c r="AB641" s="86">
        <v>1001.0</v>
      </c>
      <c r="AC641" s="86">
        <v>100.0</v>
      </c>
      <c r="AD641" s="86">
        <v>1.0</v>
      </c>
      <c r="AE641" s="86">
        <v>8000.0</v>
      </c>
      <c r="AF641" s="86">
        <v>11600.0</v>
      </c>
      <c r="AG641" s="86">
        <v>1.0</v>
      </c>
    </row>
    <row r="642" ht="38.25" customHeight="1">
      <c r="A642" s="86">
        <v>1536.0</v>
      </c>
      <c r="B642" s="86" t="s">
        <v>1605</v>
      </c>
      <c r="C642" s="86">
        <v>14.0</v>
      </c>
      <c r="D642" s="86" t="s">
        <v>3459</v>
      </c>
      <c r="E642" s="86">
        <v>150.0</v>
      </c>
      <c r="G642" s="96" t="s">
        <v>3460</v>
      </c>
      <c r="I642" s="86">
        <v>68220.0</v>
      </c>
      <c r="J642" s="95" t="s">
        <v>3362</v>
      </c>
      <c r="K642" s="86" t="s">
        <v>647</v>
      </c>
      <c r="L642" s="86">
        <v>9008.0</v>
      </c>
      <c r="M642" s="86">
        <v>11.0</v>
      </c>
      <c r="O642" s="86">
        <v>0.2</v>
      </c>
      <c r="P642" s="95" t="s">
        <v>3363</v>
      </c>
      <c r="Q642" s="86" t="s">
        <v>658</v>
      </c>
      <c r="R642" s="86">
        <v>9004.0</v>
      </c>
      <c r="S642" s="86" t="s">
        <v>3461</v>
      </c>
      <c r="U642" s="86">
        <v>0.1</v>
      </c>
      <c r="V642" s="86">
        <v>70001.0</v>
      </c>
      <c r="W642" s="86">
        <v>3.0</v>
      </c>
      <c r="X642" s="86">
        <v>1.0</v>
      </c>
      <c r="Y642" s="86">
        <v>70002.0</v>
      </c>
      <c r="Z642" s="86">
        <v>3.0</v>
      </c>
      <c r="AA642" s="86">
        <v>1.0</v>
      </c>
      <c r="AB642" s="86">
        <v>1001.0</v>
      </c>
      <c r="AC642" s="86">
        <v>100.0</v>
      </c>
      <c r="AD642" s="86">
        <v>1.0</v>
      </c>
      <c r="AE642" s="86">
        <v>8000.0</v>
      </c>
      <c r="AF642" s="86">
        <v>11600.0</v>
      </c>
      <c r="AG642" s="86">
        <v>1.0</v>
      </c>
    </row>
    <row r="643" ht="38.25" customHeight="1">
      <c r="A643" s="86">
        <v>1537.0</v>
      </c>
      <c r="B643" s="86" t="s">
        <v>1605</v>
      </c>
      <c r="C643" s="86">
        <v>14.0</v>
      </c>
      <c r="D643" s="86" t="s">
        <v>3462</v>
      </c>
      <c r="E643" s="86">
        <v>150.0</v>
      </c>
      <c r="G643" s="96" t="s">
        <v>3463</v>
      </c>
      <c r="I643" s="86">
        <v>68345.0</v>
      </c>
      <c r="J643" s="95" t="s">
        <v>3362</v>
      </c>
      <c r="K643" s="86" t="s">
        <v>647</v>
      </c>
      <c r="L643" s="86">
        <v>9002.0</v>
      </c>
      <c r="M643" s="86" t="s">
        <v>1150</v>
      </c>
      <c r="O643" s="86">
        <v>0.8</v>
      </c>
      <c r="P643" s="95" t="s">
        <v>3363</v>
      </c>
      <c r="Q643" s="86" t="s">
        <v>658</v>
      </c>
      <c r="R643" s="86">
        <v>9007.0</v>
      </c>
      <c r="S643" s="86" t="s">
        <v>2089</v>
      </c>
      <c r="U643" s="86">
        <v>0.6</v>
      </c>
      <c r="V643" s="86">
        <v>70001.0</v>
      </c>
      <c r="W643" s="86">
        <v>3.0</v>
      </c>
      <c r="X643" s="86">
        <v>1.0</v>
      </c>
      <c r="Y643" s="86">
        <v>70002.0</v>
      </c>
      <c r="Z643" s="86">
        <v>3.0</v>
      </c>
      <c r="AA643" s="86">
        <v>1.0</v>
      </c>
      <c r="AB643" s="86">
        <v>1001.0</v>
      </c>
      <c r="AC643" s="86">
        <v>100.0</v>
      </c>
      <c r="AD643" s="86">
        <v>1.0</v>
      </c>
      <c r="AE643" s="86">
        <v>8000.0</v>
      </c>
      <c r="AF643" s="86">
        <v>11650.0</v>
      </c>
      <c r="AG643" s="86">
        <v>1.0</v>
      </c>
    </row>
    <row r="644" ht="38.25" customHeight="1">
      <c r="A644" s="86">
        <v>1538.0</v>
      </c>
      <c r="B644" s="86" t="s">
        <v>1605</v>
      </c>
      <c r="C644" s="86">
        <v>14.0</v>
      </c>
      <c r="D644" s="86" t="s">
        <v>3466</v>
      </c>
      <c r="E644" s="86">
        <v>150.0</v>
      </c>
      <c r="G644" s="96" t="s">
        <v>3467</v>
      </c>
      <c r="I644" s="86">
        <v>68470.0</v>
      </c>
      <c r="J644" s="95" t="s">
        <v>3362</v>
      </c>
      <c r="K644" s="86" t="s">
        <v>647</v>
      </c>
      <c r="L644" s="86">
        <v>9012.0</v>
      </c>
      <c r="M644" s="86" t="s">
        <v>1220</v>
      </c>
      <c r="O644" s="86">
        <v>0.5</v>
      </c>
      <c r="P644" s="95" t="s">
        <v>3363</v>
      </c>
      <c r="Q644" s="86" t="s">
        <v>658</v>
      </c>
      <c r="R644" s="86">
        <v>9012.0</v>
      </c>
      <c r="S644" s="86" t="s">
        <v>1596</v>
      </c>
      <c r="U644" s="86">
        <v>0.7</v>
      </c>
      <c r="V644" s="86">
        <v>70001.0</v>
      </c>
      <c r="W644" s="86">
        <v>3.0</v>
      </c>
      <c r="X644" s="86">
        <v>1.0</v>
      </c>
      <c r="Y644" s="86">
        <v>70002.0</v>
      </c>
      <c r="Z644" s="86">
        <v>3.0</v>
      </c>
      <c r="AA644" s="86">
        <v>1.0</v>
      </c>
      <c r="AB644" s="86">
        <v>1001.0</v>
      </c>
      <c r="AC644" s="86">
        <v>100.0</v>
      </c>
      <c r="AD644" s="86">
        <v>1.0</v>
      </c>
      <c r="AE644" s="86">
        <v>8000.0</v>
      </c>
      <c r="AF644" s="86">
        <v>11650.0</v>
      </c>
      <c r="AG644" s="86">
        <v>1.0</v>
      </c>
    </row>
    <row r="645" ht="38.25" customHeight="1">
      <c r="A645" s="86">
        <v>1539.0</v>
      </c>
      <c r="B645" s="86" t="s">
        <v>1605</v>
      </c>
      <c r="C645" s="86">
        <v>14.0</v>
      </c>
      <c r="D645" s="86" t="s">
        <v>3471</v>
      </c>
      <c r="E645" s="86">
        <v>150.0</v>
      </c>
      <c r="G645" s="96" t="s">
        <v>3473</v>
      </c>
      <c r="I645" s="86">
        <v>68595.0</v>
      </c>
      <c r="J645" s="95" t="s">
        <v>3362</v>
      </c>
      <c r="K645" s="86" t="s">
        <v>647</v>
      </c>
      <c r="L645" s="86">
        <v>9002.0</v>
      </c>
      <c r="M645" s="86" t="s">
        <v>1490</v>
      </c>
      <c r="O645" s="86">
        <v>0.6</v>
      </c>
      <c r="P645" s="95" t="s">
        <v>3363</v>
      </c>
      <c r="Q645" s="86" t="s">
        <v>658</v>
      </c>
      <c r="R645" s="86">
        <v>9007.0</v>
      </c>
      <c r="S645" s="86">
        <v>2.0</v>
      </c>
      <c r="U645" s="86">
        <v>0.6</v>
      </c>
      <c r="V645" s="86">
        <v>70001.0</v>
      </c>
      <c r="W645" s="86">
        <v>3.0</v>
      </c>
      <c r="X645" s="86">
        <v>1.0</v>
      </c>
      <c r="Y645" s="86">
        <v>70002.0</v>
      </c>
      <c r="Z645" s="86">
        <v>3.0</v>
      </c>
      <c r="AA645" s="86">
        <v>1.0</v>
      </c>
      <c r="AB645" s="86">
        <v>1001.0</v>
      </c>
      <c r="AC645" s="86">
        <v>500.0</v>
      </c>
      <c r="AD645" s="86">
        <v>1.0</v>
      </c>
      <c r="AE645" s="86">
        <v>8000.0</v>
      </c>
      <c r="AF645" s="86">
        <v>11700.0</v>
      </c>
      <c r="AG645" s="86">
        <v>1.0</v>
      </c>
    </row>
    <row r="646" ht="38.25" customHeight="1">
      <c r="A646" s="86">
        <v>1540.0</v>
      </c>
      <c r="B646" s="86" t="s">
        <v>1605</v>
      </c>
      <c r="C646" s="86">
        <v>14.0</v>
      </c>
      <c r="D646" s="86" t="s">
        <v>3478</v>
      </c>
      <c r="E646" s="86">
        <v>150.0</v>
      </c>
      <c r="G646" s="96" t="s">
        <v>3479</v>
      </c>
      <c r="I646" s="86">
        <v>68720.0</v>
      </c>
      <c r="J646" s="95" t="s">
        <v>3362</v>
      </c>
      <c r="K646" s="86" t="s">
        <v>647</v>
      </c>
      <c r="L646" s="86">
        <v>9005.0</v>
      </c>
      <c r="M646" s="86">
        <v>6.0</v>
      </c>
      <c r="O646" s="86">
        <v>0.6</v>
      </c>
      <c r="P646" s="95" t="s">
        <v>3363</v>
      </c>
      <c r="Q646" s="86" t="s">
        <v>658</v>
      </c>
      <c r="R646" s="86">
        <v>9007.0</v>
      </c>
      <c r="S646" s="86">
        <v>7.0</v>
      </c>
      <c r="U646" s="86">
        <v>0.6</v>
      </c>
      <c r="V646" s="86">
        <v>70001.0</v>
      </c>
      <c r="W646" s="86">
        <v>3.0</v>
      </c>
      <c r="X646" s="86">
        <v>1.0</v>
      </c>
      <c r="Y646" s="86">
        <v>70002.0</v>
      </c>
      <c r="Z646" s="86">
        <v>3.0</v>
      </c>
      <c r="AA646" s="86">
        <v>1.0</v>
      </c>
      <c r="AB646" s="86">
        <v>1001.0</v>
      </c>
      <c r="AC646" s="86">
        <v>100.0</v>
      </c>
      <c r="AD646" s="86">
        <v>1.0</v>
      </c>
      <c r="AE646" s="86">
        <v>8000.0</v>
      </c>
      <c r="AF646" s="86">
        <v>11700.0</v>
      </c>
      <c r="AG646" s="86">
        <v>1.0</v>
      </c>
    </row>
    <row r="647" ht="38.25" customHeight="1">
      <c r="A647" s="86">
        <v>1541.0</v>
      </c>
      <c r="B647" s="86" t="s">
        <v>1605</v>
      </c>
      <c r="C647" s="86">
        <v>14.0</v>
      </c>
      <c r="D647" s="86" t="s">
        <v>3484</v>
      </c>
      <c r="E647" s="86">
        <v>150.0</v>
      </c>
      <c r="G647" s="96" t="s">
        <v>3485</v>
      </c>
      <c r="I647" s="86">
        <v>68845.0</v>
      </c>
      <c r="J647" s="95" t="s">
        <v>3362</v>
      </c>
      <c r="K647" s="86" t="s">
        <v>647</v>
      </c>
      <c r="L647" s="86">
        <v>9012.0</v>
      </c>
      <c r="M647" s="86" t="s">
        <v>1504</v>
      </c>
      <c r="O647" s="86">
        <v>0.9</v>
      </c>
      <c r="P647" s="95" t="s">
        <v>3363</v>
      </c>
      <c r="Q647" s="86" t="s">
        <v>658</v>
      </c>
      <c r="R647" s="86">
        <v>9003.0</v>
      </c>
      <c r="S647" s="86">
        <v>9.0</v>
      </c>
      <c r="U647" s="86">
        <v>0.4</v>
      </c>
      <c r="V647" s="86">
        <v>70001.0</v>
      </c>
      <c r="W647" s="86">
        <v>3.0</v>
      </c>
      <c r="X647" s="86">
        <v>1.0</v>
      </c>
      <c r="Y647" s="86">
        <v>70002.0</v>
      </c>
      <c r="Z647" s="86">
        <v>3.0</v>
      </c>
      <c r="AA647" s="86">
        <v>1.0</v>
      </c>
      <c r="AB647" s="86">
        <v>1001.0</v>
      </c>
      <c r="AC647" s="86">
        <v>100.0</v>
      </c>
      <c r="AD647" s="86">
        <v>1.0</v>
      </c>
      <c r="AE647" s="86">
        <v>8000.0</v>
      </c>
      <c r="AF647" s="86">
        <v>11750.0</v>
      </c>
      <c r="AG647" s="86">
        <v>1.0</v>
      </c>
    </row>
    <row r="648" ht="38.25" customHeight="1">
      <c r="A648" s="86">
        <v>1542.0</v>
      </c>
      <c r="B648" s="86" t="s">
        <v>1605</v>
      </c>
      <c r="C648" s="86">
        <v>14.0</v>
      </c>
      <c r="D648" s="86" t="s">
        <v>3491</v>
      </c>
      <c r="E648" s="86">
        <v>150.0</v>
      </c>
      <c r="G648" s="96" t="s">
        <v>3493</v>
      </c>
      <c r="I648" s="86">
        <v>68970.0</v>
      </c>
      <c r="J648" s="95" t="s">
        <v>3362</v>
      </c>
      <c r="K648" s="86" t="s">
        <v>647</v>
      </c>
      <c r="L648" s="86">
        <v>9011.0</v>
      </c>
      <c r="M648" s="86" t="s">
        <v>1451</v>
      </c>
      <c r="O648" s="86">
        <v>0.7</v>
      </c>
      <c r="P648" s="95" t="s">
        <v>3363</v>
      </c>
      <c r="Q648" s="86" t="s">
        <v>658</v>
      </c>
      <c r="R648" s="86">
        <v>9003.0</v>
      </c>
      <c r="S648" s="86" t="s">
        <v>1437</v>
      </c>
      <c r="U648" s="86">
        <v>0.9</v>
      </c>
      <c r="V648" s="86">
        <v>70001.0</v>
      </c>
      <c r="W648" s="86">
        <v>3.0</v>
      </c>
      <c r="X648" s="86">
        <v>1.0</v>
      </c>
      <c r="Y648" s="86">
        <v>70002.0</v>
      </c>
      <c r="Z648" s="86">
        <v>3.0</v>
      </c>
      <c r="AA648" s="86">
        <v>1.0</v>
      </c>
      <c r="AB648" s="86">
        <v>1001.0</v>
      </c>
      <c r="AC648" s="86">
        <v>100.0</v>
      </c>
      <c r="AD648" s="86">
        <v>1.0</v>
      </c>
      <c r="AE648" s="86">
        <v>8000.0</v>
      </c>
      <c r="AF648" s="86">
        <v>11800.0</v>
      </c>
      <c r="AG648" s="86">
        <v>1.0</v>
      </c>
    </row>
    <row r="649" ht="38.25" customHeight="1">
      <c r="A649" s="86">
        <v>1543.0</v>
      </c>
      <c r="B649" s="86" t="s">
        <v>1605</v>
      </c>
      <c r="C649" s="86">
        <v>14.0</v>
      </c>
      <c r="D649" s="86" t="s">
        <v>3494</v>
      </c>
      <c r="E649" s="86">
        <v>150.0</v>
      </c>
      <c r="G649" s="96" t="s">
        <v>3495</v>
      </c>
      <c r="I649" s="86">
        <v>69095.0</v>
      </c>
      <c r="J649" s="95" t="s">
        <v>3362</v>
      </c>
      <c r="K649" s="86" t="s">
        <v>647</v>
      </c>
      <c r="L649" s="86">
        <v>9002.0</v>
      </c>
      <c r="M649" s="86" t="s">
        <v>3496</v>
      </c>
      <c r="O649" s="86">
        <v>0.5</v>
      </c>
      <c r="P649" s="95" t="s">
        <v>3363</v>
      </c>
      <c r="Q649" s="86" t="s">
        <v>658</v>
      </c>
      <c r="R649" s="86">
        <v>9010.0</v>
      </c>
      <c r="S649" s="86" t="s">
        <v>2145</v>
      </c>
      <c r="U649" s="86">
        <v>0.3</v>
      </c>
      <c r="V649" s="86">
        <v>70001.0</v>
      </c>
      <c r="W649" s="86">
        <v>3.0</v>
      </c>
      <c r="X649" s="86">
        <v>1.0</v>
      </c>
      <c r="Y649" s="86">
        <v>70002.0</v>
      </c>
      <c r="Z649" s="86">
        <v>3.0</v>
      </c>
      <c r="AA649" s="86">
        <v>1.0</v>
      </c>
      <c r="AB649" s="86">
        <v>1001.0</v>
      </c>
      <c r="AC649" s="86">
        <v>100.0</v>
      </c>
      <c r="AD649" s="86">
        <v>1.0</v>
      </c>
      <c r="AE649" s="86">
        <v>8000.0</v>
      </c>
      <c r="AF649" s="86">
        <v>11800.0</v>
      </c>
      <c r="AG649" s="86">
        <v>1.0</v>
      </c>
    </row>
    <row r="650" ht="38.25" customHeight="1">
      <c r="A650" s="86">
        <v>1544.0</v>
      </c>
      <c r="B650" s="86" t="s">
        <v>1605</v>
      </c>
      <c r="C650" s="86">
        <v>14.0</v>
      </c>
      <c r="D650" s="86" t="s">
        <v>3498</v>
      </c>
      <c r="E650" s="86">
        <v>150.0</v>
      </c>
      <c r="G650" s="96" t="s">
        <v>3500</v>
      </c>
      <c r="I650" s="86">
        <v>69220.0</v>
      </c>
      <c r="J650" s="95" t="s">
        <v>3362</v>
      </c>
      <c r="K650" s="86" t="s">
        <v>647</v>
      </c>
      <c r="L650" s="86">
        <v>9001.0</v>
      </c>
      <c r="M650" s="86">
        <v>13.0</v>
      </c>
      <c r="O650" s="86">
        <v>0.3</v>
      </c>
      <c r="P650" s="95" t="s">
        <v>3363</v>
      </c>
      <c r="Q650" s="86" t="s">
        <v>658</v>
      </c>
      <c r="R650" s="86">
        <v>9011.0</v>
      </c>
      <c r="S650" s="86">
        <v>1.0</v>
      </c>
      <c r="U650" s="86">
        <v>0.6</v>
      </c>
      <c r="V650" s="86">
        <v>70001.0</v>
      </c>
      <c r="W650" s="86">
        <v>3.0</v>
      </c>
      <c r="X650" s="86">
        <v>1.0</v>
      </c>
      <c r="Y650" s="86">
        <v>70002.0</v>
      </c>
      <c r="Z650" s="86">
        <v>3.0</v>
      </c>
      <c r="AA650" s="86">
        <v>1.0</v>
      </c>
      <c r="AB650" s="86">
        <v>1001.0</v>
      </c>
      <c r="AC650" s="86">
        <v>100.0</v>
      </c>
      <c r="AD650" s="86">
        <v>1.0</v>
      </c>
      <c r="AE650" s="86">
        <v>8000.0</v>
      </c>
      <c r="AF650" s="86">
        <v>11850.0</v>
      </c>
      <c r="AG650" s="86">
        <v>1.0</v>
      </c>
    </row>
    <row r="651" ht="38.25" customHeight="1">
      <c r="A651" s="86">
        <v>1545.0</v>
      </c>
      <c r="B651" s="86" t="s">
        <v>1605</v>
      </c>
      <c r="C651" s="86">
        <v>14.0</v>
      </c>
      <c r="D651" s="86" t="s">
        <v>3502</v>
      </c>
      <c r="E651" s="86">
        <v>150.0</v>
      </c>
      <c r="G651" s="96" t="s">
        <v>3503</v>
      </c>
      <c r="I651" s="86">
        <v>69345.0</v>
      </c>
      <c r="J651" s="95" t="s">
        <v>3362</v>
      </c>
      <c r="K651" s="86" t="s">
        <v>647</v>
      </c>
      <c r="L651" s="86">
        <v>9012.0</v>
      </c>
      <c r="M651" s="86">
        <v>8.0</v>
      </c>
      <c r="O651" s="86">
        <v>0.8</v>
      </c>
      <c r="P651" s="95" t="s">
        <v>3363</v>
      </c>
      <c r="Q651" s="86" t="s">
        <v>658</v>
      </c>
      <c r="R651" s="86">
        <v>9004.0</v>
      </c>
      <c r="S651" s="86" t="s">
        <v>1616</v>
      </c>
      <c r="U651" s="86">
        <v>0.2</v>
      </c>
      <c r="V651" s="86">
        <v>70001.0</v>
      </c>
      <c r="W651" s="86">
        <v>3.0</v>
      </c>
      <c r="X651" s="86">
        <v>1.0</v>
      </c>
      <c r="Y651" s="86">
        <v>70002.0</v>
      </c>
      <c r="Z651" s="86">
        <v>3.0</v>
      </c>
      <c r="AA651" s="86">
        <v>1.0</v>
      </c>
      <c r="AB651" s="86">
        <v>1001.0</v>
      </c>
      <c r="AC651" s="86">
        <v>100.0</v>
      </c>
      <c r="AD651" s="86">
        <v>1.0</v>
      </c>
      <c r="AE651" s="86">
        <v>8000.0</v>
      </c>
      <c r="AF651" s="86">
        <v>11850.0</v>
      </c>
      <c r="AG651" s="86">
        <v>1.0</v>
      </c>
    </row>
    <row r="652" ht="38.25" customHeight="1">
      <c r="A652" s="86">
        <v>1546.0</v>
      </c>
      <c r="B652" s="86" t="s">
        <v>1605</v>
      </c>
      <c r="C652" s="86">
        <v>14.0</v>
      </c>
      <c r="D652" s="86" t="s">
        <v>3506</v>
      </c>
      <c r="E652" s="86">
        <v>150.0</v>
      </c>
      <c r="G652" s="96" t="s">
        <v>3507</v>
      </c>
      <c r="I652" s="86">
        <v>69470.0</v>
      </c>
      <c r="J652" s="95" t="s">
        <v>3362</v>
      </c>
      <c r="K652" s="86" t="s">
        <v>647</v>
      </c>
      <c r="L652" s="86">
        <v>9006.0</v>
      </c>
      <c r="M652" s="86" t="s">
        <v>2012</v>
      </c>
      <c r="O652" s="86">
        <v>0.7</v>
      </c>
      <c r="P652" s="95" t="s">
        <v>3363</v>
      </c>
      <c r="Q652" s="86" t="s">
        <v>658</v>
      </c>
      <c r="R652" s="86">
        <v>9010.0</v>
      </c>
      <c r="S652" s="86" t="s">
        <v>1637</v>
      </c>
      <c r="U652" s="86">
        <v>0.9</v>
      </c>
      <c r="V652" s="86">
        <v>70001.0</v>
      </c>
      <c r="W652" s="86">
        <v>3.0</v>
      </c>
      <c r="X652" s="86">
        <v>1.0</v>
      </c>
      <c r="Y652" s="86">
        <v>70002.0</v>
      </c>
      <c r="Z652" s="86">
        <v>3.0</v>
      </c>
      <c r="AA652" s="86">
        <v>1.0</v>
      </c>
      <c r="AB652" s="86">
        <v>1001.0</v>
      </c>
      <c r="AC652" s="86">
        <v>100.0</v>
      </c>
      <c r="AD652" s="86">
        <v>1.0</v>
      </c>
      <c r="AE652" s="86">
        <v>8000.0</v>
      </c>
      <c r="AF652" s="86">
        <v>11900.0</v>
      </c>
      <c r="AG652" s="86">
        <v>1.0</v>
      </c>
    </row>
    <row r="653" ht="38.25" customHeight="1">
      <c r="A653" s="86">
        <v>1547.0</v>
      </c>
      <c r="B653" s="86" t="s">
        <v>1605</v>
      </c>
      <c r="C653" s="86">
        <v>14.0</v>
      </c>
      <c r="D653" s="86" t="s">
        <v>3509</v>
      </c>
      <c r="E653" s="86">
        <v>150.0</v>
      </c>
      <c r="G653" s="96" t="s">
        <v>3510</v>
      </c>
      <c r="I653" s="86">
        <v>69595.0</v>
      </c>
      <c r="J653" s="95" t="s">
        <v>3362</v>
      </c>
      <c r="K653" s="86" t="s">
        <v>647</v>
      </c>
      <c r="L653" s="86">
        <v>9002.0</v>
      </c>
      <c r="M653" s="86">
        <v>8.0</v>
      </c>
      <c r="O653" s="86">
        <v>0.8</v>
      </c>
      <c r="P653" s="95" t="s">
        <v>3363</v>
      </c>
      <c r="Q653" s="86" t="s">
        <v>658</v>
      </c>
      <c r="R653" s="86">
        <v>9011.0</v>
      </c>
      <c r="S653" s="86">
        <v>8.0</v>
      </c>
      <c r="U653" s="86">
        <v>0.2</v>
      </c>
      <c r="V653" s="86">
        <v>70001.0</v>
      </c>
      <c r="W653" s="86">
        <v>3.0</v>
      </c>
      <c r="X653" s="86">
        <v>1.0</v>
      </c>
      <c r="Y653" s="86">
        <v>70002.0</v>
      </c>
      <c r="Z653" s="86">
        <v>3.0</v>
      </c>
      <c r="AA653" s="86">
        <v>1.0</v>
      </c>
      <c r="AB653" s="86">
        <v>1001.0</v>
      </c>
      <c r="AC653" s="86">
        <v>100.0</v>
      </c>
      <c r="AD653" s="86">
        <v>1.0</v>
      </c>
      <c r="AE653" s="86">
        <v>8000.0</v>
      </c>
      <c r="AF653" s="86">
        <v>11900.0</v>
      </c>
      <c r="AG653" s="86">
        <v>1.0</v>
      </c>
    </row>
    <row r="654" ht="38.25" customHeight="1">
      <c r="A654" s="86">
        <v>1548.0</v>
      </c>
      <c r="B654" s="86" t="s">
        <v>1605</v>
      </c>
      <c r="C654" s="86">
        <v>14.0</v>
      </c>
      <c r="D654" s="86" t="s">
        <v>3514</v>
      </c>
      <c r="E654" s="86">
        <v>150.0</v>
      </c>
      <c r="G654" s="96" t="s">
        <v>3515</v>
      </c>
      <c r="I654" s="86">
        <v>69720.0</v>
      </c>
      <c r="J654" s="95" t="s">
        <v>3362</v>
      </c>
      <c r="K654" s="86" t="s">
        <v>647</v>
      </c>
      <c r="L654" s="86">
        <v>9011.0</v>
      </c>
      <c r="M654" s="86">
        <v>8.0</v>
      </c>
      <c r="O654" s="86">
        <v>0.9</v>
      </c>
      <c r="P654" s="95" t="s">
        <v>3363</v>
      </c>
      <c r="Q654" s="86" t="s">
        <v>658</v>
      </c>
      <c r="R654" s="86">
        <v>9004.0</v>
      </c>
      <c r="S654" s="86" t="s">
        <v>3238</v>
      </c>
      <c r="U654" s="86">
        <v>0.7</v>
      </c>
      <c r="V654" s="86">
        <v>70001.0</v>
      </c>
      <c r="W654" s="86">
        <v>3.0</v>
      </c>
      <c r="X654" s="86">
        <v>1.0</v>
      </c>
      <c r="Y654" s="86">
        <v>70002.0</v>
      </c>
      <c r="Z654" s="86">
        <v>3.0</v>
      </c>
      <c r="AA654" s="86">
        <v>1.0</v>
      </c>
      <c r="AB654" s="86">
        <v>1001.0</v>
      </c>
      <c r="AC654" s="86">
        <v>100.0</v>
      </c>
      <c r="AD654" s="86">
        <v>1.0</v>
      </c>
      <c r="AE654" s="86">
        <v>8000.0</v>
      </c>
      <c r="AF654" s="86">
        <v>11950.0</v>
      </c>
      <c r="AG654" s="86">
        <v>1.0</v>
      </c>
    </row>
    <row r="655" ht="38.25" customHeight="1">
      <c r="A655" s="86">
        <v>1549.0</v>
      </c>
      <c r="B655" s="86" t="s">
        <v>1605</v>
      </c>
      <c r="C655" s="86">
        <v>14.0</v>
      </c>
      <c r="D655" s="86" t="s">
        <v>3517</v>
      </c>
      <c r="E655" s="86">
        <v>150.0</v>
      </c>
      <c r="G655" s="96" t="s">
        <v>3518</v>
      </c>
      <c r="I655" s="86">
        <v>69845.0</v>
      </c>
      <c r="J655" s="95" t="s">
        <v>3362</v>
      </c>
      <c r="K655" s="86" t="s">
        <v>647</v>
      </c>
      <c r="L655" s="86">
        <v>9005.0</v>
      </c>
      <c r="M655" s="86" t="s">
        <v>2253</v>
      </c>
      <c r="O655" s="86">
        <v>0.5</v>
      </c>
      <c r="P655" s="95" t="s">
        <v>3363</v>
      </c>
      <c r="Q655" s="86" t="s">
        <v>658</v>
      </c>
      <c r="R655" s="86">
        <v>9011.0</v>
      </c>
      <c r="S655" s="86">
        <v>2.0</v>
      </c>
      <c r="U655" s="86">
        <v>0.5</v>
      </c>
      <c r="V655" s="86">
        <v>70001.0</v>
      </c>
      <c r="W655" s="86">
        <v>3.0</v>
      </c>
      <c r="X655" s="86">
        <v>1.0</v>
      </c>
      <c r="Y655" s="86">
        <v>70002.0</v>
      </c>
      <c r="Z655" s="86">
        <v>3.0</v>
      </c>
      <c r="AA655" s="86">
        <v>1.0</v>
      </c>
      <c r="AB655" s="86">
        <v>1001.0</v>
      </c>
      <c r="AC655" s="86">
        <v>100.0</v>
      </c>
      <c r="AD655" s="86">
        <v>1.0</v>
      </c>
      <c r="AE655" s="86">
        <v>8000.0</v>
      </c>
      <c r="AF655" s="86">
        <v>12000.0</v>
      </c>
      <c r="AG655" s="86">
        <v>1.0</v>
      </c>
    </row>
    <row r="656" ht="38.25" customHeight="1">
      <c r="A656" s="86">
        <v>1550.0</v>
      </c>
      <c r="B656" s="86" t="s">
        <v>1605</v>
      </c>
      <c r="C656" s="86">
        <v>15.0</v>
      </c>
      <c r="D656" s="86" t="s">
        <v>3520</v>
      </c>
      <c r="E656" s="86">
        <v>150.0</v>
      </c>
      <c r="G656" s="96" t="s">
        <v>3522</v>
      </c>
      <c r="I656" s="86">
        <v>69970.0</v>
      </c>
      <c r="J656" s="95" t="s">
        <v>3523</v>
      </c>
      <c r="K656" s="86" t="s">
        <v>647</v>
      </c>
      <c r="L656" s="86">
        <v>9012.0</v>
      </c>
      <c r="M656" s="86" t="s">
        <v>3438</v>
      </c>
      <c r="O656" s="86">
        <v>0.7</v>
      </c>
      <c r="P656" s="95" t="s">
        <v>3524</v>
      </c>
      <c r="Q656" s="86" t="s">
        <v>658</v>
      </c>
      <c r="R656" s="86">
        <v>9010.0</v>
      </c>
      <c r="S656" s="86" t="s">
        <v>1437</v>
      </c>
      <c r="U656" s="86">
        <v>0.4</v>
      </c>
      <c r="V656" s="86">
        <v>70001.0</v>
      </c>
      <c r="W656" s="86">
        <v>3.0</v>
      </c>
      <c r="X656" s="86">
        <v>1.0</v>
      </c>
      <c r="Y656" s="86">
        <v>70002.0</v>
      </c>
      <c r="Z656" s="86">
        <v>3.0</v>
      </c>
      <c r="AA656" s="86">
        <v>1.0</v>
      </c>
      <c r="AB656" s="86">
        <v>1001.0</v>
      </c>
      <c r="AC656" s="86">
        <v>100.0</v>
      </c>
      <c r="AD656" s="86">
        <v>1.0</v>
      </c>
      <c r="AE656" s="86">
        <v>8000.0</v>
      </c>
      <c r="AF656" s="86">
        <v>12000.0</v>
      </c>
      <c r="AG656" s="86">
        <v>1.0</v>
      </c>
    </row>
    <row r="657" ht="38.25" customHeight="1">
      <c r="A657" s="86">
        <v>1551.0</v>
      </c>
      <c r="B657" s="86" t="s">
        <v>1605</v>
      </c>
      <c r="C657" s="86">
        <v>15.0</v>
      </c>
      <c r="D657" s="86" t="s">
        <v>3526</v>
      </c>
      <c r="E657" s="86">
        <v>150.0</v>
      </c>
      <c r="G657" s="96" t="s">
        <v>3527</v>
      </c>
      <c r="I657" s="86">
        <v>70095.0</v>
      </c>
      <c r="J657" s="95" t="s">
        <v>3523</v>
      </c>
      <c r="K657" s="86" t="s">
        <v>647</v>
      </c>
      <c r="L657" s="86">
        <v>9002.0</v>
      </c>
      <c r="M657" s="86" t="s">
        <v>1386</v>
      </c>
      <c r="O657" s="86">
        <v>0.7</v>
      </c>
      <c r="P657" s="95" t="s">
        <v>3524</v>
      </c>
      <c r="Q657" s="86" t="s">
        <v>658</v>
      </c>
      <c r="R657" s="86">
        <v>9012.0</v>
      </c>
      <c r="S657" s="86" t="s">
        <v>1427</v>
      </c>
      <c r="U657" s="86">
        <v>0.8</v>
      </c>
      <c r="V657" s="86">
        <v>70001.0</v>
      </c>
      <c r="W657" s="86">
        <v>3.0</v>
      </c>
      <c r="X657" s="86">
        <v>1.0</v>
      </c>
      <c r="Y657" s="86">
        <v>70002.0</v>
      </c>
      <c r="Z657" s="86">
        <v>3.0</v>
      </c>
      <c r="AA657" s="86">
        <v>1.0</v>
      </c>
      <c r="AB657" s="86">
        <v>1001.0</v>
      </c>
      <c r="AC657" s="86">
        <v>100.0</v>
      </c>
      <c r="AD657" s="86">
        <v>1.0</v>
      </c>
      <c r="AE657" s="86">
        <v>8000.0</v>
      </c>
      <c r="AF657" s="86">
        <v>12050.0</v>
      </c>
      <c r="AG657" s="86">
        <v>1.0</v>
      </c>
    </row>
    <row r="658" ht="38.25" customHeight="1">
      <c r="A658" s="86">
        <v>1552.0</v>
      </c>
      <c r="B658" s="86" t="s">
        <v>1605</v>
      </c>
      <c r="C658" s="86">
        <v>15.0</v>
      </c>
      <c r="D658" s="86" t="s">
        <v>3530</v>
      </c>
      <c r="E658" s="86">
        <v>150.0</v>
      </c>
      <c r="G658" s="96" t="s">
        <v>3531</v>
      </c>
      <c r="I658" s="86">
        <v>70220.0</v>
      </c>
      <c r="J658" s="95" t="s">
        <v>3523</v>
      </c>
      <c r="K658" s="86" t="s">
        <v>647</v>
      </c>
      <c r="L658" s="86">
        <v>9001.0</v>
      </c>
      <c r="M658" s="86" t="s">
        <v>3235</v>
      </c>
      <c r="O658" s="86">
        <v>0.5</v>
      </c>
      <c r="P658" s="95" t="s">
        <v>3524</v>
      </c>
      <c r="Q658" s="86" t="s">
        <v>658</v>
      </c>
      <c r="R658" s="86">
        <v>9004.0</v>
      </c>
      <c r="S658" s="86">
        <v>5.0</v>
      </c>
      <c r="U658" s="86">
        <v>0.6</v>
      </c>
      <c r="V658" s="86">
        <v>70001.0</v>
      </c>
      <c r="W658" s="86">
        <v>3.0</v>
      </c>
      <c r="X658" s="86">
        <v>1.0</v>
      </c>
      <c r="Y658" s="86">
        <v>70002.0</v>
      </c>
      <c r="Z658" s="86">
        <v>3.0</v>
      </c>
      <c r="AA658" s="86">
        <v>1.0</v>
      </c>
      <c r="AB658" s="86">
        <v>1001.0</v>
      </c>
      <c r="AC658" s="86">
        <v>100.0</v>
      </c>
      <c r="AD658" s="86">
        <v>1.0</v>
      </c>
      <c r="AE658" s="86">
        <v>8000.0</v>
      </c>
      <c r="AF658" s="86">
        <v>12050.0</v>
      </c>
      <c r="AG658" s="86">
        <v>1.0</v>
      </c>
    </row>
    <row r="659" ht="38.25" customHeight="1">
      <c r="A659" s="86">
        <v>1553.0</v>
      </c>
      <c r="B659" s="86" t="s">
        <v>1605</v>
      </c>
      <c r="C659" s="86">
        <v>15.0</v>
      </c>
      <c r="D659" s="86" t="s">
        <v>3534</v>
      </c>
      <c r="E659" s="86">
        <v>150.0</v>
      </c>
      <c r="G659" s="96" t="s">
        <v>3535</v>
      </c>
      <c r="I659" s="86">
        <v>70345.0</v>
      </c>
      <c r="J659" s="95" t="s">
        <v>3523</v>
      </c>
      <c r="K659" s="86" t="s">
        <v>647</v>
      </c>
      <c r="L659" s="86">
        <v>9007.0</v>
      </c>
      <c r="M659" s="86" t="s">
        <v>1880</v>
      </c>
      <c r="O659" s="86">
        <v>0.3</v>
      </c>
      <c r="P659" s="95" t="s">
        <v>3524</v>
      </c>
      <c r="Q659" s="86" t="s">
        <v>658</v>
      </c>
      <c r="R659" s="86">
        <v>9007.0</v>
      </c>
      <c r="S659" s="86">
        <v>1.0</v>
      </c>
      <c r="U659" s="86">
        <v>0.6</v>
      </c>
      <c r="V659" s="86">
        <v>70001.0</v>
      </c>
      <c r="W659" s="86">
        <v>3.0</v>
      </c>
      <c r="X659" s="86">
        <v>1.0</v>
      </c>
      <c r="Y659" s="86">
        <v>70002.0</v>
      </c>
      <c r="Z659" s="86">
        <v>3.0</v>
      </c>
      <c r="AA659" s="86">
        <v>1.0</v>
      </c>
      <c r="AB659" s="86">
        <v>1001.0</v>
      </c>
      <c r="AC659" s="86">
        <v>100.0</v>
      </c>
      <c r="AD659" s="86">
        <v>1.0</v>
      </c>
      <c r="AE659" s="86">
        <v>8000.0</v>
      </c>
      <c r="AF659" s="86">
        <v>12100.0</v>
      </c>
      <c r="AG659" s="86">
        <v>1.0</v>
      </c>
    </row>
    <row r="660" ht="38.25" customHeight="1">
      <c r="A660" s="86">
        <v>1554.0</v>
      </c>
      <c r="B660" s="86" t="s">
        <v>1605</v>
      </c>
      <c r="C660" s="86">
        <v>15.0</v>
      </c>
      <c r="D660" s="86" t="s">
        <v>3537</v>
      </c>
      <c r="E660" s="86">
        <v>150.0</v>
      </c>
      <c r="G660" s="96" t="s">
        <v>3527</v>
      </c>
      <c r="I660" s="86">
        <v>70470.0</v>
      </c>
      <c r="J660" s="95" t="s">
        <v>3523</v>
      </c>
      <c r="K660" s="86" t="s">
        <v>647</v>
      </c>
      <c r="L660" s="86">
        <v>9011.0</v>
      </c>
      <c r="M660" s="86">
        <v>2.0</v>
      </c>
      <c r="O660" s="86">
        <v>0.3</v>
      </c>
      <c r="P660" s="95" t="s">
        <v>3524</v>
      </c>
      <c r="Q660" s="86" t="s">
        <v>658</v>
      </c>
      <c r="R660" s="86">
        <v>9008.0</v>
      </c>
      <c r="S660" s="86">
        <v>4.0</v>
      </c>
      <c r="U660" s="86">
        <v>0.8</v>
      </c>
      <c r="V660" s="86">
        <v>70001.0</v>
      </c>
      <c r="W660" s="86">
        <v>3.0</v>
      </c>
      <c r="X660" s="86">
        <v>1.0</v>
      </c>
      <c r="Y660" s="86">
        <v>70002.0</v>
      </c>
      <c r="Z660" s="86">
        <v>3.0</v>
      </c>
      <c r="AA660" s="86">
        <v>1.0</v>
      </c>
      <c r="AB660" s="86">
        <v>1001.0</v>
      </c>
      <c r="AC660" s="86">
        <v>100.0</v>
      </c>
      <c r="AD660" s="86">
        <v>1.0</v>
      </c>
      <c r="AE660" s="86">
        <v>8000.0</v>
      </c>
      <c r="AF660" s="86">
        <v>12100.0</v>
      </c>
      <c r="AG660" s="86">
        <v>1.0</v>
      </c>
    </row>
    <row r="661" ht="38.25" customHeight="1">
      <c r="A661" s="86">
        <v>1555.0</v>
      </c>
      <c r="B661" s="86" t="s">
        <v>1605</v>
      </c>
      <c r="C661" s="86">
        <v>15.0</v>
      </c>
      <c r="D661" s="86" t="s">
        <v>3541</v>
      </c>
      <c r="E661" s="86">
        <v>150.0</v>
      </c>
      <c r="G661" s="96" t="s">
        <v>3542</v>
      </c>
      <c r="I661" s="86">
        <v>70595.0</v>
      </c>
      <c r="J661" s="95" t="s">
        <v>3523</v>
      </c>
      <c r="K661" s="86" t="s">
        <v>647</v>
      </c>
      <c r="L661" s="86">
        <v>9012.0</v>
      </c>
      <c r="M661" s="86" t="s">
        <v>1493</v>
      </c>
      <c r="O661" s="86">
        <v>0.2</v>
      </c>
      <c r="P661" s="95" t="s">
        <v>3524</v>
      </c>
      <c r="Q661" s="86" t="s">
        <v>658</v>
      </c>
      <c r="R661" s="86">
        <v>9004.0</v>
      </c>
      <c r="S661" s="86" t="s">
        <v>2103</v>
      </c>
      <c r="U661" s="86">
        <v>0.9</v>
      </c>
      <c r="V661" s="86">
        <v>70001.0</v>
      </c>
      <c r="W661" s="86">
        <v>3.0</v>
      </c>
      <c r="X661" s="86">
        <v>1.0</v>
      </c>
      <c r="Y661" s="86">
        <v>70002.0</v>
      </c>
      <c r="Z661" s="86">
        <v>3.0</v>
      </c>
      <c r="AA661" s="86">
        <v>1.0</v>
      </c>
      <c r="AB661" s="86">
        <v>1001.0</v>
      </c>
      <c r="AC661" s="86">
        <v>100.0</v>
      </c>
      <c r="AD661" s="86">
        <v>1.0</v>
      </c>
      <c r="AE661" s="86">
        <v>8000.0</v>
      </c>
      <c r="AF661" s="86">
        <v>12150.0</v>
      </c>
      <c r="AG661" s="86">
        <v>1.0</v>
      </c>
    </row>
    <row r="662" ht="38.25" customHeight="1">
      <c r="A662" s="86">
        <v>1556.0</v>
      </c>
      <c r="B662" s="86" t="s">
        <v>1605</v>
      </c>
      <c r="C662" s="86">
        <v>15.0</v>
      </c>
      <c r="D662" s="86" t="s">
        <v>3544</v>
      </c>
      <c r="E662" s="86">
        <v>150.0</v>
      </c>
      <c r="G662" s="96" t="s">
        <v>3545</v>
      </c>
      <c r="I662" s="86">
        <v>70720.0</v>
      </c>
      <c r="J662" s="95" t="s">
        <v>3523</v>
      </c>
      <c r="K662" s="86" t="s">
        <v>647</v>
      </c>
      <c r="L662" s="86">
        <v>9011.0</v>
      </c>
      <c r="M662" s="86">
        <v>1.0</v>
      </c>
      <c r="O662" s="86">
        <v>0.8</v>
      </c>
      <c r="P662" s="95" t="s">
        <v>3524</v>
      </c>
      <c r="Q662" s="86" t="s">
        <v>658</v>
      </c>
      <c r="R662" s="86">
        <v>9004.0</v>
      </c>
      <c r="S662" s="86" t="s">
        <v>1668</v>
      </c>
      <c r="U662" s="86">
        <v>0.6</v>
      </c>
      <c r="V662" s="86">
        <v>70001.0</v>
      </c>
      <c r="W662" s="86">
        <v>3.0</v>
      </c>
      <c r="X662" s="86">
        <v>1.0</v>
      </c>
      <c r="Y662" s="86">
        <v>70002.0</v>
      </c>
      <c r="Z662" s="86">
        <v>3.0</v>
      </c>
      <c r="AA662" s="86">
        <v>1.0</v>
      </c>
      <c r="AB662" s="86">
        <v>1001.0</v>
      </c>
      <c r="AC662" s="86">
        <v>100.0</v>
      </c>
      <c r="AD662" s="86">
        <v>1.0</v>
      </c>
      <c r="AE662" s="86">
        <v>8000.0</v>
      </c>
      <c r="AF662" s="86">
        <v>12200.0</v>
      </c>
      <c r="AG662" s="86">
        <v>1.0</v>
      </c>
    </row>
    <row r="663" ht="38.25" customHeight="1">
      <c r="A663" s="86">
        <v>1557.0</v>
      </c>
      <c r="B663" s="86" t="s">
        <v>1605</v>
      </c>
      <c r="C663" s="86">
        <v>15.0</v>
      </c>
      <c r="D663" s="86" t="s">
        <v>3548</v>
      </c>
      <c r="E663" s="86">
        <v>150.0</v>
      </c>
      <c r="G663" s="96" t="s">
        <v>3549</v>
      </c>
      <c r="I663" s="86">
        <v>70845.0</v>
      </c>
      <c r="J663" s="95" t="s">
        <v>3523</v>
      </c>
      <c r="K663" s="86" t="s">
        <v>647</v>
      </c>
      <c r="L663" s="86">
        <v>9001.0</v>
      </c>
      <c r="M663" s="86">
        <v>3.0</v>
      </c>
      <c r="O663" s="86">
        <v>0.8</v>
      </c>
      <c r="P663" s="95" t="s">
        <v>3524</v>
      </c>
      <c r="Q663" s="86" t="s">
        <v>658</v>
      </c>
      <c r="R663" s="86">
        <v>9004.0</v>
      </c>
      <c r="S663" s="86">
        <v>5.0</v>
      </c>
      <c r="U663" s="86">
        <v>0.1</v>
      </c>
      <c r="V663" s="86">
        <v>70001.0</v>
      </c>
      <c r="W663" s="86">
        <v>3.0</v>
      </c>
      <c r="X663" s="86">
        <v>1.0</v>
      </c>
      <c r="Y663" s="86">
        <v>70002.0</v>
      </c>
      <c r="Z663" s="86">
        <v>3.0</v>
      </c>
      <c r="AA663" s="86">
        <v>1.0</v>
      </c>
      <c r="AB663" s="86">
        <v>1001.0</v>
      </c>
      <c r="AC663" s="86">
        <v>100.0</v>
      </c>
      <c r="AD663" s="86">
        <v>1.0</v>
      </c>
      <c r="AE663" s="86">
        <v>8000.0</v>
      </c>
      <c r="AF663" s="86">
        <v>12200.0</v>
      </c>
      <c r="AG663" s="86">
        <v>1.0</v>
      </c>
    </row>
    <row r="664" ht="38.25" customHeight="1">
      <c r="A664" s="86">
        <v>1558.0</v>
      </c>
      <c r="B664" s="86" t="s">
        <v>1605</v>
      </c>
      <c r="C664" s="86">
        <v>15.0</v>
      </c>
      <c r="D664" s="86" t="s">
        <v>3552</v>
      </c>
      <c r="E664" s="86">
        <v>150.0</v>
      </c>
      <c r="G664" s="96" t="s">
        <v>3553</v>
      </c>
      <c r="I664" s="86">
        <v>70970.0</v>
      </c>
      <c r="J664" s="95" t="s">
        <v>3523</v>
      </c>
      <c r="K664" s="86" t="s">
        <v>647</v>
      </c>
      <c r="L664" s="86">
        <v>9001.0</v>
      </c>
      <c r="M664" s="86">
        <v>13.0</v>
      </c>
      <c r="O664" s="86">
        <v>0.8</v>
      </c>
      <c r="P664" s="95" t="s">
        <v>3524</v>
      </c>
      <c r="Q664" s="86" t="s">
        <v>658</v>
      </c>
      <c r="R664" s="86">
        <v>9011.0</v>
      </c>
      <c r="S664" s="86" t="s">
        <v>2319</v>
      </c>
      <c r="U664" s="86">
        <v>0.9</v>
      </c>
      <c r="V664" s="86">
        <v>70001.0</v>
      </c>
      <c r="W664" s="86">
        <v>3.0</v>
      </c>
      <c r="X664" s="86">
        <v>1.0</v>
      </c>
      <c r="Y664" s="86">
        <v>70002.0</v>
      </c>
      <c r="Z664" s="86">
        <v>3.0</v>
      </c>
      <c r="AA664" s="86">
        <v>1.0</v>
      </c>
      <c r="AB664" s="86">
        <v>1001.0</v>
      </c>
      <c r="AC664" s="86">
        <v>100.0</v>
      </c>
      <c r="AD664" s="86">
        <v>1.0</v>
      </c>
      <c r="AE664" s="86">
        <v>8000.0</v>
      </c>
      <c r="AF664" s="86">
        <v>12250.0</v>
      </c>
      <c r="AG664" s="86">
        <v>1.0</v>
      </c>
    </row>
    <row r="665" ht="38.25" customHeight="1">
      <c r="A665" s="86">
        <v>1559.0</v>
      </c>
      <c r="B665" s="86" t="s">
        <v>1605</v>
      </c>
      <c r="C665" s="86">
        <v>15.0</v>
      </c>
      <c r="D665" s="86" t="s">
        <v>3555</v>
      </c>
      <c r="E665" s="86">
        <v>150.0</v>
      </c>
      <c r="G665" s="96" t="s">
        <v>3556</v>
      </c>
      <c r="I665" s="86">
        <v>71095.0</v>
      </c>
      <c r="J665" s="95" t="s">
        <v>3523</v>
      </c>
      <c r="K665" s="86" t="s">
        <v>647</v>
      </c>
      <c r="L665" s="86">
        <v>9001.0</v>
      </c>
      <c r="M665" s="86" t="s">
        <v>1091</v>
      </c>
      <c r="O665" s="86">
        <v>0.1</v>
      </c>
      <c r="P665" s="95" t="s">
        <v>3524</v>
      </c>
      <c r="Q665" s="86" t="s">
        <v>658</v>
      </c>
      <c r="R665" s="86">
        <v>9010.0</v>
      </c>
      <c r="S665" s="86" t="s">
        <v>1616</v>
      </c>
      <c r="U665" s="86">
        <v>0.2</v>
      </c>
      <c r="V665" s="86">
        <v>70001.0</v>
      </c>
      <c r="W665" s="86">
        <v>3.0</v>
      </c>
      <c r="X665" s="86">
        <v>1.0</v>
      </c>
      <c r="Y665" s="86">
        <v>70002.0</v>
      </c>
      <c r="Z665" s="86">
        <v>3.0</v>
      </c>
      <c r="AA665" s="86">
        <v>1.0</v>
      </c>
      <c r="AB665" s="86">
        <v>1001.0</v>
      </c>
      <c r="AC665" s="86">
        <v>100.0</v>
      </c>
      <c r="AD665" s="86">
        <v>1.0</v>
      </c>
      <c r="AE665" s="86">
        <v>8000.0</v>
      </c>
      <c r="AF665" s="86">
        <v>12250.0</v>
      </c>
      <c r="AG665" s="86">
        <v>1.0</v>
      </c>
    </row>
    <row r="666" ht="38.25" customHeight="1">
      <c r="A666" s="86">
        <v>1560.0</v>
      </c>
      <c r="B666" s="86" t="s">
        <v>1605</v>
      </c>
      <c r="C666" s="86">
        <v>15.0</v>
      </c>
      <c r="D666" s="86" t="s">
        <v>3559</v>
      </c>
      <c r="E666" s="86">
        <v>150.0</v>
      </c>
      <c r="G666" s="96" t="s">
        <v>3560</v>
      </c>
      <c r="I666" s="86">
        <v>71220.0</v>
      </c>
      <c r="J666" s="95" t="s">
        <v>3523</v>
      </c>
      <c r="K666" s="86" t="s">
        <v>647</v>
      </c>
      <c r="L666" s="86">
        <v>9007.0</v>
      </c>
      <c r="M666" s="86" t="s">
        <v>3563</v>
      </c>
      <c r="O666" s="86">
        <v>0.7</v>
      </c>
      <c r="P666" s="95" t="s">
        <v>3524</v>
      </c>
      <c r="Q666" s="86" t="s">
        <v>658</v>
      </c>
      <c r="R666" s="86">
        <v>9008.0</v>
      </c>
      <c r="S666" s="86">
        <v>8.0</v>
      </c>
      <c r="U666" s="86">
        <v>0.9</v>
      </c>
      <c r="V666" s="86">
        <v>70001.0</v>
      </c>
      <c r="W666" s="86">
        <v>3.0</v>
      </c>
      <c r="X666" s="86">
        <v>1.0</v>
      </c>
      <c r="Y666" s="86">
        <v>70002.0</v>
      </c>
      <c r="Z666" s="86">
        <v>3.0</v>
      </c>
      <c r="AA666" s="86">
        <v>1.0</v>
      </c>
      <c r="AB666" s="86">
        <v>1001.0</v>
      </c>
      <c r="AC666" s="86">
        <v>100.0</v>
      </c>
      <c r="AD666" s="86">
        <v>1.0</v>
      </c>
      <c r="AE666" s="86">
        <v>8000.0</v>
      </c>
      <c r="AF666" s="86">
        <v>12300.0</v>
      </c>
      <c r="AG666" s="86">
        <v>1.0</v>
      </c>
    </row>
    <row r="667" ht="38.25" customHeight="1">
      <c r="A667" s="86">
        <v>1561.0</v>
      </c>
      <c r="B667" s="86" t="s">
        <v>1605</v>
      </c>
      <c r="C667" s="86">
        <v>15.0</v>
      </c>
      <c r="D667" s="86" t="s">
        <v>3565</v>
      </c>
      <c r="E667" s="86">
        <v>150.0</v>
      </c>
      <c r="G667" s="96" t="s">
        <v>3566</v>
      </c>
      <c r="I667" s="86">
        <v>71345.0</v>
      </c>
      <c r="J667" s="95" t="s">
        <v>3523</v>
      </c>
      <c r="K667" s="86" t="s">
        <v>647</v>
      </c>
      <c r="L667" s="86">
        <v>9005.0</v>
      </c>
      <c r="M667" s="86" t="s">
        <v>1885</v>
      </c>
      <c r="O667" s="86">
        <v>0.2</v>
      </c>
      <c r="P667" s="95" t="s">
        <v>3524</v>
      </c>
      <c r="Q667" s="86" t="s">
        <v>658</v>
      </c>
      <c r="R667" s="86">
        <v>9011.0</v>
      </c>
      <c r="S667" s="86" t="s">
        <v>1895</v>
      </c>
      <c r="U667" s="86">
        <v>0.6</v>
      </c>
      <c r="V667" s="86">
        <v>70001.0</v>
      </c>
      <c r="W667" s="86">
        <v>3.0</v>
      </c>
      <c r="X667" s="86">
        <v>1.0</v>
      </c>
      <c r="Y667" s="86">
        <v>70002.0</v>
      </c>
      <c r="Z667" s="86">
        <v>3.0</v>
      </c>
      <c r="AA667" s="86">
        <v>1.0</v>
      </c>
      <c r="AB667" s="86">
        <v>1001.0</v>
      </c>
      <c r="AC667" s="86">
        <v>100.0</v>
      </c>
      <c r="AD667" s="86">
        <v>1.0</v>
      </c>
      <c r="AE667" s="86">
        <v>8000.0</v>
      </c>
      <c r="AF667" s="86">
        <v>12300.0</v>
      </c>
      <c r="AG667" s="86">
        <v>1.0</v>
      </c>
    </row>
    <row r="668" ht="38.25" customHeight="1">
      <c r="A668" s="86">
        <v>1562.0</v>
      </c>
      <c r="B668" s="86" t="s">
        <v>1605</v>
      </c>
      <c r="C668" s="86">
        <v>15.0</v>
      </c>
      <c r="D668" s="86" t="s">
        <v>3567</v>
      </c>
      <c r="E668" s="86">
        <v>150.0</v>
      </c>
      <c r="G668" s="96" t="s">
        <v>3568</v>
      </c>
      <c r="I668" s="86">
        <v>71470.0</v>
      </c>
      <c r="J668" s="95" t="s">
        <v>3523</v>
      </c>
      <c r="K668" s="86" t="s">
        <v>647</v>
      </c>
      <c r="L668" s="86">
        <v>9011.0</v>
      </c>
      <c r="M668" s="86" t="s">
        <v>2774</v>
      </c>
      <c r="O668" s="86">
        <v>0.6</v>
      </c>
      <c r="P668" s="95" t="s">
        <v>3524</v>
      </c>
      <c r="Q668" s="86" t="s">
        <v>658</v>
      </c>
      <c r="R668" s="86">
        <v>9012.0</v>
      </c>
      <c r="S668" s="86" t="s">
        <v>2330</v>
      </c>
      <c r="U668" s="86">
        <v>0.4</v>
      </c>
      <c r="V668" s="86">
        <v>70001.0</v>
      </c>
      <c r="W668" s="86">
        <v>3.0</v>
      </c>
      <c r="X668" s="86">
        <v>1.0</v>
      </c>
      <c r="Y668" s="86">
        <v>70002.0</v>
      </c>
      <c r="Z668" s="86">
        <v>3.0</v>
      </c>
      <c r="AA668" s="86">
        <v>1.0</v>
      </c>
      <c r="AB668" s="86">
        <v>1001.0</v>
      </c>
      <c r="AC668" s="86">
        <v>100.0</v>
      </c>
      <c r="AD668" s="86">
        <v>1.0</v>
      </c>
      <c r="AE668" s="86">
        <v>8000.0</v>
      </c>
      <c r="AF668" s="86">
        <v>12350.0</v>
      </c>
      <c r="AG668" s="86">
        <v>1.0</v>
      </c>
    </row>
    <row r="669" ht="38.25" customHeight="1">
      <c r="A669" s="86">
        <v>1563.0</v>
      </c>
      <c r="B669" s="86" t="s">
        <v>1605</v>
      </c>
      <c r="C669" s="86">
        <v>15.0</v>
      </c>
      <c r="D669" s="86" t="s">
        <v>3571</v>
      </c>
      <c r="E669" s="86">
        <v>150.0</v>
      </c>
      <c r="G669" s="96" t="s">
        <v>3572</v>
      </c>
      <c r="I669" s="86">
        <v>71595.0</v>
      </c>
      <c r="J669" s="95" t="s">
        <v>3523</v>
      </c>
      <c r="K669" s="86" t="s">
        <v>647</v>
      </c>
      <c r="L669" s="86">
        <v>9007.0</v>
      </c>
      <c r="M669" s="86" t="s">
        <v>3317</v>
      </c>
      <c r="O669" s="86">
        <v>0.1</v>
      </c>
      <c r="P669" s="95" t="s">
        <v>3524</v>
      </c>
      <c r="Q669" s="86" t="s">
        <v>658</v>
      </c>
      <c r="R669" s="86">
        <v>9011.0</v>
      </c>
      <c r="S669" s="86">
        <v>12.0</v>
      </c>
      <c r="U669" s="86">
        <v>0.2</v>
      </c>
      <c r="V669" s="86">
        <v>70001.0</v>
      </c>
      <c r="W669" s="86">
        <v>3.0</v>
      </c>
      <c r="X669" s="86">
        <v>1.0</v>
      </c>
      <c r="Y669" s="86">
        <v>70002.0</v>
      </c>
      <c r="Z669" s="86">
        <v>3.0</v>
      </c>
      <c r="AA669" s="86">
        <v>1.0</v>
      </c>
      <c r="AB669" s="86">
        <v>1001.0</v>
      </c>
      <c r="AC669" s="86">
        <v>100.0</v>
      </c>
      <c r="AD669" s="86">
        <v>1.0</v>
      </c>
      <c r="AE669" s="86">
        <v>8000.0</v>
      </c>
      <c r="AF669" s="86">
        <v>12350.0</v>
      </c>
      <c r="AG669" s="86">
        <v>1.0</v>
      </c>
    </row>
    <row r="670" ht="38.25" customHeight="1">
      <c r="A670" s="86">
        <v>1564.0</v>
      </c>
      <c r="B670" s="86" t="s">
        <v>1605</v>
      </c>
      <c r="C670" s="86">
        <v>15.0</v>
      </c>
      <c r="D670" s="86" t="s">
        <v>3575</v>
      </c>
      <c r="E670" s="86">
        <v>150.0</v>
      </c>
      <c r="G670" s="96" t="s">
        <v>3576</v>
      </c>
      <c r="I670" s="86">
        <v>71720.0</v>
      </c>
      <c r="J670" s="95" t="s">
        <v>3523</v>
      </c>
      <c r="K670" s="86" t="s">
        <v>647</v>
      </c>
      <c r="L670" s="86">
        <v>9001.0</v>
      </c>
      <c r="M670" s="86" t="s">
        <v>2076</v>
      </c>
      <c r="O670" s="86">
        <v>0.6</v>
      </c>
      <c r="P670" s="95" t="s">
        <v>3524</v>
      </c>
      <c r="Q670" s="86" t="s">
        <v>658</v>
      </c>
      <c r="R670" s="86">
        <v>9004.0</v>
      </c>
      <c r="S670" s="86" t="s">
        <v>3238</v>
      </c>
      <c r="U670" s="86">
        <v>0.6</v>
      </c>
      <c r="V670" s="86">
        <v>70001.0</v>
      </c>
      <c r="W670" s="86">
        <v>3.0</v>
      </c>
      <c r="X670" s="86">
        <v>1.0</v>
      </c>
      <c r="Y670" s="86">
        <v>70002.0</v>
      </c>
      <c r="Z670" s="86">
        <v>3.0</v>
      </c>
      <c r="AA670" s="86">
        <v>1.0</v>
      </c>
      <c r="AB670" s="86">
        <v>1001.0</v>
      </c>
      <c r="AC670" s="86">
        <v>100.0</v>
      </c>
      <c r="AD670" s="86">
        <v>1.0</v>
      </c>
      <c r="AE670" s="86">
        <v>8000.0</v>
      </c>
      <c r="AF670" s="86">
        <v>12400.0</v>
      </c>
      <c r="AG670" s="86">
        <v>1.0</v>
      </c>
    </row>
    <row r="671" ht="38.25" customHeight="1">
      <c r="A671" s="86">
        <v>1565.0</v>
      </c>
      <c r="B671" s="86" t="s">
        <v>1605</v>
      </c>
      <c r="C671" s="86">
        <v>15.0</v>
      </c>
      <c r="D671" s="86" t="s">
        <v>3578</v>
      </c>
      <c r="E671" s="86">
        <v>150.0</v>
      </c>
      <c r="G671" s="96" t="s">
        <v>3579</v>
      </c>
      <c r="I671" s="86">
        <v>71845.0</v>
      </c>
      <c r="J671" s="95" t="s">
        <v>3523</v>
      </c>
      <c r="K671" s="86" t="s">
        <v>647</v>
      </c>
      <c r="L671" s="86">
        <v>9007.0</v>
      </c>
      <c r="M671" s="86" t="s">
        <v>2488</v>
      </c>
      <c r="O671" s="86">
        <v>0.8</v>
      </c>
      <c r="P671" s="95" t="s">
        <v>3524</v>
      </c>
      <c r="Q671" s="86" t="s">
        <v>658</v>
      </c>
      <c r="R671" s="86">
        <v>9010.0</v>
      </c>
      <c r="S671" s="86">
        <v>11.0</v>
      </c>
      <c r="U671" s="86">
        <v>0.2</v>
      </c>
      <c r="V671" s="86">
        <v>70001.0</v>
      </c>
      <c r="W671" s="86">
        <v>3.0</v>
      </c>
      <c r="X671" s="86">
        <v>1.0</v>
      </c>
      <c r="Y671" s="86">
        <v>70002.0</v>
      </c>
      <c r="Z671" s="86">
        <v>3.0</v>
      </c>
      <c r="AA671" s="86">
        <v>1.0</v>
      </c>
      <c r="AB671" s="86">
        <v>1001.0</v>
      </c>
      <c r="AC671" s="86">
        <v>100.0</v>
      </c>
      <c r="AD671" s="86">
        <v>1.0</v>
      </c>
      <c r="AE671" s="86">
        <v>8000.0</v>
      </c>
      <c r="AF671" s="86">
        <v>12450.0</v>
      </c>
      <c r="AG671" s="86">
        <v>1.0</v>
      </c>
    </row>
    <row r="672" ht="38.25" customHeight="1">
      <c r="A672" s="86">
        <v>1566.0</v>
      </c>
      <c r="B672" s="86" t="s">
        <v>1605</v>
      </c>
      <c r="C672" s="86">
        <v>15.0</v>
      </c>
      <c r="D672" s="86" t="s">
        <v>3581</v>
      </c>
      <c r="E672" s="86">
        <v>150.0</v>
      </c>
      <c r="G672" s="96" t="s">
        <v>3582</v>
      </c>
      <c r="I672" s="86">
        <v>71970.0</v>
      </c>
      <c r="J672" s="95" t="s">
        <v>3523</v>
      </c>
      <c r="K672" s="86" t="s">
        <v>647</v>
      </c>
      <c r="L672" s="86">
        <v>9008.0</v>
      </c>
      <c r="M672" s="86">
        <v>12.0</v>
      </c>
      <c r="O672" s="86">
        <v>0.5</v>
      </c>
      <c r="P672" s="95" t="s">
        <v>3524</v>
      </c>
      <c r="Q672" s="86" t="s">
        <v>658</v>
      </c>
      <c r="R672" s="86">
        <v>9007.0</v>
      </c>
      <c r="S672" s="86" t="s">
        <v>1379</v>
      </c>
      <c r="U672" s="86">
        <v>0.3</v>
      </c>
      <c r="V672" s="86">
        <v>70001.0</v>
      </c>
      <c r="W672" s="86">
        <v>3.0</v>
      </c>
      <c r="X672" s="86">
        <v>1.0</v>
      </c>
      <c r="Y672" s="86">
        <v>70002.0</v>
      </c>
      <c r="Z672" s="86">
        <v>3.0</v>
      </c>
      <c r="AA672" s="86">
        <v>1.0</v>
      </c>
      <c r="AB672" s="86">
        <v>1001.0</v>
      </c>
      <c r="AC672" s="86">
        <v>100.0</v>
      </c>
      <c r="AD672" s="86">
        <v>1.0</v>
      </c>
      <c r="AE672" s="86">
        <v>8000.0</v>
      </c>
      <c r="AF672" s="86">
        <v>12450.0</v>
      </c>
      <c r="AG672" s="86">
        <v>1.0</v>
      </c>
    </row>
    <row r="673" ht="38.25" customHeight="1">
      <c r="A673" s="86">
        <v>1567.0</v>
      </c>
      <c r="B673" s="86" t="s">
        <v>1605</v>
      </c>
      <c r="C673" s="86">
        <v>15.0</v>
      </c>
      <c r="D673" s="86" t="s">
        <v>3583</v>
      </c>
      <c r="E673" s="86">
        <v>150.0</v>
      </c>
      <c r="G673" s="96" t="s">
        <v>3584</v>
      </c>
      <c r="I673" s="86">
        <v>72095.0</v>
      </c>
      <c r="J673" s="95" t="s">
        <v>3523</v>
      </c>
      <c r="K673" s="86" t="s">
        <v>647</v>
      </c>
      <c r="L673" s="86">
        <v>9007.0</v>
      </c>
      <c r="M673" s="86" t="s">
        <v>2173</v>
      </c>
      <c r="O673" s="86">
        <v>0.4</v>
      </c>
      <c r="P673" s="95" t="s">
        <v>3524</v>
      </c>
      <c r="Q673" s="86" t="s">
        <v>658</v>
      </c>
      <c r="R673" s="86">
        <v>9010.0</v>
      </c>
      <c r="S673" s="86" t="s">
        <v>1922</v>
      </c>
      <c r="U673" s="86">
        <v>0.8</v>
      </c>
      <c r="V673" s="86">
        <v>70001.0</v>
      </c>
      <c r="W673" s="86">
        <v>3.0</v>
      </c>
      <c r="X673" s="86">
        <v>1.0</v>
      </c>
      <c r="Y673" s="86">
        <v>70002.0</v>
      </c>
      <c r="Z673" s="86">
        <v>3.0</v>
      </c>
      <c r="AA673" s="86">
        <v>1.0</v>
      </c>
      <c r="AB673" s="86">
        <v>1001.0</v>
      </c>
      <c r="AC673" s="86">
        <v>100.0</v>
      </c>
      <c r="AD673" s="86">
        <v>1.0</v>
      </c>
      <c r="AE673" s="86">
        <v>8000.0</v>
      </c>
      <c r="AF673" s="86">
        <v>12500.0</v>
      </c>
      <c r="AG673" s="86">
        <v>1.0</v>
      </c>
    </row>
    <row r="674" ht="38.25" customHeight="1">
      <c r="A674" s="86">
        <v>1568.0</v>
      </c>
      <c r="B674" s="86" t="s">
        <v>1605</v>
      </c>
      <c r="C674" s="86">
        <v>15.0</v>
      </c>
      <c r="D674" s="86" t="s">
        <v>3586</v>
      </c>
      <c r="E674" s="86">
        <v>150.0</v>
      </c>
      <c r="G674" s="96" t="s">
        <v>3587</v>
      </c>
      <c r="I674" s="86">
        <v>72220.0</v>
      </c>
      <c r="J674" s="95" t="s">
        <v>3523</v>
      </c>
      <c r="K674" s="86" t="s">
        <v>647</v>
      </c>
      <c r="L674" s="86">
        <v>9002.0</v>
      </c>
      <c r="M674" s="86" t="s">
        <v>1128</v>
      </c>
      <c r="O674" s="86">
        <v>0.2</v>
      </c>
      <c r="P674" s="95" t="s">
        <v>3524</v>
      </c>
      <c r="Q674" s="86" t="s">
        <v>658</v>
      </c>
      <c r="R674" s="86">
        <v>9010.0</v>
      </c>
      <c r="S674" s="86" t="s">
        <v>1091</v>
      </c>
      <c r="U674" s="86">
        <v>0.6</v>
      </c>
      <c r="V674" s="86">
        <v>70001.0</v>
      </c>
      <c r="W674" s="86">
        <v>3.0</v>
      </c>
      <c r="X674" s="86">
        <v>1.0</v>
      </c>
      <c r="Y674" s="86">
        <v>70002.0</v>
      </c>
      <c r="Z674" s="86">
        <v>3.0</v>
      </c>
      <c r="AA674" s="86">
        <v>1.0</v>
      </c>
      <c r="AB674" s="86">
        <v>1001.0</v>
      </c>
      <c r="AC674" s="86">
        <v>100.0</v>
      </c>
      <c r="AD674" s="86">
        <v>1.0</v>
      </c>
      <c r="AE674" s="86">
        <v>8000.0</v>
      </c>
      <c r="AF674" s="86">
        <v>12500.0</v>
      </c>
      <c r="AG674" s="86">
        <v>1.0</v>
      </c>
    </row>
    <row r="675" ht="38.25" customHeight="1">
      <c r="A675" s="86">
        <v>1569.0</v>
      </c>
      <c r="B675" s="86" t="s">
        <v>1605</v>
      </c>
      <c r="C675" s="86">
        <v>15.0</v>
      </c>
      <c r="D675" s="86" t="s">
        <v>3588</v>
      </c>
      <c r="E675" s="86">
        <v>150.0</v>
      </c>
      <c r="G675" s="96" t="s">
        <v>3589</v>
      </c>
      <c r="I675" s="86">
        <v>72345.0</v>
      </c>
      <c r="J675" s="95" t="s">
        <v>3523</v>
      </c>
      <c r="K675" s="86" t="s">
        <v>647</v>
      </c>
      <c r="L675" s="86">
        <v>9001.0</v>
      </c>
      <c r="M675" s="86" t="s">
        <v>1622</v>
      </c>
      <c r="O675" s="86">
        <v>0.8</v>
      </c>
      <c r="P675" s="95" t="s">
        <v>3524</v>
      </c>
      <c r="Q675" s="86" t="s">
        <v>658</v>
      </c>
      <c r="R675" s="86">
        <v>9007.0</v>
      </c>
      <c r="S675" s="86">
        <v>1.0</v>
      </c>
      <c r="U675" s="86">
        <v>0.9</v>
      </c>
      <c r="V675" s="86">
        <v>70001.0</v>
      </c>
      <c r="W675" s="86">
        <v>3.0</v>
      </c>
      <c r="X675" s="86">
        <v>1.0</v>
      </c>
      <c r="Y675" s="86">
        <v>70002.0</v>
      </c>
      <c r="Z675" s="86">
        <v>3.0</v>
      </c>
      <c r="AA675" s="86">
        <v>1.0</v>
      </c>
      <c r="AB675" s="86">
        <v>1001.0</v>
      </c>
      <c r="AC675" s="86">
        <v>500.0</v>
      </c>
      <c r="AD675" s="86">
        <v>1.0</v>
      </c>
      <c r="AE675" s="86">
        <v>8000.0</v>
      </c>
      <c r="AF675" s="86">
        <v>12550.0</v>
      </c>
      <c r="AG675" s="86">
        <v>1.0</v>
      </c>
    </row>
    <row r="676" ht="38.25" customHeight="1">
      <c r="A676" s="86">
        <v>1570.0</v>
      </c>
      <c r="B676" s="86" t="s">
        <v>1605</v>
      </c>
      <c r="C676" s="86">
        <v>15.0</v>
      </c>
      <c r="D676" s="86" t="s">
        <v>3590</v>
      </c>
      <c r="E676" s="86">
        <v>150.0</v>
      </c>
      <c r="G676" s="96" t="s">
        <v>3591</v>
      </c>
      <c r="I676" s="86">
        <v>72470.0</v>
      </c>
      <c r="J676" s="95" t="s">
        <v>3523</v>
      </c>
      <c r="K676" s="86" t="s">
        <v>647</v>
      </c>
      <c r="L676" s="86">
        <v>9008.0</v>
      </c>
      <c r="M676" s="86">
        <v>5.0</v>
      </c>
      <c r="O676" s="86">
        <v>0.7</v>
      </c>
      <c r="P676" s="95" t="s">
        <v>3524</v>
      </c>
      <c r="Q676" s="86" t="s">
        <v>658</v>
      </c>
      <c r="R676" s="86">
        <v>9004.0</v>
      </c>
      <c r="S676" s="86">
        <v>6.0</v>
      </c>
      <c r="U676" s="86">
        <v>0.4</v>
      </c>
      <c r="V676" s="86">
        <v>70001.0</v>
      </c>
      <c r="W676" s="86">
        <v>3.0</v>
      </c>
      <c r="X676" s="86">
        <v>1.0</v>
      </c>
      <c r="Y676" s="86">
        <v>70002.0</v>
      </c>
      <c r="Z676" s="86">
        <v>3.0</v>
      </c>
      <c r="AA676" s="86">
        <v>1.0</v>
      </c>
      <c r="AB676" s="86">
        <v>1001.0</v>
      </c>
      <c r="AC676" s="86">
        <v>100.0</v>
      </c>
      <c r="AD676" s="86">
        <v>1.0</v>
      </c>
      <c r="AE676" s="86">
        <v>8000.0</v>
      </c>
      <c r="AF676" s="86">
        <v>12600.0</v>
      </c>
      <c r="AG676" s="86">
        <v>1.0</v>
      </c>
    </row>
    <row r="677" ht="38.25" customHeight="1">
      <c r="A677" s="86">
        <v>1571.0</v>
      </c>
      <c r="B677" s="86" t="s">
        <v>1605</v>
      </c>
      <c r="C677" s="86">
        <v>15.0</v>
      </c>
      <c r="D677" s="86" t="s">
        <v>3593</v>
      </c>
      <c r="E677" s="86">
        <v>150.0</v>
      </c>
      <c r="G677" s="96" t="s">
        <v>3594</v>
      </c>
      <c r="I677" s="86">
        <v>72595.0</v>
      </c>
      <c r="J677" s="95" t="s">
        <v>3523</v>
      </c>
      <c r="K677" s="86" t="s">
        <v>647</v>
      </c>
      <c r="L677" s="86">
        <v>9012.0</v>
      </c>
      <c r="M677" s="86" t="s">
        <v>1190</v>
      </c>
      <c r="O677" s="86">
        <v>0.5</v>
      </c>
      <c r="P677" s="95" t="s">
        <v>3524</v>
      </c>
      <c r="Q677" s="86" t="s">
        <v>658</v>
      </c>
      <c r="R677" s="86">
        <v>9010.0</v>
      </c>
      <c r="S677" s="86" t="s">
        <v>3595</v>
      </c>
      <c r="U677" s="86">
        <v>0.6</v>
      </c>
      <c r="V677" s="86">
        <v>70001.0</v>
      </c>
      <c r="W677" s="86">
        <v>3.0</v>
      </c>
      <c r="X677" s="86">
        <v>1.0</v>
      </c>
      <c r="Y677" s="86">
        <v>70002.0</v>
      </c>
      <c r="Z677" s="86">
        <v>3.0</v>
      </c>
      <c r="AA677" s="86">
        <v>1.0</v>
      </c>
      <c r="AB677" s="86">
        <v>1001.0</v>
      </c>
      <c r="AC677" s="86">
        <v>100.0</v>
      </c>
      <c r="AD677" s="86">
        <v>1.0</v>
      </c>
      <c r="AE677" s="86">
        <v>8000.0</v>
      </c>
      <c r="AF677" s="86">
        <v>12600.0</v>
      </c>
      <c r="AG677" s="86">
        <v>1.0</v>
      </c>
    </row>
    <row r="678" ht="38.25" customHeight="1">
      <c r="A678" s="86">
        <v>1572.0</v>
      </c>
      <c r="B678" s="86" t="s">
        <v>1605</v>
      </c>
      <c r="C678" s="86">
        <v>15.0</v>
      </c>
      <c r="D678" s="86" t="s">
        <v>3596</v>
      </c>
      <c r="E678" s="86">
        <v>150.0</v>
      </c>
      <c r="G678" s="96" t="s">
        <v>3597</v>
      </c>
      <c r="I678" s="86">
        <v>72720.0</v>
      </c>
      <c r="J678" s="95" t="s">
        <v>3523</v>
      </c>
      <c r="K678" s="86" t="s">
        <v>647</v>
      </c>
      <c r="L678" s="86">
        <v>9007.0</v>
      </c>
      <c r="M678" s="86">
        <v>6.0</v>
      </c>
      <c r="O678" s="86">
        <v>0.6</v>
      </c>
      <c r="P678" s="95" t="s">
        <v>3524</v>
      </c>
      <c r="Q678" s="86" t="s">
        <v>658</v>
      </c>
      <c r="R678" s="86">
        <v>9011.0</v>
      </c>
      <c r="S678" s="86" t="s">
        <v>1875</v>
      </c>
      <c r="U678" s="86">
        <v>0.1</v>
      </c>
      <c r="V678" s="86">
        <v>70001.0</v>
      </c>
      <c r="W678" s="86">
        <v>3.0</v>
      </c>
      <c r="X678" s="86">
        <v>1.0</v>
      </c>
      <c r="Y678" s="86">
        <v>70002.0</v>
      </c>
      <c r="Z678" s="86">
        <v>3.0</v>
      </c>
      <c r="AA678" s="86">
        <v>1.0</v>
      </c>
      <c r="AB678" s="86">
        <v>1001.0</v>
      </c>
      <c r="AC678" s="86">
        <v>100.0</v>
      </c>
      <c r="AD678" s="86">
        <v>1.0</v>
      </c>
      <c r="AE678" s="86">
        <v>8000.0</v>
      </c>
      <c r="AF678" s="86">
        <v>12650.0</v>
      </c>
      <c r="AG678" s="86">
        <v>1.0</v>
      </c>
    </row>
    <row r="679" ht="38.25" customHeight="1">
      <c r="A679" s="86">
        <v>1573.0</v>
      </c>
      <c r="B679" s="86" t="s">
        <v>1605</v>
      </c>
      <c r="C679" s="86">
        <v>15.0</v>
      </c>
      <c r="D679" s="86" t="s">
        <v>3598</v>
      </c>
      <c r="E679" s="86">
        <v>150.0</v>
      </c>
      <c r="G679" s="96" t="s">
        <v>3599</v>
      </c>
      <c r="I679" s="86">
        <v>72845.0</v>
      </c>
      <c r="J679" s="95" t="s">
        <v>3523</v>
      </c>
      <c r="K679" s="86" t="s">
        <v>647</v>
      </c>
      <c r="L679" s="86">
        <v>9007.0</v>
      </c>
      <c r="M679" s="86">
        <v>2.0</v>
      </c>
      <c r="O679" s="86">
        <v>0.4</v>
      </c>
      <c r="P679" s="95" t="s">
        <v>3524</v>
      </c>
      <c r="Q679" s="86" t="s">
        <v>658</v>
      </c>
      <c r="R679" s="86">
        <v>9010.0</v>
      </c>
      <c r="S679" s="86" t="s">
        <v>2172</v>
      </c>
      <c r="U679" s="86">
        <v>0.5</v>
      </c>
      <c r="V679" s="86">
        <v>70001.0</v>
      </c>
      <c r="W679" s="86">
        <v>3.0</v>
      </c>
      <c r="X679" s="86">
        <v>1.0</v>
      </c>
      <c r="Y679" s="86">
        <v>70002.0</v>
      </c>
      <c r="Z679" s="86">
        <v>3.0</v>
      </c>
      <c r="AA679" s="86">
        <v>1.0</v>
      </c>
      <c r="AB679" s="86">
        <v>1001.0</v>
      </c>
      <c r="AC679" s="86">
        <v>100.0</v>
      </c>
      <c r="AD679" s="86">
        <v>1.0</v>
      </c>
      <c r="AE679" s="86">
        <v>8000.0</v>
      </c>
      <c r="AF679" s="86">
        <v>12650.0</v>
      </c>
      <c r="AG679" s="86">
        <v>1.0</v>
      </c>
    </row>
    <row r="680" ht="38.25" customHeight="1">
      <c r="A680" s="86">
        <v>1574.0</v>
      </c>
      <c r="B680" s="86" t="s">
        <v>1605</v>
      </c>
      <c r="C680" s="86">
        <v>15.0</v>
      </c>
      <c r="D680" s="86" t="s">
        <v>3600</v>
      </c>
      <c r="E680" s="86">
        <v>150.0</v>
      </c>
      <c r="G680" s="96" t="s">
        <v>3601</v>
      </c>
      <c r="I680" s="86">
        <v>72970.0</v>
      </c>
      <c r="J680" s="95" t="s">
        <v>3523</v>
      </c>
      <c r="K680" s="86" t="s">
        <v>647</v>
      </c>
      <c r="L680" s="86">
        <v>9011.0</v>
      </c>
      <c r="M680" s="86" t="s">
        <v>1277</v>
      </c>
      <c r="O680" s="86">
        <v>0.5</v>
      </c>
      <c r="P680" s="95" t="s">
        <v>3524</v>
      </c>
      <c r="Q680" s="86" t="s">
        <v>658</v>
      </c>
      <c r="R680" s="86">
        <v>9011.0</v>
      </c>
      <c r="S680" s="86">
        <v>5.0</v>
      </c>
      <c r="U680" s="86">
        <v>0.8</v>
      </c>
      <c r="V680" s="86">
        <v>70001.0</v>
      </c>
      <c r="W680" s="86">
        <v>3.0</v>
      </c>
      <c r="X680" s="86">
        <v>1.0</v>
      </c>
      <c r="Y680" s="86">
        <v>70002.0</v>
      </c>
      <c r="Z680" s="86">
        <v>3.0</v>
      </c>
      <c r="AA680" s="86">
        <v>1.0</v>
      </c>
      <c r="AB680" s="86">
        <v>1001.0</v>
      </c>
      <c r="AC680" s="86">
        <v>100.0</v>
      </c>
      <c r="AD680" s="86">
        <v>1.0</v>
      </c>
      <c r="AE680" s="86">
        <v>8000.0</v>
      </c>
      <c r="AF680" s="86">
        <v>12700.0</v>
      </c>
      <c r="AG680" s="86">
        <v>1.0</v>
      </c>
    </row>
    <row r="681" ht="38.25" customHeight="1">
      <c r="A681" s="86">
        <v>1575.0</v>
      </c>
      <c r="B681" s="86" t="s">
        <v>1605</v>
      </c>
      <c r="C681" s="86">
        <v>15.0</v>
      </c>
      <c r="D681" s="86" t="s">
        <v>3602</v>
      </c>
      <c r="E681" s="86">
        <v>150.0</v>
      </c>
      <c r="G681" s="96" t="s">
        <v>3603</v>
      </c>
      <c r="I681" s="86">
        <v>73095.0</v>
      </c>
      <c r="J681" s="95" t="s">
        <v>3523</v>
      </c>
      <c r="K681" s="86" t="s">
        <v>647</v>
      </c>
      <c r="L681" s="86">
        <v>9006.0</v>
      </c>
      <c r="M681" s="86">
        <v>2.0</v>
      </c>
      <c r="O681" s="86">
        <v>0.4</v>
      </c>
      <c r="P681" s="95" t="s">
        <v>3524</v>
      </c>
      <c r="Q681" s="86" t="s">
        <v>658</v>
      </c>
      <c r="R681" s="86">
        <v>9012.0</v>
      </c>
      <c r="S681" s="86">
        <v>6.0</v>
      </c>
      <c r="U681" s="86">
        <v>0.4</v>
      </c>
      <c r="V681" s="86">
        <v>70001.0</v>
      </c>
      <c r="W681" s="86">
        <v>3.0</v>
      </c>
      <c r="X681" s="86">
        <v>1.0</v>
      </c>
      <c r="Y681" s="86">
        <v>70002.0</v>
      </c>
      <c r="Z681" s="86">
        <v>3.0</v>
      </c>
      <c r="AA681" s="86">
        <v>1.0</v>
      </c>
      <c r="AB681" s="86">
        <v>1001.0</v>
      </c>
      <c r="AC681" s="86">
        <v>100.0</v>
      </c>
      <c r="AD681" s="86">
        <v>1.0</v>
      </c>
      <c r="AE681" s="86">
        <v>8000.0</v>
      </c>
      <c r="AF681" s="86">
        <v>12700.0</v>
      </c>
      <c r="AG681" s="86">
        <v>1.0</v>
      </c>
    </row>
    <row r="682" ht="38.25" customHeight="1">
      <c r="A682" s="86">
        <v>1576.0</v>
      </c>
      <c r="B682" s="86" t="s">
        <v>1605</v>
      </c>
      <c r="C682" s="86">
        <v>15.0</v>
      </c>
      <c r="D682" s="86" t="s">
        <v>3604</v>
      </c>
      <c r="E682" s="86">
        <v>150.0</v>
      </c>
      <c r="G682" s="96" t="s">
        <v>3605</v>
      </c>
      <c r="I682" s="86">
        <v>73220.0</v>
      </c>
      <c r="J682" s="95" t="s">
        <v>3523</v>
      </c>
      <c r="K682" s="86" t="s">
        <v>647</v>
      </c>
      <c r="L682" s="86">
        <v>9008.0</v>
      </c>
      <c r="M682" s="86">
        <v>11.0</v>
      </c>
      <c r="O682" s="86">
        <v>0.7</v>
      </c>
      <c r="P682" s="95" t="s">
        <v>3524</v>
      </c>
      <c r="Q682" s="86" t="s">
        <v>658</v>
      </c>
      <c r="R682" s="86">
        <v>9004.0</v>
      </c>
      <c r="S682" s="86" t="s">
        <v>2076</v>
      </c>
      <c r="U682" s="86">
        <v>0.6</v>
      </c>
      <c r="V682" s="86">
        <v>70001.0</v>
      </c>
      <c r="W682" s="86">
        <v>3.0</v>
      </c>
      <c r="X682" s="86">
        <v>1.0</v>
      </c>
      <c r="Y682" s="86">
        <v>70002.0</v>
      </c>
      <c r="Z682" s="86">
        <v>3.0</v>
      </c>
      <c r="AA682" s="86">
        <v>1.0</v>
      </c>
      <c r="AB682" s="86">
        <v>1001.0</v>
      </c>
      <c r="AC682" s="86">
        <v>100.0</v>
      </c>
      <c r="AD682" s="86">
        <v>1.0</v>
      </c>
      <c r="AE682" s="86">
        <v>8000.0</v>
      </c>
      <c r="AF682" s="86">
        <v>12750.0</v>
      </c>
      <c r="AG682" s="86">
        <v>1.0</v>
      </c>
    </row>
    <row r="683" ht="38.25" customHeight="1">
      <c r="A683" s="86">
        <v>1577.0</v>
      </c>
      <c r="B683" s="86" t="s">
        <v>1605</v>
      </c>
      <c r="C683" s="86">
        <v>15.0</v>
      </c>
      <c r="D683" s="86" t="s">
        <v>3607</v>
      </c>
      <c r="E683" s="86">
        <v>150.0</v>
      </c>
      <c r="G683" s="96" t="s">
        <v>3608</v>
      </c>
      <c r="I683" s="86">
        <v>73345.0</v>
      </c>
      <c r="J683" s="95" t="s">
        <v>3523</v>
      </c>
      <c r="K683" s="86" t="s">
        <v>647</v>
      </c>
      <c r="L683" s="86">
        <v>9007.0</v>
      </c>
      <c r="M683" s="86" t="s">
        <v>1636</v>
      </c>
      <c r="O683" s="86">
        <v>0.2</v>
      </c>
      <c r="P683" s="95" t="s">
        <v>3524</v>
      </c>
      <c r="Q683" s="86" t="s">
        <v>658</v>
      </c>
      <c r="R683" s="86">
        <v>9008.0</v>
      </c>
      <c r="S683" s="86" t="s">
        <v>1380</v>
      </c>
      <c r="U683" s="86">
        <v>0.8</v>
      </c>
      <c r="V683" s="86">
        <v>70001.0</v>
      </c>
      <c r="W683" s="86">
        <v>3.0</v>
      </c>
      <c r="X683" s="86">
        <v>1.0</v>
      </c>
      <c r="Y683" s="86">
        <v>70002.0</v>
      </c>
      <c r="Z683" s="86">
        <v>3.0</v>
      </c>
      <c r="AA683" s="86">
        <v>1.0</v>
      </c>
      <c r="AB683" s="86">
        <v>1001.0</v>
      </c>
      <c r="AC683" s="86">
        <v>100.0</v>
      </c>
      <c r="AD683" s="86">
        <v>1.0</v>
      </c>
      <c r="AE683" s="86">
        <v>8000.0</v>
      </c>
      <c r="AF683" s="86">
        <v>12800.0</v>
      </c>
      <c r="AG683" s="86">
        <v>1.0</v>
      </c>
    </row>
    <row r="684" ht="38.25" customHeight="1">
      <c r="A684" s="86">
        <v>1578.0</v>
      </c>
      <c r="B684" s="86" t="s">
        <v>1605</v>
      </c>
      <c r="C684" s="86">
        <v>15.0</v>
      </c>
      <c r="D684" s="86" t="s">
        <v>3609</v>
      </c>
      <c r="E684" s="86">
        <v>150.0</v>
      </c>
      <c r="G684" s="96" t="s">
        <v>3610</v>
      </c>
      <c r="I684" s="86">
        <v>73470.0</v>
      </c>
      <c r="J684" s="95" t="s">
        <v>3523</v>
      </c>
      <c r="K684" s="86" t="s">
        <v>647</v>
      </c>
      <c r="L684" s="86">
        <v>9011.0</v>
      </c>
      <c r="M684" s="86" t="s">
        <v>1259</v>
      </c>
      <c r="O684" s="86">
        <v>0.3</v>
      </c>
      <c r="P684" s="95" t="s">
        <v>3524</v>
      </c>
      <c r="Q684" s="86" t="s">
        <v>658</v>
      </c>
      <c r="R684" s="86">
        <v>9008.0</v>
      </c>
      <c r="S684" s="86" t="s">
        <v>1815</v>
      </c>
      <c r="U684" s="86">
        <v>1.0</v>
      </c>
      <c r="V684" s="86">
        <v>70001.0</v>
      </c>
      <c r="W684" s="86">
        <v>3.0</v>
      </c>
      <c r="X684" s="86">
        <v>1.0</v>
      </c>
      <c r="Y684" s="86">
        <v>70002.0</v>
      </c>
      <c r="Z684" s="86">
        <v>3.0</v>
      </c>
      <c r="AA684" s="86">
        <v>1.0</v>
      </c>
      <c r="AB684" s="86">
        <v>1001.0</v>
      </c>
      <c r="AC684" s="86">
        <v>100.0</v>
      </c>
      <c r="AD684" s="86">
        <v>1.0</v>
      </c>
      <c r="AE684" s="86">
        <v>8000.0</v>
      </c>
      <c r="AF684" s="86">
        <v>12800.0</v>
      </c>
      <c r="AG684" s="86">
        <v>1.0</v>
      </c>
    </row>
    <row r="685" ht="38.25" customHeight="1">
      <c r="A685" s="86">
        <v>1579.0</v>
      </c>
      <c r="B685" s="86" t="s">
        <v>1605</v>
      </c>
      <c r="C685" s="86">
        <v>15.0</v>
      </c>
      <c r="D685" s="86" t="s">
        <v>3611</v>
      </c>
      <c r="E685" s="86">
        <v>150.0</v>
      </c>
      <c r="G685" s="96" t="s">
        <v>3612</v>
      </c>
      <c r="I685" s="86">
        <v>73595.0</v>
      </c>
      <c r="J685" s="95" t="s">
        <v>3523</v>
      </c>
      <c r="K685" s="86" t="s">
        <v>647</v>
      </c>
      <c r="L685" s="86">
        <v>9001.0</v>
      </c>
      <c r="M685" s="86" t="s">
        <v>2167</v>
      </c>
      <c r="O685" s="86">
        <v>0.7</v>
      </c>
      <c r="P685" s="95" t="s">
        <v>3524</v>
      </c>
      <c r="Q685" s="86" t="s">
        <v>658</v>
      </c>
      <c r="R685" s="86">
        <v>9007.0</v>
      </c>
      <c r="S685" s="86">
        <v>4.0</v>
      </c>
      <c r="U685" s="86">
        <v>0.7</v>
      </c>
      <c r="V685" s="86">
        <v>70001.0</v>
      </c>
      <c r="W685" s="86">
        <v>3.0</v>
      </c>
      <c r="X685" s="86">
        <v>1.0</v>
      </c>
      <c r="Y685" s="86">
        <v>70002.0</v>
      </c>
      <c r="Z685" s="86">
        <v>3.0</v>
      </c>
      <c r="AA685" s="86">
        <v>1.0</v>
      </c>
      <c r="AB685" s="86">
        <v>1001.0</v>
      </c>
      <c r="AC685" s="86">
        <v>100.0</v>
      </c>
      <c r="AD685" s="86">
        <v>1.0</v>
      </c>
      <c r="AE685" s="86">
        <v>8000.0</v>
      </c>
      <c r="AF685" s="86">
        <v>12850.0</v>
      </c>
      <c r="AG685" s="86">
        <v>1.0</v>
      </c>
    </row>
    <row r="686" ht="38.25" customHeight="1">
      <c r="A686" s="86">
        <v>1580.0</v>
      </c>
      <c r="B686" s="86" t="s">
        <v>1605</v>
      </c>
      <c r="C686" s="86">
        <v>15.0</v>
      </c>
      <c r="D686" s="86" t="s">
        <v>3614</v>
      </c>
      <c r="E686" s="86">
        <v>150.0</v>
      </c>
      <c r="G686" s="96" t="s">
        <v>3615</v>
      </c>
      <c r="I686" s="86">
        <v>73720.0</v>
      </c>
      <c r="J686" s="95" t="s">
        <v>3523</v>
      </c>
      <c r="K686" s="86" t="s">
        <v>647</v>
      </c>
      <c r="L686" s="86">
        <v>9001.0</v>
      </c>
      <c r="M686" s="86" t="s">
        <v>1742</v>
      </c>
      <c r="O686" s="86">
        <v>1.0</v>
      </c>
      <c r="P686" s="95" t="s">
        <v>3524</v>
      </c>
      <c r="Q686" s="86" t="s">
        <v>658</v>
      </c>
      <c r="R686" s="86">
        <v>9012.0</v>
      </c>
      <c r="S686" s="86">
        <v>10.0</v>
      </c>
      <c r="U686" s="86">
        <v>0.9</v>
      </c>
      <c r="V686" s="86">
        <v>70001.0</v>
      </c>
      <c r="W686" s="86">
        <v>3.0</v>
      </c>
      <c r="X686" s="86">
        <v>1.0</v>
      </c>
      <c r="Y686" s="86">
        <v>70002.0</v>
      </c>
      <c r="Z686" s="86">
        <v>3.0</v>
      </c>
      <c r="AA686" s="86">
        <v>1.0</v>
      </c>
      <c r="AB686" s="86">
        <v>1001.0</v>
      </c>
      <c r="AC686" s="86">
        <v>100.0</v>
      </c>
      <c r="AD686" s="86">
        <v>1.0</v>
      </c>
      <c r="AE686" s="86">
        <v>8000.0</v>
      </c>
      <c r="AF686" s="86">
        <v>12850.0</v>
      </c>
      <c r="AG686" s="86">
        <v>1.0</v>
      </c>
    </row>
    <row r="687" ht="38.25" customHeight="1">
      <c r="A687" s="86">
        <v>1581.0</v>
      </c>
      <c r="B687" s="86" t="s">
        <v>1605</v>
      </c>
      <c r="C687" s="86">
        <v>15.0</v>
      </c>
      <c r="D687" s="86" t="s">
        <v>3616</v>
      </c>
      <c r="E687" s="86">
        <v>150.0</v>
      </c>
      <c r="G687" s="96" t="s">
        <v>3617</v>
      </c>
      <c r="I687" s="86">
        <v>73845.0</v>
      </c>
      <c r="J687" s="95" t="s">
        <v>3523</v>
      </c>
      <c r="K687" s="86" t="s">
        <v>647</v>
      </c>
      <c r="L687" s="86">
        <v>9001.0</v>
      </c>
      <c r="M687" s="86" t="s">
        <v>1855</v>
      </c>
      <c r="O687" s="86">
        <v>0.4</v>
      </c>
      <c r="P687" s="95" t="s">
        <v>3524</v>
      </c>
      <c r="Q687" s="86" t="s">
        <v>658</v>
      </c>
      <c r="R687" s="86">
        <v>9012.0</v>
      </c>
      <c r="S687" s="86">
        <v>4.0</v>
      </c>
      <c r="U687" s="86">
        <v>0.5</v>
      </c>
      <c r="V687" s="86">
        <v>70001.0</v>
      </c>
      <c r="W687" s="86">
        <v>3.0</v>
      </c>
      <c r="X687" s="86">
        <v>1.0</v>
      </c>
      <c r="Y687" s="86">
        <v>70002.0</v>
      </c>
      <c r="Z687" s="86">
        <v>3.0</v>
      </c>
      <c r="AA687" s="86">
        <v>1.0</v>
      </c>
      <c r="AB687" s="86">
        <v>1001.0</v>
      </c>
      <c r="AC687" s="86">
        <v>100.0</v>
      </c>
      <c r="AD687" s="86">
        <v>1.0</v>
      </c>
      <c r="AE687" s="86">
        <v>8000.0</v>
      </c>
      <c r="AF687" s="86">
        <v>12900.0</v>
      </c>
      <c r="AG687" s="86">
        <v>1.0</v>
      </c>
    </row>
    <row r="688" ht="38.25" customHeight="1">
      <c r="A688" s="86">
        <v>1582.0</v>
      </c>
      <c r="B688" s="86" t="s">
        <v>1605</v>
      </c>
      <c r="C688" s="86">
        <v>15.0</v>
      </c>
      <c r="D688" s="86" t="s">
        <v>3619</v>
      </c>
      <c r="E688" s="86">
        <v>150.0</v>
      </c>
      <c r="G688" s="96" t="s">
        <v>3620</v>
      </c>
      <c r="I688" s="86">
        <v>73970.0</v>
      </c>
      <c r="J688" s="95" t="s">
        <v>3523</v>
      </c>
      <c r="K688" s="86" t="s">
        <v>647</v>
      </c>
      <c r="L688" s="86">
        <v>9002.0</v>
      </c>
      <c r="M688" s="86" t="s">
        <v>1217</v>
      </c>
      <c r="O688" s="86">
        <v>0.3</v>
      </c>
      <c r="P688" s="95" t="s">
        <v>3524</v>
      </c>
      <c r="Q688" s="86" t="s">
        <v>658</v>
      </c>
      <c r="R688" s="86">
        <v>9008.0</v>
      </c>
      <c r="S688" s="86" t="s">
        <v>1513</v>
      </c>
      <c r="U688" s="86">
        <v>0.5</v>
      </c>
      <c r="V688" s="86">
        <v>70001.0</v>
      </c>
      <c r="W688" s="86">
        <v>3.0</v>
      </c>
      <c r="X688" s="86">
        <v>1.0</v>
      </c>
      <c r="Y688" s="86">
        <v>70002.0</v>
      </c>
      <c r="Z688" s="86">
        <v>3.0</v>
      </c>
      <c r="AA688" s="86">
        <v>1.0</v>
      </c>
      <c r="AB688" s="86">
        <v>1001.0</v>
      </c>
      <c r="AC688" s="86">
        <v>100.0</v>
      </c>
      <c r="AD688" s="86">
        <v>1.0</v>
      </c>
      <c r="AE688" s="86">
        <v>8000.0</v>
      </c>
      <c r="AF688" s="86">
        <v>12900.0</v>
      </c>
      <c r="AG688" s="86">
        <v>1.0</v>
      </c>
    </row>
    <row r="689" ht="38.25" customHeight="1">
      <c r="A689" s="86">
        <v>1583.0</v>
      </c>
      <c r="B689" s="86" t="s">
        <v>1605</v>
      </c>
      <c r="C689" s="86">
        <v>15.0</v>
      </c>
      <c r="D689" s="86" t="s">
        <v>3623</v>
      </c>
      <c r="E689" s="86">
        <v>150.0</v>
      </c>
      <c r="G689" s="96" t="s">
        <v>3626</v>
      </c>
      <c r="I689" s="86">
        <v>74095.0</v>
      </c>
      <c r="J689" s="95" t="s">
        <v>3523</v>
      </c>
      <c r="K689" s="86" t="s">
        <v>647</v>
      </c>
      <c r="L689" s="86">
        <v>9005.0</v>
      </c>
      <c r="M689" s="86" t="s">
        <v>1785</v>
      </c>
      <c r="O689" s="86">
        <v>0.3</v>
      </c>
      <c r="P689" s="95" t="s">
        <v>3524</v>
      </c>
      <c r="Q689" s="86" t="s">
        <v>658</v>
      </c>
      <c r="R689" s="86">
        <v>9011.0</v>
      </c>
      <c r="S689" s="86" t="s">
        <v>1637</v>
      </c>
      <c r="U689" s="86">
        <v>0.5</v>
      </c>
      <c r="V689" s="86">
        <v>70001.0</v>
      </c>
      <c r="W689" s="86">
        <v>3.0</v>
      </c>
      <c r="X689" s="86">
        <v>1.0</v>
      </c>
      <c r="Y689" s="86">
        <v>70002.0</v>
      </c>
      <c r="Z689" s="86">
        <v>3.0</v>
      </c>
      <c r="AA689" s="86">
        <v>1.0</v>
      </c>
      <c r="AB689" s="86">
        <v>1001.0</v>
      </c>
      <c r="AC689" s="86">
        <v>100.0</v>
      </c>
      <c r="AD689" s="86">
        <v>1.0</v>
      </c>
      <c r="AE689" s="86">
        <v>8000.0</v>
      </c>
      <c r="AF689" s="86">
        <v>12950.0</v>
      </c>
      <c r="AG689" s="86">
        <v>1.0</v>
      </c>
    </row>
    <row r="690" ht="38.25" customHeight="1">
      <c r="A690" s="86">
        <v>1584.0</v>
      </c>
      <c r="B690" s="86" t="s">
        <v>1605</v>
      </c>
      <c r="C690" s="86">
        <v>15.0</v>
      </c>
      <c r="D690" s="86" t="s">
        <v>3640</v>
      </c>
      <c r="E690" s="86">
        <v>150.0</v>
      </c>
      <c r="G690" s="96" t="s">
        <v>3643</v>
      </c>
      <c r="I690" s="86">
        <v>74220.0</v>
      </c>
      <c r="J690" s="95" t="s">
        <v>3523</v>
      </c>
      <c r="K690" s="86" t="s">
        <v>647</v>
      </c>
      <c r="L690" s="86">
        <v>9002.0</v>
      </c>
      <c r="M690" s="86" t="s">
        <v>1220</v>
      </c>
      <c r="O690" s="86">
        <v>0.7</v>
      </c>
      <c r="P690" s="95" t="s">
        <v>3524</v>
      </c>
      <c r="Q690" s="86" t="s">
        <v>658</v>
      </c>
      <c r="R690" s="86">
        <v>9004.0</v>
      </c>
      <c r="S690" s="86">
        <v>2.0</v>
      </c>
      <c r="U690" s="86">
        <v>0.8</v>
      </c>
      <c r="V690" s="86">
        <v>70001.0</v>
      </c>
      <c r="W690" s="86">
        <v>3.0</v>
      </c>
      <c r="X690" s="86">
        <v>1.0</v>
      </c>
      <c r="Y690" s="86">
        <v>70002.0</v>
      </c>
      <c r="Z690" s="86">
        <v>3.0</v>
      </c>
      <c r="AA690" s="86">
        <v>1.0</v>
      </c>
      <c r="AB690" s="86">
        <v>1001.0</v>
      </c>
      <c r="AC690" s="86">
        <v>100.0</v>
      </c>
      <c r="AD690" s="86">
        <v>1.0</v>
      </c>
      <c r="AE690" s="86">
        <v>8000.0</v>
      </c>
      <c r="AF690" s="86">
        <v>13000.0</v>
      </c>
      <c r="AG690" s="86">
        <v>1.0</v>
      </c>
    </row>
    <row r="691" ht="38.25" customHeight="1">
      <c r="A691" s="86">
        <v>1585.0</v>
      </c>
      <c r="B691" s="86" t="s">
        <v>1605</v>
      </c>
      <c r="C691" s="86">
        <v>15.0</v>
      </c>
      <c r="D691" s="86" t="s">
        <v>3653</v>
      </c>
      <c r="E691" s="86">
        <v>150.0</v>
      </c>
      <c r="G691" s="96" t="s">
        <v>3655</v>
      </c>
      <c r="I691" s="86">
        <v>74345.0</v>
      </c>
      <c r="J691" s="95" t="s">
        <v>3523</v>
      </c>
      <c r="K691" s="86" t="s">
        <v>647</v>
      </c>
      <c r="L691" s="86">
        <v>9001.0</v>
      </c>
      <c r="M691" s="86" t="s">
        <v>1113</v>
      </c>
      <c r="O691" s="86">
        <v>0.3</v>
      </c>
      <c r="P691" s="95" t="s">
        <v>3524</v>
      </c>
      <c r="Q691" s="86" t="s">
        <v>658</v>
      </c>
      <c r="R691" s="86">
        <v>9007.0</v>
      </c>
      <c r="S691" s="86">
        <v>2.0</v>
      </c>
      <c r="U691" s="86">
        <v>0.8</v>
      </c>
      <c r="V691" s="86">
        <v>70001.0</v>
      </c>
      <c r="W691" s="86">
        <v>3.0</v>
      </c>
      <c r="X691" s="86">
        <v>1.0</v>
      </c>
      <c r="Y691" s="86">
        <v>70002.0</v>
      </c>
      <c r="Z691" s="86">
        <v>3.0</v>
      </c>
      <c r="AA691" s="86">
        <v>1.0</v>
      </c>
      <c r="AB691" s="86">
        <v>1001.0</v>
      </c>
      <c r="AC691" s="86">
        <v>100.0</v>
      </c>
      <c r="AD691" s="86">
        <v>1.0</v>
      </c>
      <c r="AE691" s="86">
        <v>8000.0</v>
      </c>
      <c r="AF691" s="86">
        <v>13000.0</v>
      </c>
      <c r="AG691" s="86">
        <v>1.0</v>
      </c>
    </row>
    <row r="692" ht="38.25" customHeight="1">
      <c r="A692" s="86">
        <v>1586.0</v>
      </c>
      <c r="B692" s="86" t="s">
        <v>1605</v>
      </c>
      <c r="C692" s="86">
        <v>15.0</v>
      </c>
      <c r="D692" s="86" t="s">
        <v>3658</v>
      </c>
      <c r="E692" s="86">
        <v>150.0</v>
      </c>
      <c r="G692" s="96" t="s">
        <v>3659</v>
      </c>
      <c r="I692" s="86">
        <v>74470.0</v>
      </c>
      <c r="J692" s="95" t="s">
        <v>3523</v>
      </c>
      <c r="K692" s="86" t="s">
        <v>647</v>
      </c>
      <c r="L692" s="86">
        <v>9005.0</v>
      </c>
      <c r="M692" s="86" t="s">
        <v>1386</v>
      </c>
      <c r="O692" s="86">
        <v>0.6</v>
      </c>
      <c r="P692" s="95" t="s">
        <v>3524</v>
      </c>
      <c r="Q692" s="86" t="s">
        <v>658</v>
      </c>
      <c r="R692" s="86">
        <v>9011.0</v>
      </c>
      <c r="S692" s="86" t="s">
        <v>1648</v>
      </c>
      <c r="U692" s="86">
        <v>0.5</v>
      </c>
      <c r="V692" s="86">
        <v>70001.0</v>
      </c>
      <c r="W692" s="86">
        <v>3.0</v>
      </c>
      <c r="X692" s="86">
        <v>1.0</v>
      </c>
      <c r="Y692" s="86">
        <v>70002.0</v>
      </c>
      <c r="Z692" s="86">
        <v>3.0</v>
      </c>
      <c r="AA692" s="86">
        <v>1.0</v>
      </c>
      <c r="AB692" s="86">
        <v>1001.0</v>
      </c>
      <c r="AC692" s="86">
        <v>100.0</v>
      </c>
      <c r="AD692" s="86">
        <v>1.0</v>
      </c>
      <c r="AE692" s="86">
        <v>8000.0</v>
      </c>
      <c r="AF692" s="86">
        <v>13050.0</v>
      </c>
      <c r="AG692" s="86">
        <v>1.0</v>
      </c>
    </row>
    <row r="693" ht="38.25" customHeight="1">
      <c r="A693" s="86">
        <v>1587.0</v>
      </c>
      <c r="B693" s="86" t="s">
        <v>1605</v>
      </c>
      <c r="C693" s="86">
        <v>15.0</v>
      </c>
      <c r="D693" s="86" t="s">
        <v>3662</v>
      </c>
      <c r="E693" s="86">
        <v>150.0</v>
      </c>
      <c r="G693" s="96" t="s">
        <v>3663</v>
      </c>
      <c r="I693" s="86">
        <v>74595.0</v>
      </c>
      <c r="J693" s="95" t="s">
        <v>3523</v>
      </c>
      <c r="K693" s="86" t="s">
        <v>647</v>
      </c>
      <c r="L693" s="86">
        <v>9011.0</v>
      </c>
      <c r="M693" s="86" t="s">
        <v>1225</v>
      </c>
      <c r="O693" s="86">
        <v>0.8</v>
      </c>
      <c r="P693" s="95" t="s">
        <v>3524</v>
      </c>
      <c r="Q693" s="86" t="s">
        <v>658</v>
      </c>
      <c r="R693" s="86">
        <v>9007.0</v>
      </c>
      <c r="S693" s="86">
        <v>3.0</v>
      </c>
      <c r="U693" s="86">
        <v>0.2</v>
      </c>
      <c r="V693" s="86">
        <v>70001.0</v>
      </c>
      <c r="W693" s="86">
        <v>3.0</v>
      </c>
      <c r="X693" s="86">
        <v>1.0</v>
      </c>
      <c r="Y693" s="86">
        <v>70002.0</v>
      </c>
      <c r="Z693" s="86">
        <v>3.0</v>
      </c>
      <c r="AA693" s="86">
        <v>1.0</v>
      </c>
      <c r="AB693" s="86">
        <v>1001.0</v>
      </c>
      <c r="AC693" s="86">
        <v>100.0</v>
      </c>
      <c r="AD693" s="86">
        <v>1.0</v>
      </c>
      <c r="AE693" s="86">
        <v>8000.0</v>
      </c>
      <c r="AF693" s="86">
        <v>13050.0</v>
      </c>
      <c r="AG693" s="86">
        <v>1.0</v>
      </c>
    </row>
    <row r="694" ht="38.25" customHeight="1">
      <c r="A694" s="86">
        <v>1588.0</v>
      </c>
      <c r="B694" s="86" t="s">
        <v>1605</v>
      </c>
      <c r="C694" s="86">
        <v>15.0</v>
      </c>
      <c r="D694" s="86" t="s">
        <v>3666</v>
      </c>
      <c r="E694" s="86">
        <v>150.0</v>
      </c>
      <c r="G694" s="96" t="s">
        <v>3667</v>
      </c>
      <c r="I694" s="86">
        <v>74720.0</v>
      </c>
      <c r="J694" s="95" t="s">
        <v>3523</v>
      </c>
      <c r="K694" s="86" t="s">
        <v>647</v>
      </c>
      <c r="L694" s="86">
        <v>9005.0</v>
      </c>
      <c r="M694" s="86">
        <v>4.0</v>
      </c>
      <c r="O694" s="86">
        <v>0.7</v>
      </c>
      <c r="P694" s="95" t="s">
        <v>3524</v>
      </c>
      <c r="Q694" s="86" t="s">
        <v>658</v>
      </c>
      <c r="R694" s="86">
        <v>9003.0</v>
      </c>
      <c r="S694" s="86" t="s">
        <v>1107</v>
      </c>
      <c r="U694" s="86">
        <v>0.6</v>
      </c>
      <c r="V694" s="86">
        <v>70001.0</v>
      </c>
      <c r="W694" s="86">
        <v>3.0</v>
      </c>
      <c r="X694" s="86">
        <v>1.0</v>
      </c>
      <c r="Y694" s="86">
        <v>70002.0</v>
      </c>
      <c r="Z694" s="86">
        <v>3.0</v>
      </c>
      <c r="AA694" s="86">
        <v>1.0</v>
      </c>
      <c r="AB694" s="86">
        <v>1001.0</v>
      </c>
      <c r="AC694" s="86">
        <v>100.0</v>
      </c>
      <c r="AD694" s="86">
        <v>1.0</v>
      </c>
      <c r="AE694" s="86">
        <v>8000.0</v>
      </c>
      <c r="AF694" s="86">
        <v>13100.0</v>
      </c>
      <c r="AG694" s="86">
        <v>1.0</v>
      </c>
    </row>
    <row r="695" ht="38.25" customHeight="1">
      <c r="A695" s="86">
        <v>1589.0</v>
      </c>
      <c r="B695" s="86" t="s">
        <v>1605</v>
      </c>
      <c r="C695" s="86">
        <v>15.0</v>
      </c>
      <c r="D695" s="86" t="s">
        <v>3671</v>
      </c>
      <c r="E695" s="86">
        <v>150.0</v>
      </c>
      <c r="G695" s="96" t="s">
        <v>3672</v>
      </c>
      <c r="I695" s="86">
        <v>74845.0</v>
      </c>
      <c r="J695" s="95" t="s">
        <v>3523</v>
      </c>
      <c r="K695" s="86" t="s">
        <v>647</v>
      </c>
      <c r="L695" s="86">
        <v>9008.0</v>
      </c>
      <c r="M695" s="86" t="s">
        <v>2168</v>
      </c>
      <c r="O695" s="86">
        <v>0.7</v>
      </c>
      <c r="P695" s="95" t="s">
        <v>3524</v>
      </c>
      <c r="Q695" s="86" t="s">
        <v>658</v>
      </c>
      <c r="R695" s="86">
        <v>9004.0</v>
      </c>
      <c r="S695" s="86">
        <v>6.0</v>
      </c>
      <c r="U695" s="86">
        <v>1.0</v>
      </c>
      <c r="V695" s="86">
        <v>70001.0</v>
      </c>
      <c r="W695" s="86">
        <v>3.0</v>
      </c>
      <c r="X695" s="86">
        <v>1.0</v>
      </c>
      <c r="Y695" s="86">
        <v>70002.0</v>
      </c>
      <c r="Z695" s="86">
        <v>3.0</v>
      </c>
      <c r="AA695" s="86">
        <v>1.0</v>
      </c>
      <c r="AB695" s="86">
        <v>1001.0</v>
      </c>
      <c r="AC695" s="86">
        <v>100.0</v>
      </c>
      <c r="AD695" s="86">
        <v>1.0</v>
      </c>
      <c r="AE695" s="86">
        <v>8000.0</v>
      </c>
      <c r="AF695" s="86">
        <v>13100.0</v>
      </c>
      <c r="AG695" s="86">
        <v>1.0</v>
      </c>
    </row>
    <row r="696" ht="38.25" customHeight="1">
      <c r="A696" s="86">
        <v>1590.0</v>
      </c>
      <c r="B696" s="86" t="s">
        <v>1605</v>
      </c>
      <c r="C696" s="86">
        <v>15.0</v>
      </c>
      <c r="D696" s="86" t="s">
        <v>3674</v>
      </c>
      <c r="E696" s="86">
        <v>150.0</v>
      </c>
      <c r="G696" s="96" t="s">
        <v>3675</v>
      </c>
      <c r="I696" s="86">
        <v>74970.0</v>
      </c>
      <c r="J696" s="95" t="s">
        <v>3523</v>
      </c>
      <c r="K696" s="86" t="s">
        <v>647</v>
      </c>
      <c r="L696" s="86">
        <v>9006.0</v>
      </c>
      <c r="M696" s="86" t="s">
        <v>3296</v>
      </c>
      <c r="O696" s="86">
        <v>0.7</v>
      </c>
      <c r="P696" s="95" t="s">
        <v>3524</v>
      </c>
      <c r="Q696" s="86" t="s">
        <v>658</v>
      </c>
      <c r="R696" s="86">
        <v>9011.0</v>
      </c>
      <c r="S696" s="86" t="s">
        <v>3676</v>
      </c>
      <c r="U696" s="86">
        <v>0.9</v>
      </c>
      <c r="V696" s="86">
        <v>70001.0</v>
      </c>
      <c r="W696" s="86">
        <v>3.0</v>
      </c>
      <c r="X696" s="86">
        <v>1.0</v>
      </c>
      <c r="Y696" s="86">
        <v>70002.0</v>
      </c>
      <c r="Z696" s="86">
        <v>3.0</v>
      </c>
      <c r="AA696" s="86">
        <v>1.0</v>
      </c>
      <c r="AB696" s="86">
        <v>1001.0</v>
      </c>
      <c r="AC696" s="86">
        <v>100.0</v>
      </c>
      <c r="AD696" s="86">
        <v>1.0</v>
      </c>
      <c r="AE696" s="86">
        <v>8000.0</v>
      </c>
      <c r="AF696" s="86">
        <v>13150.0</v>
      </c>
      <c r="AG696" s="86">
        <v>1.0</v>
      </c>
    </row>
    <row r="697" ht="38.25" customHeight="1">
      <c r="A697" s="86">
        <v>1591.0</v>
      </c>
      <c r="B697" s="86" t="s">
        <v>1605</v>
      </c>
      <c r="C697" s="86">
        <v>15.0</v>
      </c>
      <c r="D697" s="86" t="s">
        <v>3678</v>
      </c>
      <c r="E697" s="86">
        <v>150.0</v>
      </c>
      <c r="G697" s="96" t="s">
        <v>3679</v>
      </c>
      <c r="I697" s="86">
        <v>75095.0</v>
      </c>
      <c r="J697" s="95" t="s">
        <v>3523</v>
      </c>
      <c r="K697" s="86" t="s">
        <v>647</v>
      </c>
      <c r="L697" s="86">
        <v>9006.0</v>
      </c>
      <c r="M697" s="86" t="s">
        <v>2181</v>
      </c>
      <c r="O697" s="86">
        <v>0.8</v>
      </c>
      <c r="P697" s="95" t="s">
        <v>3524</v>
      </c>
      <c r="Q697" s="86" t="s">
        <v>658</v>
      </c>
      <c r="R697" s="86">
        <v>9011.0</v>
      </c>
      <c r="S697" s="86" t="s">
        <v>2341</v>
      </c>
      <c r="U697" s="86">
        <v>0.4</v>
      </c>
      <c r="V697" s="86">
        <v>70001.0</v>
      </c>
      <c r="W697" s="86">
        <v>3.0</v>
      </c>
      <c r="X697" s="86">
        <v>1.0</v>
      </c>
      <c r="Y697" s="86">
        <v>70002.0</v>
      </c>
      <c r="Z697" s="86">
        <v>3.0</v>
      </c>
      <c r="AA697" s="86">
        <v>1.0</v>
      </c>
      <c r="AB697" s="86">
        <v>1001.0</v>
      </c>
      <c r="AC697" s="86">
        <v>100.0</v>
      </c>
      <c r="AD697" s="86">
        <v>1.0</v>
      </c>
      <c r="AE697" s="86">
        <v>8000.0</v>
      </c>
      <c r="AF697" s="86">
        <v>13200.0</v>
      </c>
      <c r="AG697" s="86">
        <v>1.0</v>
      </c>
    </row>
    <row r="698" ht="38.25" customHeight="1">
      <c r="A698" s="86">
        <v>1592.0</v>
      </c>
      <c r="B698" s="86" t="s">
        <v>1605</v>
      </c>
      <c r="C698" s="86">
        <v>15.0</v>
      </c>
      <c r="D698" s="86" t="s">
        <v>3682</v>
      </c>
      <c r="E698" s="86">
        <v>150.0</v>
      </c>
      <c r="G698" s="96" t="s">
        <v>3683</v>
      </c>
      <c r="I698" s="86">
        <v>75220.0</v>
      </c>
      <c r="J698" s="95" t="s">
        <v>3523</v>
      </c>
      <c r="K698" s="86" t="s">
        <v>647</v>
      </c>
      <c r="L698" s="86">
        <v>9002.0</v>
      </c>
      <c r="M698" s="86">
        <v>3.0</v>
      </c>
      <c r="O698" s="86">
        <v>0.8</v>
      </c>
      <c r="P698" s="95" t="s">
        <v>3524</v>
      </c>
      <c r="Q698" s="86" t="s">
        <v>658</v>
      </c>
      <c r="R698" s="86">
        <v>9007.0</v>
      </c>
      <c r="S698" s="86">
        <v>3.0</v>
      </c>
      <c r="U698" s="86">
        <v>0.7</v>
      </c>
      <c r="V698" s="86">
        <v>70001.0</v>
      </c>
      <c r="W698" s="86">
        <v>3.0</v>
      </c>
      <c r="X698" s="86">
        <v>1.0</v>
      </c>
      <c r="Y698" s="86">
        <v>70002.0</v>
      </c>
      <c r="Z698" s="86">
        <v>3.0</v>
      </c>
      <c r="AA698" s="86">
        <v>1.0</v>
      </c>
      <c r="AB698" s="86">
        <v>1001.0</v>
      </c>
      <c r="AC698" s="86">
        <v>100.0</v>
      </c>
      <c r="AD698" s="86">
        <v>1.0</v>
      </c>
      <c r="AE698" s="86">
        <v>8000.0</v>
      </c>
      <c r="AF698" s="86">
        <v>13200.0</v>
      </c>
      <c r="AG698" s="86">
        <v>1.0</v>
      </c>
    </row>
    <row r="699" ht="38.25" customHeight="1">
      <c r="A699" s="86">
        <v>1593.0</v>
      </c>
      <c r="B699" s="86" t="s">
        <v>1605</v>
      </c>
      <c r="C699" s="86">
        <v>15.0</v>
      </c>
      <c r="D699" s="86" t="s">
        <v>3685</v>
      </c>
      <c r="E699" s="86">
        <v>150.0</v>
      </c>
      <c r="G699" s="96" t="s">
        <v>3686</v>
      </c>
      <c r="I699" s="86">
        <v>75345.0</v>
      </c>
      <c r="J699" s="95" t="s">
        <v>3523</v>
      </c>
      <c r="K699" s="86" t="s">
        <v>647</v>
      </c>
      <c r="L699" s="86">
        <v>9001.0</v>
      </c>
      <c r="M699" s="86" t="s">
        <v>1425</v>
      </c>
      <c r="O699" s="86">
        <v>0.7</v>
      </c>
      <c r="P699" s="95" t="s">
        <v>3524</v>
      </c>
      <c r="Q699" s="86" t="s">
        <v>658</v>
      </c>
      <c r="R699" s="86">
        <v>9003.0</v>
      </c>
      <c r="S699" s="86" t="s">
        <v>2686</v>
      </c>
      <c r="U699" s="86">
        <v>0.2</v>
      </c>
      <c r="V699" s="86">
        <v>70001.0</v>
      </c>
      <c r="W699" s="86">
        <v>3.0</v>
      </c>
      <c r="X699" s="86">
        <v>1.0</v>
      </c>
      <c r="Y699" s="86">
        <v>70002.0</v>
      </c>
      <c r="Z699" s="86">
        <v>3.0</v>
      </c>
      <c r="AA699" s="86">
        <v>1.0</v>
      </c>
      <c r="AB699" s="86">
        <v>1001.0</v>
      </c>
      <c r="AC699" s="86">
        <v>100.0</v>
      </c>
      <c r="AD699" s="86">
        <v>1.0</v>
      </c>
      <c r="AE699" s="86">
        <v>8000.0</v>
      </c>
      <c r="AF699" s="86">
        <v>13250.0</v>
      </c>
      <c r="AG699" s="86">
        <v>1.0</v>
      </c>
    </row>
    <row r="700" ht="38.25" customHeight="1">
      <c r="A700" s="86">
        <v>1594.0</v>
      </c>
      <c r="B700" s="86" t="s">
        <v>1605</v>
      </c>
      <c r="C700" s="86">
        <v>15.0</v>
      </c>
      <c r="D700" s="86" t="s">
        <v>3689</v>
      </c>
      <c r="E700" s="86">
        <v>150.0</v>
      </c>
      <c r="G700" s="96" t="s">
        <v>3690</v>
      </c>
      <c r="I700" s="86">
        <v>75470.0</v>
      </c>
      <c r="J700" s="95" t="s">
        <v>3523</v>
      </c>
      <c r="K700" s="86" t="s">
        <v>647</v>
      </c>
      <c r="L700" s="86">
        <v>9001.0</v>
      </c>
      <c r="M700" s="86" t="s">
        <v>1677</v>
      </c>
      <c r="O700" s="86">
        <v>0.1</v>
      </c>
      <c r="P700" s="95" t="s">
        <v>3524</v>
      </c>
      <c r="Q700" s="86" t="s">
        <v>658</v>
      </c>
      <c r="R700" s="86">
        <v>9003.0</v>
      </c>
      <c r="S700" s="86">
        <v>9.0</v>
      </c>
      <c r="U700" s="86">
        <v>0.5</v>
      </c>
      <c r="V700" s="86">
        <v>70001.0</v>
      </c>
      <c r="W700" s="86">
        <v>3.0</v>
      </c>
      <c r="X700" s="86">
        <v>1.0</v>
      </c>
      <c r="Y700" s="86">
        <v>70002.0</v>
      </c>
      <c r="Z700" s="86">
        <v>3.0</v>
      </c>
      <c r="AA700" s="86">
        <v>1.0</v>
      </c>
      <c r="AB700" s="86">
        <v>1001.0</v>
      </c>
      <c r="AC700" s="86">
        <v>100.0</v>
      </c>
      <c r="AD700" s="86">
        <v>1.0</v>
      </c>
      <c r="AE700" s="86">
        <v>8000.0</v>
      </c>
      <c r="AF700" s="86">
        <v>13250.0</v>
      </c>
      <c r="AG700" s="86">
        <v>1.0</v>
      </c>
    </row>
    <row r="701" ht="38.25" customHeight="1">
      <c r="A701" s="86">
        <v>1595.0</v>
      </c>
      <c r="B701" s="86" t="s">
        <v>1605</v>
      </c>
      <c r="C701" s="86">
        <v>15.0</v>
      </c>
      <c r="D701" s="86" t="s">
        <v>3692</v>
      </c>
      <c r="E701" s="86">
        <v>150.0</v>
      </c>
      <c r="G701" s="96" t="s">
        <v>3693</v>
      </c>
      <c r="I701" s="86">
        <v>75595.0</v>
      </c>
      <c r="J701" s="95" t="s">
        <v>3523</v>
      </c>
      <c r="K701" s="86" t="s">
        <v>647</v>
      </c>
      <c r="L701" s="86">
        <v>9011.0</v>
      </c>
      <c r="M701" s="86" t="s">
        <v>2121</v>
      </c>
      <c r="O701" s="86">
        <v>0.8</v>
      </c>
      <c r="P701" s="95" t="s">
        <v>3524</v>
      </c>
      <c r="Q701" s="86" t="s">
        <v>658</v>
      </c>
      <c r="R701" s="86">
        <v>9012.0</v>
      </c>
      <c r="S701" s="86">
        <v>1.0</v>
      </c>
      <c r="U701" s="86">
        <v>0.7</v>
      </c>
      <c r="V701" s="86">
        <v>70001.0</v>
      </c>
      <c r="W701" s="86">
        <v>3.0</v>
      </c>
      <c r="X701" s="86">
        <v>1.0</v>
      </c>
      <c r="Y701" s="86">
        <v>70002.0</v>
      </c>
      <c r="Z701" s="86">
        <v>3.0</v>
      </c>
      <c r="AA701" s="86">
        <v>1.0</v>
      </c>
      <c r="AB701" s="86">
        <v>1001.0</v>
      </c>
      <c r="AC701" s="86">
        <v>100.0</v>
      </c>
      <c r="AD701" s="86">
        <v>1.0</v>
      </c>
      <c r="AE701" s="86">
        <v>8000.0</v>
      </c>
      <c r="AF701" s="86">
        <v>13300.0</v>
      </c>
      <c r="AG701" s="86">
        <v>1.0</v>
      </c>
    </row>
    <row r="702" ht="38.25" customHeight="1">
      <c r="A702" s="86">
        <v>1596.0</v>
      </c>
      <c r="B702" s="86" t="s">
        <v>1605</v>
      </c>
      <c r="C702" s="86">
        <v>15.0</v>
      </c>
      <c r="D702" s="86" t="s">
        <v>3695</v>
      </c>
      <c r="E702" s="86">
        <v>150.0</v>
      </c>
      <c r="G702" s="96" t="s">
        <v>3696</v>
      </c>
      <c r="I702" s="86">
        <v>75720.0</v>
      </c>
      <c r="J702" s="95" t="s">
        <v>3523</v>
      </c>
      <c r="K702" s="86" t="s">
        <v>647</v>
      </c>
      <c r="L702" s="86">
        <v>9001.0</v>
      </c>
      <c r="M702" s="86" t="s">
        <v>2441</v>
      </c>
      <c r="O702" s="86">
        <v>0.9</v>
      </c>
      <c r="P702" s="95" t="s">
        <v>3524</v>
      </c>
      <c r="Q702" s="86" t="s">
        <v>658</v>
      </c>
      <c r="R702" s="86">
        <v>9010.0</v>
      </c>
      <c r="S702" s="86" t="s">
        <v>3698</v>
      </c>
      <c r="U702" s="86">
        <v>1.0</v>
      </c>
      <c r="V702" s="86">
        <v>70001.0</v>
      </c>
      <c r="W702" s="86">
        <v>3.0</v>
      </c>
      <c r="X702" s="86">
        <v>1.0</v>
      </c>
      <c r="Y702" s="86">
        <v>70002.0</v>
      </c>
      <c r="Z702" s="86">
        <v>3.0</v>
      </c>
      <c r="AA702" s="86">
        <v>1.0</v>
      </c>
      <c r="AB702" s="86">
        <v>1001.0</v>
      </c>
      <c r="AC702" s="86">
        <v>100.0</v>
      </c>
      <c r="AD702" s="86">
        <v>1.0</v>
      </c>
      <c r="AE702" s="86">
        <v>8000.0</v>
      </c>
      <c r="AF702" s="86">
        <v>13350.0</v>
      </c>
      <c r="AG702" s="86">
        <v>1.0</v>
      </c>
    </row>
    <row r="703" ht="38.25" customHeight="1">
      <c r="A703" s="86">
        <v>1597.0</v>
      </c>
      <c r="B703" s="86" t="s">
        <v>1605</v>
      </c>
      <c r="C703" s="86">
        <v>15.0</v>
      </c>
      <c r="D703" s="86" t="s">
        <v>3700</v>
      </c>
      <c r="E703" s="86">
        <v>150.0</v>
      </c>
      <c r="G703" s="96" t="s">
        <v>3701</v>
      </c>
      <c r="I703" s="86">
        <v>75845.0</v>
      </c>
      <c r="J703" s="95" t="s">
        <v>3523</v>
      </c>
      <c r="K703" s="86" t="s">
        <v>647</v>
      </c>
      <c r="L703" s="86">
        <v>9002.0</v>
      </c>
      <c r="M703" s="86">
        <v>12.0</v>
      </c>
      <c r="O703" s="86">
        <v>0.9</v>
      </c>
      <c r="P703" s="95" t="s">
        <v>3524</v>
      </c>
      <c r="Q703" s="86" t="s">
        <v>658</v>
      </c>
      <c r="R703" s="86">
        <v>9007.0</v>
      </c>
      <c r="S703" s="86" t="s">
        <v>2729</v>
      </c>
      <c r="U703" s="86">
        <v>0.3</v>
      </c>
      <c r="V703" s="86">
        <v>70001.0</v>
      </c>
      <c r="W703" s="86">
        <v>3.0</v>
      </c>
      <c r="X703" s="86">
        <v>1.0</v>
      </c>
      <c r="Y703" s="86">
        <v>70002.0</v>
      </c>
      <c r="Z703" s="86">
        <v>3.0</v>
      </c>
      <c r="AA703" s="86">
        <v>1.0</v>
      </c>
      <c r="AB703" s="86">
        <v>1001.0</v>
      </c>
      <c r="AC703" s="86">
        <v>100.0</v>
      </c>
      <c r="AD703" s="86">
        <v>1.0</v>
      </c>
      <c r="AE703" s="86">
        <v>8000.0</v>
      </c>
      <c r="AF703" s="86">
        <v>13350.0</v>
      </c>
      <c r="AG703" s="86">
        <v>1.0</v>
      </c>
    </row>
    <row r="704" ht="38.25" customHeight="1">
      <c r="A704" s="86">
        <v>1598.0</v>
      </c>
      <c r="B704" s="86" t="s">
        <v>1605</v>
      </c>
      <c r="C704" s="86">
        <v>15.0</v>
      </c>
      <c r="D704" s="86" t="s">
        <v>3703</v>
      </c>
      <c r="E704" s="86">
        <v>150.0</v>
      </c>
      <c r="G704" s="96" t="s">
        <v>3704</v>
      </c>
      <c r="I704" s="86">
        <v>75970.0</v>
      </c>
      <c r="J704" s="95" t="s">
        <v>3523</v>
      </c>
      <c r="K704" s="86" t="s">
        <v>647</v>
      </c>
      <c r="L704" s="86">
        <v>9001.0</v>
      </c>
      <c r="M704" s="86" t="s">
        <v>2451</v>
      </c>
      <c r="O704" s="86">
        <v>0.3</v>
      </c>
      <c r="P704" s="95" t="s">
        <v>3524</v>
      </c>
      <c r="Q704" s="86" t="s">
        <v>658</v>
      </c>
      <c r="R704" s="86">
        <v>9010.0</v>
      </c>
      <c r="S704" s="86" t="s">
        <v>1554</v>
      </c>
      <c r="U704" s="86">
        <v>0.8</v>
      </c>
      <c r="V704" s="86">
        <v>70001.0</v>
      </c>
      <c r="W704" s="86">
        <v>3.0</v>
      </c>
      <c r="X704" s="86">
        <v>1.0</v>
      </c>
      <c r="Y704" s="86">
        <v>70002.0</v>
      </c>
      <c r="Z704" s="86">
        <v>3.0</v>
      </c>
      <c r="AA704" s="86">
        <v>1.0</v>
      </c>
      <c r="AB704" s="86">
        <v>1001.0</v>
      </c>
      <c r="AC704" s="86">
        <v>100.0</v>
      </c>
      <c r="AD704" s="86">
        <v>1.0</v>
      </c>
      <c r="AE704" s="86">
        <v>8000.0</v>
      </c>
      <c r="AF704" s="86">
        <v>13400.0</v>
      </c>
      <c r="AG704" s="86">
        <v>1.0</v>
      </c>
    </row>
    <row r="705" ht="38.25" customHeight="1">
      <c r="A705" s="86">
        <v>1599.0</v>
      </c>
      <c r="B705" s="86" t="s">
        <v>1605</v>
      </c>
      <c r="C705" s="86">
        <v>15.0</v>
      </c>
      <c r="D705" s="86" t="s">
        <v>3707</v>
      </c>
      <c r="E705" s="86">
        <v>150.0</v>
      </c>
      <c r="G705" s="96" t="s">
        <v>3708</v>
      </c>
      <c r="I705" s="86">
        <v>76095.0</v>
      </c>
      <c r="J705" s="95" t="s">
        <v>3523</v>
      </c>
      <c r="K705" s="86" t="s">
        <v>647</v>
      </c>
      <c r="L705" s="86">
        <v>9012.0</v>
      </c>
      <c r="M705" s="86">
        <v>10.0</v>
      </c>
      <c r="O705" s="86">
        <v>0.2</v>
      </c>
      <c r="P705" s="95" t="s">
        <v>3524</v>
      </c>
      <c r="Q705" s="86" t="s">
        <v>658</v>
      </c>
      <c r="R705" s="86">
        <v>9004.0</v>
      </c>
      <c r="S705" s="86" t="s">
        <v>1306</v>
      </c>
      <c r="U705" s="86">
        <v>0.4</v>
      </c>
      <c r="V705" s="86">
        <v>70001.0</v>
      </c>
      <c r="W705" s="86">
        <v>3.0</v>
      </c>
      <c r="X705" s="86">
        <v>1.0</v>
      </c>
      <c r="Y705" s="86">
        <v>70002.0</v>
      </c>
      <c r="Z705" s="86">
        <v>3.0</v>
      </c>
      <c r="AA705" s="86">
        <v>1.0</v>
      </c>
      <c r="AB705" s="86">
        <v>1001.0</v>
      </c>
      <c r="AC705" s="86">
        <v>500.0</v>
      </c>
      <c r="AD705" s="86">
        <v>1.0</v>
      </c>
      <c r="AE705" s="86">
        <v>8000.0</v>
      </c>
      <c r="AF705" s="86">
        <v>13400.0</v>
      </c>
      <c r="AG705" s="86">
        <v>1.0</v>
      </c>
    </row>
    <row r="706" ht="12.75" customHeight="1"/>
    <row r="707" ht="12.75" customHeight="1">
      <c r="A707" s="86" t="s">
        <v>1016</v>
      </c>
      <c r="B707" s="86" t="s">
        <v>507</v>
      </c>
      <c r="C707" s="86" t="s">
        <v>1017</v>
      </c>
      <c r="D707" s="86" t="s">
        <v>1018</v>
      </c>
      <c r="E707" s="86" t="s">
        <v>207</v>
      </c>
      <c r="F707" s="86" t="s">
        <v>1019</v>
      </c>
      <c r="G707" s="86" t="s">
        <v>1021</v>
      </c>
      <c r="H707" s="86" t="s">
        <v>1025</v>
      </c>
      <c r="I707" s="86" t="s">
        <v>1026</v>
      </c>
      <c r="J707" s="86" t="s">
        <v>1027</v>
      </c>
      <c r="K707" s="86" t="s">
        <v>1028</v>
      </c>
      <c r="L707" s="86" t="s">
        <v>1029</v>
      </c>
      <c r="M707" s="86" t="s">
        <v>1030</v>
      </c>
      <c r="N707" s="86" t="s">
        <v>1032</v>
      </c>
      <c r="O707" s="86" t="s">
        <v>1033</v>
      </c>
      <c r="P707" s="86" t="s">
        <v>1034</v>
      </c>
      <c r="Q707" s="86" t="s">
        <v>1035</v>
      </c>
      <c r="R707" s="86" t="s">
        <v>1037</v>
      </c>
      <c r="S707" s="86" t="s">
        <v>1038</v>
      </c>
      <c r="T707" s="86" t="s">
        <v>1041</v>
      </c>
      <c r="U707" s="86" t="s">
        <v>1042</v>
      </c>
      <c r="V707" s="86" t="s">
        <v>1043</v>
      </c>
      <c r="W707" s="86" t="s">
        <v>1044</v>
      </c>
      <c r="X707" s="86" t="s">
        <v>1045</v>
      </c>
      <c r="Y707" s="86" t="s">
        <v>1046</v>
      </c>
      <c r="Z707" s="86" t="s">
        <v>1047</v>
      </c>
      <c r="AA707" s="86" t="s">
        <v>1048</v>
      </c>
    </row>
    <row r="708" ht="38.25" customHeight="1">
      <c r="A708" s="86">
        <v>600.0</v>
      </c>
      <c r="B708" s="86" t="s">
        <v>3712</v>
      </c>
      <c r="D708" s="95" t="s">
        <v>3713</v>
      </c>
      <c r="E708" s="86">
        <v>20.0</v>
      </c>
      <c r="F708" s="86">
        <v>62.0</v>
      </c>
      <c r="G708" s="96" t="s">
        <v>3714</v>
      </c>
      <c r="H708" s="86">
        <v>1.0</v>
      </c>
      <c r="V708" s="86">
        <v>8000.0</v>
      </c>
      <c r="W708" s="86">
        <v>1000.0</v>
      </c>
      <c r="Y708" s="86">
        <v>8003.0</v>
      </c>
      <c r="Z708" s="86">
        <v>1.0</v>
      </c>
      <c r="AA708" s="86">
        <v>0.05</v>
      </c>
      <c r="AB708" s="86">
        <v>2008.0</v>
      </c>
      <c r="AC708" s="86">
        <v>15.0</v>
      </c>
      <c r="AD708" s="86">
        <v>1.0</v>
      </c>
    </row>
    <row r="709" ht="38.25" customHeight="1">
      <c r="A709" s="86">
        <v>600.0</v>
      </c>
      <c r="B709" s="86" t="s">
        <v>3712</v>
      </c>
      <c r="D709" s="95" t="s">
        <v>3716</v>
      </c>
      <c r="E709" s="86">
        <v>20.0</v>
      </c>
      <c r="F709" s="86">
        <v>63.0</v>
      </c>
      <c r="G709" s="96" t="s">
        <v>3717</v>
      </c>
      <c r="H709" s="86">
        <v>1.0</v>
      </c>
      <c r="V709" s="86">
        <v>8000.0</v>
      </c>
      <c r="W709" s="86">
        <v>1000.0</v>
      </c>
      <c r="Y709" s="86">
        <v>8003.0</v>
      </c>
      <c r="Z709" s="86">
        <v>1.0</v>
      </c>
      <c r="AA709" s="86">
        <v>0.05</v>
      </c>
      <c r="AB709" s="86">
        <v>2008.0</v>
      </c>
      <c r="AC709" s="86">
        <v>15.0</v>
      </c>
      <c r="AD709" s="86">
        <v>1.0</v>
      </c>
    </row>
    <row r="710" ht="38.25" customHeight="1">
      <c r="A710" s="86">
        <v>600.0</v>
      </c>
      <c r="B710" s="86" t="s">
        <v>3712</v>
      </c>
      <c r="D710" s="95" t="s">
        <v>3719</v>
      </c>
      <c r="E710" s="86">
        <v>20.0</v>
      </c>
      <c r="F710" s="86">
        <v>64.0</v>
      </c>
      <c r="G710" s="96" t="s">
        <v>3720</v>
      </c>
      <c r="H710" s="86">
        <v>1.0</v>
      </c>
      <c r="V710" s="86">
        <v>8000.0</v>
      </c>
      <c r="W710" s="86">
        <v>1000.0</v>
      </c>
      <c r="Y710" s="86">
        <v>8003.0</v>
      </c>
      <c r="Z710" s="86">
        <v>1.0</v>
      </c>
      <c r="AA710" s="86">
        <v>0.05</v>
      </c>
      <c r="AB710" s="86">
        <v>2008.0</v>
      </c>
      <c r="AC710" s="86">
        <v>15.0</v>
      </c>
      <c r="AD710" s="86">
        <v>1.0</v>
      </c>
    </row>
    <row r="711" ht="38.25" customHeight="1">
      <c r="A711" s="86">
        <v>600.0</v>
      </c>
      <c r="B711" s="86" t="s">
        <v>3712</v>
      </c>
      <c r="D711" s="95" t="s">
        <v>3722</v>
      </c>
      <c r="E711" s="86">
        <v>20.0</v>
      </c>
      <c r="F711" s="86">
        <v>65.0</v>
      </c>
      <c r="G711" s="96" t="s">
        <v>3723</v>
      </c>
      <c r="H711" s="86">
        <v>1.0</v>
      </c>
      <c r="V711" s="86">
        <v>8000.0</v>
      </c>
      <c r="W711" s="86">
        <v>1000.0</v>
      </c>
      <c r="Y711" s="86">
        <v>8003.0</v>
      </c>
      <c r="Z711" s="86">
        <v>1.0</v>
      </c>
      <c r="AA711" s="86">
        <v>0.05</v>
      </c>
      <c r="AB711" s="86">
        <v>2008.0</v>
      </c>
      <c r="AC711" s="86">
        <v>15.0</v>
      </c>
      <c r="AD711" s="86">
        <v>1.0</v>
      </c>
    </row>
    <row r="712" ht="38.25" customHeight="1">
      <c r="A712" s="86">
        <v>600.0</v>
      </c>
      <c r="B712" s="86" t="s">
        <v>3712</v>
      </c>
      <c r="D712" s="95" t="s">
        <v>3725</v>
      </c>
      <c r="E712" s="86">
        <v>20.0</v>
      </c>
      <c r="F712" s="86">
        <v>66.0</v>
      </c>
      <c r="G712" s="96" t="s">
        <v>3726</v>
      </c>
      <c r="H712" s="86">
        <v>1.0</v>
      </c>
      <c r="V712" s="86">
        <v>8000.0</v>
      </c>
      <c r="W712" s="86">
        <v>1000.0</v>
      </c>
      <c r="Y712" s="86">
        <v>8003.0</v>
      </c>
      <c r="Z712" s="86">
        <v>1.0</v>
      </c>
      <c r="AA712" s="86">
        <v>0.05</v>
      </c>
      <c r="AB712" s="86">
        <v>2008.0</v>
      </c>
      <c r="AC712" s="86">
        <v>15.0</v>
      </c>
      <c r="AD712" s="86">
        <v>1.0</v>
      </c>
    </row>
    <row r="713" ht="38.25" customHeight="1">
      <c r="A713" s="86">
        <v>600.0</v>
      </c>
      <c r="B713" s="86" t="s">
        <v>3712</v>
      </c>
      <c r="D713" s="95" t="s">
        <v>3727</v>
      </c>
      <c r="E713" s="86">
        <v>20.0</v>
      </c>
      <c r="F713" s="86">
        <v>67.0</v>
      </c>
      <c r="G713" s="96" t="s">
        <v>3729</v>
      </c>
      <c r="H713" s="86">
        <v>1.0</v>
      </c>
      <c r="V713" s="86">
        <v>8000.0</v>
      </c>
      <c r="W713" s="86">
        <v>1000.0</v>
      </c>
      <c r="Y713" s="86">
        <v>8003.0</v>
      </c>
      <c r="Z713" s="86">
        <v>1.0</v>
      </c>
      <c r="AA713" s="86">
        <v>0.05</v>
      </c>
      <c r="AB713" s="86">
        <v>2008.0</v>
      </c>
      <c r="AC713" s="86">
        <v>15.0</v>
      </c>
      <c r="AD713" s="86">
        <v>1.0</v>
      </c>
    </row>
    <row r="714" ht="38.25" customHeight="1">
      <c r="A714" s="86">
        <v>600.0</v>
      </c>
      <c r="B714" s="86" t="s">
        <v>3712</v>
      </c>
      <c r="D714" s="95" t="s">
        <v>3730</v>
      </c>
      <c r="E714" s="86">
        <v>20.0</v>
      </c>
      <c r="F714" s="86">
        <v>68.0</v>
      </c>
      <c r="G714" s="96" t="s">
        <v>3731</v>
      </c>
      <c r="H714" s="86">
        <v>1.0</v>
      </c>
      <c r="V714" s="86">
        <v>8000.0</v>
      </c>
      <c r="W714" s="86">
        <v>1000.0</v>
      </c>
      <c r="Y714" s="86">
        <v>8003.0</v>
      </c>
      <c r="Z714" s="86">
        <v>1.0</v>
      </c>
      <c r="AA714" s="86">
        <v>0.05</v>
      </c>
      <c r="AB714" s="86">
        <v>2008.0</v>
      </c>
      <c r="AC714" s="86">
        <v>15.0</v>
      </c>
      <c r="AD714" s="86">
        <v>1.0</v>
      </c>
    </row>
    <row r="715" ht="38.25" customHeight="1">
      <c r="A715" s="86">
        <v>600.0</v>
      </c>
      <c r="B715" s="86" t="s">
        <v>3712</v>
      </c>
      <c r="D715" s="95" t="s">
        <v>3734</v>
      </c>
      <c r="E715" s="86">
        <v>20.0</v>
      </c>
      <c r="F715" s="86">
        <v>69.0</v>
      </c>
      <c r="G715" s="96" t="s">
        <v>3735</v>
      </c>
      <c r="H715" s="86">
        <v>1.0</v>
      </c>
      <c r="V715" s="86">
        <v>8000.0</v>
      </c>
      <c r="W715" s="86">
        <v>1000.0</v>
      </c>
      <c r="Y715" s="86">
        <v>8003.0</v>
      </c>
      <c r="Z715" s="86">
        <v>1.0</v>
      </c>
      <c r="AA715" s="86">
        <v>0.05</v>
      </c>
      <c r="AB715" s="86">
        <v>2008.0</v>
      </c>
      <c r="AC715" s="86">
        <v>15.0</v>
      </c>
      <c r="AD715" s="86">
        <v>1.0</v>
      </c>
    </row>
    <row r="716" ht="38.25" customHeight="1">
      <c r="A716" s="86">
        <v>601.0</v>
      </c>
      <c r="B716" s="86" t="s">
        <v>3712</v>
      </c>
      <c r="D716" s="95" t="s">
        <v>3737</v>
      </c>
      <c r="E716" s="86">
        <v>50.0</v>
      </c>
      <c r="F716" s="86">
        <v>62.0</v>
      </c>
      <c r="G716" s="96" t="s">
        <v>3714</v>
      </c>
      <c r="H716" s="86">
        <v>1.0</v>
      </c>
      <c r="V716" s="86">
        <v>8000.0</v>
      </c>
      <c r="W716" s="86">
        <v>1000.0</v>
      </c>
      <c r="Y716" s="86">
        <v>8003.0</v>
      </c>
      <c r="Z716" s="86">
        <v>1.0</v>
      </c>
      <c r="AA716" s="86">
        <v>0.05</v>
      </c>
      <c r="AB716" s="86">
        <v>2008.0</v>
      </c>
      <c r="AC716" s="86">
        <v>23.0</v>
      </c>
      <c r="AD716" s="86">
        <v>1.0</v>
      </c>
    </row>
    <row r="717" ht="38.25" customHeight="1">
      <c r="A717" s="86">
        <v>601.0</v>
      </c>
      <c r="B717" s="86" t="s">
        <v>3712</v>
      </c>
      <c r="D717" s="95" t="s">
        <v>3738</v>
      </c>
      <c r="E717" s="86">
        <v>50.0</v>
      </c>
      <c r="F717" s="86">
        <v>63.0</v>
      </c>
      <c r="G717" s="96" t="s">
        <v>3717</v>
      </c>
      <c r="H717" s="86">
        <v>1.0</v>
      </c>
      <c r="V717" s="86">
        <v>8000.0</v>
      </c>
      <c r="W717" s="86">
        <v>1000.0</v>
      </c>
      <c r="Y717" s="86">
        <v>8003.0</v>
      </c>
      <c r="Z717" s="86">
        <v>1.0</v>
      </c>
      <c r="AA717" s="86">
        <v>0.05</v>
      </c>
      <c r="AB717" s="86">
        <v>2008.0</v>
      </c>
      <c r="AC717" s="86">
        <v>23.0</v>
      </c>
      <c r="AD717" s="86">
        <v>1.0</v>
      </c>
    </row>
    <row r="718" ht="38.25" customHeight="1">
      <c r="A718" s="86">
        <v>601.0</v>
      </c>
      <c r="B718" s="86" t="s">
        <v>3712</v>
      </c>
      <c r="D718" s="95" t="s">
        <v>3740</v>
      </c>
      <c r="E718" s="86">
        <v>50.0</v>
      </c>
      <c r="F718" s="86">
        <v>64.0</v>
      </c>
      <c r="G718" s="96" t="s">
        <v>3720</v>
      </c>
      <c r="H718" s="86">
        <v>1.0</v>
      </c>
      <c r="V718" s="86">
        <v>8000.0</v>
      </c>
      <c r="W718" s="86">
        <v>1000.0</v>
      </c>
      <c r="Y718" s="86">
        <v>8003.0</v>
      </c>
      <c r="Z718" s="86">
        <v>1.0</v>
      </c>
      <c r="AA718" s="86">
        <v>0.05</v>
      </c>
      <c r="AB718" s="86">
        <v>2008.0</v>
      </c>
      <c r="AC718" s="86">
        <v>23.0</v>
      </c>
      <c r="AD718" s="86">
        <v>1.0</v>
      </c>
    </row>
    <row r="719" ht="38.25" customHeight="1">
      <c r="A719" s="86">
        <v>601.0</v>
      </c>
      <c r="B719" s="86" t="s">
        <v>3712</v>
      </c>
      <c r="D719" s="95" t="s">
        <v>3743</v>
      </c>
      <c r="E719" s="86">
        <v>50.0</v>
      </c>
      <c r="F719" s="86">
        <v>65.0</v>
      </c>
      <c r="G719" s="96" t="s">
        <v>3723</v>
      </c>
      <c r="H719" s="86">
        <v>1.0</v>
      </c>
      <c r="V719" s="86">
        <v>8000.0</v>
      </c>
      <c r="W719" s="86">
        <v>1000.0</v>
      </c>
      <c r="Y719" s="86">
        <v>8003.0</v>
      </c>
      <c r="Z719" s="86">
        <v>1.0</v>
      </c>
      <c r="AA719" s="86">
        <v>0.05</v>
      </c>
      <c r="AB719" s="86">
        <v>2008.0</v>
      </c>
      <c r="AC719" s="86">
        <v>23.0</v>
      </c>
      <c r="AD719" s="86">
        <v>1.0</v>
      </c>
    </row>
    <row r="720" ht="38.25" customHeight="1">
      <c r="A720" s="86">
        <v>601.0</v>
      </c>
      <c r="B720" s="86" t="s">
        <v>3712</v>
      </c>
      <c r="D720" s="95" t="s">
        <v>3744</v>
      </c>
      <c r="E720" s="86">
        <v>50.0</v>
      </c>
      <c r="F720" s="86">
        <v>66.0</v>
      </c>
      <c r="G720" s="96" t="s">
        <v>3726</v>
      </c>
      <c r="H720" s="86">
        <v>1.0</v>
      </c>
      <c r="V720" s="86">
        <v>8000.0</v>
      </c>
      <c r="W720" s="86">
        <v>1000.0</v>
      </c>
      <c r="Y720" s="86">
        <v>8003.0</v>
      </c>
      <c r="Z720" s="86">
        <v>1.0</v>
      </c>
      <c r="AA720" s="86">
        <v>0.05</v>
      </c>
      <c r="AB720" s="86">
        <v>2008.0</v>
      </c>
      <c r="AC720" s="86">
        <v>23.0</v>
      </c>
      <c r="AD720" s="86">
        <v>1.0</v>
      </c>
    </row>
    <row r="721" ht="38.25" customHeight="1">
      <c r="A721" s="86">
        <v>601.0</v>
      </c>
      <c r="B721" s="86" t="s">
        <v>3712</v>
      </c>
      <c r="D721" s="95" t="s">
        <v>3746</v>
      </c>
      <c r="E721" s="86">
        <v>50.0</v>
      </c>
      <c r="F721" s="86">
        <v>67.0</v>
      </c>
      <c r="G721" s="96" t="s">
        <v>3729</v>
      </c>
      <c r="H721" s="86">
        <v>1.0</v>
      </c>
      <c r="V721" s="86">
        <v>8000.0</v>
      </c>
      <c r="W721" s="86">
        <v>1000.0</v>
      </c>
      <c r="Y721" s="86">
        <v>8003.0</v>
      </c>
      <c r="Z721" s="86">
        <v>1.0</v>
      </c>
      <c r="AA721" s="86">
        <v>0.05</v>
      </c>
      <c r="AB721" s="86">
        <v>2008.0</v>
      </c>
      <c r="AC721" s="86">
        <v>23.0</v>
      </c>
      <c r="AD721" s="86">
        <v>1.0</v>
      </c>
    </row>
    <row r="722" ht="38.25" customHeight="1">
      <c r="A722" s="86">
        <v>601.0</v>
      </c>
      <c r="B722" s="86" t="s">
        <v>3712</v>
      </c>
      <c r="D722" s="95" t="s">
        <v>3747</v>
      </c>
      <c r="E722" s="86">
        <v>50.0</v>
      </c>
      <c r="F722" s="86">
        <v>68.0</v>
      </c>
      <c r="G722" s="96" t="s">
        <v>3731</v>
      </c>
      <c r="H722" s="86">
        <v>1.0</v>
      </c>
      <c r="V722" s="86">
        <v>8000.0</v>
      </c>
      <c r="W722" s="86">
        <v>1000.0</v>
      </c>
      <c r="Y722" s="86">
        <v>8003.0</v>
      </c>
      <c r="Z722" s="86">
        <v>1.0</v>
      </c>
      <c r="AA722" s="86">
        <v>0.05</v>
      </c>
      <c r="AB722" s="86">
        <v>2008.0</v>
      </c>
      <c r="AC722" s="86">
        <v>23.0</v>
      </c>
      <c r="AD722" s="86">
        <v>1.0</v>
      </c>
    </row>
    <row r="723" ht="38.25" customHeight="1">
      <c r="A723" s="86">
        <v>601.0</v>
      </c>
      <c r="B723" s="86" t="s">
        <v>3712</v>
      </c>
      <c r="D723" s="95" t="s">
        <v>3749</v>
      </c>
      <c r="E723" s="86">
        <v>50.0</v>
      </c>
      <c r="F723" s="86">
        <v>69.0</v>
      </c>
      <c r="G723" s="96" t="s">
        <v>3735</v>
      </c>
      <c r="H723" s="86">
        <v>1.0</v>
      </c>
      <c r="V723" s="86">
        <v>8000.0</v>
      </c>
      <c r="W723" s="86">
        <v>1000.0</v>
      </c>
      <c r="Y723" s="86">
        <v>8003.0</v>
      </c>
      <c r="Z723" s="86">
        <v>1.0</v>
      </c>
      <c r="AA723" s="86">
        <v>0.05</v>
      </c>
      <c r="AB723" s="86">
        <v>2008.0</v>
      </c>
      <c r="AC723" s="86">
        <v>23.0</v>
      </c>
      <c r="AD723" s="86">
        <v>1.0</v>
      </c>
    </row>
    <row r="724" ht="38.25" customHeight="1">
      <c r="A724" s="86">
        <v>602.0</v>
      </c>
      <c r="B724" s="86" t="s">
        <v>3712</v>
      </c>
      <c r="D724" s="95" t="s">
        <v>3751</v>
      </c>
      <c r="E724" s="86">
        <v>75.0</v>
      </c>
      <c r="F724" s="86">
        <v>62.0</v>
      </c>
      <c r="G724" s="96" t="s">
        <v>3714</v>
      </c>
      <c r="H724" s="86">
        <v>1.0</v>
      </c>
      <c r="V724" s="86">
        <v>8000.0</v>
      </c>
      <c r="W724" s="86">
        <v>1000.0</v>
      </c>
      <c r="Y724" s="86">
        <v>8003.0</v>
      </c>
      <c r="Z724" s="86">
        <v>1.0</v>
      </c>
      <c r="AA724" s="86">
        <v>0.05</v>
      </c>
      <c r="AB724" s="86">
        <v>2008.0</v>
      </c>
      <c r="AC724" s="86">
        <v>31.0</v>
      </c>
      <c r="AD724" s="86">
        <v>1.0</v>
      </c>
    </row>
    <row r="725" ht="38.25" customHeight="1">
      <c r="A725" s="86">
        <v>602.0</v>
      </c>
      <c r="B725" s="86" t="s">
        <v>3712</v>
      </c>
      <c r="D725" s="95" t="s">
        <v>3753</v>
      </c>
      <c r="E725" s="86">
        <v>75.0</v>
      </c>
      <c r="F725" s="86">
        <v>63.0</v>
      </c>
      <c r="G725" s="96" t="s">
        <v>3717</v>
      </c>
      <c r="H725" s="86">
        <v>1.0</v>
      </c>
      <c r="V725" s="86">
        <v>8000.0</v>
      </c>
      <c r="W725" s="86">
        <v>1000.0</v>
      </c>
      <c r="Y725" s="86">
        <v>8003.0</v>
      </c>
      <c r="Z725" s="86">
        <v>1.0</v>
      </c>
      <c r="AA725" s="86">
        <v>0.05</v>
      </c>
      <c r="AB725" s="86">
        <v>2008.0</v>
      </c>
      <c r="AC725" s="86">
        <v>31.0</v>
      </c>
      <c r="AD725" s="86">
        <v>1.0</v>
      </c>
    </row>
    <row r="726" ht="38.25" customHeight="1">
      <c r="A726" s="86">
        <v>602.0</v>
      </c>
      <c r="B726" s="86" t="s">
        <v>3712</v>
      </c>
      <c r="D726" s="95" t="s">
        <v>3755</v>
      </c>
      <c r="E726" s="86">
        <v>75.0</v>
      </c>
      <c r="F726" s="86">
        <v>64.0</v>
      </c>
      <c r="G726" s="96" t="s">
        <v>3720</v>
      </c>
      <c r="H726" s="86">
        <v>1.0</v>
      </c>
      <c r="V726" s="86">
        <v>8000.0</v>
      </c>
      <c r="W726" s="86">
        <v>1000.0</v>
      </c>
      <c r="Y726" s="86">
        <v>8003.0</v>
      </c>
      <c r="Z726" s="86">
        <v>1.0</v>
      </c>
      <c r="AA726" s="86">
        <v>0.05</v>
      </c>
      <c r="AB726" s="86">
        <v>2008.0</v>
      </c>
      <c r="AC726" s="86">
        <v>31.0</v>
      </c>
      <c r="AD726" s="86">
        <v>1.0</v>
      </c>
    </row>
    <row r="727" ht="38.25" customHeight="1">
      <c r="A727" s="86">
        <v>602.0</v>
      </c>
      <c r="B727" s="86" t="s">
        <v>3712</v>
      </c>
      <c r="D727" s="95" t="s">
        <v>3756</v>
      </c>
      <c r="E727" s="86">
        <v>75.0</v>
      </c>
      <c r="F727" s="86">
        <v>65.0</v>
      </c>
      <c r="G727" s="96" t="s">
        <v>3723</v>
      </c>
      <c r="H727" s="86">
        <v>1.0</v>
      </c>
      <c r="V727" s="86">
        <v>8000.0</v>
      </c>
      <c r="W727" s="86">
        <v>1000.0</v>
      </c>
      <c r="Y727" s="86">
        <v>8003.0</v>
      </c>
      <c r="Z727" s="86">
        <v>1.0</v>
      </c>
      <c r="AA727" s="86">
        <v>0.05</v>
      </c>
      <c r="AB727" s="86">
        <v>2008.0</v>
      </c>
      <c r="AC727" s="86">
        <v>31.0</v>
      </c>
      <c r="AD727" s="86">
        <v>1.0</v>
      </c>
    </row>
    <row r="728" ht="38.25" customHeight="1">
      <c r="A728" s="86">
        <v>602.0</v>
      </c>
      <c r="B728" s="86" t="s">
        <v>3712</v>
      </c>
      <c r="D728" s="95" t="s">
        <v>3758</v>
      </c>
      <c r="E728" s="86">
        <v>75.0</v>
      </c>
      <c r="F728" s="86">
        <v>66.0</v>
      </c>
      <c r="G728" s="96" t="s">
        <v>3726</v>
      </c>
      <c r="H728" s="86">
        <v>1.0</v>
      </c>
      <c r="V728" s="86">
        <v>8000.0</v>
      </c>
      <c r="W728" s="86">
        <v>1000.0</v>
      </c>
      <c r="Y728" s="86">
        <v>8003.0</v>
      </c>
      <c r="Z728" s="86">
        <v>1.0</v>
      </c>
      <c r="AA728" s="86">
        <v>0.05</v>
      </c>
      <c r="AB728" s="86">
        <v>2008.0</v>
      </c>
      <c r="AC728" s="86">
        <v>31.0</v>
      </c>
      <c r="AD728" s="86">
        <v>1.0</v>
      </c>
    </row>
    <row r="729" ht="38.25" customHeight="1">
      <c r="A729" s="86">
        <v>602.0</v>
      </c>
      <c r="B729" s="86" t="s">
        <v>3712</v>
      </c>
      <c r="D729" s="95" t="s">
        <v>3760</v>
      </c>
      <c r="E729" s="86">
        <v>75.0</v>
      </c>
      <c r="F729" s="86">
        <v>67.0</v>
      </c>
      <c r="G729" s="96" t="s">
        <v>3729</v>
      </c>
      <c r="H729" s="86">
        <v>1.0</v>
      </c>
      <c r="V729" s="86">
        <v>8000.0</v>
      </c>
      <c r="W729" s="86">
        <v>1000.0</v>
      </c>
      <c r="Y729" s="86">
        <v>8003.0</v>
      </c>
      <c r="Z729" s="86">
        <v>1.0</v>
      </c>
      <c r="AA729" s="86">
        <v>0.05</v>
      </c>
      <c r="AB729" s="86">
        <v>2008.0</v>
      </c>
      <c r="AC729" s="86">
        <v>31.0</v>
      </c>
      <c r="AD729" s="86">
        <v>1.0</v>
      </c>
    </row>
    <row r="730" ht="38.25" customHeight="1">
      <c r="A730" s="86">
        <v>602.0</v>
      </c>
      <c r="B730" s="86" t="s">
        <v>3712</v>
      </c>
      <c r="D730" s="95" t="s">
        <v>3762</v>
      </c>
      <c r="E730" s="86">
        <v>75.0</v>
      </c>
      <c r="F730" s="86">
        <v>68.0</v>
      </c>
      <c r="G730" s="96" t="s">
        <v>3731</v>
      </c>
      <c r="H730" s="86">
        <v>1.0</v>
      </c>
      <c r="V730" s="86">
        <v>8000.0</v>
      </c>
      <c r="W730" s="86">
        <v>1000.0</v>
      </c>
      <c r="Y730" s="86">
        <v>8003.0</v>
      </c>
      <c r="Z730" s="86">
        <v>1.0</v>
      </c>
      <c r="AA730" s="86">
        <v>0.05</v>
      </c>
      <c r="AB730" s="86">
        <v>2008.0</v>
      </c>
      <c r="AC730" s="86">
        <v>31.0</v>
      </c>
      <c r="AD730" s="86">
        <v>1.0</v>
      </c>
    </row>
    <row r="731" ht="38.25" customHeight="1">
      <c r="A731" s="86">
        <v>602.0</v>
      </c>
      <c r="B731" s="86" t="s">
        <v>3712</v>
      </c>
      <c r="D731" s="95" t="s">
        <v>3764</v>
      </c>
      <c r="E731" s="86">
        <v>75.0</v>
      </c>
      <c r="F731" s="86">
        <v>69.0</v>
      </c>
      <c r="G731" s="96" t="s">
        <v>3735</v>
      </c>
      <c r="H731" s="86">
        <v>1.0</v>
      </c>
      <c r="V731" s="86">
        <v>8000.0</v>
      </c>
      <c r="W731" s="86">
        <v>1000.0</v>
      </c>
      <c r="Y731" s="86">
        <v>8003.0</v>
      </c>
      <c r="Z731" s="86">
        <v>1.0</v>
      </c>
      <c r="AA731" s="86">
        <v>0.05</v>
      </c>
      <c r="AB731" s="86">
        <v>2008.0</v>
      </c>
      <c r="AC731" s="86">
        <v>31.0</v>
      </c>
      <c r="AD731" s="86">
        <v>1.0</v>
      </c>
    </row>
    <row r="732" ht="38.25" customHeight="1">
      <c r="A732" s="86">
        <v>603.0</v>
      </c>
      <c r="B732" s="86" t="s">
        <v>3712</v>
      </c>
      <c r="D732" s="95" t="s">
        <v>3765</v>
      </c>
      <c r="E732" s="86">
        <v>100.0</v>
      </c>
      <c r="F732" s="86">
        <v>62.0</v>
      </c>
      <c r="G732" s="96" t="s">
        <v>3714</v>
      </c>
      <c r="H732" s="86">
        <v>1.0</v>
      </c>
      <c r="V732" s="86">
        <v>8000.0</v>
      </c>
      <c r="W732" s="86">
        <v>1000.0</v>
      </c>
      <c r="Y732" s="86">
        <v>8003.0</v>
      </c>
      <c r="Z732" s="86">
        <v>1.0</v>
      </c>
      <c r="AA732" s="86">
        <v>0.05</v>
      </c>
      <c r="AB732" s="86">
        <v>2008.0</v>
      </c>
      <c r="AC732" s="86">
        <v>40.0</v>
      </c>
      <c r="AD732" s="86">
        <v>1.0</v>
      </c>
    </row>
    <row r="733" ht="38.25" customHeight="1">
      <c r="A733" s="86">
        <v>603.0</v>
      </c>
      <c r="B733" s="86" t="s">
        <v>3712</v>
      </c>
      <c r="D733" s="95" t="s">
        <v>3768</v>
      </c>
      <c r="E733" s="86">
        <v>100.0</v>
      </c>
      <c r="F733" s="86">
        <v>63.0</v>
      </c>
      <c r="G733" s="96" t="s">
        <v>3717</v>
      </c>
      <c r="H733" s="86">
        <v>1.0</v>
      </c>
      <c r="V733" s="86">
        <v>8000.0</v>
      </c>
      <c r="W733" s="86">
        <v>1000.0</v>
      </c>
      <c r="Y733" s="86">
        <v>8003.0</v>
      </c>
      <c r="Z733" s="86">
        <v>1.0</v>
      </c>
      <c r="AA733" s="86">
        <v>0.05</v>
      </c>
      <c r="AB733" s="86">
        <v>2008.0</v>
      </c>
      <c r="AC733" s="86">
        <v>40.0</v>
      </c>
      <c r="AD733" s="86">
        <v>1.0</v>
      </c>
    </row>
    <row r="734" ht="38.25" customHeight="1">
      <c r="A734" s="86">
        <v>603.0</v>
      </c>
      <c r="B734" s="86" t="s">
        <v>3712</v>
      </c>
      <c r="D734" s="95" t="s">
        <v>3769</v>
      </c>
      <c r="E734" s="86">
        <v>100.0</v>
      </c>
      <c r="F734" s="86">
        <v>64.0</v>
      </c>
      <c r="G734" s="96" t="s">
        <v>3720</v>
      </c>
      <c r="H734" s="86">
        <v>1.0</v>
      </c>
      <c r="V734" s="86">
        <v>8000.0</v>
      </c>
      <c r="W734" s="86">
        <v>1000.0</v>
      </c>
      <c r="Y734" s="86">
        <v>8003.0</v>
      </c>
      <c r="Z734" s="86">
        <v>1.0</v>
      </c>
      <c r="AA734" s="86">
        <v>0.05</v>
      </c>
      <c r="AB734" s="86">
        <v>2008.0</v>
      </c>
      <c r="AC734" s="86">
        <v>40.0</v>
      </c>
      <c r="AD734" s="86">
        <v>1.0</v>
      </c>
    </row>
    <row r="735" ht="38.25" customHeight="1">
      <c r="A735" s="86">
        <v>603.0</v>
      </c>
      <c r="B735" s="86" t="s">
        <v>3712</v>
      </c>
      <c r="D735" s="95" t="s">
        <v>3771</v>
      </c>
      <c r="E735" s="86">
        <v>100.0</v>
      </c>
      <c r="F735" s="86">
        <v>65.0</v>
      </c>
      <c r="G735" s="96" t="s">
        <v>3723</v>
      </c>
      <c r="H735" s="86">
        <v>1.0</v>
      </c>
      <c r="V735" s="86">
        <v>8000.0</v>
      </c>
      <c r="W735" s="86">
        <v>1000.0</v>
      </c>
      <c r="Y735" s="86">
        <v>8003.0</v>
      </c>
      <c r="Z735" s="86">
        <v>1.0</v>
      </c>
      <c r="AA735" s="86">
        <v>0.05</v>
      </c>
      <c r="AB735" s="86">
        <v>2008.0</v>
      </c>
      <c r="AC735" s="86">
        <v>40.0</v>
      </c>
      <c r="AD735" s="86">
        <v>1.0</v>
      </c>
    </row>
    <row r="736" ht="38.25" customHeight="1">
      <c r="A736" s="86">
        <v>603.0</v>
      </c>
      <c r="B736" s="86" t="s">
        <v>3712</v>
      </c>
      <c r="D736" s="95" t="s">
        <v>3772</v>
      </c>
      <c r="E736" s="86">
        <v>100.0</v>
      </c>
      <c r="F736" s="86">
        <v>66.0</v>
      </c>
      <c r="G736" s="96" t="s">
        <v>3726</v>
      </c>
      <c r="H736" s="86">
        <v>1.0</v>
      </c>
      <c r="V736" s="86">
        <v>8000.0</v>
      </c>
      <c r="W736" s="86">
        <v>1000.0</v>
      </c>
      <c r="Y736" s="86">
        <v>8003.0</v>
      </c>
      <c r="Z736" s="86">
        <v>1.0</v>
      </c>
      <c r="AA736" s="86">
        <v>0.05</v>
      </c>
      <c r="AB736" s="86">
        <v>2008.0</v>
      </c>
      <c r="AC736" s="86">
        <v>40.0</v>
      </c>
      <c r="AD736" s="86">
        <v>1.0</v>
      </c>
    </row>
    <row r="737" ht="38.25" customHeight="1">
      <c r="A737" s="86">
        <v>603.0</v>
      </c>
      <c r="B737" s="86" t="s">
        <v>3712</v>
      </c>
      <c r="D737" s="95" t="s">
        <v>3775</v>
      </c>
      <c r="E737" s="86">
        <v>100.0</v>
      </c>
      <c r="F737" s="86">
        <v>67.0</v>
      </c>
      <c r="G737" s="96" t="s">
        <v>3729</v>
      </c>
      <c r="H737" s="86">
        <v>1.0</v>
      </c>
      <c r="V737" s="86">
        <v>8000.0</v>
      </c>
      <c r="W737" s="86">
        <v>1000.0</v>
      </c>
      <c r="Y737" s="86">
        <v>8003.0</v>
      </c>
      <c r="Z737" s="86">
        <v>1.0</v>
      </c>
      <c r="AA737" s="86">
        <v>0.05</v>
      </c>
      <c r="AB737" s="86">
        <v>2008.0</v>
      </c>
      <c r="AC737" s="86">
        <v>40.0</v>
      </c>
      <c r="AD737" s="86">
        <v>1.0</v>
      </c>
    </row>
    <row r="738" ht="38.25" customHeight="1">
      <c r="A738" s="86">
        <v>603.0</v>
      </c>
      <c r="B738" s="86" t="s">
        <v>3712</v>
      </c>
      <c r="D738" s="95" t="s">
        <v>3777</v>
      </c>
      <c r="E738" s="86">
        <v>100.0</v>
      </c>
      <c r="F738" s="86">
        <v>68.0</v>
      </c>
      <c r="G738" s="96" t="s">
        <v>3731</v>
      </c>
      <c r="H738" s="86">
        <v>1.0</v>
      </c>
      <c r="V738" s="86">
        <v>8000.0</v>
      </c>
      <c r="W738" s="86">
        <v>1000.0</v>
      </c>
      <c r="Y738" s="86">
        <v>8003.0</v>
      </c>
      <c r="Z738" s="86">
        <v>1.0</v>
      </c>
      <c r="AA738" s="86">
        <v>0.05</v>
      </c>
      <c r="AB738" s="86">
        <v>2008.0</v>
      </c>
      <c r="AC738" s="86">
        <v>40.0</v>
      </c>
      <c r="AD738" s="86">
        <v>1.0</v>
      </c>
    </row>
    <row r="739" ht="38.25" customHeight="1">
      <c r="A739" s="86">
        <v>603.0</v>
      </c>
      <c r="B739" s="86" t="s">
        <v>3712</v>
      </c>
      <c r="D739" s="95" t="s">
        <v>3778</v>
      </c>
      <c r="E739" s="86">
        <v>100.0</v>
      </c>
      <c r="F739" s="86">
        <v>69.0</v>
      </c>
      <c r="G739" s="96" t="s">
        <v>3735</v>
      </c>
      <c r="H739" s="86">
        <v>1.0</v>
      </c>
      <c r="V739" s="86">
        <v>8000.0</v>
      </c>
      <c r="W739" s="86">
        <v>1000.0</v>
      </c>
      <c r="Y739" s="86">
        <v>8003.0</v>
      </c>
      <c r="Z739" s="86">
        <v>1.0</v>
      </c>
      <c r="AA739" s="86">
        <v>0.05</v>
      </c>
      <c r="AB739" s="86">
        <v>2008.0</v>
      </c>
      <c r="AC739" s="86">
        <v>40.0</v>
      </c>
      <c r="AD739" s="86">
        <v>1.0</v>
      </c>
    </row>
    <row r="740" ht="12.75" customHeight="1"/>
    <row r="741" ht="12.75" customHeight="1">
      <c r="A741" s="86" t="s">
        <v>1016</v>
      </c>
      <c r="B741" s="86" t="s">
        <v>507</v>
      </c>
      <c r="C741" s="86" t="s">
        <v>1017</v>
      </c>
      <c r="D741" s="86" t="s">
        <v>1018</v>
      </c>
      <c r="E741" s="86" t="s">
        <v>207</v>
      </c>
      <c r="F741" s="86" t="s">
        <v>1019</v>
      </c>
      <c r="G741" s="86" t="s">
        <v>1021</v>
      </c>
      <c r="H741" s="86" t="s">
        <v>1025</v>
      </c>
      <c r="I741" s="86" t="s">
        <v>1026</v>
      </c>
      <c r="J741" s="86" t="s">
        <v>1027</v>
      </c>
      <c r="K741" s="86" t="s">
        <v>1028</v>
      </c>
      <c r="L741" s="86" t="s">
        <v>1029</v>
      </c>
      <c r="M741" s="86" t="s">
        <v>1030</v>
      </c>
      <c r="N741" s="86" t="s">
        <v>1032</v>
      </c>
      <c r="O741" s="86" t="s">
        <v>1033</v>
      </c>
      <c r="P741" s="86" t="s">
        <v>1034</v>
      </c>
      <c r="Q741" s="86" t="s">
        <v>1035</v>
      </c>
      <c r="R741" s="86" t="s">
        <v>1037</v>
      </c>
      <c r="S741" s="86" t="s">
        <v>1038</v>
      </c>
      <c r="T741" s="86" t="s">
        <v>1041</v>
      </c>
      <c r="U741" s="86" t="s">
        <v>1042</v>
      </c>
      <c r="V741" s="86" t="s">
        <v>1043</v>
      </c>
      <c r="W741" s="86" t="s">
        <v>1044</v>
      </c>
      <c r="X741" s="86" t="s">
        <v>1045</v>
      </c>
      <c r="Y741" s="86" t="s">
        <v>1046</v>
      </c>
      <c r="Z741" s="86" t="s">
        <v>1047</v>
      </c>
      <c r="AA741" s="86" t="s">
        <v>1048</v>
      </c>
    </row>
    <row r="742" ht="102.0" customHeight="1">
      <c r="A742" s="86">
        <v>700.0</v>
      </c>
      <c r="B742" s="86" t="s">
        <v>955</v>
      </c>
      <c r="D742" s="95" t="s">
        <v>3782</v>
      </c>
      <c r="G742" s="96" t="s">
        <v>3783</v>
      </c>
      <c r="I742" s="86">
        <v>1000.0</v>
      </c>
      <c r="J742" s="95" t="s">
        <v>1740</v>
      </c>
      <c r="K742" s="86" t="s">
        <v>647</v>
      </c>
      <c r="L742" s="86">
        <v>9009.0</v>
      </c>
      <c r="M742" s="86" t="s">
        <v>2084</v>
      </c>
      <c r="N742" s="86">
        <v>0.0</v>
      </c>
      <c r="O742" s="86">
        <v>0.35</v>
      </c>
      <c r="P742" s="95" t="s">
        <v>1612</v>
      </c>
      <c r="Q742" s="86" t="s">
        <v>658</v>
      </c>
      <c r="R742" s="86">
        <v>9010.0</v>
      </c>
      <c r="S742" s="86" t="s">
        <v>3159</v>
      </c>
      <c r="T742" s="86">
        <v>0.0</v>
      </c>
      <c r="U742" s="86">
        <v>0.7</v>
      </c>
      <c r="V742" s="86">
        <v>70001.0</v>
      </c>
      <c r="W742" s="86">
        <v>1.0</v>
      </c>
      <c r="X742" s="86">
        <v>1.0</v>
      </c>
      <c r="Y742" s="86">
        <v>70002.0</v>
      </c>
      <c r="Z742" s="86">
        <v>1.0</v>
      </c>
      <c r="AA742" s="86">
        <v>1.0</v>
      </c>
      <c r="AB742" s="86">
        <v>2000.0</v>
      </c>
      <c r="AC742" s="86">
        <v>2.0</v>
      </c>
      <c r="AD742" s="86">
        <v>1.0</v>
      </c>
      <c r="AE742" s="86" t="s">
        <v>3785</v>
      </c>
      <c r="AF742" s="86">
        <v>1.0</v>
      </c>
      <c r="AG742" s="86">
        <v>0.5</v>
      </c>
    </row>
    <row r="743" ht="153.0" customHeight="1">
      <c r="A743" s="86">
        <v>701.0</v>
      </c>
      <c r="B743" s="86" t="s">
        <v>955</v>
      </c>
      <c r="D743" s="95" t="s">
        <v>3786</v>
      </c>
      <c r="G743" s="96" t="s">
        <v>3787</v>
      </c>
      <c r="I743" s="86">
        <v>2000.0</v>
      </c>
      <c r="J743" s="95" t="s">
        <v>1740</v>
      </c>
      <c r="K743" s="86" t="s">
        <v>647</v>
      </c>
      <c r="L743" s="86">
        <v>9009.0</v>
      </c>
      <c r="M743" s="86" t="s">
        <v>2084</v>
      </c>
      <c r="N743" s="86">
        <v>0.0</v>
      </c>
      <c r="O743" s="86">
        <v>0.4</v>
      </c>
      <c r="P743" s="95" t="s">
        <v>1612</v>
      </c>
      <c r="Q743" s="86" t="s">
        <v>658</v>
      </c>
      <c r="R743" s="86">
        <v>9010.0</v>
      </c>
      <c r="S743" s="86" t="s">
        <v>3159</v>
      </c>
      <c r="T743" s="86">
        <v>0.0</v>
      </c>
      <c r="U743" s="86">
        <v>0.7</v>
      </c>
      <c r="V743" s="86">
        <v>70001.0</v>
      </c>
      <c r="W743" s="86">
        <v>2.0</v>
      </c>
      <c r="X743" s="86">
        <v>1.0</v>
      </c>
      <c r="Y743" s="86">
        <v>70002.0</v>
      </c>
      <c r="Z743" s="86">
        <v>2.0</v>
      </c>
      <c r="AA743" s="86">
        <v>1.0</v>
      </c>
      <c r="AB743" s="86">
        <v>2000.0</v>
      </c>
      <c r="AC743" s="86">
        <v>4.0</v>
      </c>
      <c r="AD743" s="86">
        <v>1.0</v>
      </c>
      <c r="AE743" s="86" t="s">
        <v>3785</v>
      </c>
      <c r="AF743" s="86">
        <v>2.0</v>
      </c>
      <c r="AG743" s="86">
        <v>0.5</v>
      </c>
    </row>
    <row r="744" ht="204.0" customHeight="1">
      <c r="A744" s="86">
        <v>702.0</v>
      </c>
      <c r="B744" s="86" t="s">
        <v>955</v>
      </c>
      <c r="D744" s="95" t="s">
        <v>3790</v>
      </c>
      <c r="G744" s="96" t="s">
        <v>3791</v>
      </c>
      <c r="I744" s="86">
        <v>3000.0</v>
      </c>
      <c r="J744" s="95" t="s">
        <v>1740</v>
      </c>
      <c r="K744" s="86" t="s">
        <v>647</v>
      </c>
      <c r="L744" s="86">
        <v>9009.0</v>
      </c>
      <c r="M744" s="86" t="s">
        <v>2084</v>
      </c>
      <c r="N744" s="86">
        <v>0.0</v>
      </c>
      <c r="O744" s="86">
        <v>0.45</v>
      </c>
      <c r="P744" s="95" t="s">
        <v>1612</v>
      </c>
      <c r="Q744" s="86" t="s">
        <v>658</v>
      </c>
      <c r="R744" s="86">
        <v>9010.0</v>
      </c>
      <c r="S744" s="86" t="s">
        <v>3159</v>
      </c>
      <c r="T744" s="86">
        <v>0.0</v>
      </c>
      <c r="U744" s="86">
        <v>0.7</v>
      </c>
      <c r="V744" s="86">
        <v>70001.0</v>
      </c>
      <c r="W744" s="86">
        <v>3.0</v>
      </c>
      <c r="X744" s="86">
        <v>1.0</v>
      </c>
      <c r="Y744" s="86">
        <v>70002.0</v>
      </c>
      <c r="Z744" s="86">
        <v>3.0</v>
      </c>
      <c r="AA744" s="86">
        <v>1.0</v>
      </c>
      <c r="AB744" s="86">
        <v>2000.0</v>
      </c>
      <c r="AC744" s="86">
        <v>6.0</v>
      </c>
      <c r="AD744" s="86">
        <v>1.0</v>
      </c>
      <c r="AE744" s="86" t="s">
        <v>3785</v>
      </c>
      <c r="AF744" s="86">
        <v>3.0</v>
      </c>
      <c r="AG744" s="86">
        <v>0.5</v>
      </c>
    </row>
    <row r="745" ht="255.0" customHeight="1">
      <c r="A745" s="86">
        <v>703.0</v>
      </c>
      <c r="B745" s="86" t="s">
        <v>955</v>
      </c>
      <c r="D745" s="95" t="s">
        <v>3793</v>
      </c>
      <c r="G745" s="96" t="s">
        <v>3795</v>
      </c>
      <c r="I745" s="86">
        <v>4000.0</v>
      </c>
      <c r="J745" s="95" t="s">
        <v>1740</v>
      </c>
      <c r="K745" s="86" t="s">
        <v>647</v>
      </c>
      <c r="L745" s="86">
        <v>9009.0</v>
      </c>
      <c r="M745" s="86" t="s">
        <v>2084</v>
      </c>
      <c r="N745" s="86">
        <v>0.0</v>
      </c>
      <c r="O745" s="86">
        <v>0.5</v>
      </c>
      <c r="P745" s="95" t="s">
        <v>1612</v>
      </c>
      <c r="Q745" s="86" t="s">
        <v>658</v>
      </c>
      <c r="R745" s="86">
        <v>9010.0</v>
      </c>
      <c r="S745" s="86" t="s">
        <v>3159</v>
      </c>
      <c r="T745" s="86">
        <v>0.0</v>
      </c>
      <c r="U745" s="86">
        <v>0.7</v>
      </c>
      <c r="V745" s="86">
        <v>70001.0</v>
      </c>
      <c r="W745" s="86">
        <v>4.0</v>
      </c>
      <c r="X745" s="86">
        <v>1.0</v>
      </c>
      <c r="Y745" s="86">
        <v>70002.0</v>
      </c>
      <c r="Z745" s="86">
        <v>4.0</v>
      </c>
      <c r="AA745" s="86">
        <v>1.0</v>
      </c>
      <c r="AB745" s="86">
        <v>2000.0</v>
      </c>
      <c r="AC745" s="86">
        <v>8.0</v>
      </c>
      <c r="AD745" s="86">
        <v>1.0</v>
      </c>
      <c r="AE745" s="86" t="s">
        <v>3785</v>
      </c>
      <c r="AF745" s="86">
        <v>4.0</v>
      </c>
      <c r="AG745" s="86">
        <v>0.5</v>
      </c>
    </row>
    <row r="746" ht="306.0" customHeight="1">
      <c r="A746" s="86">
        <v>704.0</v>
      </c>
      <c r="B746" s="86" t="s">
        <v>955</v>
      </c>
      <c r="D746" s="95" t="s">
        <v>3797</v>
      </c>
      <c r="G746" s="96" t="s">
        <v>3799</v>
      </c>
      <c r="I746" s="86">
        <v>5000.0</v>
      </c>
      <c r="J746" s="95" t="s">
        <v>1740</v>
      </c>
      <c r="K746" s="86" t="s">
        <v>647</v>
      </c>
      <c r="L746" s="86">
        <v>9009.0</v>
      </c>
      <c r="M746" s="86" t="s">
        <v>2084</v>
      </c>
      <c r="N746" s="86">
        <v>0.0</v>
      </c>
      <c r="O746" s="86">
        <v>0.55</v>
      </c>
      <c r="P746" s="95" t="s">
        <v>1612</v>
      </c>
      <c r="Q746" s="86" t="s">
        <v>658</v>
      </c>
      <c r="R746" s="86">
        <v>9010.0</v>
      </c>
      <c r="S746" s="86" t="s">
        <v>3159</v>
      </c>
      <c r="T746" s="86">
        <v>0.0</v>
      </c>
      <c r="U746" s="86">
        <v>0.7</v>
      </c>
      <c r="V746" s="86">
        <v>70001.0</v>
      </c>
      <c r="W746" s="86">
        <v>5.0</v>
      </c>
      <c r="X746" s="86">
        <v>1.0</v>
      </c>
      <c r="Y746" s="86">
        <v>70002.0</v>
      </c>
      <c r="Z746" s="86">
        <v>5.0</v>
      </c>
      <c r="AA746" s="86">
        <v>1.0</v>
      </c>
      <c r="AB746" s="86">
        <v>2000.0</v>
      </c>
      <c r="AC746" s="86">
        <v>10.0</v>
      </c>
      <c r="AD746" s="86">
        <v>1.0</v>
      </c>
      <c r="AE746" s="86" t="s">
        <v>3785</v>
      </c>
      <c r="AF746" s="86">
        <v>5.0</v>
      </c>
      <c r="AG746" s="86">
        <v>0.5</v>
      </c>
    </row>
    <row r="747" ht="357.0" customHeight="1">
      <c r="A747" s="86">
        <v>705.0</v>
      </c>
      <c r="B747" s="86" t="s">
        <v>955</v>
      </c>
      <c r="D747" s="95" t="s">
        <v>3801</v>
      </c>
      <c r="G747" s="96" t="s">
        <v>3802</v>
      </c>
      <c r="I747" s="86">
        <v>6000.0</v>
      </c>
      <c r="J747" s="95" t="s">
        <v>1740</v>
      </c>
      <c r="K747" s="86" t="s">
        <v>647</v>
      </c>
      <c r="L747" s="86">
        <v>9009.0</v>
      </c>
      <c r="M747" s="86" t="s">
        <v>2084</v>
      </c>
      <c r="N747" s="86">
        <v>0.0</v>
      </c>
      <c r="O747" s="86">
        <v>0.6</v>
      </c>
      <c r="P747" s="95" t="s">
        <v>1612</v>
      </c>
      <c r="Q747" s="86" t="s">
        <v>658</v>
      </c>
      <c r="R747" s="86">
        <v>9010.0</v>
      </c>
      <c r="S747" s="86" t="s">
        <v>3159</v>
      </c>
      <c r="T747" s="86">
        <v>0.0</v>
      </c>
      <c r="U747" s="86">
        <v>0.7</v>
      </c>
      <c r="V747" s="86">
        <v>70001.0</v>
      </c>
      <c r="W747" s="86">
        <v>6.0</v>
      </c>
      <c r="X747" s="86">
        <v>1.0</v>
      </c>
      <c r="Y747" s="86">
        <v>70002.0</v>
      </c>
      <c r="Z747" s="86">
        <v>6.0</v>
      </c>
      <c r="AA747" s="86">
        <v>1.0</v>
      </c>
      <c r="AB747" s="86">
        <v>2000.0</v>
      </c>
      <c r="AC747" s="86">
        <v>12.0</v>
      </c>
      <c r="AD747" s="86">
        <v>1.0</v>
      </c>
      <c r="AE747" s="86" t="s">
        <v>3785</v>
      </c>
      <c r="AF747" s="86">
        <v>6.0</v>
      </c>
      <c r="AG747" s="86">
        <v>0.5</v>
      </c>
    </row>
    <row r="748" ht="408.0" customHeight="1">
      <c r="A748" s="86">
        <v>706.0</v>
      </c>
      <c r="B748" s="86" t="s">
        <v>955</v>
      </c>
      <c r="D748" s="95" t="s">
        <v>3804</v>
      </c>
      <c r="G748" s="96" t="s">
        <v>3806</v>
      </c>
      <c r="I748" s="86">
        <v>7000.0</v>
      </c>
      <c r="J748" s="95" t="s">
        <v>1740</v>
      </c>
      <c r="K748" s="86" t="s">
        <v>647</v>
      </c>
      <c r="L748" s="86">
        <v>9009.0</v>
      </c>
      <c r="M748" s="86" t="s">
        <v>2084</v>
      </c>
      <c r="N748" s="86">
        <v>0.0</v>
      </c>
      <c r="O748" s="86">
        <v>0.65</v>
      </c>
      <c r="P748" s="95" t="s">
        <v>1612</v>
      </c>
      <c r="Q748" s="86" t="s">
        <v>658</v>
      </c>
      <c r="R748" s="86">
        <v>9010.0</v>
      </c>
      <c r="S748" s="86" t="s">
        <v>3159</v>
      </c>
      <c r="T748" s="86">
        <v>0.0</v>
      </c>
      <c r="U748" s="86">
        <v>0.7</v>
      </c>
      <c r="V748" s="86">
        <v>70001.0</v>
      </c>
      <c r="W748" s="86">
        <v>7.0</v>
      </c>
      <c r="X748" s="86">
        <v>1.0</v>
      </c>
      <c r="Y748" s="86">
        <v>70002.0</v>
      </c>
      <c r="Z748" s="86">
        <v>7.0</v>
      </c>
      <c r="AA748" s="86">
        <v>1.0</v>
      </c>
      <c r="AB748" s="86">
        <v>2000.0</v>
      </c>
      <c r="AC748" s="86">
        <v>14.0</v>
      </c>
      <c r="AD748" s="86">
        <v>1.0</v>
      </c>
      <c r="AE748" s="86" t="s">
        <v>3785</v>
      </c>
      <c r="AF748" s="86">
        <v>7.0</v>
      </c>
      <c r="AG748" s="86">
        <v>0.5</v>
      </c>
    </row>
    <row r="749" ht="409.5" customHeight="1">
      <c r="A749" s="86">
        <v>707.0</v>
      </c>
      <c r="B749" s="86" t="s">
        <v>955</v>
      </c>
      <c r="D749" s="95" t="s">
        <v>3807</v>
      </c>
      <c r="G749" s="96" t="s">
        <v>3808</v>
      </c>
      <c r="I749" s="86">
        <v>8000.0</v>
      </c>
      <c r="J749" s="95" t="s">
        <v>1740</v>
      </c>
      <c r="K749" s="86" t="s">
        <v>647</v>
      </c>
      <c r="L749" s="86">
        <v>9009.0</v>
      </c>
      <c r="M749" s="86" t="s">
        <v>2084</v>
      </c>
      <c r="N749" s="86">
        <v>0.0</v>
      </c>
      <c r="O749" s="86">
        <v>0.7</v>
      </c>
      <c r="P749" s="95" t="s">
        <v>1612</v>
      </c>
      <c r="Q749" s="86" t="s">
        <v>658</v>
      </c>
      <c r="R749" s="86">
        <v>9010.0</v>
      </c>
      <c r="S749" s="86" t="s">
        <v>3159</v>
      </c>
      <c r="T749" s="86">
        <v>0.0</v>
      </c>
      <c r="U749" s="86">
        <v>0.7</v>
      </c>
      <c r="V749" s="86">
        <v>70001.0</v>
      </c>
      <c r="W749" s="86">
        <v>8.0</v>
      </c>
      <c r="X749" s="86">
        <v>1.0</v>
      </c>
      <c r="Y749" s="86">
        <v>70002.0</v>
      </c>
      <c r="Z749" s="86">
        <v>8.0</v>
      </c>
      <c r="AA749" s="86">
        <v>1.0</v>
      </c>
      <c r="AB749" s="86">
        <v>2000.0</v>
      </c>
      <c r="AC749" s="86">
        <v>16.0</v>
      </c>
      <c r="AD749" s="86">
        <v>1.0</v>
      </c>
      <c r="AE749" s="86" t="s">
        <v>3785</v>
      </c>
      <c r="AF749" s="86">
        <v>8.0</v>
      </c>
      <c r="AG749" s="86">
        <v>0.5</v>
      </c>
    </row>
    <row r="750" ht="409.5" customHeight="1">
      <c r="A750" s="86">
        <v>708.0</v>
      </c>
      <c r="B750" s="86" t="s">
        <v>955</v>
      </c>
      <c r="D750" s="95" t="s">
        <v>3810</v>
      </c>
      <c r="G750" s="96" t="s">
        <v>3813</v>
      </c>
      <c r="I750" s="86">
        <v>9000.0</v>
      </c>
      <c r="J750" s="95" t="s">
        <v>1740</v>
      </c>
      <c r="K750" s="86" t="s">
        <v>647</v>
      </c>
      <c r="L750" s="86">
        <v>9009.0</v>
      </c>
      <c r="M750" s="86" t="s">
        <v>2084</v>
      </c>
      <c r="N750" s="86">
        <v>0.0</v>
      </c>
      <c r="O750" s="86">
        <v>0.75</v>
      </c>
      <c r="P750" s="95" t="s">
        <v>1612</v>
      </c>
      <c r="Q750" s="86" t="s">
        <v>658</v>
      </c>
      <c r="R750" s="86">
        <v>9010.0</v>
      </c>
      <c r="S750" s="86" t="s">
        <v>3159</v>
      </c>
      <c r="T750" s="86">
        <v>0.0</v>
      </c>
      <c r="U750" s="86">
        <v>0.7</v>
      </c>
      <c r="V750" s="86">
        <v>70001.0</v>
      </c>
      <c r="W750" s="86">
        <v>9.0</v>
      </c>
      <c r="X750" s="86">
        <v>1.0</v>
      </c>
      <c r="Y750" s="86">
        <v>70002.0</v>
      </c>
      <c r="Z750" s="86">
        <v>9.0</v>
      </c>
      <c r="AA750" s="86">
        <v>1.0</v>
      </c>
      <c r="AB750" s="86">
        <v>2000.0</v>
      </c>
      <c r="AC750" s="86">
        <v>18.0</v>
      </c>
      <c r="AD750" s="86">
        <v>1.0</v>
      </c>
      <c r="AE750" s="86" t="s">
        <v>3785</v>
      </c>
      <c r="AF750" s="86">
        <v>9.0</v>
      </c>
      <c r="AG750" s="86">
        <v>0.5</v>
      </c>
    </row>
    <row r="751" ht="409.5" customHeight="1">
      <c r="A751" s="86">
        <v>709.0</v>
      </c>
      <c r="B751" s="86" t="s">
        <v>955</v>
      </c>
      <c r="D751" s="95" t="s">
        <v>3815</v>
      </c>
      <c r="G751" s="96" t="s">
        <v>3818</v>
      </c>
      <c r="I751" s="86">
        <v>10000.0</v>
      </c>
      <c r="J751" s="95" t="s">
        <v>1740</v>
      </c>
      <c r="K751" s="86" t="s">
        <v>647</v>
      </c>
      <c r="L751" s="86">
        <v>9009.0</v>
      </c>
      <c r="M751" s="86" t="s">
        <v>2084</v>
      </c>
      <c r="N751" s="86">
        <v>0.0</v>
      </c>
      <c r="O751" s="86">
        <v>0.8</v>
      </c>
      <c r="P751" s="95" t="s">
        <v>1612</v>
      </c>
      <c r="Q751" s="86" t="s">
        <v>658</v>
      </c>
      <c r="R751" s="86">
        <v>9010.0</v>
      </c>
      <c r="S751" s="86" t="s">
        <v>3159</v>
      </c>
      <c r="T751" s="86">
        <v>0.0</v>
      </c>
      <c r="U751" s="86">
        <v>0.7</v>
      </c>
      <c r="V751" s="86">
        <v>70001.0</v>
      </c>
      <c r="W751" s="86">
        <v>10.0</v>
      </c>
      <c r="X751" s="86">
        <v>1.0</v>
      </c>
      <c r="Y751" s="86">
        <v>70002.0</v>
      </c>
      <c r="Z751" s="86">
        <v>10.0</v>
      </c>
      <c r="AA751" s="86">
        <v>1.0</v>
      </c>
      <c r="AB751" s="86">
        <v>2000.0</v>
      </c>
      <c r="AC751" s="86">
        <v>20.0</v>
      </c>
      <c r="AD751" s="86">
        <v>1.0</v>
      </c>
      <c r="AE751" s="86" t="s">
        <v>3785</v>
      </c>
      <c r="AF751" s="86">
        <v>10.0</v>
      </c>
      <c r="AG751" s="86">
        <v>0.5</v>
      </c>
    </row>
    <row r="752" ht="409.5" customHeight="1">
      <c r="A752" s="86">
        <v>710.0</v>
      </c>
      <c r="B752" s="86" t="s">
        <v>955</v>
      </c>
      <c r="D752" s="95" t="s">
        <v>3820</v>
      </c>
      <c r="G752" s="96" t="s">
        <v>3822</v>
      </c>
      <c r="I752" s="86">
        <v>11000.0</v>
      </c>
      <c r="J752" s="95" t="s">
        <v>1740</v>
      </c>
      <c r="K752" s="86" t="s">
        <v>647</v>
      </c>
      <c r="L752" s="86">
        <v>9009.0</v>
      </c>
      <c r="M752" s="86" t="s">
        <v>2084</v>
      </c>
      <c r="N752" s="86">
        <v>0.0</v>
      </c>
      <c r="O752" s="86">
        <v>0.85</v>
      </c>
      <c r="P752" s="95" t="s">
        <v>1612</v>
      </c>
      <c r="Q752" s="86" t="s">
        <v>658</v>
      </c>
      <c r="R752" s="86">
        <v>9010.0</v>
      </c>
      <c r="S752" s="86" t="s">
        <v>3159</v>
      </c>
      <c r="T752" s="86">
        <v>0.0</v>
      </c>
      <c r="U752" s="86">
        <v>0.7</v>
      </c>
      <c r="V752" s="86">
        <v>70001.0</v>
      </c>
      <c r="W752" s="86">
        <v>11.0</v>
      </c>
      <c r="X752" s="86">
        <v>1.0</v>
      </c>
      <c r="Y752" s="86">
        <v>70002.0</v>
      </c>
      <c r="Z752" s="86">
        <v>11.0</v>
      </c>
      <c r="AA752" s="86">
        <v>1.0</v>
      </c>
      <c r="AB752" s="86">
        <v>2000.0</v>
      </c>
      <c r="AC752" s="86">
        <v>22.0</v>
      </c>
      <c r="AD752" s="86">
        <v>1.0</v>
      </c>
      <c r="AE752" s="86" t="s">
        <v>3785</v>
      </c>
      <c r="AF752" s="86">
        <v>11.0</v>
      </c>
      <c r="AG752" s="86">
        <v>0.5</v>
      </c>
    </row>
    <row r="753" ht="409.5" customHeight="1">
      <c r="A753" s="86">
        <v>711.0</v>
      </c>
      <c r="B753" s="86" t="s">
        <v>955</v>
      </c>
      <c r="D753" s="95" t="s">
        <v>3824</v>
      </c>
      <c r="G753" s="96" t="s">
        <v>3826</v>
      </c>
      <c r="I753" s="86">
        <v>12000.0</v>
      </c>
      <c r="J753" s="95" t="s">
        <v>1740</v>
      </c>
      <c r="K753" s="86" t="s">
        <v>647</v>
      </c>
      <c r="L753" s="86">
        <v>9009.0</v>
      </c>
      <c r="M753" s="86" t="s">
        <v>2084</v>
      </c>
      <c r="N753" s="86">
        <v>0.0</v>
      </c>
      <c r="O753" s="86">
        <v>0.9</v>
      </c>
      <c r="P753" s="95" t="s">
        <v>1612</v>
      </c>
      <c r="Q753" s="86" t="s">
        <v>658</v>
      </c>
      <c r="R753" s="86">
        <v>9010.0</v>
      </c>
      <c r="S753" s="86" t="s">
        <v>3159</v>
      </c>
      <c r="T753" s="86">
        <v>0.0</v>
      </c>
      <c r="U753" s="86">
        <v>0.7</v>
      </c>
      <c r="V753" s="86">
        <v>70001.0</v>
      </c>
      <c r="W753" s="86">
        <v>12.0</v>
      </c>
      <c r="X753" s="86">
        <v>1.0</v>
      </c>
      <c r="Y753" s="86">
        <v>70002.0</v>
      </c>
      <c r="Z753" s="86">
        <v>12.0</v>
      </c>
      <c r="AA753" s="86">
        <v>1.0</v>
      </c>
      <c r="AB753" s="86">
        <v>2000.0</v>
      </c>
      <c r="AC753" s="86">
        <v>24.0</v>
      </c>
      <c r="AD753" s="86">
        <v>1.0</v>
      </c>
      <c r="AE753" s="86" t="s">
        <v>3785</v>
      </c>
      <c r="AF753" s="86">
        <v>12.0</v>
      </c>
      <c r="AG753" s="86">
        <v>0.5</v>
      </c>
    </row>
    <row r="754" ht="409.5" customHeight="1">
      <c r="A754" s="86">
        <v>712.0</v>
      </c>
      <c r="B754" s="86" t="s">
        <v>955</v>
      </c>
      <c r="D754" s="95" t="s">
        <v>3829</v>
      </c>
      <c r="G754" s="96" t="s">
        <v>3830</v>
      </c>
      <c r="I754" s="86">
        <v>13000.0</v>
      </c>
      <c r="J754" s="95" t="s">
        <v>1740</v>
      </c>
      <c r="K754" s="86" t="s">
        <v>647</v>
      </c>
      <c r="L754" s="86">
        <v>9009.0</v>
      </c>
      <c r="M754" s="86" t="s">
        <v>2084</v>
      </c>
      <c r="N754" s="86">
        <v>0.0</v>
      </c>
      <c r="O754" s="86">
        <v>0.95</v>
      </c>
      <c r="P754" s="95" t="s">
        <v>1612</v>
      </c>
      <c r="Q754" s="86" t="s">
        <v>658</v>
      </c>
      <c r="R754" s="86">
        <v>9010.0</v>
      </c>
      <c r="S754" s="86" t="s">
        <v>3159</v>
      </c>
      <c r="T754" s="86">
        <v>0.0</v>
      </c>
      <c r="U754" s="86">
        <v>0.7</v>
      </c>
      <c r="V754" s="86">
        <v>70001.0</v>
      </c>
      <c r="W754" s="86">
        <v>13.0</v>
      </c>
      <c r="X754" s="86">
        <v>1.0</v>
      </c>
      <c r="Y754" s="86">
        <v>70002.0</v>
      </c>
      <c r="Z754" s="86">
        <v>13.0</v>
      </c>
      <c r="AA754" s="86">
        <v>1.0</v>
      </c>
      <c r="AB754" s="86">
        <v>2000.0</v>
      </c>
      <c r="AC754" s="86">
        <v>26.0</v>
      </c>
      <c r="AD754" s="86">
        <v>1.0</v>
      </c>
      <c r="AE754" s="86" t="s">
        <v>3785</v>
      </c>
      <c r="AF754" s="86">
        <v>13.0</v>
      </c>
      <c r="AG754" s="86">
        <v>0.5</v>
      </c>
    </row>
    <row r="755" ht="409.5" customHeight="1">
      <c r="A755" s="86">
        <v>713.0</v>
      </c>
      <c r="B755" s="86" t="s">
        <v>955</v>
      </c>
      <c r="D755" s="95" t="s">
        <v>3833</v>
      </c>
      <c r="G755" s="96" t="s">
        <v>3836</v>
      </c>
      <c r="I755" s="86">
        <v>14000.0</v>
      </c>
      <c r="J755" s="95" t="s">
        <v>1740</v>
      </c>
      <c r="K755" s="86" t="s">
        <v>647</v>
      </c>
      <c r="L755" s="86">
        <v>9009.0</v>
      </c>
      <c r="M755" s="86" t="s">
        <v>2084</v>
      </c>
      <c r="N755" s="86">
        <v>0.0</v>
      </c>
      <c r="O755" s="86">
        <v>1.0</v>
      </c>
      <c r="P755" s="95" t="s">
        <v>1612</v>
      </c>
      <c r="Q755" s="86" t="s">
        <v>658</v>
      </c>
      <c r="R755" s="86">
        <v>9010.0</v>
      </c>
      <c r="S755" s="86" t="s">
        <v>3159</v>
      </c>
      <c r="T755" s="86">
        <v>0.0</v>
      </c>
      <c r="U755" s="86">
        <v>0.7</v>
      </c>
      <c r="V755" s="86">
        <v>70001.0</v>
      </c>
      <c r="W755" s="86">
        <v>14.0</v>
      </c>
      <c r="X755" s="86">
        <v>1.0</v>
      </c>
      <c r="Y755" s="86">
        <v>70002.0</v>
      </c>
      <c r="Z755" s="86">
        <v>14.0</v>
      </c>
      <c r="AA755" s="86">
        <v>1.0</v>
      </c>
      <c r="AB755" s="86">
        <v>2000.0</v>
      </c>
      <c r="AC755" s="86">
        <v>28.0</v>
      </c>
      <c r="AD755" s="86">
        <v>1.0</v>
      </c>
      <c r="AE755" s="86" t="s">
        <v>3785</v>
      </c>
      <c r="AF755" s="86">
        <v>14.0</v>
      </c>
      <c r="AG755" s="86">
        <v>0.5</v>
      </c>
    </row>
    <row r="756" ht="409.5" customHeight="1">
      <c r="A756" s="86">
        <v>714.0</v>
      </c>
      <c r="B756" s="86" t="s">
        <v>955</v>
      </c>
      <c r="D756" s="95" t="s">
        <v>3839</v>
      </c>
      <c r="G756" s="96" t="s">
        <v>3841</v>
      </c>
      <c r="I756" s="86">
        <v>15000.0</v>
      </c>
      <c r="J756" s="95" t="s">
        <v>1740</v>
      </c>
      <c r="K756" s="86" t="s">
        <v>647</v>
      </c>
      <c r="L756" s="86">
        <v>9009.0</v>
      </c>
      <c r="M756" s="86" t="s">
        <v>2084</v>
      </c>
      <c r="N756" s="86">
        <v>0.0</v>
      </c>
      <c r="O756" s="86">
        <v>1.0</v>
      </c>
      <c r="P756" s="95" t="s">
        <v>1612</v>
      </c>
      <c r="Q756" s="86" t="s">
        <v>658</v>
      </c>
      <c r="R756" s="86">
        <v>9010.0</v>
      </c>
      <c r="S756" s="86" t="s">
        <v>3159</v>
      </c>
      <c r="T756" s="86">
        <v>0.0</v>
      </c>
      <c r="U756" s="86">
        <v>0.7</v>
      </c>
      <c r="V756" s="86">
        <v>70001.0</v>
      </c>
      <c r="W756" s="86">
        <v>15.0</v>
      </c>
      <c r="X756" s="86">
        <v>1.0</v>
      </c>
      <c r="Y756" s="86">
        <v>70002.0</v>
      </c>
      <c r="Z756" s="86">
        <v>15.0</v>
      </c>
      <c r="AA756" s="86">
        <v>1.0</v>
      </c>
      <c r="AB756" s="86">
        <v>2000.0</v>
      </c>
      <c r="AC756" s="86">
        <v>30.0</v>
      </c>
      <c r="AD756" s="86">
        <v>1.0</v>
      </c>
      <c r="AE756" s="86" t="s">
        <v>3785</v>
      </c>
      <c r="AF756" s="86">
        <v>15.0</v>
      </c>
      <c r="AG756" s="86">
        <v>0.5</v>
      </c>
    </row>
    <row r="757" ht="12.75" customHeight="1"/>
    <row r="758" ht="12.75" customHeight="1">
      <c r="A758" s="86" t="s">
        <v>1016</v>
      </c>
      <c r="B758" s="86" t="s">
        <v>507</v>
      </c>
      <c r="C758" s="86" t="s">
        <v>1017</v>
      </c>
      <c r="D758" s="86" t="s">
        <v>1018</v>
      </c>
      <c r="E758" s="86" t="s">
        <v>207</v>
      </c>
      <c r="F758" s="86" t="s">
        <v>1019</v>
      </c>
      <c r="G758" s="86" t="s">
        <v>1021</v>
      </c>
      <c r="H758" s="86" t="s">
        <v>1025</v>
      </c>
      <c r="I758" s="86" t="s">
        <v>1026</v>
      </c>
      <c r="J758" s="86" t="s">
        <v>1027</v>
      </c>
      <c r="K758" s="86" t="s">
        <v>1028</v>
      </c>
      <c r="L758" s="86" t="s">
        <v>1029</v>
      </c>
      <c r="M758" s="86" t="s">
        <v>1030</v>
      </c>
      <c r="N758" s="86" t="s">
        <v>1032</v>
      </c>
      <c r="O758" s="86" t="s">
        <v>1033</v>
      </c>
      <c r="P758" s="86" t="s">
        <v>1034</v>
      </c>
      <c r="Q758" s="86" t="s">
        <v>1035</v>
      </c>
      <c r="R758" s="86" t="s">
        <v>1037</v>
      </c>
      <c r="S758" s="86" t="s">
        <v>1038</v>
      </c>
      <c r="T758" s="86" t="s">
        <v>1041</v>
      </c>
      <c r="U758" s="86" t="s">
        <v>1042</v>
      </c>
      <c r="V758" s="86" t="s">
        <v>1043</v>
      </c>
      <c r="W758" s="86" t="s">
        <v>1044</v>
      </c>
      <c r="X758" s="86" t="s">
        <v>1045</v>
      </c>
      <c r="Y758" s="86" t="s">
        <v>1046</v>
      </c>
      <c r="Z758" s="86" t="s">
        <v>1047</v>
      </c>
      <c r="AA758" s="86" t="s">
        <v>1048</v>
      </c>
    </row>
    <row r="759" ht="38.25" customHeight="1">
      <c r="A759" s="86">
        <v>801.0</v>
      </c>
      <c r="B759" s="86" t="s">
        <v>3844</v>
      </c>
      <c r="C759" s="86">
        <v>3.0</v>
      </c>
      <c r="D759" s="95" t="s">
        <v>3846</v>
      </c>
      <c r="G759" s="96" t="s">
        <v>3847</v>
      </c>
      <c r="V759" s="86">
        <v>8000.0</v>
      </c>
      <c r="W759" s="86">
        <v>1000.0</v>
      </c>
      <c r="AB759" s="86" t="s">
        <v>3848</v>
      </c>
      <c r="AC759" s="86">
        <v>1.0</v>
      </c>
      <c r="AD759" s="86">
        <v>0.2</v>
      </c>
      <c r="AE759" s="86">
        <v>2002.0</v>
      </c>
      <c r="AF759" s="86">
        <v>3.0</v>
      </c>
      <c r="AG759" s="86">
        <v>1.0</v>
      </c>
    </row>
    <row r="760" ht="38.25" customHeight="1">
      <c r="A760" s="86">
        <v>802.0</v>
      </c>
      <c r="B760" s="86" t="s">
        <v>3844</v>
      </c>
      <c r="C760" s="86">
        <v>3.0</v>
      </c>
      <c r="D760" s="95" t="s">
        <v>3849</v>
      </c>
      <c r="G760" s="96" t="s">
        <v>3850</v>
      </c>
      <c r="V760" s="86">
        <v>8000.0</v>
      </c>
      <c r="W760" s="86">
        <v>1000.0</v>
      </c>
      <c r="AB760" s="86" t="s">
        <v>3848</v>
      </c>
      <c r="AC760" s="86">
        <v>1.0</v>
      </c>
      <c r="AD760" s="86">
        <v>0.2</v>
      </c>
      <c r="AE760" s="86">
        <v>2002.0</v>
      </c>
      <c r="AF760" s="86">
        <v>3.0</v>
      </c>
      <c r="AG760" s="86">
        <v>1.0</v>
      </c>
    </row>
    <row r="761" ht="38.25" customHeight="1">
      <c r="A761" s="86">
        <v>803.0</v>
      </c>
      <c r="B761" s="86" t="s">
        <v>3844</v>
      </c>
      <c r="C761" s="86">
        <v>3.0</v>
      </c>
      <c r="D761" s="95" t="s">
        <v>3852</v>
      </c>
      <c r="G761" s="96" t="s">
        <v>3853</v>
      </c>
      <c r="V761" s="86">
        <v>8000.0</v>
      </c>
      <c r="W761" s="86">
        <v>1000.0</v>
      </c>
      <c r="AB761" s="86" t="s">
        <v>3848</v>
      </c>
      <c r="AC761" s="86">
        <v>1.0</v>
      </c>
      <c r="AD761" s="86">
        <v>0.2</v>
      </c>
      <c r="AE761" s="86">
        <v>2002.0</v>
      </c>
      <c r="AF761" s="86">
        <v>3.0</v>
      </c>
      <c r="AG761" s="86">
        <v>1.0</v>
      </c>
    </row>
    <row r="762" ht="38.25" customHeight="1">
      <c r="A762" s="86">
        <v>804.0</v>
      </c>
      <c r="B762" s="86" t="s">
        <v>3844</v>
      </c>
      <c r="C762" s="86">
        <v>3.0</v>
      </c>
      <c r="D762" s="95" t="s">
        <v>3855</v>
      </c>
      <c r="G762" s="96" t="s">
        <v>3847</v>
      </c>
      <c r="V762" s="86">
        <v>8000.0</v>
      </c>
      <c r="W762" s="86">
        <v>1000.0</v>
      </c>
      <c r="AB762" s="86" t="s">
        <v>3848</v>
      </c>
      <c r="AC762" s="86">
        <v>1.0</v>
      </c>
      <c r="AD762" s="86">
        <v>0.2</v>
      </c>
      <c r="AE762" s="86">
        <v>2002.0</v>
      </c>
      <c r="AF762" s="86">
        <v>3.0</v>
      </c>
      <c r="AG762" s="86">
        <v>1.0</v>
      </c>
    </row>
    <row r="763" ht="38.25" customHeight="1">
      <c r="A763" s="86">
        <v>805.0</v>
      </c>
      <c r="B763" s="86" t="s">
        <v>3857</v>
      </c>
      <c r="C763" s="86">
        <v>3.0</v>
      </c>
      <c r="D763" s="95" t="s">
        <v>3858</v>
      </c>
      <c r="G763" s="96" t="s">
        <v>3847</v>
      </c>
      <c r="V763" s="86">
        <v>8000.0</v>
      </c>
      <c r="W763" s="86">
        <v>1000.0</v>
      </c>
      <c r="AB763" s="86" t="s">
        <v>3848</v>
      </c>
      <c r="AC763" s="86">
        <v>1.0</v>
      </c>
      <c r="AD763" s="86">
        <v>0.2</v>
      </c>
      <c r="AE763" s="86">
        <v>2002.0</v>
      </c>
      <c r="AF763" s="86">
        <v>3.0</v>
      </c>
      <c r="AG763" s="86">
        <v>1.0</v>
      </c>
    </row>
    <row r="764" ht="38.25" customHeight="1">
      <c r="A764" s="86">
        <v>806.0</v>
      </c>
      <c r="B764" s="86" t="s">
        <v>3857</v>
      </c>
      <c r="C764" s="86">
        <v>3.0</v>
      </c>
      <c r="D764" s="95" t="s">
        <v>3861</v>
      </c>
      <c r="G764" s="96" t="s">
        <v>3850</v>
      </c>
      <c r="V764" s="86">
        <v>8000.0</v>
      </c>
      <c r="W764" s="86">
        <v>1000.0</v>
      </c>
      <c r="AB764" s="86" t="s">
        <v>3848</v>
      </c>
      <c r="AC764" s="86">
        <v>1.0</v>
      </c>
      <c r="AD764" s="86">
        <v>0.2</v>
      </c>
      <c r="AE764" s="86">
        <v>2002.0</v>
      </c>
      <c r="AF764" s="86">
        <v>3.0</v>
      </c>
      <c r="AG764" s="86">
        <v>1.0</v>
      </c>
    </row>
    <row r="765" ht="38.25" customHeight="1">
      <c r="A765" s="86">
        <v>807.0</v>
      </c>
      <c r="B765" s="86" t="s">
        <v>3857</v>
      </c>
      <c r="C765" s="86">
        <v>3.0</v>
      </c>
      <c r="D765" s="95" t="s">
        <v>3864</v>
      </c>
      <c r="G765" s="96" t="s">
        <v>3853</v>
      </c>
      <c r="V765" s="86">
        <v>8000.0</v>
      </c>
      <c r="W765" s="86">
        <v>1000.0</v>
      </c>
      <c r="AB765" s="86" t="s">
        <v>3848</v>
      </c>
      <c r="AC765" s="86">
        <v>1.0</v>
      </c>
      <c r="AD765" s="86">
        <v>0.2</v>
      </c>
      <c r="AE765" s="86">
        <v>2002.0</v>
      </c>
      <c r="AF765" s="86">
        <v>3.0</v>
      </c>
      <c r="AG765" s="86">
        <v>1.0</v>
      </c>
    </row>
    <row r="766" ht="38.25" customHeight="1">
      <c r="A766" s="86">
        <v>808.0</v>
      </c>
      <c r="B766" s="86" t="s">
        <v>3857</v>
      </c>
      <c r="C766" s="86">
        <v>3.0</v>
      </c>
      <c r="D766" s="95" t="s">
        <v>3865</v>
      </c>
      <c r="G766" s="96" t="s">
        <v>3847</v>
      </c>
      <c r="V766" s="86">
        <v>8000.0</v>
      </c>
      <c r="W766" s="86">
        <v>1000.0</v>
      </c>
      <c r="AB766" s="86" t="s">
        <v>3848</v>
      </c>
      <c r="AC766" s="86">
        <v>1.0</v>
      </c>
      <c r="AD766" s="86">
        <v>0.2</v>
      </c>
      <c r="AE766" s="86">
        <v>2002.0</v>
      </c>
      <c r="AF766" s="86">
        <v>3.0</v>
      </c>
      <c r="AG766" s="86">
        <v>1.0</v>
      </c>
    </row>
    <row r="767" ht="38.25" customHeight="1">
      <c r="A767" s="86">
        <v>809.0</v>
      </c>
      <c r="B767" s="86" t="s">
        <v>3867</v>
      </c>
      <c r="C767" s="86">
        <v>3.0</v>
      </c>
      <c r="D767" s="95" t="s">
        <v>3868</v>
      </c>
      <c r="G767" s="96" t="s">
        <v>3847</v>
      </c>
      <c r="V767" s="86">
        <v>8000.0</v>
      </c>
      <c r="W767" s="86">
        <v>1000.0</v>
      </c>
      <c r="AB767" s="86" t="s">
        <v>3848</v>
      </c>
      <c r="AC767" s="86">
        <v>1.0</v>
      </c>
      <c r="AD767" s="86">
        <v>0.2</v>
      </c>
      <c r="AE767" s="86">
        <v>2002.0</v>
      </c>
      <c r="AF767" s="86">
        <v>3.0</v>
      </c>
      <c r="AG767" s="86">
        <v>1.0</v>
      </c>
    </row>
    <row r="768" ht="38.25" customHeight="1">
      <c r="A768" s="86">
        <v>810.0</v>
      </c>
      <c r="B768" s="86" t="s">
        <v>3867</v>
      </c>
      <c r="C768" s="86">
        <v>3.0</v>
      </c>
      <c r="D768" s="95" t="s">
        <v>3870</v>
      </c>
      <c r="G768" s="96" t="s">
        <v>3850</v>
      </c>
      <c r="V768" s="86">
        <v>8000.0</v>
      </c>
      <c r="W768" s="86">
        <v>1000.0</v>
      </c>
      <c r="AB768" s="86" t="s">
        <v>3848</v>
      </c>
      <c r="AC768" s="86">
        <v>1.0</v>
      </c>
      <c r="AD768" s="86">
        <v>0.2</v>
      </c>
      <c r="AE768" s="86">
        <v>2002.0</v>
      </c>
      <c r="AF768" s="86">
        <v>3.0</v>
      </c>
      <c r="AG768" s="86">
        <v>1.0</v>
      </c>
    </row>
    <row r="769" ht="38.25" customHeight="1">
      <c r="A769" s="86">
        <v>811.0</v>
      </c>
      <c r="B769" s="86" t="s">
        <v>3867</v>
      </c>
      <c r="C769" s="86">
        <v>3.0</v>
      </c>
      <c r="D769" s="95" t="s">
        <v>3873</v>
      </c>
      <c r="G769" s="96" t="s">
        <v>3853</v>
      </c>
      <c r="V769" s="86">
        <v>8000.0</v>
      </c>
      <c r="W769" s="86">
        <v>1000.0</v>
      </c>
      <c r="AB769" s="86" t="s">
        <v>3848</v>
      </c>
      <c r="AC769" s="86">
        <v>1.0</v>
      </c>
      <c r="AD769" s="86">
        <v>0.2</v>
      </c>
      <c r="AE769" s="86">
        <v>2002.0</v>
      </c>
      <c r="AF769" s="86">
        <v>3.0</v>
      </c>
      <c r="AG769" s="86">
        <v>1.0</v>
      </c>
    </row>
    <row r="770" ht="38.25" customHeight="1">
      <c r="A770" s="86">
        <v>812.0</v>
      </c>
      <c r="B770" s="86" t="s">
        <v>3867</v>
      </c>
      <c r="C770" s="86">
        <v>3.0</v>
      </c>
      <c r="D770" s="95" t="s">
        <v>3874</v>
      </c>
      <c r="G770" s="96" t="s">
        <v>3847</v>
      </c>
      <c r="V770" s="86">
        <v>8000.0</v>
      </c>
      <c r="W770" s="86">
        <v>1000.0</v>
      </c>
      <c r="AB770" s="86" t="s">
        <v>3848</v>
      </c>
      <c r="AC770" s="86">
        <v>1.0</v>
      </c>
      <c r="AD770" s="86">
        <v>0.2</v>
      </c>
      <c r="AE770" s="86">
        <v>2002.0</v>
      </c>
      <c r="AF770" s="86">
        <v>3.0</v>
      </c>
      <c r="AG770" s="86">
        <v>1.0</v>
      </c>
    </row>
    <row r="771" ht="12.75" customHeight="1">
      <c r="A771" s="86">
        <v>813.0</v>
      </c>
      <c r="B771" s="86" t="s">
        <v>3875</v>
      </c>
      <c r="C771" s="86">
        <v>3.0</v>
      </c>
      <c r="D771" s="95" t="s">
        <v>3876</v>
      </c>
      <c r="J771" s="95" t="s">
        <v>3877</v>
      </c>
      <c r="K771" s="86" t="s">
        <v>3878</v>
      </c>
      <c r="L771" s="86">
        <v>1001.0</v>
      </c>
      <c r="M771" s="86" t="s">
        <v>3879</v>
      </c>
      <c r="V771" s="86">
        <v>8000.0</v>
      </c>
      <c r="W771" s="86">
        <v>1000.0</v>
      </c>
    </row>
    <row r="772" ht="12.75" customHeight="1">
      <c r="A772" s="86">
        <v>814.0</v>
      </c>
      <c r="B772" s="86" t="s">
        <v>3875</v>
      </c>
      <c r="C772" s="86">
        <v>3.0</v>
      </c>
      <c r="D772" s="95" t="s">
        <v>3881</v>
      </c>
      <c r="J772" s="95" t="s">
        <v>3877</v>
      </c>
      <c r="K772" s="86" t="s">
        <v>3878</v>
      </c>
      <c r="L772" s="86">
        <v>1002.0</v>
      </c>
      <c r="M772" s="86" t="s">
        <v>3879</v>
      </c>
      <c r="V772" s="86">
        <v>8000.0</v>
      </c>
      <c r="W772" s="86">
        <v>1000.0</v>
      </c>
    </row>
    <row r="773" ht="12.75" customHeight="1">
      <c r="A773" s="86">
        <v>815.0</v>
      </c>
      <c r="B773" s="86" t="s">
        <v>3875</v>
      </c>
      <c r="C773" s="86">
        <v>3.0</v>
      </c>
      <c r="D773" s="95" t="s">
        <v>3883</v>
      </c>
      <c r="J773" s="95" t="s">
        <v>3877</v>
      </c>
      <c r="K773" s="86" t="s">
        <v>3878</v>
      </c>
      <c r="L773" s="86">
        <v>1003.0</v>
      </c>
      <c r="M773" s="86" t="s">
        <v>3879</v>
      </c>
      <c r="V773" s="86">
        <v>8000.0</v>
      </c>
      <c r="W773" s="86">
        <v>1000.0</v>
      </c>
    </row>
    <row r="774" ht="12.75" customHeight="1">
      <c r="A774" s="86">
        <v>816.0</v>
      </c>
      <c r="B774" s="86" t="s">
        <v>3875</v>
      </c>
      <c r="C774" s="86">
        <v>3.0</v>
      </c>
      <c r="D774" s="95" t="s">
        <v>3885</v>
      </c>
      <c r="J774" s="95" t="s">
        <v>3877</v>
      </c>
      <c r="K774" s="86" t="s">
        <v>3878</v>
      </c>
      <c r="L774" s="86">
        <v>1004.0</v>
      </c>
      <c r="M774" s="86" t="s">
        <v>3879</v>
      </c>
      <c r="V774" s="86">
        <v>8000.0</v>
      </c>
      <c r="W774" s="86">
        <v>1000.0</v>
      </c>
    </row>
    <row r="775" ht="38.25" customHeight="1">
      <c r="A775" s="86">
        <v>817.0</v>
      </c>
      <c r="B775" s="86" t="s">
        <v>3844</v>
      </c>
      <c r="C775" s="86">
        <v>3.0</v>
      </c>
      <c r="D775" s="95" t="s">
        <v>3849</v>
      </c>
      <c r="E775" s="86">
        <v>20.0</v>
      </c>
      <c r="G775" s="96" t="s">
        <v>3850</v>
      </c>
      <c r="V775" s="86">
        <v>8000.0</v>
      </c>
      <c r="W775" s="86">
        <v>1000.0</v>
      </c>
      <c r="AB775" s="86" t="s">
        <v>3848</v>
      </c>
      <c r="AC775" s="86">
        <v>1.0</v>
      </c>
      <c r="AD775" s="86">
        <v>0.2</v>
      </c>
      <c r="AE775" s="86">
        <v>2002.0</v>
      </c>
      <c r="AF775" s="86">
        <v>3.0</v>
      </c>
      <c r="AG775" s="86">
        <v>1.0</v>
      </c>
    </row>
    <row r="776" ht="38.25" customHeight="1">
      <c r="A776" s="86">
        <v>818.0</v>
      </c>
      <c r="B776" s="86" t="s">
        <v>3857</v>
      </c>
      <c r="C776" s="86">
        <v>3.0</v>
      </c>
      <c r="D776" s="95" t="s">
        <v>3858</v>
      </c>
      <c r="E776" s="86">
        <v>20.0</v>
      </c>
      <c r="G776" s="96" t="s">
        <v>3847</v>
      </c>
      <c r="V776" s="86">
        <v>8000.0</v>
      </c>
      <c r="W776" s="86">
        <v>1000.0</v>
      </c>
      <c r="AB776" s="86" t="s">
        <v>3848</v>
      </c>
      <c r="AC776" s="86">
        <v>1.0</v>
      </c>
      <c r="AD776" s="86">
        <v>0.2</v>
      </c>
      <c r="AE776" s="86">
        <v>2002.0</v>
      </c>
      <c r="AF776" s="86">
        <v>3.0</v>
      </c>
      <c r="AG776" s="86">
        <v>1.0</v>
      </c>
    </row>
  </sheetData>
  <dataValidations>
    <dataValidation type="list" allowBlank="1" showErrorMessage="1" sqref="K3:K16 Q3:Q16 K19:K79 Q19:Q79 K82:K113 Q82:Q113 K123:K124 Q123:Q124 K130:K145 Q130:Q145">
      <formula1>"select_self,select_enemy,debuff,buff"</formula1>
    </dataValidation>
    <dataValidation type="list" allowBlank="1" showErrorMessage="1" sqref="B3:B16 B19:B79 B82:B113 B123:B124 B130:B145">
      <formula1>"dungeon,main,map_red,map_yellow,map_purple,map_blue,annihilation,tower,godcharacter"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0"/>
    <col customWidth="1" min="4" max="4" width="121.88"/>
    <col customWidth="1" min="5" max="5" width="53.0"/>
    <col customWidth="1" min="6" max="26" width="11.0"/>
  </cols>
  <sheetData>
    <row r="1" ht="14.25" customHeight="1">
      <c r="A1" s="49" t="s">
        <v>1016</v>
      </c>
      <c r="B1" s="49" t="s">
        <v>507</v>
      </c>
      <c r="C1" s="49" t="s">
        <v>2351</v>
      </c>
      <c r="D1" s="1" t="s">
        <v>943</v>
      </c>
      <c r="E1" s="2" t="s">
        <v>2352</v>
      </c>
    </row>
    <row r="2" ht="42.75" customHeight="1">
      <c r="A2" s="49"/>
      <c r="B2" s="49" t="s">
        <v>2355</v>
      </c>
      <c r="C2" s="49"/>
      <c r="E2" s="130" t="s">
        <v>2357</v>
      </c>
    </row>
    <row r="3" ht="57.0" customHeight="1">
      <c r="A3" s="49">
        <v>100.0</v>
      </c>
      <c r="B3" s="49" t="s">
        <v>2360</v>
      </c>
      <c r="C3" s="49" t="s">
        <v>2362</v>
      </c>
      <c r="D3" s="131" t="s">
        <v>2366</v>
      </c>
      <c r="E3" s="132" t="s">
        <v>2368</v>
      </c>
    </row>
    <row r="4" ht="85.5" customHeight="1">
      <c r="A4" s="49"/>
      <c r="B4" s="49" t="s">
        <v>2355</v>
      </c>
      <c r="C4" s="49"/>
      <c r="E4" s="131" t="s">
        <v>2371</v>
      </c>
    </row>
    <row r="5" ht="128.25" customHeight="1">
      <c r="A5" s="49">
        <v>100.0</v>
      </c>
      <c r="B5" s="49" t="s">
        <v>2360</v>
      </c>
      <c r="C5" s="49" t="s">
        <v>2372</v>
      </c>
      <c r="D5" s="131" t="s">
        <v>2373</v>
      </c>
      <c r="E5" s="133" t="s">
        <v>2374</v>
      </c>
    </row>
    <row r="6" ht="180.0" customHeight="1">
      <c r="A6" s="49">
        <v>100.0</v>
      </c>
      <c r="B6" s="49" t="s">
        <v>2360</v>
      </c>
      <c r="C6" s="49" t="s">
        <v>2372</v>
      </c>
      <c r="D6" s="131" t="s">
        <v>2375</v>
      </c>
      <c r="E6" s="134" t="s">
        <v>2376</v>
      </c>
    </row>
    <row r="7" ht="42.75" customHeight="1">
      <c r="A7" s="49"/>
      <c r="B7" s="49" t="s">
        <v>2355</v>
      </c>
      <c r="C7" s="49"/>
      <c r="E7" s="131" t="s">
        <v>2379</v>
      </c>
    </row>
    <row r="8" ht="15.0" customHeight="1">
      <c r="A8" s="49">
        <v>100.0</v>
      </c>
      <c r="B8" s="49" t="s">
        <v>2360</v>
      </c>
      <c r="C8" s="49" t="s">
        <v>2372</v>
      </c>
      <c r="E8" s="135" t="s">
        <v>2381</v>
      </c>
    </row>
    <row r="9" ht="285.75" customHeight="1">
      <c r="A9" s="49"/>
      <c r="B9" s="49" t="s">
        <v>2355</v>
      </c>
      <c r="C9" s="49"/>
      <c r="D9" s="131" t="s">
        <v>2385</v>
      </c>
      <c r="E9" s="131" t="s">
        <v>2386</v>
      </c>
    </row>
    <row r="10" ht="228.0" customHeight="1">
      <c r="A10" s="49"/>
      <c r="B10" s="49" t="s">
        <v>2355</v>
      </c>
      <c r="C10" s="49"/>
      <c r="D10" s="131" t="s">
        <v>2389</v>
      </c>
      <c r="E10" s="87" t="s">
        <v>2390</v>
      </c>
    </row>
    <row r="11" ht="42.75" customHeight="1">
      <c r="A11" s="49"/>
      <c r="B11" s="49" t="s">
        <v>2355</v>
      </c>
      <c r="C11" s="49"/>
      <c r="E11" s="131" t="s">
        <v>2391</v>
      </c>
    </row>
    <row r="12" ht="99.75" customHeight="1">
      <c r="A12" s="136">
        <v>1009.0</v>
      </c>
      <c r="B12" s="49" t="s">
        <v>2360</v>
      </c>
      <c r="C12" s="49" t="s">
        <v>2362</v>
      </c>
      <c r="D12" s="131" t="s">
        <v>2393</v>
      </c>
    </row>
    <row r="13" ht="142.5" customHeight="1">
      <c r="A13" s="136">
        <v>1008.0</v>
      </c>
      <c r="B13" s="49" t="s">
        <v>2360</v>
      </c>
      <c r="C13" s="49" t="s">
        <v>2372</v>
      </c>
      <c r="D13" s="131" t="s">
        <v>2398</v>
      </c>
    </row>
    <row r="14" ht="128.25" customHeight="1">
      <c r="A14" s="136">
        <v>1011.0</v>
      </c>
      <c r="B14" s="1" t="s">
        <v>2360</v>
      </c>
      <c r="C14" s="1" t="s">
        <v>2372</v>
      </c>
      <c r="D14" s="131" t="s">
        <v>2400</v>
      </c>
    </row>
    <row r="15" ht="142.5" customHeight="1">
      <c r="A15" s="136">
        <v>1015.0</v>
      </c>
      <c r="B15" s="1" t="s">
        <v>2360</v>
      </c>
      <c r="C15" s="1" t="s">
        <v>2362</v>
      </c>
      <c r="D15" s="131" t="s">
        <v>2403</v>
      </c>
    </row>
    <row r="16" ht="128.25" customHeight="1">
      <c r="A16" s="136">
        <v>1029.0</v>
      </c>
      <c r="B16" s="1" t="s">
        <v>2360</v>
      </c>
      <c r="C16" s="137" t="s">
        <v>2362</v>
      </c>
      <c r="D16" s="138" t="s">
        <v>2405</v>
      </c>
    </row>
    <row r="17" ht="128.25" customHeight="1">
      <c r="A17" s="136">
        <v>1029.0</v>
      </c>
      <c r="B17" s="1" t="s">
        <v>2360</v>
      </c>
      <c r="C17" s="137" t="s">
        <v>2372</v>
      </c>
      <c r="D17" s="138" t="s">
        <v>2408</v>
      </c>
    </row>
    <row r="18" ht="114.0" customHeight="1">
      <c r="A18" s="136">
        <v>1029.0</v>
      </c>
      <c r="B18" s="1" t="s">
        <v>2360</v>
      </c>
      <c r="C18" s="1" t="s">
        <v>2372</v>
      </c>
      <c r="D18" s="131" t="s">
        <v>2410</v>
      </c>
    </row>
    <row r="19" ht="85.5" customHeight="1">
      <c r="A19" s="88">
        <f>A18+1</f>
        <v>1030</v>
      </c>
      <c r="B19" s="1" t="s">
        <v>2360</v>
      </c>
      <c r="C19" s="1" t="s">
        <v>2372</v>
      </c>
      <c r="D19" s="131" t="s">
        <v>2414</v>
      </c>
    </row>
    <row r="20" ht="128.25" customHeight="1">
      <c r="A20" s="49">
        <f>A19+7</f>
        <v>1037</v>
      </c>
      <c r="B20" s="1" t="s">
        <v>2360</v>
      </c>
      <c r="C20" s="1" t="s">
        <v>2372</v>
      </c>
      <c r="D20" s="131" t="s">
        <v>2418</v>
      </c>
    </row>
    <row r="21" ht="114.0" customHeight="1">
      <c r="A21" s="49">
        <f>A20+4</f>
        <v>1041</v>
      </c>
      <c r="B21" s="1" t="s">
        <v>2360</v>
      </c>
      <c r="C21" s="1" t="s">
        <v>2372</v>
      </c>
      <c r="D21" s="131" t="s">
        <v>2421</v>
      </c>
    </row>
    <row r="22" ht="128.25" customHeight="1">
      <c r="A22" s="136">
        <v>1059.0</v>
      </c>
      <c r="B22" s="1" t="s">
        <v>2360</v>
      </c>
      <c r="C22" s="1" t="s">
        <v>2362</v>
      </c>
      <c r="D22" s="131" t="s">
        <v>2423</v>
      </c>
    </row>
    <row r="23" ht="85.5" customHeight="1">
      <c r="A23" s="136">
        <v>1059.0</v>
      </c>
      <c r="B23" s="1" t="s">
        <v>2360</v>
      </c>
      <c r="C23" s="1" t="s">
        <v>2372</v>
      </c>
      <c r="D23" s="131" t="s">
        <v>2426</v>
      </c>
    </row>
    <row r="24" ht="85.5" customHeight="1">
      <c r="A24" s="136">
        <v>1059.0</v>
      </c>
      <c r="B24" s="1" t="s">
        <v>2360</v>
      </c>
      <c r="C24" s="1" t="s">
        <v>2372</v>
      </c>
      <c r="D24" s="131" t="s">
        <v>2428</v>
      </c>
    </row>
    <row r="25" ht="99.75" customHeight="1">
      <c r="A25" s="140">
        <v>1060.0</v>
      </c>
      <c r="B25" s="1" t="s">
        <v>2360</v>
      </c>
      <c r="C25" s="1" t="s">
        <v>2362</v>
      </c>
      <c r="D25" s="131" t="s">
        <v>2431</v>
      </c>
    </row>
    <row r="26" ht="114.0" customHeight="1">
      <c r="A26" s="49">
        <f t="shared" ref="A26:A28" si="1">A25+5</f>
        <v>1065</v>
      </c>
      <c r="B26" s="1" t="s">
        <v>2360</v>
      </c>
      <c r="C26" s="1" t="s">
        <v>2372</v>
      </c>
      <c r="D26" s="131" t="s">
        <v>2434</v>
      </c>
    </row>
    <row r="27" ht="114.0" customHeight="1">
      <c r="A27" s="49">
        <f t="shared" si="1"/>
        <v>1070</v>
      </c>
      <c r="B27" s="1" t="s">
        <v>2360</v>
      </c>
      <c r="C27" s="1" t="s">
        <v>2372</v>
      </c>
      <c r="D27" s="131" t="s">
        <v>2436</v>
      </c>
    </row>
    <row r="28" ht="114.0" customHeight="1">
      <c r="A28" s="49">
        <f t="shared" si="1"/>
        <v>1075</v>
      </c>
      <c r="B28" s="1" t="s">
        <v>2360</v>
      </c>
      <c r="C28" s="1" t="s">
        <v>2372</v>
      </c>
      <c r="D28" s="131" t="s">
        <v>2439</v>
      </c>
    </row>
    <row r="29" ht="114.0" customHeight="1">
      <c r="A29" s="49">
        <f>A28+7</f>
        <v>1082</v>
      </c>
      <c r="B29" s="1" t="s">
        <v>2360</v>
      </c>
      <c r="C29" s="1" t="s">
        <v>2372</v>
      </c>
      <c r="D29" s="131" t="s">
        <v>2442</v>
      </c>
    </row>
    <row r="30" ht="57.0" customHeight="1">
      <c r="A30" s="136">
        <v>1089.0</v>
      </c>
      <c r="B30" s="1" t="s">
        <v>2360</v>
      </c>
      <c r="C30" s="1" t="s">
        <v>2372</v>
      </c>
      <c r="D30" s="131" t="s">
        <v>2444</v>
      </c>
    </row>
    <row r="31" ht="85.5" customHeight="1">
      <c r="A31" s="140">
        <v>1093.0</v>
      </c>
      <c r="B31" s="1" t="s">
        <v>2360</v>
      </c>
      <c r="C31" s="1" t="s">
        <v>2372</v>
      </c>
      <c r="D31" s="131" t="s">
        <v>2447</v>
      </c>
    </row>
    <row r="32" ht="156.75" customHeight="1">
      <c r="A32" s="49">
        <f t="shared" ref="A32:A34" si="2">A31+7</f>
        <v>1100</v>
      </c>
      <c r="B32" s="1" t="s">
        <v>2360</v>
      </c>
      <c r="C32" s="1" t="s">
        <v>2372</v>
      </c>
      <c r="D32" s="131" t="s">
        <v>2454</v>
      </c>
    </row>
    <row r="33" ht="156.75" customHeight="1">
      <c r="A33" s="49">
        <f t="shared" si="2"/>
        <v>1107</v>
      </c>
      <c r="B33" s="1" t="s">
        <v>2360</v>
      </c>
      <c r="C33" s="1" t="s">
        <v>2372</v>
      </c>
      <c r="D33" s="131" t="s">
        <v>2457</v>
      </c>
    </row>
    <row r="34" ht="156.75" customHeight="1">
      <c r="A34" s="49">
        <f t="shared" si="2"/>
        <v>1114</v>
      </c>
      <c r="B34" s="1" t="s">
        <v>2360</v>
      </c>
      <c r="C34" s="1" t="s">
        <v>2372</v>
      </c>
      <c r="D34" s="131" t="s">
        <v>2460</v>
      </c>
    </row>
    <row r="35" ht="114.0" customHeight="1">
      <c r="A35" s="136">
        <v>1119.0</v>
      </c>
      <c r="B35" s="1" t="s">
        <v>2360</v>
      </c>
      <c r="C35" s="1" t="s">
        <v>2372</v>
      </c>
      <c r="D35" s="131" t="s">
        <v>2462</v>
      </c>
    </row>
    <row r="36" ht="99.75" customHeight="1">
      <c r="A36" s="136">
        <v>1119.0</v>
      </c>
      <c r="B36" s="1" t="s">
        <v>2360</v>
      </c>
      <c r="C36" s="1" t="s">
        <v>2372</v>
      </c>
      <c r="D36" s="131" t="s">
        <v>2465</v>
      </c>
    </row>
    <row r="37" ht="85.5" customHeight="1">
      <c r="A37" s="140">
        <v>1120.0</v>
      </c>
      <c r="B37" s="1" t="s">
        <v>2360</v>
      </c>
      <c r="C37" s="1" t="s">
        <v>2362</v>
      </c>
      <c r="D37" s="131" t="s">
        <v>2467</v>
      </c>
    </row>
    <row r="38" ht="156.75" customHeight="1">
      <c r="A38" s="49">
        <f t="shared" ref="A38:A40" si="3">A37+7</f>
        <v>1127</v>
      </c>
      <c r="B38" s="1" t="s">
        <v>2360</v>
      </c>
      <c r="C38" s="1" t="s">
        <v>2372</v>
      </c>
      <c r="D38" s="131" t="s">
        <v>2470</v>
      </c>
    </row>
    <row r="39" ht="156.75" customHeight="1">
      <c r="A39" s="49">
        <f t="shared" si="3"/>
        <v>1134</v>
      </c>
      <c r="B39" s="1" t="s">
        <v>2360</v>
      </c>
      <c r="C39" s="1" t="s">
        <v>2372</v>
      </c>
      <c r="D39" s="131" t="s">
        <v>2472</v>
      </c>
    </row>
    <row r="40" ht="156.75" customHeight="1">
      <c r="A40" s="49">
        <f t="shared" si="3"/>
        <v>1141</v>
      </c>
      <c r="B40" s="1" t="s">
        <v>2360</v>
      </c>
      <c r="C40" s="1" t="s">
        <v>2372</v>
      </c>
      <c r="D40" s="131" t="s">
        <v>2475</v>
      </c>
    </row>
    <row r="41" ht="128.25" customHeight="1">
      <c r="A41" s="136">
        <v>1149.0</v>
      </c>
      <c r="B41" s="1" t="s">
        <v>2360</v>
      </c>
      <c r="C41" s="1" t="s">
        <v>2372</v>
      </c>
      <c r="D41" s="138" t="s">
        <v>2478</v>
      </c>
    </row>
    <row r="42" ht="99.75" customHeight="1">
      <c r="A42" s="136">
        <v>1149.0</v>
      </c>
      <c r="B42" s="1" t="s">
        <v>2360</v>
      </c>
      <c r="C42" s="1" t="s">
        <v>2372</v>
      </c>
      <c r="D42" s="138" t="s">
        <v>2479</v>
      </c>
    </row>
    <row r="43" ht="85.5" customHeight="1">
      <c r="A43" s="140">
        <f>A42+1</f>
        <v>1150</v>
      </c>
      <c r="B43" s="1" t="s">
        <v>2360</v>
      </c>
      <c r="C43" s="1" t="s">
        <v>2372</v>
      </c>
      <c r="D43" s="131" t="s">
        <v>2483</v>
      </c>
    </row>
    <row r="44" ht="156.75" customHeight="1">
      <c r="A44" s="49">
        <f t="shared" ref="A44:A46" si="4">A43+11</f>
        <v>1161</v>
      </c>
      <c r="B44" s="1" t="s">
        <v>2360</v>
      </c>
      <c r="C44" s="1" t="s">
        <v>2372</v>
      </c>
      <c r="D44" s="131" t="s">
        <v>2487</v>
      </c>
    </row>
    <row r="45" ht="156.75" customHeight="1">
      <c r="A45" s="49">
        <f t="shared" si="4"/>
        <v>1172</v>
      </c>
      <c r="B45" s="1" t="s">
        <v>2360</v>
      </c>
      <c r="C45" s="1" t="s">
        <v>2372</v>
      </c>
      <c r="D45" s="131" t="s">
        <v>2489</v>
      </c>
    </row>
    <row r="46" ht="156.75" customHeight="1">
      <c r="A46" s="49">
        <f t="shared" si="4"/>
        <v>1183</v>
      </c>
      <c r="B46" s="1" t="s">
        <v>2360</v>
      </c>
      <c r="C46" s="1" t="s">
        <v>2372</v>
      </c>
      <c r="D46" s="131" t="s">
        <v>2491</v>
      </c>
    </row>
    <row r="47">
      <c r="A47" s="49">
        <f>A46+6</f>
        <v>1189</v>
      </c>
      <c r="B47" s="1" t="s">
        <v>2360</v>
      </c>
      <c r="C47" s="1" t="s">
        <v>2372</v>
      </c>
      <c r="D47" s="138" t="s">
        <v>2493</v>
      </c>
    </row>
    <row r="48" ht="99.75" customHeight="1">
      <c r="A48" s="136">
        <v>1189.0</v>
      </c>
      <c r="B48" s="1" t="s">
        <v>2360</v>
      </c>
      <c r="C48" s="1" t="s">
        <v>2372</v>
      </c>
      <c r="D48" s="138" t="s">
        <v>2495</v>
      </c>
    </row>
    <row r="49" ht="76.5" customHeight="1">
      <c r="A49" s="140">
        <f>A48+1</f>
        <v>1190</v>
      </c>
      <c r="B49" s="86" t="s">
        <v>2360</v>
      </c>
      <c r="C49" s="86" t="s">
        <v>2362</v>
      </c>
      <c r="D49" s="142" t="s">
        <v>2500</v>
      </c>
    </row>
    <row r="50" ht="140.25" customHeight="1">
      <c r="A50" s="49">
        <f t="shared" ref="A50:A52" si="5">A49+11</f>
        <v>1201</v>
      </c>
      <c r="B50" s="86" t="s">
        <v>2360</v>
      </c>
      <c r="C50" s="86" t="s">
        <v>2372</v>
      </c>
      <c r="D50" s="142" t="s">
        <v>2504</v>
      </c>
    </row>
    <row r="51" ht="140.25" customHeight="1">
      <c r="A51" s="49">
        <f t="shared" si="5"/>
        <v>1212</v>
      </c>
      <c r="B51" s="86" t="s">
        <v>2360</v>
      </c>
      <c r="C51" s="86" t="s">
        <v>2372</v>
      </c>
      <c r="D51" s="142" t="s">
        <v>2508</v>
      </c>
    </row>
    <row r="52" ht="140.25" customHeight="1">
      <c r="A52" s="49">
        <f t="shared" si="5"/>
        <v>1223</v>
      </c>
      <c r="B52" s="86" t="s">
        <v>2360</v>
      </c>
      <c r="C52" s="86" t="s">
        <v>2372</v>
      </c>
      <c r="D52" s="142" t="s">
        <v>2509</v>
      </c>
    </row>
    <row r="53" ht="114.75" customHeight="1">
      <c r="A53" s="49">
        <f>A52+5</f>
        <v>1228</v>
      </c>
      <c r="B53" s="86" t="s">
        <v>2360</v>
      </c>
      <c r="C53" s="86" t="s">
        <v>2372</v>
      </c>
      <c r="D53" s="143" t="s">
        <v>2513</v>
      </c>
    </row>
    <row r="54" ht="89.25" customHeight="1">
      <c r="A54" s="49">
        <f>A53</f>
        <v>1228</v>
      </c>
      <c r="B54" s="86" t="s">
        <v>2360</v>
      </c>
      <c r="C54" s="86" t="s">
        <v>2372</v>
      </c>
      <c r="D54" s="143" t="s">
        <v>2514</v>
      </c>
    </row>
    <row r="55" ht="76.5" customHeight="1">
      <c r="A55" s="95">
        <f t="shared" ref="A55:A56" si="6">A54+1</f>
        <v>1229</v>
      </c>
      <c r="B55" s="86" t="s">
        <v>2360</v>
      </c>
      <c r="C55" s="86" t="s">
        <v>2362</v>
      </c>
      <c r="D55" s="142" t="s">
        <v>2517</v>
      </c>
    </row>
    <row r="56" ht="140.25" customHeight="1">
      <c r="A56" s="140">
        <f t="shared" si="6"/>
        <v>1230</v>
      </c>
      <c r="B56" s="86" t="s">
        <v>2360</v>
      </c>
      <c r="C56" s="86" t="s">
        <v>2372</v>
      </c>
      <c r="D56" s="142" t="s">
        <v>2519</v>
      </c>
    </row>
    <row r="57" ht="140.25" customHeight="1">
      <c r="A57" s="49">
        <f t="shared" ref="A57:A58" si="7">A56+11</f>
        <v>1241</v>
      </c>
      <c r="B57" s="86" t="s">
        <v>2360</v>
      </c>
      <c r="C57" s="86" t="s">
        <v>2372</v>
      </c>
      <c r="D57" s="142" t="s">
        <v>2522</v>
      </c>
    </row>
    <row r="58" ht="140.25" customHeight="1">
      <c r="A58" s="49">
        <f t="shared" si="7"/>
        <v>1252</v>
      </c>
      <c r="B58" s="86" t="s">
        <v>2360</v>
      </c>
      <c r="C58" s="86" t="s">
        <v>2372</v>
      </c>
      <c r="D58" s="142" t="s">
        <v>2523</v>
      </c>
    </row>
    <row r="59" ht="114.75" customHeight="1">
      <c r="A59" s="136">
        <v>1269.0</v>
      </c>
      <c r="B59" s="86" t="s">
        <v>2360</v>
      </c>
      <c r="C59" s="86" t="s">
        <v>2372</v>
      </c>
      <c r="D59" s="143" t="s">
        <v>2524</v>
      </c>
    </row>
    <row r="60">
      <c r="A60" s="136">
        <v>1269.0</v>
      </c>
      <c r="B60" s="86" t="s">
        <v>2360</v>
      </c>
      <c r="C60" s="86" t="s">
        <v>2372</v>
      </c>
      <c r="D60" s="143" t="s">
        <v>2525</v>
      </c>
    </row>
    <row r="61" ht="76.5" customHeight="1">
      <c r="A61" s="136">
        <v>1270.0</v>
      </c>
      <c r="B61" s="86" t="s">
        <v>2360</v>
      </c>
      <c r="C61" s="86" t="s">
        <v>2362</v>
      </c>
      <c r="D61" s="142" t="s">
        <v>2527</v>
      </c>
    </row>
    <row r="62" ht="140.25" customHeight="1">
      <c r="A62" s="49">
        <f t="shared" ref="A62:A63" si="8">A61+8</f>
        <v>1278</v>
      </c>
      <c r="B62" s="86" t="s">
        <v>2360</v>
      </c>
      <c r="C62" s="86" t="s">
        <v>2372</v>
      </c>
      <c r="D62" s="142" t="s">
        <v>2531</v>
      </c>
    </row>
    <row r="63" ht="140.25" customHeight="1">
      <c r="A63" s="49">
        <f t="shared" si="8"/>
        <v>1286</v>
      </c>
      <c r="B63" s="86" t="s">
        <v>2360</v>
      </c>
      <c r="C63" s="86" t="s">
        <v>2372</v>
      </c>
      <c r="D63" s="142" t="s">
        <v>2532</v>
      </c>
    </row>
    <row r="64" ht="140.25" customHeight="1">
      <c r="A64" s="86">
        <f>A63+6</f>
        <v>1292</v>
      </c>
      <c r="B64" s="86" t="s">
        <v>2360</v>
      </c>
      <c r="C64" s="86" t="s">
        <v>2372</v>
      </c>
      <c r="D64" s="142" t="s">
        <v>2536</v>
      </c>
    </row>
    <row r="65" ht="114.75" customHeight="1">
      <c r="A65" s="86">
        <v>1309.0</v>
      </c>
      <c r="B65" s="86" t="s">
        <v>2360</v>
      </c>
      <c r="C65" s="86" t="s">
        <v>2372</v>
      </c>
      <c r="D65" s="143" t="s">
        <v>2537</v>
      </c>
    </row>
    <row r="66" ht="89.25" customHeight="1">
      <c r="A66" s="86">
        <f>A65+1</f>
        <v>1310</v>
      </c>
      <c r="B66" s="86" t="s">
        <v>2360</v>
      </c>
      <c r="C66" s="86" t="s">
        <v>2372</v>
      </c>
      <c r="D66" s="143" t="s">
        <v>2541</v>
      </c>
    </row>
    <row r="67" ht="76.5" customHeight="1">
      <c r="A67" s="95" t="s">
        <v>2542</v>
      </c>
      <c r="B67" s="86" t="s">
        <v>2360</v>
      </c>
      <c r="C67" s="86" t="s">
        <v>2362</v>
      </c>
      <c r="D67" s="142" t="s">
        <v>2543</v>
      </c>
    </row>
    <row r="68" ht="140.25" customHeight="1">
      <c r="B68" s="86" t="s">
        <v>2360</v>
      </c>
      <c r="C68" s="86" t="s">
        <v>2372</v>
      </c>
      <c r="D68" s="142" t="s">
        <v>2544</v>
      </c>
    </row>
    <row r="69" ht="140.25" customHeight="1">
      <c r="B69" s="86" t="s">
        <v>2360</v>
      </c>
      <c r="C69" s="86" t="s">
        <v>2372</v>
      </c>
      <c r="D69" s="142" t="s">
        <v>2545</v>
      </c>
    </row>
    <row r="70" ht="140.25" customHeight="1">
      <c r="B70" s="86" t="s">
        <v>2360</v>
      </c>
      <c r="C70" s="86" t="s">
        <v>2372</v>
      </c>
      <c r="D70" s="142" t="s">
        <v>2549</v>
      </c>
    </row>
    <row r="71" ht="114.75" customHeight="1">
      <c r="B71" s="86" t="s">
        <v>2360</v>
      </c>
      <c r="C71" s="86" t="s">
        <v>2372</v>
      </c>
      <c r="D71" s="143" t="s">
        <v>2553</v>
      </c>
    </row>
    <row r="72">
      <c r="B72" s="86" t="s">
        <v>2360</v>
      </c>
      <c r="C72" s="86" t="s">
        <v>2372</v>
      </c>
      <c r="D72" s="143" t="s">
        <v>2555</v>
      </c>
    </row>
    <row r="73" ht="76.5" customHeight="1">
      <c r="A73" s="95" t="s">
        <v>2558</v>
      </c>
      <c r="B73" s="86" t="s">
        <v>2360</v>
      </c>
      <c r="C73" s="86" t="s">
        <v>2362</v>
      </c>
      <c r="D73" s="142" t="s">
        <v>2560</v>
      </c>
    </row>
    <row r="74" ht="140.25" customHeight="1">
      <c r="B74" s="86" t="s">
        <v>2360</v>
      </c>
      <c r="C74" s="86" t="s">
        <v>2372</v>
      </c>
      <c r="D74" s="142" t="s">
        <v>2561</v>
      </c>
    </row>
    <row r="75" ht="140.25" customHeight="1">
      <c r="B75" s="86" t="s">
        <v>2360</v>
      </c>
      <c r="C75" s="86" t="s">
        <v>2372</v>
      </c>
      <c r="D75" s="142" t="s">
        <v>2562</v>
      </c>
    </row>
    <row r="76" ht="140.25" customHeight="1">
      <c r="B76" s="86" t="s">
        <v>2360</v>
      </c>
      <c r="C76" s="86" t="s">
        <v>2372</v>
      </c>
      <c r="D76" s="142" t="s">
        <v>2564</v>
      </c>
    </row>
    <row r="77" ht="140.25" customHeight="1">
      <c r="B77" s="86" t="s">
        <v>2360</v>
      </c>
      <c r="C77" s="86" t="s">
        <v>2372</v>
      </c>
      <c r="D77" s="142" t="s">
        <v>2567</v>
      </c>
    </row>
    <row r="78" ht="114.75" customHeight="1">
      <c r="B78" s="86" t="s">
        <v>2360</v>
      </c>
      <c r="C78" s="86" t="s">
        <v>2372</v>
      </c>
      <c r="D78" s="143" t="s">
        <v>2568</v>
      </c>
    </row>
    <row r="79">
      <c r="B79" s="86" t="s">
        <v>2360</v>
      </c>
      <c r="C79" s="86" t="s">
        <v>2372</v>
      </c>
      <c r="D79" s="143" t="s">
        <v>2569</v>
      </c>
    </row>
    <row r="80" ht="76.5" customHeight="1">
      <c r="A80" s="95" t="s">
        <v>2570</v>
      </c>
      <c r="B80" s="86" t="s">
        <v>2360</v>
      </c>
      <c r="C80" s="86" t="s">
        <v>2362</v>
      </c>
      <c r="D80" s="142" t="s">
        <v>2571</v>
      </c>
    </row>
    <row r="81" ht="140.25" customHeight="1">
      <c r="B81" s="86" t="s">
        <v>2360</v>
      </c>
      <c r="C81" s="86" t="s">
        <v>2372</v>
      </c>
      <c r="D81" s="142" t="s">
        <v>2573</v>
      </c>
    </row>
    <row r="82" ht="140.25" customHeight="1">
      <c r="B82" s="86" t="s">
        <v>2360</v>
      </c>
      <c r="C82" s="86" t="s">
        <v>2372</v>
      </c>
      <c r="D82" s="142" t="s">
        <v>2576</v>
      </c>
    </row>
    <row r="83" ht="140.25" customHeight="1">
      <c r="B83" s="86" t="s">
        <v>2360</v>
      </c>
      <c r="C83" s="86" t="s">
        <v>2372</v>
      </c>
      <c r="D83" s="142" t="s">
        <v>2577</v>
      </c>
    </row>
    <row r="84" ht="140.25" customHeight="1">
      <c r="B84" s="86" t="s">
        <v>2360</v>
      </c>
      <c r="C84" s="86" t="s">
        <v>2372</v>
      </c>
      <c r="D84" s="142" t="s">
        <v>2578</v>
      </c>
    </row>
    <row r="85" ht="114.75" customHeight="1">
      <c r="B85" s="86" t="s">
        <v>2360</v>
      </c>
      <c r="C85" s="86" t="s">
        <v>2372</v>
      </c>
      <c r="D85" s="143" t="s">
        <v>2579</v>
      </c>
    </row>
    <row r="86">
      <c r="B86" s="86" t="s">
        <v>2360</v>
      </c>
      <c r="C86" s="86" t="s">
        <v>2372</v>
      </c>
      <c r="D86" s="143" t="s">
        <v>2583</v>
      </c>
    </row>
    <row r="87" ht="76.5" customHeight="1">
      <c r="A87" s="95" t="s">
        <v>2584</v>
      </c>
      <c r="B87" s="86" t="s">
        <v>2360</v>
      </c>
      <c r="C87" s="86" t="s">
        <v>2362</v>
      </c>
      <c r="D87" s="142" t="s">
        <v>2585</v>
      </c>
    </row>
    <row r="88" ht="140.25" customHeight="1">
      <c r="B88" s="86" t="s">
        <v>2360</v>
      </c>
      <c r="C88" s="86" t="s">
        <v>2372</v>
      </c>
      <c r="D88" s="142" t="s">
        <v>2587</v>
      </c>
    </row>
    <row r="89" ht="140.25" customHeight="1">
      <c r="B89" s="86" t="s">
        <v>2360</v>
      </c>
      <c r="C89" s="86" t="s">
        <v>2372</v>
      </c>
      <c r="D89" s="142" t="s">
        <v>2588</v>
      </c>
    </row>
    <row r="90" ht="140.25" customHeight="1">
      <c r="B90" s="86" t="s">
        <v>2360</v>
      </c>
      <c r="C90" s="86" t="s">
        <v>2372</v>
      </c>
      <c r="D90" s="142" t="s">
        <v>2590</v>
      </c>
    </row>
    <row r="91" ht="140.25" customHeight="1">
      <c r="B91" s="86" t="s">
        <v>2360</v>
      </c>
      <c r="C91" s="86" t="s">
        <v>2372</v>
      </c>
      <c r="D91" s="142" t="s">
        <v>2593</v>
      </c>
    </row>
    <row r="92" ht="114.75" customHeight="1">
      <c r="B92" s="86" t="s">
        <v>2360</v>
      </c>
      <c r="C92" s="86" t="s">
        <v>2372</v>
      </c>
      <c r="D92" s="143" t="s">
        <v>2594</v>
      </c>
    </row>
    <row r="93" ht="89.25" customHeight="1">
      <c r="B93" s="86" t="s">
        <v>2360</v>
      </c>
      <c r="C93" s="86" t="s">
        <v>2372</v>
      </c>
      <c r="D93" s="143" t="s">
        <v>2595</v>
      </c>
    </row>
    <row r="94" ht="76.5" customHeight="1">
      <c r="A94" s="95" t="s">
        <v>2596</v>
      </c>
      <c r="B94" s="86" t="s">
        <v>2360</v>
      </c>
      <c r="C94" s="86" t="s">
        <v>2362</v>
      </c>
      <c r="D94" s="142" t="s">
        <v>2597</v>
      </c>
    </row>
    <row r="95" ht="140.25" customHeight="1">
      <c r="B95" s="86" t="s">
        <v>2360</v>
      </c>
      <c r="C95" s="86" t="s">
        <v>2372</v>
      </c>
      <c r="D95" s="142" t="s">
        <v>2599</v>
      </c>
    </row>
    <row r="96" ht="140.25" customHeight="1">
      <c r="B96" s="86" t="s">
        <v>2360</v>
      </c>
      <c r="C96" s="86" t="s">
        <v>2372</v>
      </c>
      <c r="D96" s="142" t="s">
        <v>2601</v>
      </c>
    </row>
    <row r="97" ht="140.25" customHeight="1">
      <c r="B97" s="86" t="s">
        <v>2360</v>
      </c>
      <c r="C97" s="86" t="s">
        <v>2372</v>
      </c>
      <c r="D97" s="142" t="s">
        <v>2603</v>
      </c>
    </row>
    <row r="98" ht="140.25" customHeight="1">
      <c r="B98" s="86" t="s">
        <v>2360</v>
      </c>
      <c r="C98" s="86" t="s">
        <v>2372</v>
      </c>
      <c r="D98" s="142" t="s">
        <v>2604</v>
      </c>
    </row>
    <row r="99" ht="114.75" customHeight="1">
      <c r="B99" s="86" t="s">
        <v>2360</v>
      </c>
      <c r="C99" s="86" t="s">
        <v>2372</v>
      </c>
      <c r="D99" s="143" t="s">
        <v>2606</v>
      </c>
    </row>
    <row r="100" ht="89.25" customHeight="1">
      <c r="B100" s="86" t="s">
        <v>2360</v>
      </c>
      <c r="C100" s="86" t="s">
        <v>2372</v>
      </c>
      <c r="D100" s="143" t="s">
        <v>2607</v>
      </c>
    </row>
    <row r="101" ht="76.5" customHeight="1">
      <c r="A101" s="95" t="s">
        <v>2608</v>
      </c>
      <c r="B101" s="86" t="s">
        <v>2360</v>
      </c>
      <c r="C101" s="86" t="s">
        <v>2362</v>
      </c>
      <c r="D101" s="142" t="s">
        <v>2610</v>
      </c>
    </row>
    <row r="102" ht="140.25" customHeight="1">
      <c r="B102" s="86" t="s">
        <v>2360</v>
      </c>
      <c r="C102" s="86" t="s">
        <v>2372</v>
      </c>
      <c r="D102" s="142" t="s">
        <v>2612</v>
      </c>
    </row>
    <row r="103" ht="140.25" customHeight="1">
      <c r="B103" s="86" t="s">
        <v>2360</v>
      </c>
      <c r="C103" s="86" t="s">
        <v>2372</v>
      </c>
      <c r="D103" s="142" t="s">
        <v>2615</v>
      </c>
    </row>
    <row r="104" ht="140.25" customHeight="1">
      <c r="B104" s="86" t="s">
        <v>2360</v>
      </c>
      <c r="C104" s="86" t="s">
        <v>2372</v>
      </c>
      <c r="D104" s="142" t="s">
        <v>2616</v>
      </c>
    </row>
    <row r="105" ht="140.25" customHeight="1">
      <c r="B105" s="86" t="s">
        <v>2360</v>
      </c>
      <c r="C105" s="86" t="s">
        <v>2372</v>
      </c>
      <c r="D105" s="142" t="s">
        <v>2618</v>
      </c>
    </row>
    <row r="106" ht="140.25" customHeight="1">
      <c r="B106" s="86" t="s">
        <v>2360</v>
      </c>
      <c r="C106" s="86" t="s">
        <v>2372</v>
      </c>
      <c r="D106" s="142" t="s">
        <v>2620</v>
      </c>
    </row>
    <row r="107" ht="89.25" customHeight="1">
      <c r="A107" s="86">
        <v>1019.0</v>
      </c>
      <c r="B107" s="86" t="s">
        <v>2360</v>
      </c>
      <c r="C107" s="86" t="s">
        <v>2372</v>
      </c>
      <c r="D107" s="142" t="s">
        <v>2623</v>
      </c>
    </row>
    <row r="108" ht="12.75" customHeight="1">
      <c r="A108" s="86">
        <v>1002.0</v>
      </c>
      <c r="B108" s="86" t="s">
        <v>2355</v>
      </c>
      <c r="C108" s="86" t="s">
        <v>2624</v>
      </c>
      <c r="D108" s="86" t="s">
        <v>2625</v>
      </c>
      <c r="E108" s="86" t="s">
        <v>2626</v>
      </c>
    </row>
    <row r="109" ht="12.75" customHeight="1">
      <c r="A109" s="86">
        <v>1004.0</v>
      </c>
      <c r="B109" s="86" t="s">
        <v>2355</v>
      </c>
      <c r="C109" s="86" t="s">
        <v>2627</v>
      </c>
      <c r="D109" s="86" t="s">
        <v>2628</v>
      </c>
      <c r="E109" s="86" t="s">
        <v>2626</v>
      </c>
    </row>
    <row r="110" ht="12.75" customHeight="1">
      <c r="A110" s="86">
        <v>1009.0</v>
      </c>
      <c r="B110" s="86" t="s">
        <v>2355</v>
      </c>
      <c r="C110" s="86" t="s">
        <v>2631</v>
      </c>
      <c r="D110" s="86" t="s">
        <v>2632</v>
      </c>
      <c r="E110" s="86" t="s">
        <v>2626</v>
      </c>
    </row>
    <row r="111" ht="12.75" customHeight="1">
      <c r="A111" s="86">
        <v>1014.0</v>
      </c>
      <c r="B111" s="86" t="s">
        <v>2355</v>
      </c>
      <c r="C111" s="86" t="s">
        <v>2634</v>
      </c>
      <c r="D111" s="86" t="s">
        <v>2636</v>
      </c>
      <c r="E111" s="86" t="s">
        <v>2626</v>
      </c>
    </row>
    <row r="112" ht="12.75" customHeight="1">
      <c r="A112" s="86">
        <v>1014.0</v>
      </c>
      <c r="B112" s="86" t="s">
        <v>2355</v>
      </c>
      <c r="C112" s="86" t="s">
        <v>2637</v>
      </c>
      <c r="D112" s="86" t="s">
        <v>2638</v>
      </c>
      <c r="E112" s="86" t="s">
        <v>2626</v>
      </c>
    </row>
    <row r="113" ht="12.75" customHeight="1">
      <c r="A113" s="86">
        <v>1019.0</v>
      </c>
      <c r="B113" s="86" t="s">
        <v>2355</v>
      </c>
      <c r="C113" s="86" t="s">
        <v>2639</v>
      </c>
      <c r="D113" s="85" t="s">
        <v>2643</v>
      </c>
      <c r="E113" s="86" t="s">
        <v>2626</v>
      </c>
    </row>
    <row r="114" ht="12.75" customHeight="1">
      <c r="A114" s="86">
        <v>1019.0</v>
      </c>
      <c r="B114" s="86" t="s">
        <v>2355</v>
      </c>
      <c r="C114" s="86" t="s">
        <v>2644</v>
      </c>
      <c r="D114" s="86" t="s">
        <v>2645</v>
      </c>
      <c r="E114" s="86" t="s">
        <v>2626</v>
      </c>
    </row>
    <row r="115" ht="12.75" customHeight="1">
      <c r="A115" s="86">
        <v>1024.0</v>
      </c>
      <c r="B115" s="86" t="s">
        <v>2355</v>
      </c>
      <c r="C115" s="86" t="s">
        <v>2646</v>
      </c>
      <c r="D115" s="86" t="s">
        <v>2647</v>
      </c>
      <c r="E115" s="86" t="s">
        <v>2626</v>
      </c>
    </row>
    <row r="116" ht="12.75" customHeight="1">
      <c r="A116" s="86">
        <v>1029.0</v>
      </c>
      <c r="B116" s="86" t="s">
        <v>2355</v>
      </c>
      <c r="C116" s="86" t="s">
        <v>2648</v>
      </c>
      <c r="D116" s="86" t="s">
        <v>2650</v>
      </c>
      <c r="E116" s="86" t="s">
        <v>2626</v>
      </c>
    </row>
    <row r="117" ht="12.75" customHeight="1">
      <c r="A117" s="86">
        <v>1034.0</v>
      </c>
      <c r="B117" s="86" t="s">
        <v>2355</v>
      </c>
      <c r="C117" s="86" t="s">
        <v>951</v>
      </c>
      <c r="D117" s="86" t="s">
        <v>2653</v>
      </c>
      <c r="E117" s="86" t="s">
        <v>2626</v>
      </c>
    </row>
    <row r="118" ht="12.75" customHeight="1">
      <c r="A118" s="86">
        <v>1044.0</v>
      </c>
      <c r="B118" s="86" t="s">
        <v>2355</v>
      </c>
      <c r="C118" s="86" t="s">
        <v>2654</v>
      </c>
      <c r="D118" s="86" t="s">
        <v>2655</v>
      </c>
      <c r="E118" s="86" t="s">
        <v>2626</v>
      </c>
    </row>
    <row r="119" ht="12.75" customHeight="1">
      <c r="A119" s="86">
        <v>1044.0</v>
      </c>
      <c r="B119" s="86" t="s">
        <v>2355</v>
      </c>
      <c r="C119" s="86" t="s">
        <v>2656</v>
      </c>
      <c r="D119" s="86" t="s">
        <v>2658</v>
      </c>
      <c r="E119" s="86" t="s">
        <v>2626</v>
      </c>
    </row>
    <row r="120" ht="12.75" customHeight="1">
      <c r="A120" s="86">
        <v>1089.0</v>
      </c>
      <c r="B120" s="86" t="s">
        <v>2355</v>
      </c>
      <c r="C120" s="86" t="s">
        <v>2660</v>
      </c>
      <c r="D120" s="86" t="s">
        <v>2662</v>
      </c>
      <c r="E120" s="86" t="s">
        <v>2626</v>
      </c>
    </row>
    <row r="121" ht="12.75" customHeight="1">
      <c r="A121" s="86">
        <v>1119.0</v>
      </c>
      <c r="B121" s="86" t="s">
        <v>2355</v>
      </c>
      <c r="C121" s="86" t="s">
        <v>955</v>
      </c>
      <c r="D121" s="86" t="s">
        <v>2663</v>
      </c>
      <c r="E121" s="86" t="s">
        <v>2626</v>
      </c>
    </row>
    <row r="122" ht="12.75" customHeight="1">
      <c r="A122" s="86">
        <v>1149.0</v>
      </c>
      <c r="B122" s="86" t="s">
        <v>2355</v>
      </c>
      <c r="C122" s="86" t="s">
        <v>2664</v>
      </c>
      <c r="D122" s="86" t="s">
        <v>2665</v>
      </c>
      <c r="E122" s="86" t="s">
        <v>2626</v>
      </c>
    </row>
    <row r="123" ht="12.75" customHeight="1">
      <c r="A123" s="86">
        <v>1179.0</v>
      </c>
      <c r="B123" s="86" t="s">
        <v>2355</v>
      </c>
      <c r="C123" s="86" t="s">
        <v>2666</v>
      </c>
      <c r="D123" s="86" t="s">
        <v>2670</v>
      </c>
      <c r="E123" s="86" t="s">
        <v>2626</v>
      </c>
    </row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dataValidations>
    <dataValidation type="list" allowBlank="1" showErrorMessage="1" sqref="C2:C48">
      <formula1>"before,battle,after"</formula1>
    </dataValidation>
    <dataValidation type="list" allowBlank="1" showErrorMessage="1" sqref="B2:B48">
      <formula1>"story,guide"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33.63"/>
    <col customWidth="1" min="3" max="26" width="11.0"/>
  </cols>
  <sheetData>
    <row r="1" ht="14.25" customHeight="1">
      <c r="A1" s="3" t="s">
        <v>2747</v>
      </c>
      <c r="B1" s="3" t="s">
        <v>2748</v>
      </c>
      <c r="C1" s="3" t="s">
        <v>2749</v>
      </c>
      <c r="D1" s="3" t="s">
        <v>2750</v>
      </c>
      <c r="E1" s="1" t="s">
        <v>2751</v>
      </c>
      <c r="F1" s="1"/>
    </row>
    <row r="2" ht="14.25" customHeight="1">
      <c r="A2" s="8" t="s">
        <v>2753</v>
      </c>
      <c r="B2" s="8" t="str">
        <f>"{map_red},{map_blue},{map_purple},{map_yellow}"</f>
        <v>{map_red},{map_blue},{map_purple},{map_yellow}</v>
      </c>
      <c r="C2" s="8">
        <v>600.0</v>
      </c>
      <c r="D2" s="8"/>
      <c r="E2" s="8" t="s">
        <v>2759</v>
      </c>
    </row>
    <row r="3" ht="14.25" customHeight="1">
      <c r="A3" s="8" t="s">
        <v>2760</v>
      </c>
      <c r="B3" s="8" t="str">
        <f>"{map_blue},{map_purple},{map_red},{map_yellow}"</f>
        <v>{map_blue},{map_purple},{map_red},{map_yellow}</v>
      </c>
      <c r="C3" s="1">
        <v>600.0</v>
      </c>
      <c r="D3" s="8"/>
      <c r="E3" s="8" t="s">
        <v>2764</v>
      </c>
    </row>
    <row r="4" ht="14.25" customHeight="1">
      <c r="A4" s="8" t="s">
        <v>2765</v>
      </c>
      <c r="B4" s="8" t="str">
        <f>"{map_red},{map_blue},{map_purple},{0}"</f>
        <v>{map_red},{map_blue},{map_purple},{0}</v>
      </c>
      <c r="C4" s="8">
        <v>1500.0</v>
      </c>
      <c r="D4" s="8"/>
      <c r="E4" s="8" t="s">
        <v>2770</v>
      </c>
    </row>
    <row r="5" ht="14.25" customHeight="1">
      <c r="A5" s="8" t="s">
        <v>2772</v>
      </c>
      <c r="B5" s="8" t="str">
        <f>"{map_red},{0},{map_purple},{map_yellow}"</f>
        <v>{map_red},{0},{map_purple},{map_yellow}</v>
      </c>
      <c r="C5" s="8">
        <v>2000.0</v>
      </c>
      <c r="D5" s="8"/>
      <c r="E5" s="8" t="s">
        <v>2775</v>
      </c>
    </row>
    <row r="6" ht="14.25" customHeight="1">
      <c r="A6" s="8" t="s">
        <v>2776</v>
      </c>
      <c r="B6" s="8" t="str">
        <f>"{map_red},{map_blue},{0},{map_yellow}"</f>
        <v>{map_red},{map_blue},{0},{map_yellow}</v>
      </c>
      <c r="C6" s="8">
        <v>2000.0</v>
      </c>
      <c r="D6" s="8"/>
      <c r="E6" s="8" t="s">
        <v>2781</v>
      </c>
    </row>
    <row r="7" ht="14.25" customHeight="1">
      <c r="A7" s="8" t="s">
        <v>2783</v>
      </c>
      <c r="B7" s="8" t="str">
        <f>"{map_yellow},{0},{map_blue},{0}"</f>
        <v>{map_yellow},{0},{map_blue},{0}</v>
      </c>
      <c r="C7" s="8">
        <v>1500.0</v>
      </c>
      <c r="D7" s="8"/>
      <c r="E7" s="8" t="s">
        <v>2786</v>
      </c>
    </row>
    <row r="8" ht="14.25" customHeight="1">
      <c r="A8" s="8" t="s">
        <v>2788</v>
      </c>
      <c r="B8" s="8" t="str">
        <f>"{map_red},{0},{map_purple},{0}"</f>
        <v>{map_red},{0},{map_purple},{0}</v>
      </c>
      <c r="C8" s="8">
        <v>1000.0</v>
      </c>
      <c r="D8" s="8"/>
      <c r="E8" s="8" t="s">
        <v>2790</v>
      </c>
    </row>
    <row r="9" ht="14.25" customHeight="1">
      <c r="A9" s="8" t="s">
        <v>2791</v>
      </c>
      <c r="B9" s="8" t="str">
        <f>"{0},{0},{map_purple},{map_yellow}"</f>
        <v>{0},{0},{map_purple},{map_yellow}</v>
      </c>
      <c r="C9" s="8">
        <v>800.0</v>
      </c>
      <c r="D9" s="8"/>
      <c r="E9" s="8" t="s">
        <v>2795</v>
      </c>
    </row>
    <row r="10" ht="14.25" customHeight="1">
      <c r="A10" s="8" t="s">
        <v>2796</v>
      </c>
      <c r="B10" s="8" t="str">
        <f>"{0},{0},{map_blue},{0}"</f>
        <v>{0},{0},{map_blue},{0}</v>
      </c>
      <c r="C10" s="8"/>
      <c r="D10" s="8">
        <v>1.0</v>
      </c>
      <c r="E10" s="8" t="s">
        <v>2798</v>
      </c>
    </row>
    <row r="11" ht="14.25" customHeight="1">
      <c r="A11" s="8" t="s">
        <v>2800</v>
      </c>
      <c r="B11" s="8" t="str">
        <f>"{0},{0},{map_red},{0}"</f>
        <v>{0},{0},{map_red},{0}</v>
      </c>
      <c r="C11" s="8"/>
      <c r="D11" s="8">
        <v>1.0</v>
      </c>
      <c r="E11" s="8" t="s">
        <v>2802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6" width="11.0"/>
  </cols>
  <sheetData>
    <row r="1" ht="14.25" customHeight="1">
      <c r="A1" s="1" t="s">
        <v>207</v>
      </c>
      <c r="B1" s="1" t="s">
        <v>2881</v>
      </c>
      <c r="C1" s="1" t="s">
        <v>2882</v>
      </c>
      <c r="D1" s="1" t="s">
        <v>2883</v>
      </c>
      <c r="E1" s="1" t="s">
        <v>2884</v>
      </c>
    </row>
    <row r="2" ht="14.25" customHeight="1">
      <c r="A2" s="1">
        <v>10.0</v>
      </c>
      <c r="B2" s="147">
        <f t="shared" ref="B2:B122" si="1">(0.4-A2*0.001)/7</f>
        <v>0.05571428571</v>
      </c>
      <c r="C2" s="1">
        <f t="shared" ref="C2:C122" si="2">D2-4</f>
        <v>7</v>
      </c>
      <c r="D2" s="1">
        <f t="shared" ref="D2:D122" si="3">11+ROUND(A2*0.04,0)</f>
        <v>11</v>
      </c>
      <c r="E2" s="1">
        <f t="shared" ref="E2:E122" si="4">ROUND(C2/3,0)</f>
        <v>2</v>
      </c>
    </row>
    <row r="3" ht="14.25" customHeight="1">
      <c r="A3" s="1">
        <v>11.0</v>
      </c>
      <c r="B3" s="147">
        <f t="shared" si="1"/>
        <v>0.05557142857</v>
      </c>
      <c r="C3" s="1">
        <f t="shared" si="2"/>
        <v>7</v>
      </c>
      <c r="D3" s="1">
        <f t="shared" si="3"/>
        <v>11</v>
      </c>
      <c r="E3" s="1">
        <f t="shared" si="4"/>
        <v>2</v>
      </c>
    </row>
    <row r="4" ht="14.25" customHeight="1">
      <c r="A4" s="1">
        <v>12.0</v>
      </c>
      <c r="B4" s="147">
        <f t="shared" si="1"/>
        <v>0.05542857143</v>
      </c>
      <c r="C4" s="1">
        <f t="shared" si="2"/>
        <v>7</v>
      </c>
      <c r="D4" s="1">
        <f t="shared" si="3"/>
        <v>11</v>
      </c>
      <c r="E4" s="1">
        <f t="shared" si="4"/>
        <v>2</v>
      </c>
    </row>
    <row r="5" ht="14.25" customHeight="1">
      <c r="A5" s="1">
        <v>13.0</v>
      </c>
      <c r="B5" s="147">
        <f t="shared" si="1"/>
        <v>0.05528571429</v>
      </c>
      <c r="C5" s="1">
        <f t="shared" si="2"/>
        <v>8</v>
      </c>
      <c r="D5" s="1">
        <f t="shared" si="3"/>
        <v>12</v>
      </c>
      <c r="E5" s="1">
        <f t="shared" si="4"/>
        <v>3</v>
      </c>
    </row>
    <row r="6" ht="14.25" customHeight="1">
      <c r="A6" s="1">
        <v>14.0</v>
      </c>
      <c r="B6" s="147">
        <f t="shared" si="1"/>
        <v>0.05514285714</v>
      </c>
      <c r="C6" s="1">
        <f t="shared" si="2"/>
        <v>8</v>
      </c>
      <c r="D6" s="1">
        <f t="shared" si="3"/>
        <v>12</v>
      </c>
      <c r="E6" s="1">
        <f t="shared" si="4"/>
        <v>3</v>
      </c>
    </row>
    <row r="7" ht="14.25" customHeight="1">
      <c r="A7" s="1">
        <v>15.0</v>
      </c>
      <c r="B7" s="147">
        <f t="shared" si="1"/>
        <v>0.055</v>
      </c>
      <c r="C7" s="1">
        <f t="shared" si="2"/>
        <v>8</v>
      </c>
      <c r="D7" s="1">
        <f t="shared" si="3"/>
        <v>12</v>
      </c>
      <c r="E7" s="1">
        <f t="shared" si="4"/>
        <v>3</v>
      </c>
    </row>
    <row r="8" ht="14.25" customHeight="1">
      <c r="A8" s="1">
        <v>16.0</v>
      </c>
      <c r="B8" s="147">
        <f t="shared" si="1"/>
        <v>0.05485714286</v>
      </c>
      <c r="C8" s="1">
        <f t="shared" si="2"/>
        <v>8</v>
      </c>
      <c r="D8" s="1">
        <f t="shared" si="3"/>
        <v>12</v>
      </c>
      <c r="E8" s="1">
        <f t="shared" si="4"/>
        <v>3</v>
      </c>
    </row>
    <row r="9" ht="14.25" customHeight="1">
      <c r="A9" s="1">
        <v>17.0</v>
      </c>
      <c r="B9" s="147">
        <f t="shared" si="1"/>
        <v>0.05471428571</v>
      </c>
      <c r="C9" s="1">
        <f t="shared" si="2"/>
        <v>8</v>
      </c>
      <c r="D9" s="1">
        <f t="shared" si="3"/>
        <v>12</v>
      </c>
      <c r="E9" s="1">
        <f t="shared" si="4"/>
        <v>3</v>
      </c>
    </row>
    <row r="10" ht="14.25" customHeight="1">
      <c r="A10" s="1">
        <v>18.0</v>
      </c>
      <c r="B10" s="147">
        <f t="shared" si="1"/>
        <v>0.05457142857</v>
      </c>
      <c r="C10" s="1">
        <f t="shared" si="2"/>
        <v>8</v>
      </c>
      <c r="D10" s="1">
        <f t="shared" si="3"/>
        <v>12</v>
      </c>
      <c r="E10" s="1">
        <f t="shared" si="4"/>
        <v>3</v>
      </c>
    </row>
    <row r="11" ht="14.25" customHeight="1">
      <c r="A11" s="1">
        <v>19.0</v>
      </c>
      <c r="B11" s="147">
        <f t="shared" si="1"/>
        <v>0.05442857143</v>
      </c>
      <c r="C11" s="1">
        <f t="shared" si="2"/>
        <v>8</v>
      </c>
      <c r="D11" s="1">
        <f t="shared" si="3"/>
        <v>12</v>
      </c>
      <c r="E11" s="1">
        <f t="shared" si="4"/>
        <v>3</v>
      </c>
    </row>
    <row r="12" ht="14.25" customHeight="1">
      <c r="A12" s="1">
        <v>20.0</v>
      </c>
      <c r="B12" s="147">
        <f t="shared" si="1"/>
        <v>0.05428571429</v>
      </c>
      <c r="C12" s="1">
        <f t="shared" si="2"/>
        <v>8</v>
      </c>
      <c r="D12" s="1">
        <f t="shared" si="3"/>
        <v>12</v>
      </c>
      <c r="E12" s="1">
        <f t="shared" si="4"/>
        <v>3</v>
      </c>
    </row>
    <row r="13" ht="14.25" customHeight="1">
      <c r="A13" s="1">
        <v>21.0</v>
      </c>
      <c r="B13" s="147">
        <f t="shared" si="1"/>
        <v>0.05414285714</v>
      </c>
      <c r="C13" s="1">
        <f t="shared" si="2"/>
        <v>8</v>
      </c>
      <c r="D13" s="1">
        <f t="shared" si="3"/>
        <v>12</v>
      </c>
      <c r="E13" s="1">
        <f t="shared" si="4"/>
        <v>3</v>
      </c>
    </row>
    <row r="14" ht="14.25" customHeight="1">
      <c r="A14" s="1">
        <v>22.0</v>
      </c>
      <c r="B14" s="147">
        <f t="shared" si="1"/>
        <v>0.054</v>
      </c>
      <c r="C14" s="1">
        <f t="shared" si="2"/>
        <v>8</v>
      </c>
      <c r="D14" s="1">
        <f t="shared" si="3"/>
        <v>12</v>
      </c>
      <c r="E14" s="1">
        <f t="shared" si="4"/>
        <v>3</v>
      </c>
    </row>
    <row r="15" ht="14.25" customHeight="1">
      <c r="A15" s="1">
        <v>23.0</v>
      </c>
      <c r="B15" s="147">
        <f t="shared" si="1"/>
        <v>0.05385714286</v>
      </c>
      <c r="C15" s="1">
        <f t="shared" si="2"/>
        <v>8</v>
      </c>
      <c r="D15" s="1">
        <f t="shared" si="3"/>
        <v>12</v>
      </c>
      <c r="E15" s="1">
        <f t="shared" si="4"/>
        <v>3</v>
      </c>
    </row>
    <row r="16" ht="14.25" customHeight="1">
      <c r="A16" s="1">
        <v>24.0</v>
      </c>
      <c r="B16" s="147">
        <f t="shared" si="1"/>
        <v>0.05371428571</v>
      </c>
      <c r="C16" s="1">
        <f t="shared" si="2"/>
        <v>8</v>
      </c>
      <c r="D16" s="1">
        <f t="shared" si="3"/>
        <v>12</v>
      </c>
      <c r="E16" s="1">
        <f t="shared" si="4"/>
        <v>3</v>
      </c>
    </row>
    <row r="17" ht="14.25" customHeight="1">
      <c r="A17" s="1">
        <v>25.0</v>
      </c>
      <c r="B17" s="147">
        <f t="shared" si="1"/>
        <v>0.05357142857</v>
      </c>
      <c r="C17" s="1">
        <f t="shared" si="2"/>
        <v>8</v>
      </c>
      <c r="D17" s="1">
        <f t="shared" si="3"/>
        <v>12</v>
      </c>
      <c r="E17" s="1">
        <f t="shared" si="4"/>
        <v>3</v>
      </c>
    </row>
    <row r="18" ht="14.25" customHeight="1">
      <c r="A18" s="1">
        <v>26.0</v>
      </c>
      <c r="B18" s="147">
        <f t="shared" si="1"/>
        <v>0.05342857143</v>
      </c>
      <c r="C18" s="1">
        <f t="shared" si="2"/>
        <v>8</v>
      </c>
      <c r="D18" s="1">
        <f t="shared" si="3"/>
        <v>12</v>
      </c>
      <c r="E18" s="1">
        <f t="shared" si="4"/>
        <v>3</v>
      </c>
    </row>
    <row r="19" ht="14.25" customHeight="1">
      <c r="A19" s="1">
        <v>27.0</v>
      </c>
      <c r="B19" s="147">
        <f t="shared" si="1"/>
        <v>0.05328571429</v>
      </c>
      <c r="C19" s="1">
        <f t="shared" si="2"/>
        <v>8</v>
      </c>
      <c r="D19" s="1">
        <f t="shared" si="3"/>
        <v>12</v>
      </c>
      <c r="E19" s="1">
        <f t="shared" si="4"/>
        <v>3</v>
      </c>
    </row>
    <row r="20" ht="14.25" customHeight="1">
      <c r="A20" s="1">
        <v>28.0</v>
      </c>
      <c r="B20" s="147">
        <f t="shared" si="1"/>
        <v>0.05314285714</v>
      </c>
      <c r="C20" s="1">
        <f t="shared" si="2"/>
        <v>8</v>
      </c>
      <c r="D20" s="1">
        <f t="shared" si="3"/>
        <v>12</v>
      </c>
      <c r="E20" s="1">
        <f t="shared" si="4"/>
        <v>3</v>
      </c>
    </row>
    <row r="21" ht="14.25" customHeight="1">
      <c r="A21" s="1">
        <v>29.0</v>
      </c>
      <c r="B21" s="147">
        <f t="shared" si="1"/>
        <v>0.053</v>
      </c>
      <c r="C21" s="1">
        <f t="shared" si="2"/>
        <v>8</v>
      </c>
      <c r="D21" s="1">
        <f t="shared" si="3"/>
        <v>12</v>
      </c>
      <c r="E21" s="1">
        <f t="shared" si="4"/>
        <v>3</v>
      </c>
    </row>
    <row r="22" ht="14.25" customHeight="1">
      <c r="A22" s="1">
        <v>30.0</v>
      </c>
      <c r="B22" s="147">
        <f t="shared" si="1"/>
        <v>0.05285714286</v>
      </c>
      <c r="C22" s="1">
        <f t="shared" si="2"/>
        <v>8</v>
      </c>
      <c r="D22" s="1">
        <f t="shared" si="3"/>
        <v>12</v>
      </c>
      <c r="E22" s="1">
        <f t="shared" si="4"/>
        <v>3</v>
      </c>
    </row>
    <row r="23" ht="14.25" customHeight="1">
      <c r="A23" s="1">
        <v>31.0</v>
      </c>
      <c r="B23" s="147">
        <f t="shared" si="1"/>
        <v>0.05271428571</v>
      </c>
      <c r="C23" s="1">
        <f t="shared" si="2"/>
        <v>8</v>
      </c>
      <c r="D23" s="1">
        <f t="shared" si="3"/>
        <v>12</v>
      </c>
      <c r="E23" s="1">
        <f t="shared" si="4"/>
        <v>3</v>
      </c>
    </row>
    <row r="24" ht="14.25" customHeight="1">
      <c r="A24" s="1">
        <v>32.0</v>
      </c>
      <c r="B24" s="147">
        <f t="shared" si="1"/>
        <v>0.05257142857</v>
      </c>
      <c r="C24" s="1">
        <f t="shared" si="2"/>
        <v>8</v>
      </c>
      <c r="D24" s="1">
        <f t="shared" si="3"/>
        <v>12</v>
      </c>
      <c r="E24" s="1">
        <f t="shared" si="4"/>
        <v>3</v>
      </c>
    </row>
    <row r="25" ht="14.25" customHeight="1">
      <c r="A25" s="1">
        <v>33.0</v>
      </c>
      <c r="B25" s="147">
        <f t="shared" si="1"/>
        <v>0.05242857143</v>
      </c>
      <c r="C25" s="1">
        <f t="shared" si="2"/>
        <v>8</v>
      </c>
      <c r="D25" s="1">
        <f t="shared" si="3"/>
        <v>12</v>
      </c>
      <c r="E25" s="1">
        <f t="shared" si="4"/>
        <v>3</v>
      </c>
    </row>
    <row r="26" ht="14.25" customHeight="1">
      <c r="A26" s="1">
        <v>34.0</v>
      </c>
      <c r="B26" s="147">
        <f t="shared" si="1"/>
        <v>0.05228571429</v>
      </c>
      <c r="C26" s="1">
        <f t="shared" si="2"/>
        <v>8</v>
      </c>
      <c r="D26" s="1">
        <f t="shared" si="3"/>
        <v>12</v>
      </c>
      <c r="E26" s="1">
        <f t="shared" si="4"/>
        <v>3</v>
      </c>
    </row>
    <row r="27" ht="14.25" customHeight="1">
      <c r="A27" s="1">
        <v>35.0</v>
      </c>
      <c r="B27" s="147">
        <f t="shared" si="1"/>
        <v>0.05214285714</v>
      </c>
      <c r="C27" s="1">
        <f t="shared" si="2"/>
        <v>8</v>
      </c>
      <c r="D27" s="1">
        <f t="shared" si="3"/>
        <v>12</v>
      </c>
      <c r="E27" s="1">
        <f t="shared" si="4"/>
        <v>3</v>
      </c>
    </row>
    <row r="28" ht="14.25" customHeight="1">
      <c r="A28" s="1">
        <v>36.0</v>
      </c>
      <c r="B28" s="147">
        <f t="shared" si="1"/>
        <v>0.052</v>
      </c>
      <c r="C28" s="1">
        <f t="shared" si="2"/>
        <v>8</v>
      </c>
      <c r="D28" s="1">
        <f t="shared" si="3"/>
        <v>12</v>
      </c>
      <c r="E28" s="1">
        <f t="shared" si="4"/>
        <v>3</v>
      </c>
    </row>
    <row r="29" ht="14.25" customHeight="1">
      <c r="A29" s="1">
        <v>37.0</v>
      </c>
      <c r="B29" s="147">
        <f t="shared" si="1"/>
        <v>0.05185714286</v>
      </c>
      <c r="C29" s="1">
        <f t="shared" si="2"/>
        <v>8</v>
      </c>
      <c r="D29" s="1">
        <f t="shared" si="3"/>
        <v>12</v>
      </c>
      <c r="E29" s="1">
        <f t="shared" si="4"/>
        <v>3</v>
      </c>
    </row>
    <row r="30" ht="14.25" customHeight="1">
      <c r="A30" s="1">
        <v>38.0</v>
      </c>
      <c r="B30" s="147">
        <f t="shared" si="1"/>
        <v>0.05171428571</v>
      </c>
      <c r="C30" s="1">
        <f t="shared" si="2"/>
        <v>9</v>
      </c>
      <c r="D30" s="1">
        <f t="shared" si="3"/>
        <v>13</v>
      </c>
      <c r="E30" s="1">
        <f t="shared" si="4"/>
        <v>3</v>
      </c>
    </row>
    <row r="31" ht="14.25" customHeight="1">
      <c r="A31" s="1">
        <v>39.0</v>
      </c>
      <c r="B31" s="147">
        <f t="shared" si="1"/>
        <v>0.05157142857</v>
      </c>
      <c r="C31" s="1">
        <f t="shared" si="2"/>
        <v>9</v>
      </c>
      <c r="D31" s="1">
        <f t="shared" si="3"/>
        <v>13</v>
      </c>
      <c r="E31" s="1">
        <f t="shared" si="4"/>
        <v>3</v>
      </c>
    </row>
    <row r="32" ht="14.25" customHeight="1">
      <c r="A32" s="1">
        <v>40.0</v>
      </c>
      <c r="B32" s="147">
        <f t="shared" si="1"/>
        <v>0.05142857143</v>
      </c>
      <c r="C32" s="1">
        <f t="shared" si="2"/>
        <v>9</v>
      </c>
      <c r="D32" s="1">
        <f t="shared" si="3"/>
        <v>13</v>
      </c>
      <c r="E32" s="1">
        <f t="shared" si="4"/>
        <v>3</v>
      </c>
    </row>
    <row r="33" ht="14.25" customHeight="1">
      <c r="A33" s="1">
        <v>41.0</v>
      </c>
      <c r="B33" s="147">
        <f t="shared" si="1"/>
        <v>0.05128571429</v>
      </c>
      <c r="C33" s="1">
        <f t="shared" si="2"/>
        <v>9</v>
      </c>
      <c r="D33" s="1">
        <f t="shared" si="3"/>
        <v>13</v>
      </c>
      <c r="E33" s="1">
        <f t="shared" si="4"/>
        <v>3</v>
      </c>
    </row>
    <row r="34" ht="14.25" customHeight="1">
      <c r="A34" s="1">
        <v>42.0</v>
      </c>
      <c r="B34" s="147">
        <f t="shared" si="1"/>
        <v>0.05114285714</v>
      </c>
      <c r="C34" s="1">
        <f t="shared" si="2"/>
        <v>9</v>
      </c>
      <c r="D34" s="1">
        <f t="shared" si="3"/>
        <v>13</v>
      </c>
      <c r="E34" s="1">
        <f t="shared" si="4"/>
        <v>3</v>
      </c>
    </row>
    <row r="35" ht="14.25" customHeight="1">
      <c r="A35" s="1">
        <v>43.0</v>
      </c>
      <c r="B35" s="147">
        <f t="shared" si="1"/>
        <v>0.051</v>
      </c>
      <c r="C35" s="1">
        <f t="shared" si="2"/>
        <v>9</v>
      </c>
      <c r="D35" s="1">
        <f t="shared" si="3"/>
        <v>13</v>
      </c>
      <c r="E35" s="1">
        <f t="shared" si="4"/>
        <v>3</v>
      </c>
    </row>
    <row r="36" ht="14.25" customHeight="1">
      <c r="A36" s="1">
        <v>44.0</v>
      </c>
      <c r="B36" s="147">
        <f t="shared" si="1"/>
        <v>0.05085714286</v>
      </c>
      <c r="C36" s="1">
        <f t="shared" si="2"/>
        <v>9</v>
      </c>
      <c r="D36" s="1">
        <f t="shared" si="3"/>
        <v>13</v>
      </c>
      <c r="E36" s="1">
        <f t="shared" si="4"/>
        <v>3</v>
      </c>
    </row>
    <row r="37" ht="14.25" customHeight="1">
      <c r="A37" s="1">
        <v>45.0</v>
      </c>
      <c r="B37" s="147">
        <f t="shared" si="1"/>
        <v>0.05071428571</v>
      </c>
      <c r="C37" s="1">
        <f t="shared" si="2"/>
        <v>9</v>
      </c>
      <c r="D37" s="1">
        <f t="shared" si="3"/>
        <v>13</v>
      </c>
      <c r="E37" s="1">
        <f t="shared" si="4"/>
        <v>3</v>
      </c>
    </row>
    <row r="38" ht="14.25" customHeight="1">
      <c r="A38" s="1">
        <v>46.0</v>
      </c>
      <c r="B38" s="147">
        <f t="shared" si="1"/>
        <v>0.05057142857</v>
      </c>
      <c r="C38" s="1">
        <f t="shared" si="2"/>
        <v>9</v>
      </c>
      <c r="D38" s="1">
        <f t="shared" si="3"/>
        <v>13</v>
      </c>
      <c r="E38" s="1">
        <f t="shared" si="4"/>
        <v>3</v>
      </c>
    </row>
    <row r="39" ht="14.25" customHeight="1">
      <c r="A39" s="1">
        <v>47.0</v>
      </c>
      <c r="B39" s="147">
        <f t="shared" si="1"/>
        <v>0.05042857143</v>
      </c>
      <c r="C39" s="1">
        <f t="shared" si="2"/>
        <v>9</v>
      </c>
      <c r="D39" s="1">
        <f t="shared" si="3"/>
        <v>13</v>
      </c>
      <c r="E39" s="1">
        <f t="shared" si="4"/>
        <v>3</v>
      </c>
    </row>
    <row r="40" ht="14.25" customHeight="1">
      <c r="A40" s="1">
        <v>48.0</v>
      </c>
      <c r="B40" s="147">
        <f t="shared" si="1"/>
        <v>0.05028571429</v>
      </c>
      <c r="C40" s="1">
        <f t="shared" si="2"/>
        <v>9</v>
      </c>
      <c r="D40" s="1">
        <f t="shared" si="3"/>
        <v>13</v>
      </c>
      <c r="E40" s="1">
        <f t="shared" si="4"/>
        <v>3</v>
      </c>
    </row>
    <row r="41" ht="14.25" customHeight="1">
      <c r="A41" s="1">
        <v>49.0</v>
      </c>
      <c r="B41" s="147">
        <f t="shared" si="1"/>
        <v>0.05014285714</v>
      </c>
      <c r="C41" s="1">
        <f t="shared" si="2"/>
        <v>9</v>
      </c>
      <c r="D41" s="1">
        <f t="shared" si="3"/>
        <v>13</v>
      </c>
      <c r="E41" s="1">
        <f t="shared" si="4"/>
        <v>3</v>
      </c>
    </row>
    <row r="42" ht="14.25" customHeight="1">
      <c r="A42" s="1">
        <v>50.0</v>
      </c>
      <c r="B42" s="147">
        <f t="shared" si="1"/>
        <v>0.05</v>
      </c>
      <c r="C42" s="1">
        <f t="shared" si="2"/>
        <v>9</v>
      </c>
      <c r="D42" s="1">
        <f t="shared" si="3"/>
        <v>13</v>
      </c>
      <c r="E42" s="1">
        <f t="shared" si="4"/>
        <v>3</v>
      </c>
    </row>
    <row r="43" ht="14.25" customHeight="1">
      <c r="A43" s="1">
        <v>51.0</v>
      </c>
      <c r="B43" s="147">
        <f t="shared" si="1"/>
        <v>0.04985714286</v>
      </c>
      <c r="C43" s="1">
        <f t="shared" si="2"/>
        <v>9</v>
      </c>
      <c r="D43" s="1">
        <f t="shared" si="3"/>
        <v>13</v>
      </c>
      <c r="E43" s="1">
        <f t="shared" si="4"/>
        <v>3</v>
      </c>
    </row>
    <row r="44" ht="14.25" customHeight="1">
      <c r="A44" s="1">
        <v>52.0</v>
      </c>
      <c r="B44" s="147">
        <f t="shared" si="1"/>
        <v>0.04971428571</v>
      </c>
      <c r="C44" s="1">
        <f t="shared" si="2"/>
        <v>9</v>
      </c>
      <c r="D44" s="1">
        <f t="shared" si="3"/>
        <v>13</v>
      </c>
      <c r="E44" s="1">
        <f t="shared" si="4"/>
        <v>3</v>
      </c>
    </row>
    <row r="45" ht="14.25" customHeight="1">
      <c r="A45" s="1">
        <v>53.0</v>
      </c>
      <c r="B45" s="147">
        <f t="shared" si="1"/>
        <v>0.04957142857</v>
      </c>
      <c r="C45" s="1">
        <f t="shared" si="2"/>
        <v>9</v>
      </c>
      <c r="D45" s="1">
        <f t="shared" si="3"/>
        <v>13</v>
      </c>
      <c r="E45" s="1">
        <f t="shared" si="4"/>
        <v>3</v>
      </c>
    </row>
    <row r="46" ht="14.25" customHeight="1">
      <c r="A46" s="1">
        <v>54.0</v>
      </c>
      <c r="B46" s="147">
        <f t="shared" si="1"/>
        <v>0.04942857143</v>
      </c>
      <c r="C46" s="1">
        <f t="shared" si="2"/>
        <v>9</v>
      </c>
      <c r="D46" s="1">
        <f t="shared" si="3"/>
        <v>13</v>
      </c>
      <c r="E46" s="1">
        <f t="shared" si="4"/>
        <v>3</v>
      </c>
    </row>
    <row r="47" ht="14.25" customHeight="1">
      <c r="A47" s="1">
        <v>55.0</v>
      </c>
      <c r="B47" s="147">
        <f t="shared" si="1"/>
        <v>0.04928571429</v>
      </c>
      <c r="C47" s="1">
        <f t="shared" si="2"/>
        <v>9</v>
      </c>
      <c r="D47" s="1">
        <f t="shared" si="3"/>
        <v>13</v>
      </c>
      <c r="E47" s="1">
        <f t="shared" si="4"/>
        <v>3</v>
      </c>
    </row>
    <row r="48" ht="14.25" customHeight="1">
      <c r="A48" s="1">
        <v>56.0</v>
      </c>
      <c r="B48" s="147">
        <f t="shared" si="1"/>
        <v>0.04914285714</v>
      </c>
      <c r="C48" s="1">
        <f t="shared" si="2"/>
        <v>9</v>
      </c>
      <c r="D48" s="1">
        <f t="shared" si="3"/>
        <v>13</v>
      </c>
      <c r="E48" s="1">
        <f t="shared" si="4"/>
        <v>3</v>
      </c>
    </row>
    <row r="49" ht="14.25" customHeight="1">
      <c r="A49" s="1">
        <v>57.0</v>
      </c>
      <c r="B49" s="147">
        <f t="shared" si="1"/>
        <v>0.049</v>
      </c>
      <c r="C49" s="1">
        <f t="shared" si="2"/>
        <v>9</v>
      </c>
      <c r="D49" s="1">
        <f t="shared" si="3"/>
        <v>13</v>
      </c>
      <c r="E49" s="1">
        <f t="shared" si="4"/>
        <v>3</v>
      </c>
    </row>
    <row r="50" ht="14.25" customHeight="1">
      <c r="A50" s="1">
        <v>58.0</v>
      </c>
      <c r="B50" s="147">
        <f t="shared" si="1"/>
        <v>0.04885714286</v>
      </c>
      <c r="C50" s="1">
        <f t="shared" si="2"/>
        <v>9</v>
      </c>
      <c r="D50" s="1">
        <f t="shared" si="3"/>
        <v>13</v>
      </c>
      <c r="E50" s="1">
        <f t="shared" si="4"/>
        <v>3</v>
      </c>
    </row>
    <row r="51" ht="14.25" customHeight="1">
      <c r="A51" s="1">
        <v>59.0</v>
      </c>
      <c r="B51" s="147">
        <f t="shared" si="1"/>
        <v>0.04871428571</v>
      </c>
      <c r="C51" s="1">
        <f t="shared" si="2"/>
        <v>9</v>
      </c>
      <c r="D51" s="1">
        <f t="shared" si="3"/>
        <v>13</v>
      </c>
      <c r="E51" s="1">
        <f t="shared" si="4"/>
        <v>3</v>
      </c>
    </row>
    <row r="52" ht="14.25" customHeight="1">
      <c r="A52" s="1">
        <v>60.0</v>
      </c>
      <c r="B52" s="147">
        <f t="shared" si="1"/>
        <v>0.04857142857</v>
      </c>
      <c r="C52" s="1">
        <f t="shared" si="2"/>
        <v>9</v>
      </c>
      <c r="D52" s="1">
        <f t="shared" si="3"/>
        <v>13</v>
      </c>
      <c r="E52" s="1">
        <f t="shared" si="4"/>
        <v>3</v>
      </c>
    </row>
    <row r="53" ht="14.25" customHeight="1">
      <c r="A53" s="1">
        <v>61.0</v>
      </c>
      <c r="B53" s="147">
        <f t="shared" si="1"/>
        <v>0.04842857143</v>
      </c>
      <c r="C53" s="1">
        <f t="shared" si="2"/>
        <v>9</v>
      </c>
      <c r="D53" s="1">
        <f t="shared" si="3"/>
        <v>13</v>
      </c>
      <c r="E53" s="1">
        <f t="shared" si="4"/>
        <v>3</v>
      </c>
    </row>
    <row r="54" ht="14.25" customHeight="1">
      <c r="A54" s="1">
        <v>62.0</v>
      </c>
      <c r="B54" s="147">
        <f t="shared" si="1"/>
        <v>0.04828571429</v>
      </c>
      <c r="C54" s="1">
        <f t="shared" si="2"/>
        <v>9</v>
      </c>
      <c r="D54" s="1">
        <f t="shared" si="3"/>
        <v>13</v>
      </c>
      <c r="E54" s="1">
        <f t="shared" si="4"/>
        <v>3</v>
      </c>
    </row>
    <row r="55" ht="14.25" customHeight="1">
      <c r="A55" s="1">
        <v>63.0</v>
      </c>
      <c r="B55" s="147">
        <f t="shared" si="1"/>
        <v>0.04814285714</v>
      </c>
      <c r="C55" s="1">
        <f t="shared" si="2"/>
        <v>10</v>
      </c>
      <c r="D55" s="1">
        <f t="shared" si="3"/>
        <v>14</v>
      </c>
      <c r="E55" s="1">
        <f t="shared" si="4"/>
        <v>3</v>
      </c>
    </row>
    <row r="56" ht="14.25" customHeight="1">
      <c r="A56" s="1">
        <v>64.0</v>
      </c>
      <c r="B56" s="147">
        <f t="shared" si="1"/>
        <v>0.048</v>
      </c>
      <c r="C56" s="1">
        <f t="shared" si="2"/>
        <v>10</v>
      </c>
      <c r="D56" s="1">
        <f t="shared" si="3"/>
        <v>14</v>
      </c>
      <c r="E56" s="1">
        <f t="shared" si="4"/>
        <v>3</v>
      </c>
    </row>
    <row r="57" ht="14.25" customHeight="1">
      <c r="A57" s="1">
        <v>65.0</v>
      </c>
      <c r="B57" s="147">
        <f t="shared" si="1"/>
        <v>0.04785714286</v>
      </c>
      <c r="C57" s="1">
        <f t="shared" si="2"/>
        <v>10</v>
      </c>
      <c r="D57" s="1">
        <f t="shared" si="3"/>
        <v>14</v>
      </c>
      <c r="E57" s="1">
        <f t="shared" si="4"/>
        <v>3</v>
      </c>
    </row>
    <row r="58" ht="14.25" customHeight="1">
      <c r="A58" s="1">
        <v>66.0</v>
      </c>
      <c r="B58" s="147">
        <f t="shared" si="1"/>
        <v>0.04771428571</v>
      </c>
      <c r="C58" s="1">
        <f t="shared" si="2"/>
        <v>10</v>
      </c>
      <c r="D58" s="1">
        <f t="shared" si="3"/>
        <v>14</v>
      </c>
      <c r="E58" s="1">
        <f t="shared" si="4"/>
        <v>3</v>
      </c>
    </row>
    <row r="59" ht="14.25" customHeight="1">
      <c r="A59" s="1">
        <v>67.0</v>
      </c>
      <c r="B59" s="147">
        <f t="shared" si="1"/>
        <v>0.04757142857</v>
      </c>
      <c r="C59" s="1">
        <f t="shared" si="2"/>
        <v>10</v>
      </c>
      <c r="D59" s="1">
        <f t="shared" si="3"/>
        <v>14</v>
      </c>
      <c r="E59" s="1">
        <f t="shared" si="4"/>
        <v>3</v>
      </c>
    </row>
    <row r="60" ht="14.25" customHeight="1">
      <c r="A60" s="1">
        <v>68.0</v>
      </c>
      <c r="B60" s="147">
        <f t="shared" si="1"/>
        <v>0.04742857143</v>
      </c>
      <c r="C60" s="1">
        <f t="shared" si="2"/>
        <v>10</v>
      </c>
      <c r="D60" s="1">
        <f t="shared" si="3"/>
        <v>14</v>
      </c>
      <c r="E60" s="1">
        <f t="shared" si="4"/>
        <v>3</v>
      </c>
    </row>
    <row r="61" ht="14.25" customHeight="1">
      <c r="A61" s="1">
        <v>69.0</v>
      </c>
      <c r="B61" s="147">
        <f t="shared" si="1"/>
        <v>0.04728571429</v>
      </c>
      <c r="C61" s="1">
        <f t="shared" si="2"/>
        <v>10</v>
      </c>
      <c r="D61" s="1">
        <f t="shared" si="3"/>
        <v>14</v>
      </c>
      <c r="E61" s="1">
        <f t="shared" si="4"/>
        <v>3</v>
      </c>
    </row>
    <row r="62" ht="14.25" customHeight="1">
      <c r="A62" s="1">
        <v>70.0</v>
      </c>
      <c r="B62" s="147">
        <f t="shared" si="1"/>
        <v>0.04714285714</v>
      </c>
      <c r="C62" s="1">
        <f t="shared" si="2"/>
        <v>10</v>
      </c>
      <c r="D62" s="1">
        <f t="shared" si="3"/>
        <v>14</v>
      </c>
      <c r="E62" s="1">
        <f t="shared" si="4"/>
        <v>3</v>
      </c>
    </row>
    <row r="63" ht="14.25" customHeight="1">
      <c r="A63" s="1">
        <v>71.0</v>
      </c>
      <c r="B63" s="147">
        <f t="shared" si="1"/>
        <v>0.047</v>
      </c>
      <c r="C63" s="1">
        <f t="shared" si="2"/>
        <v>10</v>
      </c>
      <c r="D63" s="1">
        <f t="shared" si="3"/>
        <v>14</v>
      </c>
      <c r="E63" s="1">
        <f t="shared" si="4"/>
        <v>3</v>
      </c>
    </row>
    <row r="64" ht="14.25" customHeight="1">
      <c r="A64" s="1">
        <v>72.0</v>
      </c>
      <c r="B64" s="147">
        <f t="shared" si="1"/>
        <v>0.04685714286</v>
      </c>
      <c r="C64" s="1">
        <f t="shared" si="2"/>
        <v>10</v>
      </c>
      <c r="D64" s="1">
        <f t="shared" si="3"/>
        <v>14</v>
      </c>
      <c r="E64" s="1">
        <f t="shared" si="4"/>
        <v>3</v>
      </c>
    </row>
    <row r="65" ht="14.25" customHeight="1">
      <c r="A65" s="1">
        <v>73.0</v>
      </c>
      <c r="B65" s="147">
        <f t="shared" si="1"/>
        <v>0.04671428571</v>
      </c>
      <c r="C65" s="1">
        <f t="shared" si="2"/>
        <v>10</v>
      </c>
      <c r="D65" s="1">
        <f t="shared" si="3"/>
        <v>14</v>
      </c>
      <c r="E65" s="1">
        <f t="shared" si="4"/>
        <v>3</v>
      </c>
    </row>
    <row r="66" ht="14.25" customHeight="1">
      <c r="A66" s="1">
        <v>74.0</v>
      </c>
      <c r="B66" s="147">
        <f t="shared" si="1"/>
        <v>0.04657142857</v>
      </c>
      <c r="C66" s="1">
        <f t="shared" si="2"/>
        <v>10</v>
      </c>
      <c r="D66" s="1">
        <f t="shared" si="3"/>
        <v>14</v>
      </c>
      <c r="E66" s="1">
        <f t="shared" si="4"/>
        <v>3</v>
      </c>
    </row>
    <row r="67" ht="14.25" customHeight="1">
      <c r="A67" s="1">
        <v>75.0</v>
      </c>
      <c r="B67" s="147">
        <f t="shared" si="1"/>
        <v>0.04642857143</v>
      </c>
      <c r="C67" s="1">
        <f t="shared" si="2"/>
        <v>10</v>
      </c>
      <c r="D67" s="1">
        <f t="shared" si="3"/>
        <v>14</v>
      </c>
      <c r="E67" s="1">
        <f t="shared" si="4"/>
        <v>3</v>
      </c>
    </row>
    <row r="68" ht="14.25" customHeight="1">
      <c r="A68" s="1">
        <v>76.0</v>
      </c>
      <c r="B68" s="147">
        <f t="shared" si="1"/>
        <v>0.04628571429</v>
      </c>
      <c r="C68" s="1">
        <f t="shared" si="2"/>
        <v>10</v>
      </c>
      <c r="D68" s="1">
        <f t="shared" si="3"/>
        <v>14</v>
      </c>
      <c r="E68" s="1">
        <f t="shared" si="4"/>
        <v>3</v>
      </c>
    </row>
    <row r="69" ht="14.25" customHeight="1">
      <c r="A69" s="1">
        <v>77.0</v>
      </c>
      <c r="B69" s="147">
        <f t="shared" si="1"/>
        <v>0.04614285714</v>
      </c>
      <c r="C69" s="1">
        <f t="shared" si="2"/>
        <v>10</v>
      </c>
      <c r="D69" s="1">
        <f t="shared" si="3"/>
        <v>14</v>
      </c>
      <c r="E69" s="1">
        <f t="shared" si="4"/>
        <v>3</v>
      </c>
    </row>
    <row r="70" ht="14.25" customHeight="1">
      <c r="A70" s="1">
        <v>78.0</v>
      </c>
      <c r="B70" s="147">
        <f t="shared" si="1"/>
        <v>0.046</v>
      </c>
      <c r="C70" s="1">
        <f t="shared" si="2"/>
        <v>10</v>
      </c>
      <c r="D70" s="1">
        <f t="shared" si="3"/>
        <v>14</v>
      </c>
      <c r="E70" s="1">
        <f t="shared" si="4"/>
        <v>3</v>
      </c>
    </row>
    <row r="71" ht="14.25" customHeight="1">
      <c r="A71" s="1">
        <v>79.0</v>
      </c>
      <c r="B71" s="147">
        <f t="shared" si="1"/>
        <v>0.04585714286</v>
      </c>
      <c r="C71" s="1">
        <f t="shared" si="2"/>
        <v>10</v>
      </c>
      <c r="D71" s="1">
        <f t="shared" si="3"/>
        <v>14</v>
      </c>
      <c r="E71" s="1">
        <f t="shared" si="4"/>
        <v>3</v>
      </c>
    </row>
    <row r="72" ht="14.25" customHeight="1">
      <c r="A72" s="1">
        <v>80.0</v>
      </c>
      <c r="B72" s="147">
        <f t="shared" si="1"/>
        <v>0.04571428571</v>
      </c>
      <c r="C72" s="1">
        <f t="shared" si="2"/>
        <v>10</v>
      </c>
      <c r="D72" s="1">
        <f t="shared" si="3"/>
        <v>14</v>
      </c>
      <c r="E72" s="1">
        <f t="shared" si="4"/>
        <v>3</v>
      </c>
    </row>
    <row r="73" ht="14.25" customHeight="1">
      <c r="A73" s="1">
        <v>81.0</v>
      </c>
      <c r="B73" s="147">
        <f t="shared" si="1"/>
        <v>0.04557142857</v>
      </c>
      <c r="C73" s="1">
        <f t="shared" si="2"/>
        <v>10</v>
      </c>
      <c r="D73" s="1">
        <f t="shared" si="3"/>
        <v>14</v>
      </c>
      <c r="E73" s="1">
        <f t="shared" si="4"/>
        <v>3</v>
      </c>
    </row>
    <row r="74" ht="14.25" customHeight="1">
      <c r="A74" s="1">
        <v>82.0</v>
      </c>
      <c r="B74" s="147">
        <f t="shared" si="1"/>
        <v>0.04542857143</v>
      </c>
      <c r="C74" s="1">
        <f t="shared" si="2"/>
        <v>10</v>
      </c>
      <c r="D74" s="1">
        <f t="shared" si="3"/>
        <v>14</v>
      </c>
      <c r="E74" s="1">
        <f t="shared" si="4"/>
        <v>3</v>
      </c>
    </row>
    <row r="75" ht="14.25" customHeight="1">
      <c r="A75" s="1">
        <v>83.0</v>
      </c>
      <c r="B75" s="147">
        <f t="shared" si="1"/>
        <v>0.04528571429</v>
      </c>
      <c r="C75" s="1">
        <f t="shared" si="2"/>
        <v>10</v>
      </c>
      <c r="D75" s="1">
        <f t="shared" si="3"/>
        <v>14</v>
      </c>
      <c r="E75" s="1">
        <f t="shared" si="4"/>
        <v>3</v>
      </c>
    </row>
    <row r="76" ht="14.25" customHeight="1">
      <c r="A76" s="1">
        <v>84.0</v>
      </c>
      <c r="B76" s="147">
        <f t="shared" si="1"/>
        <v>0.04514285714</v>
      </c>
      <c r="C76" s="1">
        <f t="shared" si="2"/>
        <v>10</v>
      </c>
      <c r="D76" s="1">
        <f t="shared" si="3"/>
        <v>14</v>
      </c>
      <c r="E76" s="1">
        <f t="shared" si="4"/>
        <v>3</v>
      </c>
    </row>
    <row r="77" ht="14.25" customHeight="1">
      <c r="A77" s="1">
        <v>85.0</v>
      </c>
      <c r="B77" s="147">
        <f t="shared" si="1"/>
        <v>0.045</v>
      </c>
      <c r="C77" s="1">
        <f t="shared" si="2"/>
        <v>10</v>
      </c>
      <c r="D77" s="1">
        <f t="shared" si="3"/>
        <v>14</v>
      </c>
      <c r="E77" s="1">
        <f t="shared" si="4"/>
        <v>3</v>
      </c>
    </row>
    <row r="78" ht="14.25" customHeight="1">
      <c r="A78" s="1">
        <v>86.0</v>
      </c>
      <c r="B78" s="147">
        <f t="shared" si="1"/>
        <v>0.04485714286</v>
      </c>
      <c r="C78" s="1">
        <f t="shared" si="2"/>
        <v>10</v>
      </c>
      <c r="D78" s="1">
        <f t="shared" si="3"/>
        <v>14</v>
      </c>
      <c r="E78" s="1">
        <f t="shared" si="4"/>
        <v>3</v>
      </c>
    </row>
    <row r="79" ht="14.25" customHeight="1">
      <c r="A79" s="1">
        <v>87.0</v>
      </c>
      <c r="B79" s="147">
        <f t="shared" si="1"/>
        <v>0.04471428571</v>
      </c>
      <c r="C79" s="1">
        <f t="shared" si="2"/>
        <v>10</v>
      </c>
      <c r="D79" s="1">
        <f t="shared" si="3"/>
        <v>14</v>
      </c>
      <c r="E79" s="1">
        <f t="shared" si="4"/>
        <v>3</v>
      </c>
    </row>
    <row r="80" ht="14.25" customHeight="1">
      <c r="A80" s="1">
        <v>88.0</v>
      </c>
      <c r="B80" s="147">
        <f t="shared" si="1"/>
        <v>0.04457142857</v>
      </c>
      <c r="C80" s="1">
        <f t="shared" si="2"/>
        <v>11</v>
      </c>
      <c r="D80" s="1">
        <f t="shared" si="3"/>
        <v>15</v>
      </c>
      <c r="E80" s="1">
        <f t="shared" si="4"/>
        <v>4</v>
      </c>
    </row>
    <row r="81" ht="14.25" customHeight="1">
      <c r="A81" s="1">
        <v>89.0</v>
      </c>
      <c r="B81" s="147">
        <f t="shared" si="1"/>
        <v>0.04442857143</v>
      </c>
      <c r="C81" s="1">
        <f t="shared" si="2"/>
        <v>11</v>
      </c>
      <c r="D81" s="1">
        <f t="shared" si="3"/>
        <v>15</v>
      </c>
      <c r="E81" s="1">
        <f t="shared" si="4"/>
        <v>4</v>
      </c>
    </row>
    <row r="82" ht="14.25" customHeight="1">
      <c r="A82" s="1">
        <v>90.0</v>
      </c>
      <c r="B82" s="147">
        <f t="shared" si="1"/>
        <v>0.04428571429</v>
      </c>
      <c r="C82" s="1">
        <f t="shared" si="2"/>
        <v>11</v>
      </c>
      <c r="D82" s="1">
        <f t="shared" si="3"/>
        <v>15</v>
      </c>
      <c r="E82" s="1">
        <f t="shared" si="4"/>
        <v>4</v>
      </c>
    </row>
    <row r="83" ht="14.25" customHeight="1">
      <c r="A83" s="1">
        <v>91.0</v>
      </c>
      <c r="B83" s="147">
        <f t="shared" si="1"/>
        <v>0.04414285714</v>
      </c>
      <c r="C83" s="1">
        <f t="shared" si="2"/>
        <v>11</v>
      </c>
      <c r="D83" s="1">
        <f t="shared" si="3"/>
        <v>15</v>
      </c>
      <c r="E83" s="1">
        <f t="shared" si="4"/>
        <v>4</v>
      </c>
    </row>
    <row r="84" ht="14.25" customHeight="1">
      <c r="A84" s="1">
        <v>92.0</v>
      </c>
      <c r="B84" s="147">
        <f t="shared" si="1"/>
        <v>0.044</v>
      </c>
      <c r="C84" s="1">
        <f t="shared" si="2"/>
        <v>11</v>
      </c>
      <c r="D84" s="1">
        <f t="shared" si="3"/>
        <v>15</v>
      </c>
      <c r="E84" s="1">
        <f t="shared" si="4"/>
        <v>4</v>
      </c>
    </row>
    <row r="85" ht="14.25" customHeight="1">
      <c r="A85" s="1">
        <v>93.0</v>
      </c>
      <c r="B85" s="147">
        <f t="shared" si="1"/>
        <v>0.04385714286</v>
      </c>
      <c r="C85" s="1">
        <f t="shared" si="2"/>
        <v>11</v>
      </c>
      <c r="D85" s="1">
        <f t="shared" si="3"/>
        <v>15</v>
      </c>
      <c r="E85" s="1">
        <f t="shared" si="4"/>
        <v>4</v>
      </c>
    </row>
    <row r="86" ht="14.25" customHeight="1">
      <c r="A86" s="1">
        <v>94.0</v>
      </c>
      <c r="B86" s="147">
        <f t="shared" si="1"/>
        <v>0.04371428571</v>
      </c>
      <c r="C86" s="1">
        <f t="shared" si="2"/>
        <v>11</v>
      </c>
      <c r="D86" s="1">
        <f t="shared" si="3"/>
        <v>15</v>
      </c>
      <c r="E86" s="1">
        <f t="shared" si="4"/>
        <v>4</v>
      </c>
    </row>
    <row r="87" ht="14.25" customHeight="1">
      <c r="A87" s="1">
        <v>95.0</v>
      </c>
      <c r="B87" s="147">
        <f t="shared" si="1"/>
        <v>0.04357142857</v>
      </c>
      <c r="C87" s="1">
        <f t="shared" si="2"/>
        <v>11</v>
      </c>
      <c r="D87" s="1">
        <f t="shared" si="3"/>
        <v>15</v>
      </c>
      <c r="E87" s="1">
        <f t="shared" si="4"/>
        <v>4</v>
      </c>
    </row>
    <row r="88" ht="14.25" customHeight="1">
      <c r="A88" s="1">
        <v>96.0</v>
      </c>
      <c r="B88" s="147">
        <f t="shared" si="1"/>
        <v>0.04342857143</v>
      </c>
      <c r="C88" s="1">
        <f t="shared" si="2"/>
        <v>11</v>
      </c>
      <c r="D88" s="1">
        <f t="shared" si="3"/>
        <v>15</v>
      </c>
      <c r="E88" s="1">
        <f t="shared" si="4"/>
        <v>4</v>
      </c>
    </row>
    <row r="89" ht="14.25" customHeight="1">
      <c r="A89" s="1">
        <v>97.0</v>
      </c>
      <c r="B89" s="147">
        <f t="shared" si="1"/>
        <v>0.04328571429</v>
      </c>
      <c r="C89" s="1">
        <f t="shared" si="2"/>
        <v>11</v>
      </c>
      <c r="D89" s="1">
        <f t="shared" si="3"/>
        <v>15</v>
      </c>
      <c r="E89" s="1">
        <f t="shared" si="4"/>
        <v>4</v>
      </c>
    </row>
    <row r="90" ht="14.25" customHeight="1">
      <c r="A90" s="1">
        <v>98.0</v>
      </c>
      <c r="B90" s="147">
        <f t="shared" si="1"/>
        <v>0.04314285714</v>
      </c>
      <c r="C90" s="1">
        <f t="shared" si="2"/>
        <v>11</v>
      </c>
      <c r="D90" s="1">
        <f t="shared" si="3"/>
        <v>15</v>
      </c>
      <c r="E90" s="1">
        <f t="shared" si="4"/>
        <v>4</v>
      </c>
    </row>
    <row r="91" ht="14.25" customHeight="1">
      <c r="A91" s="1">
        <v>99.0</v>
      </c>
      <c r="B91" s="147">
        <f t="shared" si="1"/>
        <v>0.043</v>
      </c>
      <c r="C91" s="1">
        <f t="shared" si="2"/>
        <v>11</v>
      </c>
      <c r="D91" s="1">
        <f t="shared" si="3"/>
        <v>15</v>
      </c>
      <c r="E91" s="1">
        <f t="shared" si="4"/>
        <v>4</v>
      </c>
    </row>
    <row r="92" ht="14.25" customHeight="1">
      <c r="A92" s="1">
        <v>100.0</v>
      </c>
      <c r="B92" s="147">
        <f t="shared" si="1"/>
        <v>0.04285714286</v>
      </c>
      <c r="C92" s="1">
        <f t="shared" si="2"/>
        <v>11</v>
      </c>
      <c r="D92" s="1">
        <f t="shared" si="3"/>
        <v>15</v>
      </c>
      <c r="E92" s="1">
        <f t="shared" si="4"/>
        <v>4</v>
      </c>
    </row>
    <row r="93" ht="14.25" customHeight="1">
      <c r="A93" s="1">
        <v>101.0</v>
      </c>
      <c r="B93" s="147">
        <f t="shared" si="1"/>
        <v>0.04271428571</v>
      </c>
      <c r="C93" s="1">
        <f t="shared" si="2"/>
        <v>11</v>
      </c>
      <c r="D93" s="1">
        <f t="shared" si="3"/>
        <v>15</v>
      </c>
      <c r="E93" s="1">
        <f t="shared" si="4"/>
        <v>4</v>
      </c>
    </row>
    <row r="94" ht="14.25" customHeight="1">
      <c r="A94" s="1">
        <v>102.0</v>
      </c>
      <c r="B94" s="147">
        <f t="shared" si="1"/>
        <v>0.04257142857</v>
      </c>
      <c r="C94" s="1">
        <f t="shared" si="2"/>
        <v>11</v>
      </c>
      <c r="D94" s="1">
        <f t="shared" si="3"/>
        <v>15</v>
      </c>
      <c r="E94" s="1">
        <f t="shared" si="4"/>
        <v>4</v>
      </c>
    </row>
    <row r="95" ht="14.25" customHeight="1">
      <c r="A95" s="1">
        <v>103.0</v>
      </c>
      <c r="B95" s="147">
        <f t="shared" si="1"/>
        <v>0.04242857143</v>
      </c>
      <c r="C95" s="1">
        <f t="shared" si="2"/>
        <v>11</v>
      </c>
      <c r="D95" s="1">
        <f t="shared" si="3"/>
        <v>15</v>
      </c>
      <c r="E95" s="1">
        <f t="shared" si="4"/>
        <v>4</v>
      </c>
    </row>
    <row r="96" ht="14.25" customHeight="1">
      <c r="A96" s="1">
        <v>104.0</v>
      </c>
      <c r="B96" s="147">
        <f t="shared" si="1"/>
        <v>0.04228571429</v>
      </c>
      <c r="C96" s="1">
        <f t="shared" si="2"/>
        <v>11</v>
      </c>
      <c r="D96" s="1">
        <f t="shared" si="3"/>
        <v>15</v>
      </c>
      <c r="E96" s="1">
        <f t="shared" si="4"/>
        <v>4</v>
      </c>
    </row>
    <row r="97" ht="14.25" customHeight="1">
      <c r="A97" s="1">
        <v>105.0</v>
      </c>
      <c r="B97" s="147">
        <f t="shared" si="1"/>
        <v>0.04214285714</v>
      </c>
      <c r="C97" s="1">
        <f t="shared" si="2"/>
        <v>11</v>
      </c>
      <c r="D97" s="1">
        <f t="shared" si="3"/>
        <v>15</v>
      </c>
      <c r="E97" s="1">
        <f t="shared" si="4"/>
        <v>4</v>
      </c>
    </row>
    <row r="98" ht="14.25" customHeight="1">
      <c r="A98" s="1">
        <v>106.0</v>
      </c>
      <c r="B98" s="147">
        <f t="shared" si="1"/>
        <v>0.042</v>
      </c>
      <c r="C98" s="1">
        <f t="shared" si="2"/>
        <v>11</v>
      </c>
      <c r="D98" s="1">
        <f t="shared" si="3"/>
        <v>15</v>
      </c>
      <c r="E98" s="1">
        <f t="shared" si="4"/>
        <v>4</v>
      </c>
    </row>
    <row r="99" ht="14.25" customHeight="1">
      <c r="A99" s="1">
        <v>107.0</v>
      </c>
      <c r="B99" s="147">
        <f t="shared" si="1"/>
        <v>0.04185714286</v>
      </c>
      <c r="C99" s="1">
        <f t="shared" si="2"/>
        <v>11</v>
      </c>
      <c r="D99" s="1">
        <f t="shared" si="3"/>
        <v>15</v>
      </c>
      <c r="E99" s="1">
        <f t="shared" si="4"/>
        <v>4</v>
      </c>
    </row>
    <row r="100" ht="14.25" customHeight="1">
      <c r="A100" s="1">
        <v>108.0</v>
      </c>
      <c r="B100" s="147">
        <f t="shared" si="1"/>
        <v>0.04171428571</v>
      </c>
      <c r="C100" s="1">
        <f t="shared" si="2"/>
        <v>11</v>
      </c>
      <c r="D100" s="1">
        <f t="shared" si="3"/>
        <v>15</v>
      </c>
      <c r="E100" s="1">
        <f t="shared" si="4"/>
        <v>4</v>
      </c>
    </row>
    <row r="101" ht="14.25" customHeight="1">
      <c r="A101" s="1">
        <v>109.0</v>
      </c>
      <c r="B101" s="147">
        <f t="shared" si="1"/>
        <v>0.04157142857</v>
      </c>
      <c r="C101" s="1">
        <f t="shared" si="2"/>
        <v>11</v>
      </c>
      <c r="D101" s="1">
        <f t="shared" si="3"/>
        <v>15</v>
      </c>
      <c r="E101" s="1">
        <f t="shared" si="4"/>
        <v>4</v>
      </c>
    </row>
    <row r="102" ht="14.25" customHeight="1">
      <c r="A102" s="1">
        <v>110.0</v>
      </c>
      <c r="B102" s="147">
        <f t="shared" si="1"/>
        <v>0.04142857143</v>
      </c>
      <c r="C102" s="1">
        <f t="shared" si="2"/>
        <v>11</v>
      </c>
      <c r="D102" s="1">
        <f t="shared" si="3"/>
        <v>15</v>
      </c>
      <c r="E102" s="1">
        <f t="shared" si="4"/>
        <v>4</v>
      </c>
    </row>
    <row r="103" ht="14.25" customHeight="1">
      <c r="A103" s="1">
        <v>111.0</v>
      </c>
      <c r="B103" s="147">
        <f t="shared" si="1"/>
        <v>0.04128571429</v>
      </c>
      <c r="C103" s="1">
        <f t="shared" si="2"/>
        <v>11</v>
      </c>
      <c r="D103" s="1">
        <f t="shared" si="3"/>
        <v>15</v>
      </c>
      <c r="E103" s="1">
        <f t="shared" si="4"/>
        <v>4</v>
      </c>
    </row>
    <row r="104" ht="14.25" customHeight="1">
      <c r="A104" s="1">
        <v>112.0</v>
      </c>
      <c r="B104" s="147">
        <f t="shared" si="1"/>
        <v>0.04114285714</v>
      </c>
      <c r="C104" s="1">
        <f t="shared" si="2"/>
        <v>11</v>
      </c>
      <c r="D104" s="1">
        <f t="shared" si="3"/>
        <v>15</v>
      </c>
      <c r="E104" s="1">
        <f t="shared" si="4"/>
        <v>4</v>
      </c>
    </row>
    <row r="105" ht="14.25" customHeight="1">
      <c r="A105" s="1">
        <v>113.0</v>
      </c>
      <c r="B105" s="147">
        <f t="shared" si="1"/>
        <v>0.041</v>
      </c>
      <c r="C105" s="1">
        <f t="shared" si="2"/>
        <v>12</v>
      </c>
      <c r="D105" s="1">
        <f t="shared" si="3"/>
        <v>16</v>
      </c>
      <c r="E105" s="1">
        <f t="shared" si="4"/>
        <v>4</v>
      </c>
    </row>
    <row r="106" ht="14.25" customHeight="1">
      <c r="A106" s="1">
        <v>114.0</v>
      </c>
      <c r="B106" s="147">
        <f t="shared" si="1"/>
        <v>0.04085714286</v>
      </c>
      <c r="C106" s="1">
        <f t="shared" si="2"/>
        <v>12</v>
      </c>
      <c r="D106" s="1">
        <f t="shared" si="3"/>
        <v>16</v>
      </c>
      <c r="E106" s="1">
        <f t="shared" si="4"/>
        <v>4</v>
      </c>
    </row>
    <row r="107" ht="14.25" customHeight="1">
      <c r="A107" s="1">
        <v>115.0</v>
      </c>
      <c r="B107" s="147">
        <f t="shared" si="1"/>
        <v>0.04071428571</v>
      </c>
      <c r="C107" s="1">
        <f t="shared" si="2"/>
        <v>12</v>
      </c>
      <c r="D107" s="1">
        <f t="shared" si="3"/>
        <v>16</v>
      </c>
      <c r="E107" s="1">
        <f t="shared" si="4"/>
        <v>4</v>
      </c>
    </row>
    <row r="108" ht="14.25" customHeight="1">
      <c r="A108" s="1">
        <v>116.0</v>
      </c>
      <c r="B108" s="147">
        <f t="shared" si="1"/>
        <v>0.04057142857</v>
      </c>
      <c r="C108" s="1">
        <f t="shared" si="2"/>
        <v>12</v>
      </c>
      <c r="D108" s="1">
        <f t="shared" si="3"/>
        <v>16</v>
      </c>
      <c r="E108" s="1">
        <f t="shared" si="4"/>
        <v>4</v>
      </c>
    </row>
    <row r="109" ht="14.25" customHeight="1">
      <c r="A109" s="1">
        <v>117.0</v>
      </c>
      <c r="B109" s="147">
        <f t="shared" si="1"/>
        <v>0.04042857143</v>
      </c>
      <c r="C109" s="1">
        <f t="shared" si="2"/>
        <v>12</v>
      </c>
      <c r="D109" s="1">
        <f t="shared" si="3"/>
        <v>16</v>
      </c>
      <c r="E109" s="1">
        <f t="shared" si="4"/>
        <v>4</v>
      </c>
    </row>
    <row r="110" ht="14.25" customHeight="1">
      <c r="A110" s="1">
        <v>118.0</v>
      </c>
      <c r="B110" s="147">
        <f t="shared" si="1"/>
        <v>0.04028571429</v>
      </c>
      <c r="C110" s="1">
        <f t="shared" si="2"/>
        <v>12</v>
      </c>
      <c r="D110" s="1">
        <f t="shared" si="3"/>
        <v>16</v>
      </c>
      <c r="E110" s="1">
        <f t="shared" si="4"/>
        <v>4</v>
      </c>
    </row>
    <row r="111" ht="14.25" customHeight="1">
      <c r="A111" s="1">
        <v>119.0</v>
      </c>
      <c r="B111" s="147">
        <f t="shared" si="1"/>
        <v>0.04014285714</v>
      </c>
      <c r="C111" s="1">
        <f t="shared" si="2"/>
        <v>12</v>
      </c>
      <c r="D111" s="1">
        <f t="shared" si="3"/>
        <v>16</v>
      </c>
      <c r="E111" s="1">
        <f t="shared" si="4"/>
        <v>4</v>
      </c>
    </row>
    <row r="112" ht="14.25" customHeight="1">
      <c r="A112" s="1">
        <v>120.0</v>
      </c>
      <c r="B112" s="147">
        <f t="shared" si="1"/>
        <v>0.04</v>
      </c>
      <c r="C112" s="1">
        <f t="shared" si="2"/>
        <v>12</v>
      </c>
      <c r="D112" s="1">
        <f t="shared" si="3"/>
        <v>16</v>
      </c>
      <c r="E112" s="1">
        <f t="shared" si="4"/>
        <v>4</v>
      </c>
    </row>
    <row r="113" ht="14.25" customHeight="1">
      <c r="A113" s="1">
        <v>121.0</v>
      </c>
      <c r="B113" s="147">
        <f t="shared" si="1"/>
        <v>0.03985714286</v>
      </c>
      <c r="C113" s="1">
        <f t="shared" si="2"/>
        <v>12</v>
      </c>
      <c r="D113" s="1">
        <f t="shared" si="3"/>
        <v>16</v>
      </c>
      <c r="E113" s="1">
        <f t="shared" si="4"/>
        <v>4</v>
      </c>
    </row>
    <row r="114" ht="14.25" customHeight="1">
      <c r="A114" s="1">
        <v>122.0</v>
      </c>
      <c r="B114" s="147">
        <f t="shared" si="1"/>
        <v>0.03971428571</v>
      </c>
      <c r="C114" s="1">
        <f t="shared" si="2"/>
        <v>12</v>
      </c>
      <c r="D114" s="1">
        <f t="shared" si="3"/>
        <v>16</v>
      </c>
      <c r="E114" s="1">
        <f t="shared" si="4"/>
        <v>4</v>
      </c>
    </row>
    <row r="115" ht="14.25" customHeight="1">
      <c r="A115" s="1">
        <v>123.0</v>
      </c>
      <c r="B115" s="147">
        <f t="shared" si="1"/>
        <v>0.03957142857</v>
      </c>
      <c r="C115" s="1">
        <f t="shared" si="2"/>
        <v>12</v>
      </c>
      <c r="D115" s="1">
        <f t="shared" si="3"/>
        <v>16</v>
      </c>
      <c r="E115" s="1">
        <f t="shared" si="4"/>
        <v>4</v>
      </c>
    </row>
    <row r="116" ht="14.25" customHeight="1">
      <c r="A116" s="1">
        <v>124.0</v>
      </c>
      <c r="B116" s="147">
        <f t="shared" si="1"/>
        <v>0.03942857143</v>
      </c>
      <c r="C116" s="1">
        <f t="shared" si="2"/>
        <v>12</v>
      </c>
      <c r="D116" s="1">
        <f t="shared" si="3"/>
        <v>16</v>
      </c>
      <c r="E116" s="1">
        <f t="shared" si="4"/>
        <v>4</v>
      </c>
    </row>
    <row r="117" ht="14.25" customHeight="1">
      <c r="A117" s="1">
        <v>125.0</v>
      </c>
      <c r="B117" s="147">
        <f t="shared" si="1"/>
        <v>0.03928571429</v>
      </c>
      <c r="C117" s="1">
        <f t="shared" si="2"/>
        <v>12</v>
      </c>
      <c r="D117" s="1">
        <f t="shared" si="3"/>
        <v>16</v>
      </c>
      <c r="E117" s="1">
        <f t="shared" si="4"/>
        <v>4</v>
      </c>
    </row>
    <row r="118" ht="14.25" customHeight="1">
      <c r="A118" s="1">
        <v>126.0</v>
      </c>
      <c r="B118" s="147">
        <f t="shared" si="1"/>
        <v>0.03914285714</v>
      </c>
      <c r="C118" s="1">
        <f t="shared" si="2"/>
        <v>12</v>
      </c>
      <c r="D118" s="1">
        <f t="shared" si="3"/>
        <v>16</v>
      </c>
      <c r="E118" s="1">
        <f t="shared" si="4"/>
        <v>4</v>
      </c>
    </row>
    <row r="119" ht="14.25" customHeight="1">
      <c r="A119" s="1">
        <v>127.0</v>
      </c>
      <c r="B119" s="147">
        <f t="shared" si="1"/>
        <v>0.039</v>
      </c>
      <c r="C119" s="1">
        <f t="shared" si="2"/>
        <v>12</v>
      </c>
      <c r="D119" s="1">
        <f t="shared" si="3"/>
        <v>16</v>
      </c>
      <c r="E119" s="1">
        <f t="shared" si="4"/>
        <v>4</v>
      </c>
    </row>
    <row r="120" ht="14.25" customHeight="1">
      <c r="A120" s="1">
        <v>128.0</v>
      </c>
      <c r="B120" s="147">
        <f t="shared" si="1"/>
        <v>0.03885714286</v>
      </c>
      <c r="C120" s="1">
        <f t="shared" si="2"/>
        <v>12</v>
      </c>
      <c r="D120" s="1">
        <f t="shared" si="3"/>
        <v>16</v>
      </c>
      <c r="E120" s="1">
        <f t="shared" si="4"/>
        <v>4</v>
      </c>
    </row>
    <row r="121" ht="14.25" customHeight="1">
      <c r="A121" s="1">
        <v>129.0</v>
      </c>
      <c r="B121" s="147">
        <f t="shared" si="1"/>
        <v>0.03871428571</v>
      </c>
      <c r="C121" s="1">
        <f t="shared" si="2"/>
        <v>12</v>
      </c>
      <c r="D121" s="1">
        <f t="shared" si="3"/>
        <v>16</v>
      </c>
      <c r="E121" s="1">
        <f t="shared" si="4"/>
        <v>4</v>
      </c>
    </row>
    <row r="122" ht="14.25" customHeight="1">
      <c r="A122" s="1">
        <v>130.0</v>
      </c>
      <c r="B122" s="147">
        <f t="shared" si="1"/>
        <v>0.03857142857</v>
      </c>
      <c r="C122" s="1">
        <f t="shared" si="2"/>
        <v>12</v>
      </c>
      <c r="D122" s="1">
        <f t="shared" si="3"/>
        <v>16</v>
      </c>
      <c r="E122" s="1">
        <f t="shared" si="4"/>
        <v>4</v>
      </c>
    </row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1.0"/>
    <col customWidth="1" hidden="1" min="7" max="12" width="11.0"/>
    <col customWidth="1" hidden="1" min="13" max="13" width="18.25"/>
    <col customWidth="1" min="14" max="14" width="11.0"/>
    <col customWidth="1" min="15" max="15" width="20.88"/>
    <col customWidth="1" min="16" max="17" width="11.0"/>
    <col customWidth="1" min="18" max="18" width="16.38"/>
    <col customWidth="1" min="19" max="26" width="11.0"/>
  </cols>
  <sheetData>
    <row r="1" ht="14.25" customHeight="1">
      <c r="D1" s="47"/>
    </row>
    <row r="2" ht="14.25" customHeight="1">
      <c r="A2" s="40" t="s">
        <v>3083</v>
      </c>
      <c r="B2" s="40" t="s">
        <v>507</v>
      </c>
      <c r="C2" s="40" t="s">
        <v>943</v>
      </c>
      <c r="D2" s="40" t="s">
        <v>716</v>
      </c>
      <c r="E2" s="40" t="s">
        <v>637</v>
      </c>
      <c r="F2" s="40" t="s">
        <v>107</v>
      </c>
      <c r="G2" s="40" t="s">
        <v>289</v>
      </c>
      <c r="H2" s="40" t="s">
        <v>290</v>
      </c>
      <c r="I2" s="40" t="s">
        <v>291</v>
      </c>
      <c r="J2" s="40" t="s">
        <v>292</v>
      </c>
      <c r="K2" s="40" t="s">
        <v>134</v>
      </c>
      <c r="L2" s="40" t="s">
        <v>295</v>
      </c>
      <c r="M2" s="40" t="s">
        <v>3086</v>
      </c>
      <c r="N2" s="40" t="s">
        <v>3087</v>
      </c>
      <c r="O2" s="40" t="s">
        <v>3089</v>
      </c>
      <c r="P2" s="52" t="s">
        <v>3091</v>
      </c>
      <c r="Q2" s="52" t="s">
        <v>3093</v>
      </c>
      <c r="R2" s="52" t="s">
        <v>3094</v>
      </c>
    </row>
    <row r="3" ht="14.25" customHeight="1">
      <c r="A3" s="8"/>
      <c r="B3" s="42"/>
      <c r="C3" s="42"/>
      <c r="D3" s="42"/>
      <c r="E3" s="8"/>
      <c r="F3" s="8"/>
      <c r="G3" s="42"/>
      <c r="H3" s="8"/>
      <c r="I3" s="8"/>
      <c r="J3" s="8"/>
      <c r="K3" s="8"/>
      <c r="L3" s="8"/>
      <c r="M3" s="8"/>
      <c r="N3" s="42"/>
      <c r="O3" s="42"/>
      <c r="P3" s="54"/>
      <c r="Q3" s="54"/>
      <c r="R3" s="54"/>
    </row>
    <row r="4" ht="14.25" customHeight="1">
      <c r="A4" s="8">
        <v>70001.0</v>
      </c>
      <c r="B4" s="42" t="s">
        <v>3097</v>
      </c>
      <c r="C4" s="17" t="s">
        <v>1116</v>
      </c>
      <c r="D4" s="42" t="s">
        <v>15</v>
      </c>
      <c r="E4" s="8"/>
      <c r="F4" s="8"/>
      <c r="G4" s="42">
        <v>5.0</v>
      </c>
      <c r="H4" s="8"/>
      <c r="I4" s="8"/>
      <c r="J4" s="8"/>
      <c r="K4" s="8"/>
      <c r="L4" s="8"/>
      <c r="M4" s="8"/>
      <c r="N4" s="42"/>
      <c r="O4" s="42">
        <v>7001.0</v>
      </c>
      <c r="P4" s="54">
        <v>700.0</v>
      </c>
      <c r="Q4" s="54">
        <v>700.0</v>
      </c>
      <c r="R4" s="54"/>
    </row>
    <row r="5" ht="14.25" customHeight="1">
      <c r="A5" s="8">
        <v>70002.0</v>
      </c>
      <c r="B5" s="42" t="s">
        <v>3097</v>
      </c>
      <c r="C5" s="17" t="s">
        <v>1127</v>
      </c>
      <c r="D5" s="42" t="s">
        <v>15</v>
      </c>
      <c r="E5" s="8"/>
      <c r="F5" s="8"/>
      <c r="G5" s="42">
        <f t="shared" ref="G5:G7" si="1">G4+10</f>
        <v>15</v>
      </c>
      <c r="H5" s="8"/>
      <c r="I5" s="8"/>
      <c r="J5" s="8"/>
      <c r="K5" s="8"/>
      <c r="L5" s="8"/>
      <c r="M5" s="8" t="str">
        <f t="shared" ref="M5:M13" si="2">A4&amp;","&amp;A4&amp;","&amp;A4&amp;","&amp;A4</f>
        <v>70001,70001,70001,70001</v>
      </c>
      <c r="N5" s="42">
        <v>0.9</v>
      </c>
      <c r="O5" s="42">
        <v>7002.0</v>
      </c>
      <c r="P5" s="54">
        <v>700.0</v>
      </c>
      <c r="Q5" s="54">
        <v>700.0</v>
      </c>
      <c r="R5" s="54"/>
    </row>
    <row r="6" ht="14.25" customHeight="1">
      <c r="A6" s="8">
        <v>70003.0</v>
      </c>
      <c r="B6" s="42" t="s">
        <v>3097</v>
      </c>
      <c r="C6" s="17" t="s">
        <v>1136</v>
      </c>
      <c r="D6" s="42" t="s">
        <v>15</v>
      </c>
      <c r="E6" s="8"/>
      <c r="F6" s="8"/>
      <c r="G6" s="42">
        <f t="shared" si="1"/>
        <v>25</v>
      </c>
      <c r="H6" s="8"/>
      <c r="I6" s="8"/>
      <c r="J6" s="8"/>
      <c r="K6" s="8"/>
      <c r="L6" s="8"/>
      <c r="M6" s="8" t="str">
        <f t="shared" si="2"/>
        <v>70002,70002,70002,70002</v>
      </c>
      <c r="N6" s="42">
        <v>0.8</v>
      </c>
      <c r="O6" s="42">
        <v>7003.0</v>
      </c>
      <c r="P6" s="54">
        <v>700.0</v>
      </c>
      <c r="Q6" s="54">
        <v>700.0</v>
      </c>
      <c r="R6" s="54"/>
    </row>
    <row r="7" ht="14.25" customHeight="1">
      <c r="A7" s="8">
        <v>70004.0</v>
      </c>
      <c r="B7" s="42" t="s">
        <v>3097</v>
      </c>
      <c r="C7" s="17" t="s">
        <v>1142</v>
      </c>
      <c r="D7" s="42" t="s">
        <v>11</v>
      </c>
      <c r="E7" s="8"/>
      <c r="F7" s="8"/>
      <c r="G7" s="42">
        <f t="shared" si="1"/>
        <v>35</v>
      </c>
      <c r="H7" s="8"/>
      <c r="I7" s="8"/>
      <c r="J7" s="8"/>
      <c r="K7" s="8"/>
      <c r="L7" s="8"/>
      <c r="M7" s="8" t="str">
        <f t="shared" si="2"/>
        <v>70003,70003,70003,70003</v>
      </c>
      <c r="N7" s="42">
        <f t="shared" ref="N7:N9" si="3">N6-0.2</f>
        <v>0.6</v>
      </c>
      <c r="O7" s="42">
        <v>7004.0</v>
      </c>
      <c r="P7" s="54">
        <v>700.0</v>
      </c>
      <c r="Q7" s="54">
        <v>700.0</v>
      </c>
      <c r="R7" s="54"/>
    </row>
    <row r="8" ht="14.25" customHeight="1">
      <c r="A8" s="8">
        <v>70005.0</v>
      </c>
      <c r="B8" s="42" t="s">
        <v>3097</v>
      </c>
      <c r="C8" s="17" t="s">
        <v>1148</v>
      </c>
      <c r="D8" s="42" t="s">
        <v>11</v>
      </c>
      <c r="E8" s="8"/>
      <c r="F8" s="8"/>
      <c r="G8" s="42">
        <f t="shared" ref="G8:G10" si="4">G7+20</f>
        <v>55</v>
      </c>
      <c r="H8" s="8"/>
      <c r="I8" s="8"/>
      <c r="J8" s="8"/>
      <c r="K8" s="8"/>
      <c r="L8" s="8"/>
      <c r="M8" s="8" t="str">
        <f t="shared" si="2"/>
        <v>70004,70004,70004,70004</v>
      </c>
      <c r="N8" s="42">
        <f t="shared" si="3"/>
        <v>0.4</v>
      </c>
      <c r="O8" s="42">
        <v>7005.0</v>
      </c>
      <c r="P8" s="54">
        <v>700.0</v>
      </c>
      <c r="Q8" s="54">
        <v>700.0</v>
      </c>
      <c r="R8" s="54"/>
    </row>
    <row r="9" ht="14.25" customHeight="1">
      <c r="A9" s="8">
        <v>70006.0</v>
      </c>
      <c r="B9" s="42" t="s">
        <v>3097</v>
      </c>
      <c r="C9" s="17" t="s">
        <v>1153</v>
      </c>
      <c r="D9" s="42" t="s">
        <v>11</v>
      </c>
      <c r="E9" s="8"/>
      <c r="F9" s="8"/>
      <c r="G9" s="42">
        <f t="shared" si="4"/>
        <v>75</v>
      </c>
      <c r="H9" s="8"/>
      <c r="I9" s="8"/>
      <c r="J9" s="8"/>
      <c r="K9" s="8"/>
      <c r="L9" s="8"/>
      <c r="M9" s="8" t="str">
        <f t="shared" si="2"/>
        <v>70005,70005,70005,70005</v>
      </c>
      <c r="N9" s="42">
        <f t="shared" si="3"/>
        <v>0.2</v>
      </c>
      <c r="O9" s="42">
        <v>7006.0</v>
      </c>
      <c r="P9" s="54">
        <v>700.0</v>
      </c>
      <c r="Q9" s="54">
        <v>700.0</v>
      </c>
      <c r="R9" s="54"/>
    </row>
    <row r="10" ht="14.25" customHeight="1">
      <c r="A10" s="8">
        <v>70007.0</v>
      </c>
      <c r="B10" s="42" t="s">
        <v>3097</v>
      </c>
      <c r="C10" s="17" t="s">
        <v>1157</v>
      </c>
      <c r="D10" s="42" t="s">
        <v>11</v>
      </c>
      <c r="E10" s="8"/>
      <c r="F10" s="8"/>
      <c r="G10" s="42">
        <f t="shared" si="4"/>
        <v>95</v>
      </c>
      <c r="H10" s="8"/>
      <c r="I10" s="8"/>
      <c r="J10" s="8"/>
      <c r="K10" s="8"/>
      <c r="L10" s="8"/>
      <c r="M10" s="8" t="str">
        <f t="shared" si="2"/>
        <v>70006,70006,70006,70006</v>
      </c>
      <c r="N10" s="42">
        <v>0.2</v>
      </c>
      <c r="O10" s="42">
        <v>7007.0</v>
      </c>
      <c r="P10" s="54">
        <v>700.0</v>
      </c>
      <c r="Q10" s="54">
        <v>700.0</v>
      </c>
      <c r="R10" s="54"/>
    </row>
    <row r="11" ht="14.25" customHeight="1">
      <c r="A11" s="8">
        <v>70008.0</v>
      </c>
      <c r="B11" s="42" t="s">
        <v>3097</v>
      </c>
      <c r="C11" s="17" t="s">
        <v>1164</v>
      </c>
      <c r="D11" s="42" t="s">
        <v>8</v>
      </c>
      <c r="E11" s="8"/>
      <c r="F11" s="8"/>
      <c r="G11" s="42">
        <f t="shared" ref="G11:G13" si="5">G10+45</f>
        <v>140</v>
      </c>
      <c r="H11" s="8"/>
      <c r="I11" s="8"/>
      <c r="J11" s="8"/>
      <c r="K11" s="8"/>
      <c r="L11" s="8"/>
      <c r="M11" s="8" t="str">
        <f t="shared" si="2"/>
        <v>70007,70007,70007,70007</v>
      </c>
      <c r="N11" s="42">
        <v>0.2</v>
      </c>
      <c r="O11" s="42">
        <v>7008.0</v>
      </c>
      <c r="P11" s="54">
        <v>700.0</v>
      </c>
      <c r="Q11" s="54">
        <v>700.0</v>
      </c>
      <c r="R11" s="54"/>
    </row>
    <row r="12" ht="14.25" customHeight="1">
      <c r="A12" s="8">
        <v>70009.0</v>
      </c>
      <c r="B12" s="42" t="s">
        <v>3097</v>
      </c>
      <c r="C12" s="17" t="s">
        <v>1168</v>
      </c>
      <c r="D12" s="42" t="s">
        <v>8</v>
      </c>
      <c r="E12" s="8"/>
      <c r="F12" s="8"/>
      <c r="G12" s="42">
        <f t="shared" si="5"/>
        <v>185</v>
      </c>
      <c r="H12" s="8"/>
      <c r="I12" s="8"/>
      <c r="J12" s="8"/>
      <c r="K12" s="8"/>
      <c r="L12" s="8"/>
      <c r="M12" s="8" t="str">
        <f t="shared" si="2"/>
        <v>70008,70008,70008,70008</v>
      </c>
      <c r="N12" s="42">
        <v>0.2</v>
      </c>
      <c r="O12" s="42">
        <v>7009.0</v>
      </c>
      <c r="P12" s="54">
        <v>700.0</v>
      </c>
      <c r="Q12" s="54">
        <v>700.0</v>
      </c>
      <c r="R12" s="54"/>
    </row>
    <row r="13" ht="14.25" customHeight="1">
      <c r="A13" s="8">
        <v>70010.0</v>
      </c>
      <c r="B13" s="42" t="s">
        <v>3097</v>
      </c>
      <c r="C13" s="17" t="s">
        <v>1173</v>
      </c>
      <c r="D13" s="42" t="s">
        <v>8</v>
      </c>
      <c r="E13" s="8"/>
      <c r="F13" s="8"/>
      <c r="G13" s="42">
        <f t="shared" si="5"/>
        <v>230</v>
      </c>
      <c r="H13" s="8"/>
      <c r="I13" s="8"/>
      <c r="J13" s="8"/>
      <c r="K13" s="8"/>
      <c r="L13" s="8"/>
      <c r="M13" s="8" t="str">
        <f t="shared" si="2"/>
        <v>70009,70009,70009,70009</v>
      </c>
      <c r="N13" s="42">
        <v>0.2</v>
      </c>
      <c r="O13" s="42">
        <v>7010.0</v>
      </c>
      <c r="P13" s="54">
        <v>700.0</v>
      </c>
      <c r="Q13" s="54">
        <v>700.0</v>
      </c>
      <c r="R13" s="54"/>
    </row>
    <row r="14" ht="14.25" customHeight="1">
      <c r="A14" s="8">
        <v>70011.0</v>
      </c>
      <c r="B14" s="42" t="s">
        <v>3097</v>
      </c>
      <c r="C14" s="17" t="s">
        <v>1178</v>
      </c>
      <c r="D14" s="42" t="s">
        <v>15</v>
      </c>
      <c r="E14" s="8"/>
      <c r="F14" s="8"/>
      <c r="G14" s="8"/>
      <c r="H14" s="42">
        <v>8.0</v>
      </c>
      <c r="I14" s="8"/>
      <c r="J14" s="8"/>
      <c r="K14" s="8"/>
      <c r="L14" s="8"/>
      <c r="M14" s="8"/>
      <c r="N14" s="42"/>
      <c r="O14" s="42">
        <v>7011.0</v>
      </c>
      <c r="P14" s="54">
        <v>700.0</v>
      </c>
      <c r="Q14" s="54">
        <v>700.0</v>
      </c>
      <c r="R14" s="54"/>
    </row>
    <row r="15" ht="14.25" customHeight="1">
      <c r="A15" s="8">
        <v>70012.0</v>
      </c>
      <c r="B15" s="42" t="s">
        <v>3097</v>
      </c>
      <c r="C15" s="17" t="s">
        <v>1187</v>
      </c>
      <c r="D15" s="42" t="s">
        <v>15</v>
      </c>
      <c r="E15" s="8"/>
      <c r="F15" s="8"/>
      <c r="G15" s="8"/>
      <c r="H15" s="42">
        <f t="shared" ref="H15:H17" si="6">H14+11</f>
        <v>19</v>
      </c>
      <c r="I15" s="8"/>
      <c r="J15" s="8"/>
      <c r="K15" s="8"/>
      <c r="L15" s="8"/>
      <c r="M15" s="8" t="str">
        <f t="shared" ref="M15:M23" si="7">A14&amp;","&amp;A14&amp;","&amp;A14&amp;","&amp;A14</f>
        <v>70011,70011,70011,70011</v>
      </c>
      <c r="N15" s="42">
        <v>0.9</v>
      </c>
      <c r="O15" s="42">
        <v>7012.0</v>
      </c>
      <c r="P15" s="54">
        <v>700.0</v>
      </c>
      <c r="Q15" s="54">
        <v>700.0</v>
      </c>
      <c r="R15" s="54"/>
    </row>
    <row r="16" ht="14.25" customHeight="1">
      <c r="A16" s="8">
        <v>70013.0</v>
      </c>
      <c r="B16" s="42" t="s">
        <v>3097</v>
      </c>
      <c r="C16" s="17" t="s">
        <v>1196</v>
      </c>
      <c r="D16" s="42" t="s">
        <v>15</v>
      </c>
      <c r="E16" s="8"/>
      <c r="F16" s="8"/>
      <c r="G16" s="8"/>
      <c r="H16" s="42">
        <f t="shared" si="6"/>
        <v>30</v>
      </c>
      <c r="I16" s="8"/>
      <c r="J16" s="8"/>
      <c r="K16" s="8"/>
      <c r="L16" s="8"/>
      <c r="M16" s="8" t="str">
        <f t="shared" si="7"/>
        <v>70012,70012,70012,70012</v>
      </c>
      <c r="N16" s="42">
        <v>0.8</v>
      </c>
      <c r="O16" s="42">
        <v>7013.0</v>
      </c>
      <c r="P16" s="54">
        <v>700.0</v>
      </c>
      <c r="Q16" s="54">
        <v>700.0</v>
      </c>
      <c r="R16" s="54"/>
    </row>
    <row r="17" ht="14.25" customHeight="1">
      <c r="A17" s="8">
        <v>70014.0</v>
      </c>
      <c r="B17" s="42" t="s">
        <v>3097</v>
      </c>
      <c r="C17" s="17" t="s">
        <v>1201</v>
      </c>
      <c r="D17" s="42" t="s">
        <v>11</v>
      </c>
      <c r="E17" s="8"/>
      <c r="F17" s="8"/>
      <c r="G17" s="8"/>
      <c r="H17" s="42">
        <f t="shared" si="6"/>
        <v>41</v>
      </c>
      <c r="I17" s="8"/>
      <c r="J17" s="8"/>
      <c r="K17" s="8"/>
      <c r="L17" s="8"/>
      <c r="M17" s="8" t="str">
        <f t="shared" si="7"/>
        <v>70013,70013,70013,70013</v>
      </c>
      <c r="N17" s="42">
        <f t="shared" ref="N17:N19" si="8">N16-0.2</f>
        <v>0.6</v>
      </c>
      <c r="O17" s="42">
        <v>7014.0</v>
      </c>
      <c r="P17" s="54">
        <v>700.0</v>
      </c>
      <c r="Q17" s="54">
        <v>700.0</v>
      </c>
      <c r="R17" s="54"/>
    </row>
    <row r="18" ht="14.25" customHeight="1">
      <c r="A18" s="8">
        <v>70015.0</v>
      </c>
      <c r="B18" s="42" t="s">
        <v>3097</v>
      </c>
      <c r="C18" s="17" t="s">
        <v>1207</v>
      </c>
      <c r="D18" s="42" t="s">
        <v>11</v>
      </c>
      <c r="E18" s="8"/>
      <c r="F18" s="8"/>
      <c r="G18" s="8"/>
      <c r="H18" s="42">
        <f t="shared" ref="H18:H20" si="9">H17+23</f>
        <v>64</v>
      </c>
      <c r="I18" s="8"/>
      <c r="J18" s="8"/>
      <c r="K18" s="8"/>
      <c r="L18" s="8"/>
      <c r="M18" s="8" t="str">
        <f t="shared" si="7"/>
        <v>70014,70014,70014,70014</v>
      </c>
      <c r="N18" s="42">
        <f t="shared" si="8"/>
        <v>0.4</v>
      </c>
      <c r="O18" s="42">
        <v>7015.0</v>
      </c>
      <c r="P18" s="54">
        <v>700.0</v>
      </c>
      <c r="Q18" s="54">
        <v>700.0</v>
      </c>
      <c r="R18" s="54"/>
    </row>
    <row r="19" ht="14.25" customHeight="1">
      <c r="A19" s="8">
        <v>70016.0</v>
      </c>
      <c r="B19" s="42" t="s">
        <v>3097</v>
      </c>
      <c r="C19" s="17" t="s">
        <v>1213</v>
      </c>
      <c r="D19" s="42" t="s">
        <v>11</v>
      </c>
      <c r="E19" s="8"/>
      <c r="F19" s="8"/>
      <c r="G19" s="8"/>
      <c r="H19" s="42">
        <f t="shared" si="9"/>
        <v>87</v>
      </c>
      <c r="I19" s="8"/>
      <c r="J19" s="8"/>
      <c r="K19" s="8"/>
      <c r="L19" s="8"/>
      <c r="M19" s="8" t="str">
        <f t="shared" si="7"/>
        <v>70015,70015,70015,70015</v>
      </c>
      <c r="N19" s="42">
        <f t="shared" si="8"/>
        <v>0.2</v>
      </c>
      <c r="O19" s="42">
        <v>7016.0</v>
      </c>
      <c r="P19" s="54">
        <v>700.0</v>
      </c>
      <c r="Q19" s="54">
        <v>700.0</v>
      </c>
      <c r="R19" s="54"/>
    </row>
    <row r="20" ht="14.25" customHeight="1">
      <c r="A20" s="8">
        <v>70017.0</v>
      </c>
      <c r="B20" s="42" t="s">
        <v>3097</v>
      </c>
      <c r="C20" s="17" t="s">
        <v>1219</v>
      </c>
      <c r="D20" s="42" t="s">
        <v>11</v>
      </c>
      <c r="E20" s="8"/>
      <c r="F20" s="8"/>
      <c r="G20" s="8"/>
      <c r="H20" s="42">
        <f t="shared" si="9"/>
        <v>110</v>
      </c>
      <c r="I20" s="8"/>
      <c r="J20" s="8"/>
      <c r="K20" s="8"/>
      <c r="L20" s="8"/>
      <c r="M20" s="8" t="str">
        <f t="shared" si="7"/>
        <v>70016,70016,70016,70016</v>
      </c>
      <c r="N20" s="42">
        <v>0.2</v>
      </c>
      <c r="O20" s="42">
        <v>7017.0</v>
      </c>
      <c r="P20" s="54">
        <v>700.0</v>
      </c>
      <c r="Q20" s="54">
        <v>700.0</v>
      </c>
      <c r="R20" s="54"/>
    </row>
    <row r="21" ht="14.25" customHeight="1">
      <c r="A21" s="8">
        <v>70018.0</v>
      </c>
      <c r="B21" s="42" t="s">
        <v>3097</v>
      </c>
      <c r="C21" s="17" t="s">
        <v>1227</v>
      </c>
      <c r="D21" s="42" t="s">
        <v>8</v>
      </c>
      <c r="E21" s="8"/>
      <c r="F21" s="8"/>
      <c r="G21" s="8"/>
      <c r="H21" s="42">
        <f t="shared" ref="H21:H22" si="10">H20+48</f>
        <v>158</v>
      </c>
      <c r="I21" s="8"/>
      <c r="J21" s="8"/>
      <c r="K21" s="8"/>
      <c r="L21" s="8"/>
      <c r="M21" s="8" t="str">
        <f t="shared" si="7"/>
        <v>70017,70017,70017,70017</v>
      </c>
      <c r="N21" s="42">
        <v>0.2</v>
      </c>
      <c r="O21" s="42">
        <v>7018.0</v>
      </c>
      <c r="P21" s="54">
        <v>700.0</v>
      </c>
      <c r="Q21" s="54">
        <v>700.0</v>
      </c>
      <c r="R21" s="54"/>
    </row>
    <row r="22" ht="14.25" customHeight="1">
      <c r="A22" s="8">
        <v>70019.0</v>
      </c>
      <c r="B22" s="42" t="s">
        <v>3097</v>
      </c>
      <c r="C22" s="17" t="s">
        <v>1234</v>
      </c>
      <c r="D22" s="42" t="s">
        <v>8</v>
      </c>
      <c r="E22" s="8"/>
      <c r="F22" s="8"/>
      <c r="G22" s="8"/>
      <c r="H22" s="42">
        <f t="shared" si="10"/>
        <v>206</v>
      </c>
      <c r="I22" s="8"/>
      <c r="J22" s="8"/>
      <c r="K22" s="8"/>
      <c r="L22" s="8"/>
      <c r="M22" s="8" t="str">
        <f t="shared" si="7"/>
        <v>70018,70018,70018,70018</v>
      </c>
      <c r="N22" s="42">
        <v>0.2</v>
      </c>
      <c r="O22" s="42">
        <v>7019.0</v>
      </c>
      <c r="P22" s="54">
        <v>700.0</v>
      </c>
      <c r="Q22" s="54">
        <v>700.0</v>
      </c>
      <c r="R22" s="54"/>
    </row>
    <row r="23" ht="14.25" customHeight="1">
      <c r="A23" s="8">
        <v>70020.0</v>
      </c>
      <c r="B23" s="42" t="s">
        <v>3097</v>
      </c>
      <c r="C23" s="17" t="s">
        <v>1240</v>
      </c>
      <c r="D23" s="42" t="s">
        <v>8</v>
      </c>
      <c r="E23" s="8"/>
      <c r="F23" s="8"/>
      <c r="G23" s="8"/>
      <c r="H23" s="42">
        <v>255.0</v>
      </c>
      <c r="I23" s="8"/>
      <c r="J23" s="8"/>
      <c r="K23" s="8"/>
      <c r="L23" s="8"/>
      <c r="M23" s="8" t="str">
        <f t="shared" si="7"/>
        <v>70019,70019,70019,70019</v>
      </c>
      <c r="N23" s="42">
        <v>0.2</v>
      </c>
      <c r="O23" s="42">
        <v>7020.0</v>
      </c>
      <c r="P23" s="54">
        <v>700.0</v>
      </c>
      <c r="Q23" s="54">
        <v>700.0</v>
      </c>
      <c r="R23" s="54"/>
    </row>
    <row r="24" ht="14.25" customHeight="1">
      <c r="A24" s="8">
        <v>70021.0</v>
      </c>
      <c r="B24" s="42" t="s">
        <v>3097</v>
      </c>
      <c r="C24" s="17" t="s">
        <v>1242</v>
      </c>
      <c r="D24" s="42" t="s">
        <v>15</v>
      </c>
      <c r="E24" s="8"/>
      <c r="F24" s="8"/>
      <c r="G24" s="8"/>
      <c r="H24" s="8"/>
      <c r="I24" s="8"/>
      <c r="J24" s="42">
        <v>16.0</v>
      </c>
      <c r="K24" s="8"/>
      <c r="L24" s="8"/>
      <c r="M24" s="8"/>
      <c r="N24" s="42"/>
      <c r="O24" s="42">
        <v>7021.0</v>
      </c>
      <c r="P24" s="54">
        <v>700.0</v>
      </c>
      <c r="Q24" s="54">
        <v>700.0</v>
      </c>
      <c r="R24" s="54"/>
    </row>
    <row r="25" ht="14.25" customHeight="1">
      <c r="A25" s="8">
        <v>70022.0</v>
      </c>
      <c r="B25" s="42" t="s">
        <v>3097</v>
      </c>
      <c r="C25" s="17" t="s">
        <v>1252</v>
      </c>
      <c r="D25" s="42" t="s">
        <v>15</v>
      </c>
      <c r="E25" s="8"/>
      <c r="F25" s="8"/>
      <c r="G25" s="8"/>
      <c r="H25" s="8"/>
      <c r="I25" s="8"/>
      <c r="J25" s="42">
        <f t="shared" ref="J25:J27" si="11">J24+11</f>
        <v>27</v>
      </c>
      <c r="K25" s="8"/>
      <c r="L25" s="8"/>
      <c r="M25" s="8" t="str">
        <f t="shared" ref="M25:M33" si="12">A24&amp;","&amp;A24&amp;","&amp;A24&amp;","&amp;A24</f>
        <v>70021,70021,70021,70021</v>
      </c>
      <c r="N25" s="42">
        <v>0.9</v>
      </c>
      <c r="O25" s="42">
        <f t="shared" ref="O25:O83" si="13">O24+1</f>
        <v>7022</v>
      </c>
      <c r="P25" s="54">
        <v>700.0</v>
      </c>
      <c r="Q25" s="54">
        <v>700.0</v>
      </c>
      <c r="R25" s="54"/>
    </row>
    <row r="26" ht="14.25" customHeight="1">
      <c r="A26" s="8">
        <v>70023.0</v>
      </c>
      <c r="B26" s="42" t="s">
        <v>3097</v>
      </c>
      <c r="C26" s="17" t="s">
        <v>1261</v>
      </c>
      <c r="D26" s="42" t="s">
        <v>15</v>
      </c>
      <c r="E26" s="8"/>
      <c r="F26" s="8"/>
      <c r="G26" s="8"/>
      <c r="H26" s="8"/>
      <c r="I26" s="8"/>
      <c r="J26" s="42">
        <f t="shared" si="11"/>
        <v>38</v>
      </c>
      <c r="K26" s="8"/>
      <c r="L26" s="8"/>
      <c r="M26" s="8" t="str">
        <f t="shared" si="12"/>
        <v>70022,70022,70022,70022</v>
      </c>
      <c r="N26" s="42">
        <v>0.8</v>
      </c>
      <c r="O26" s="42">
        <f t="shared" si="13"/>
        <v>7023</v>
      </c>
      <c r="P26" s="54">
        <v>700.0</v>
      </c>
      <c r="Q26" s="54">
        <v>700.0</v>
      </c>
      <c r="R26" s="54"/>
    </row>
    <row r="27" ht="14.25" customHeight="1">
      <c r="A27" s="8">
        <v>70024.0</v>
      </c>
      <c r="B27" s="42" t="s">
        <v>3097</v>
      </c>
      <c r="C27" s="17" t="s">
        <v>1265</v>
      </c>
      <c r="D27" s="42" t="s">
        <v>11</v>
      </c>
      <c r="E27" s="8"/>
      <c r="F27" s="8"/>
      <c r="G27" s="8"/>
      <c r="H27" s="8"/>
      <c r="I27" s="8"/>
      <c r="J27" s="42">
        <f t="shared" si="11"/>
        <v>49</v>
      </c>
      <c r="K27" s="8"/>
      <c r="L27" s="8"/>
      <c r="M27" s="8" t="str">
        <f t="shared" si="12"/>
        <v>70023,70023,70023,70023</v>
      </c>
      <c r="N27" s="42">
        <f t="shared" ref="N27:N29" si="14">N26-0.2</f>
        <v>0.6</v>
      </c>
      <c r="O27" s="42">
        <f t="shared" si="13"/>
        <v>7024</v>
      </c>
      <c r="P27" s="54">
        <v>700.0</v>
      </c>
      <c r="Q27" s="54">
        <v>700.0</v>
      </c>
      <c r="R27" s="54"/>
    </row>
    <row r="28" ht="14.25" customHeight="1">
      <c r="A28" s="8">
        <v>70025.0</v>
      </c>
      <c r="B28" s="42" t="s">
        <v>3097</v>
      </c>
      <c r="C28" s="17" t="s">
        <v>1270</v>
      </c>
      <c r="D28" s="42" t="s">
        <v>11</v>
      </c>
      <c r="E28" s="8"/>
      <c r="F28" s="8"/>
      <c r="G28" s="8"/>
      <c r="H28" s="8"/>
      <c r="I28" s="8"/>
      <c r="J28" s="42">
        <f t="shared" ref="J28:J30" si="15">J27+23</f>
        <v>72</v>
      </c>
      <c r="K28" s="8"/>
      <c r="L28" s="8"/>
      <c r="M28" s="8" t="str">
        <f t="shared" si="12"/>
        <v>70024,70024,70024,70024</v>
      </c>
      <c r="N28" s="42">
        <f t="shared" si="14"/>
        <v>0.4</v>
      </c>
      <c r="O28" s="42">
        <f t="shared" si="13"/>
        <v>7025</v>
      </c>
      <c r="P28" s="54">
        <v>700.0</v>
      </c>
      <c r="Q28" s="54">
        <v>700.0</v>
      </c>
      <c r="R28" s="54"/>
    </row>
    <row r="29" ht="14.25" customHeight="1">
      <c r="A29" s="8">
        <v>70026.0</v>
      </c>
      <c r="B29" s="42" t="s">
        <v>3097</v>
      </c>
      <c r="C29" s="17" t="s">
        <v>1275</v>
      </c>
      <c r="D29" s="42" t="s">
        <v>11</v>
      </c>
      <c r="E29" s="8"/>
      <c r="F29" s="8"/>
      <c r="G29" s="8"/>
      <c r="H29" s="8"/>
      <c r="I29" s="8"/>
      <c r="J29" s="42">
        <f t="shared" si="15"/>
        <v>95</v>
      </c>
      <c r="K29" s="8"/>
      <c r="L29" s="8"/>
      <c r="M29" s="8" t="str">
        <f t="shared" si="12"/>
        <v>70025,70025,70025,70025</v>
      </c>
      <c r="N29" s="42">
        <f t="shared" si="14"/>
        <v>0.2</v>
      </c>
      <c r="O29" s="42">
        <f t="shared" si="13"/>
        <v>7026</v>
      </c>
      <c r="P29" s="54">
        <v>700.0</v>
      </c>
      <c r="Q29" s="54">
        <v>700.0</v>
      </c>
      <c r="R29" s="54"/>
    </row>
    <row r="30" ht="14.25" customHeight="1">
      <c r="A30" s="8">
        <v>70027.0</v>
      </c>
      <c r="B30" s="42" t="s">
        <v>3097</v>
      </c>
      <c r="C30" s="17" t="s">
        <v>1281</v>
      </c>
      <c r="D30" s="42" t="s">
        <v>11</v>
      </c>
      <c r="E30" s="8"/>
      <c r="F30" s="8"/>
      <c r="G30" s="8"/>
      <c r="H30" s="8"/>
      <c r="I30" s="8"/>
      <c r="J30" s="42">
        <f t="shared" si="15"/>
        <v>118</v>
      </c>
      <c r="K30" s="8"/>
      <c r="L30" s="8"/>
      <c r="M30" s="8" t="str">
        <f t="shared" si="12"/>
        <v>70026,70026,70026,70026</v>
      </c>
      <c r="N30" s="42">
        <v>0.2</v>
      </c>
      <c r="O30" s="42">
        <f t="shared" si="13"/>
        <v>7027</v>
      </c>
      <c r="P30" s="54">
        <v>700.0</v>
      </c>
      <c r="Q30" s="54">
        <v>700.0</v>
      </c>
      <c r="R30" s="54"/>
    </row>
    <row r="31" ht="14.25" customHeight="1">
      <c r="A31" s="8">
        <v>70028.0</v>
      </c>
      <c r="B31" s="42" t="s">
        <v>3097</v>
      </c>
      <c r="C31" s="17" t="s">
        <v>1288</v>
      </c>
      <c r="D31" s="42" t="s">
        <v>8</v>
      </c>
      <c r="E31" s="8"/>
      <c r="F31" s="8"/>
      <c r="G31" s="8"/>
      <c r="H31" s="8"/>
      <c r="I31" s="8"/>
      <c r="J31" s="42">
        <f t="shared" ref="J31:J32" si="16">J30+48</f>
        <v>166</v>
      </c>
      <c r="K31" s="8"/>
      <c r="L31" s="8"/>
      <c r="M31" s="8" t="str">
        <f t="shared" si="12"/>
        <v>70027,70027,70027,70027</v>
      </c>
      <c r="N31" s="42">
        <v>0.2</v>
      </c>
      <c r="O31" s="42">
        <f t="shared" si="13"/>
        <v>7028</v>
      </c>
      <c r="P31" s="54">
        <v>700.0</v>
      </c>
      <c r="Q31" s="54">
        <v>700.0</v>
      </c>
      <c r="R31" s="54"/>
    </row>
    <row r="32" ht="14.25" customHeight="1">
      <c r="A32" s="8">
        <v>70029.0</v>
      </c>
      <c r="B32" s="42" t="s">
        <v>3097</v>
      </c>
      <c r="C32" s="17" t="s">
        <v>1292</v>
      </c>
      <c r="D32" s="42" t="s">
        <v>8</v>
      </c>
      <c r="E32" s="8"/>
      <c r="F32" s="8"/>
      <c r="G32" s="8"/>
      <c r="H32" s="8"/>
      <c r="I32" s="8"/>
      <c r="J32" s="42">
        <f t="shared" si="16"/>
        <v>214</v>
      </c>
      <c r="K32" s="8"/>
      <c r="L32" s="8"/>
      <c r="M32" s="8" t="str">
        <f t="shared" si="12"/>
        <v>70028,70028,70028,70028</v>
      </c>
      <c r="N32" s="42">
        <v>0.2</v>
      </c>
      <c r="O32" s="42">
        <f t="shared" si="13"/>
        <v>7029</v>
      </c>
      <c r="P32" s="54">
        <v>700.0</v>
      </c>
      <c r="Q32" s="54">
        <v>700.0</v>
      </c>
      <c r="R32" s="54"/>
    </row>
    <row r="33" ht="14.25" customHeight="1">
      <c r="A33" s="8">
        <v>70030.0</v>
      </c>
      <c r="B33" s="42" t="s">
        <v>3097</v>
      </c>
      <c r="C33" s="17" t="s">
        <v>1296</v>
      </c>
      <c r="D33" s="42" t="s">
        <v>8</v>
      </c>
      <c r="E33" s="8"/>
      <c r="F33" s="8"/>
      <c r="G33" s="8"/>
      <c r="H33" s="8"/>
      <c r="I33" s="8"/>
      <c r="J33" s="42">
        <v>265.0</v>
      </c>
      <c r="K33" s="8"/>
      <c r="L33" s="8"/>
      <c r="M33" s="8" t="str">
        <f t="shared" si="12"/>
        <v>70029,70029,70029,70029</v>
      </c>
      <c r="N33" s="42">
        <v>0.2</v>
      </c>
      <c r="O33" s="42">
        <f t="shared" si="13"/>
        <v>7030</v>
      </c>
      <c r="P33" s="54">
        <v>700.0</v>
      </c>
      <c r="Q33" s="54">
        <v>700.0</v>
      </c>
      <c r="R33" s="54"/>
    </row>
    <row r="34" ht="14.25" customHeight="1">
      <c r="A34" s="8">
        <v>70031.0</v>
      </c>
      <c r="B34" s="42" t="s">
        <v>3097</v>
      </c>
      <c r="C34" s="17" t="s">
        <v>1300</v>
      </c>
      <c r="D34" s="42" t="s">
        <v>15</v>
      </c>
      <c r="E34" s="8"/>
      <c r="F34" s="8"/>
      <c r="G34" s="8"/>
      <c r="H34" s="8"/>
      <c r="I34" s="42">
        <v>10.0</v>
      </c>
      <c r="J34" s="8"/>
      <c r="K34" s="8"/>
      <c r="L34" s="8"/>
      <c r="M34" s="8"/>
      <c r="N34" s="42"/>
      <c r="O34" s="42">
        <f t="shared" si="13"/>
        <v>7031</v>
      </c>
      <c r="P34" s="54">
        <v>700.0</v>
      </c>
      <c r="Q34" s="54">
        <v>700.0</v>
      </c>
      <c r="R34" s="54"/>
    </row>
    <row r="35" ht="14.25" customHeight="1">
      <c r="A35" s="8">
        <v>70032.0</v>
      </c>
      <c r="B35" s="42" t="s">
        <v>3097</v>
      </c>
      <c r="C35" s="17" t="s">
        <v>1307</v>
      </c>
      <c r="D35" s="42" t="s">
        <v>15</v>
      </c>
      <c r="E35" s="8"/>
      <c r="F35" s="8"/>
      <c r="G35" s="8"/>
      <c r="H35" s="8"/>
      <c r="I35" s="42">
        <f t="shared" ref="I35:I37" si="17">I34+10</f>
        <v>20</v>
      </c>
      <c r="J35" s="8"/>
      <c r="K35" s="8"/>
      <c r="L35" s="8"/>
      <c r="M35" s="8" t="str">
        <f t="shared" ref="M35:M43" si="18">A34&amp;","&amp;A34&amp;","&amp;A34&amp;","&amp;A34</f>
        <v>70031,70031,70031,70031</v>
      </c>
      <c r="N35" s="42">
        <v>0.9</v>
      </c>
      <c r="O35" s="42">
        <f t="shared" si="13"/>
        <v>7032</v>
      </c>
      <c r="P35" s="54">
        <v>700.0</v>
      </c>
      <c r="Q35" s="54">
        <v>700.0</v>
      </c>
      <c r="R35" s="54"/>
    </row>
    <row r="36" ht="14.25" customHeight="1">
      <c r="A36" s="8">
        <v>70033.0</v>
      </c>
      <c r="B36" s="42" t="s">
        <v>3097</v>
      </c>
      <c r="C36" s="17" t="s">
        <v>1314</v>
      </c>
      <c r="D36" s="42" t="s">
        <v>15</v>
      </c>
      <c r="E36" s="8"/>
      <c r="F36" s="8"/>
      <c r="G36" s="8"/>
      <c r="H36" s="8"/>
      <c r="I36" s="42">
        <f t="shared" si="17"/>
        <v>30</v>
      </c>
      <c r="J36" s="8"/>
      <c r="K36" s="8"/>
      <c r="L36" s="8"/>
      <c r="M36" s="8" t="str">
        <f t="shared" si="18"/>
        <v>70032,70032,70032,70032</v>
      </c>
      <c r="N36" s="42">
        <v>0.8</v>
      </c>
      <c r="O36" s="42">
        <f t="shared" si="13"/>
        <v>7033</v>
      </c>
      <c r="P36" s="54">
        <v>700.0</v>
      </c>
      <c r="Q36" s="54">
        <v>700.0</v>
      </c>
      <c r="R36" s="54"/>
    </row>
    <row r="37" ht="14.25" customHeight="1">
      <c r="A37" s="8">
        <v>70034.0</v>
      </c>
      <c r="B37" s="42" t="s">
        <v>3097</v>
      </c>
      <c r="C37" s="17" t="s">
        <v>1318</v>
      </c>
      <c r="D37" s="42" t="s">
        <v>11</v>
      </c>
      <c r="E37" s="8"/>
      <c r="F37" s="8"/>
      <c r="G37" s="8"/>
      <c r="H37" s="8"/>
      <c r="I37" s="42">
        <f t="shared" si="17"/>
        <v>40</v>
      </c>
      <c r="J37" s="8"/>
      <c r="K37" s="8"/>
      <c r="L37" s="8"/>
      <c r="M37" s="8" t="str">
        <f t="shared" si="18"/>
        <v>70033,70033,70033,70033</v>
      </c>
      <c r="N37" s="42">
        <f t="shared" ref="N37:N39" si="19">N36-0.2</f>
        <v>0.6</v>
      </c>
      <c r="O37" s="42">
        <f t="shared" si="13"/>
        <v>7034</v>
      </c>
      <c r="P37" s="54">
        <v>700.0</v>
      </c>
      <c r="Q37" s="54">
        <v>700.0</v>
      </c>
      <c r="R37" s="54"/>
    </row>
    <row r="38" ht="14.25" customHeight="1">
      <c r="A38" s="8">
        <v>70035.0</v>
      </c>
      <c r="B38" s="42" t="s">
        <v>3097</v>
      </c>
      <c r="C38" s="17" t="s">
        <v>1324</v>
      </c>
      <c r="D38" s="42" t="s">
        <v>11</v>
      </c>
      <c r="E38" s="8"/>
      <c r="F38" s="8"/>
      <c r="G38" s="8"/>
      <c r="H38" s="8"/>
      <c r="I38" s="42">
        <f t="shared" ref="I38:I40" si="20">I37+20</f>
        <v>60</v>
      </c>
      <c r="J38" s="8"/>
      <c r="K38" s="8"/>
      <c r="L38" s="8"/>
      <c r="M38" s="8" t="str">
        <f t="shared" si="18"/>
        <v>70034,70034,70034,70034</v>
      </c>
      <c r="N38" s="42">
        <f t="shared" si="19"/>
        <v>0.4</v>
      </c>
      <c r="O38" s="42">
        <f t="shared" si="13"/>
        <v>7035</v>
      </c>
      <c r="P38" s="54">
        <v>700.0</v>
      </c>
      <c r="Q38" s="54">
        <v>700.0</v>
      </c>
      <c r="R38" s="54"/>
    </row>
    <row r="39" ht="14.25" customHeight="1">
      <c r="A39" s="8">
        <v>70036.0</v>
      </c>
      <c r="B39" s="42" t="s">
        <v>3097</v>
      </c>
      <c r="C39" s="17" t="s">
        <v>1330</v>
      </c>
      <c r="D39" s="42" t="s">
        <v>11</v>
      </c>
      <c r="E39" s="8"/>
      <c r="F39" s="8"/>
      <c r="G39" s="8"/>
      <c r="H39" s="8"/>
      <c r="I39" s="42">
        <f t="shared" si="20"/>
        <v>80</v>
      </c>
      <c r="J39" s="8"/>
      <c r="K39" s="8"/>
      <c r="L39" s="8"/>
      <c r="M39" s="8" t="str">
        <f t="shared" si="18"/>
        <v>70035,70035,70035,70035</v>
      </c>
      <c r="N39" s="42">
        <f t="shared" si="19"/>
        <v>0.2</v>
      </c>
      <c r="O39" s="42">
        <f t="shared" si="13"/>
        <v>7036</v>
      </c>
      <c r="P39" s="54">
        <v>700.0</v>
      </c>
      <c r="Q39" s="54">
        <v>700.0</v>
      </c>
      <c r="R39" s="54"/>
    </row>
    <row r="40" ht="14.25" customHeight="1">
      <c r="A40" s="8">
        <v>70037.0</v>
      </c>
      <c r="B40" s="42" t="s">
        <v>3097</v>
      </c>
      <c r="C40" s="17" t="s">
        <v>1336</v>
      </c>
      <c r="D40" s="42" t="s">
        <v>11</v>
      </c>
      <c r="E40" s="8"/>
      <c r="F40" s="8"/>
      <c r="G40" s="8"/>
      <c r="H40" s="8"/>
      <c r="I40" s="42">
        <f t="shared" si="20"/>
        <v>100</v>
      </c>
      <c r="J40" s="8"/>
      <c r="K40" s="8"/>
      <c r="L40" s="8"/>
      <c r="M40" s="8" t="str">
        <f t="shared" si="18"/>
        <v>70036,70036,70036,70036</v>
      </c>
      <c r="N40" s="42">
        <v>0.2</v>
      </c>
      <c r="O40" s="42">
        <f t="shared" si="13"/>
        <v>7037</v>
      </c>
      <c r="P40" s="54">
        <v>700.0</v>
      </c>
      <c r="Q40" s="54">
        <v>700.0</v>
      </c>
      <c r="R40" s="54"/>
    </row>
    <row r="41" ht="14.25" customHeight="1">
      <c r="A41" s="8">
        <v>70038.0</v>
      </c>
      <c r="B41" s="42" t="s">
        <v>3097</v>
      </c>
      <c r="C41" s="17" t="s">
        <v>1340</v>
      </c>
      <c r="D41" s="42" t="s">
        <v>8</v>
      </c>
      <c r="E41" s="8"/>
      <c r="F41" s="8"/>
      <c r="G41" s="8"/>
      <c r="H41" s="8"/>
      <c r="I41" s="42">
        <f t="shared" ref="I41:I43" si="21">I40+45</f>
        <v>145</v>
      </c>
      <c r="J41" s="8"/>
      <c r="K41" s="8"/>
      <c r="L41" s="8"/>
      <c r="M41" s="8" t="str">
        <f t="shared" si="18"/>
        <v>70037,70037,70037,70037</v>
      </c>
      <c r="N41" s="42">
        <v>0.2</v>
      </c>
      <c r="O41" s="42">
        <f t="shared" si="13"/>
        <v>7038</v>
      </c>
      <c r="P41" s="54">
        <v>700.0</v>
      </c>
      <c r="Q41" s="54">
        <v>700.0</v>
      </c>
      <c r="R41" s="54"/>
    </row>
    <row r="42" ht="14.25" customHeight="1">
      <c r="A42" s="8">
        <v>70039.0</v>
      </c>
      <c r="B42" s="42" t="s">
        <v>3097</v>
      </c>
      <c r="C42" s="17" t="s">
        <v>1346</v>
      </c>
      <c r="D42" s="42" t="s">
        <v>8</v>
      </c>
      <c r="E42" s="8"/>
      <c r="F42" s="8"/>
      <c r="G42" s="8"/>
      <c r="H42" s="8"/>
      <c r="I42" s="42">
        <f t="shared" si="21"/>
        <v>190</v>
      </c>
      <c r="J42" s="8"/>
      <c r="K42" s="8"/>
      <c r="L42" s="8"/>
      <c r="M42" s="8" t="str">
        <f t="shared" si="18"/>
        <v>70038,70038,70038,70038</v>
      </c>
      <c r="N42" s="42">
        <v>0.2</v>
      </c>
      <c r="O42" s="42">
        <f t="shared" si="13"/>
        <v>7039</v>
      </c>
      <c r="P42" s="54">
        <v>700.0</v>
      </c>
      <c r="Q42" s="54">
        <v>700.0</v>
      </c>
      <c r="R42" s="54"/>
    </row>
    <row r="43" ht="14.25" customHeight="1">
      <c r="A43" s="8">
        <v>70040.0</v>
      </c>
      <c r="B43" s="42" t="s">
        <v>3097</v>
      </c>
      <c r="C43" s="17" t="s">
        <v>1352</v>
      </c>
      <c r="D43" s="42" t="s">
        <v>8</v>
      </c>
      <c r="E43" s="8"/>
      <c r="F43" s="8"/>
      <c r="G43" s="8"/>
      <c r="H43" s="8"/>
      <c r="I43" s="42">
        <f t="shared" si="21"/>
        <v>235</v>
      </c>
      <c r="J43" s="8"/>
      <c r="K43" s="8"/>
      <c r="L43" s="8"/>
      <c r="M43" s="8" t="str">
        <f t="shared" si="18"/>
        <v>70039,70039,70039,70039</v>
      </c>
      <c r="N43" s="42">
        <v>0.2</v>
      </c>
      <c r="O43" s="42">
        <f t="shared" si="13"/>
        <v>7040</v>
      </c>
      <c r="P43" s="54">
        <v>700.0</v>
      </c>
      <c r="Q43" s="54">
        <v>700.0</v>
      </c>
      <c r="R43" s="54"/>
    </row>
    <row r="44" ht="14.25" customHeight="1">
      <c r="A44" s="8">
        <v>70041.0</v>
      </c>
      <c r="B44" s="42" t="s">
        <v>3097</v>
      </c>
      <c r="C44" s="17" t="s">
        <v>1358</v>
      </c>
      <c r="D44" s="42" t="s">
        <v>15</v>
      </c>
      <c r="E44" s="8"/>
      <c r="F44" s="8"/>
      <c r="G44" s="8"/>
      <c r="H44" s="8"/>
      <c r="I44" s="8"/>
      <c r="J44" s="8"/>
      <c r="K44" s="42">
        <v>30.0</v>
      </c>
      <c r="L44" s="8"/>
      <c r="M44" s="8"/>
      <c r="N44" s="42"/>
      <c r="O44" s="42">
        <f t="shared" si="13"/>
        <v>7041</v>
      </c>
      <c r="P44" s="54">
        <v>701.0</v>
      </c>
      <c r="Q44" s="54">
        <v>701.0</v>
      </c>
      <c r="R44" s="54"/>
    </row>
    <row r="45" ht="14.25" customHeight="1">
      <c r="A45" s="8">
        <v>70042.0</v>
      </c>
      <c r="B45" s="42" t="s">
        <v>3097</v>
      </c>
      <c r="C45" s="17" t="s">
        <v>1367</v>
      </c>
      <c r="D45" s="42" t="s">
        <v>15</v>
      </c>
      <c r="E45" s="8"/>
      <c r="F45" s="8"/>
      <c r="G45" s="8"/>
      <c r="H45" s="8"/>
      <c r="I45" s="8"/>
      <c r="J45" s="8"/>
      <c r="K45" s="42">
        <f t="shared" ref="K45:K47" si="22">K44+31</f>
        <v>61</v>
      </c>
      <c r="L45" s="8"/>
      <c r="M45" s="8" t="str">
        <f t="shared" ref="M45:M53" si="23">A44&amp;","&amp;A44&amp;","&amp;A44&amp;","&amp;A44</f>
        <v>70041,70041,70041,70041</v>
      </c>
      <c r="N45" s="42">
        <v>0.9</v>
      </c>
      <c r="O45" s="42">
        <f t="shared" si="13"/>
        <v>7042</v>
      </c>
      <c r="P45" s="54">
        <v>701.0</v>
      </c>
      <c r="Q45" s="54">
        <v>701.0</v>
      </c>
      <c r="R45" s="54"/>
    </row>
    <row r="46" ht="14.25" customHeight="1">
      <c r="A46" s="8">
        <v>70043.0</v>
      </c>
      <c r="B46" s="42" t="s">
        <v>3097</v>
      </c>
      <c r="C46" s="17" t="s">
        <v>1375</v>
      </c>
      <c r="D46" s="42" t="s">
        <v>15</v>
      </c>
      <c r="E46" s="8"/>
      <c r="F46" s="8"/>
      <c r="G46" s="8"/>
      <c r="H46" s="8"/>
      <c r="I46" s="8"/>
      <c r="J46" s="8"/>
      <c r="K46" s="42">
        <f t="shared" si="22"/>
        <v>92</v>
      </c>
      <c r="L46" s="8"/>
      <c r="M46" s="8" t="str">
        <f t="shared" si="23"/>
        <v>70042,70042,70042,70042</v>
      </c>
      <c r="N46" s="42">
        <v>0.8</v>
      </c>
      <c r="O46" s="42">
        <f t="shared" si="13"/>
        <v>7043</v>
      </c>
      <c r="P46" s="54">
        <v>701.0</v>
      </c>
      <c r="Q46" s="54">
        <v>701.0</v>
      </c>
      <c r="R46" s="54"/>
    </row>
    <row r="47" ht="14.25" customHeight="1">
      <c r="A47" s="8">
        <v>70044.0</v>
      </c>
      <c r="B47" s="42" t="s">
        <v>3097</v>
      </c>
      <c r="C47" s="17" t="s">
        <v>1382</v>
      </c>
      <c r="D47" s="42" t="s">
        <v>11</v>
      </c>
      <c r="E47" s="8"/>
      <c r="F47" s="8"/>
      <c r="G47" s="8"/>
      <c r="H47" s="8"/>
      <c r="I47" s="8"/>
      <c r="J47" s="8"/>
      <c r="K47" s="42">
        <f t="shared" si="22"/>
        <v>123</v>
      </c>
      <c r="L47" s="8"/>
      <c r="M47" s="8" t="str">
        <f t="shared" si="23"/>
        <v>70043,70043,70043,70043</v>
      </c>
      <c r="N47" s="42">
        <f t="shared" ref="N47:N49" si="24">N46-0.2</f>
        <v>0.6</v>
      </c>
      <c r="O47" s="42">
        <f t="shared" si="13"/>
        <v>7044</v>
      </c>
      <c r="P47" s="54">
        <v>701.0</v>
      </c>
      <c r="Q47" s="54">
        <v>701.0</v>
      </c>
      <c r="R47" s="54"/>
    </row>
    <row r="48" ht="14.25" customHeight="1">
      <c r="A48" s="8">
        <v>70045.0</v>
      </c>
      <c r="B48" s="42" t="s">
        <v>3097</v>
      </c>
      <c r="C48" s="17" t="s">
        <v>1388</v>
      </c>
      <c r="D48" s="42" t="s">
        <v>11</v>
      </c>
      <c r="E48" s="8"/>
      <c r="F48" s="8"/>
      <c r="G48" s="8"/>
      <c r="H48" s="8"/>
      <c r="I48" s="8"/>
      <c r="J48" s="8"/>
      <c r="K48" s="42">
        <f t="shared" ref="K48:K49" si="25">K47+42</f>
        <v>165</v>
      </c>
      <c r="L48" s="8"/>
      <c r="M48" s="8" t="str">
        <f t="shared" si="23"/>
        <v>70044,70044,70044,70044</v>
      </c>
      <c r="N48" s="42">
        <f t="shared" si="24"/>
        <v>0.4</v>
      </c>
      <c r="O48" s="42">
        <f t="shared" si="13"/>
        <v>7045</v>
      </c>
      <c r="P48" s="54">
        <v>701.0</v>
      </c>
      <c r="Q48" s="54">
        <v>701.0</v>
      </c>
      <c r="R48" s="54"/>
    </row>
    <row r="49" ht="14.25" customHeight="1">
      <c r="A49" s="8">
        <v>70046.0</v>
      </c>
      <c r="B49" s="42" t="s">
        <v>3097</v>
      </c>
      <c r="C49" s="17" t="s">
        <v>1396</v>
      </c>
      <c r="D49" s="42" t="s">
        <v>11</v>
      </c>
      <c r="E49" s="8"/>
      <c r="F49" s="8"/>
      <c r="G49" s="8"/>
      <c r="H49" s="8"/>
      <c r="I49" s="8"/>
      <c r="J49" s="8"/>
      <c r="K49" s="42">
        <f t="shared" si="25"/>
        <v>207</v>
      </c>
      <c r="L49" s="8"/>
      <c r="M49" s="8" t="str">
        <f t="shared" si="23"/>
        <v>70045,70045,70045,70045</v>
      </c>
      <c r="N49" s="42">
        <f t="shared" si="24"/>
        <v>0.2</v>
      </c>
      <c r="O49" s="42">
        <f t="shared" si="13"/>
        <v>7046</v>
      </c>
      <c r="P49" s="54">
        <v>701.0</v>
      </c>
      <c r="Q49" s="54">
        <v>701.0</v>
      </c>
      <c r="R49" s="54"/>
    </row>
    <row r="50" ht="14.25" customHeight="1">
      <c r="A50" s="8">
        <v>70047.0</v>
      </c>
      <c r="B50" s="42" t="s">
        <v>3097</v>
      </c>
      <c r="C50" s="17" t="s">
        <v>1401</v>
      </c>
      <c r="D50" s="42" t="s">
        <v>11</v>
      </c>
      <c r="E50" s="8"/>
      <c r="F50" s="8"/>
      <c r="G50" s="8"/>
      <c r="H50" s="8"/>
      <c r="I50" s="8"/>
      <c r="J50" s="8"/>
      <c r="K50" s="42">
        <v>250.0</v>
      </c>
      <c r="L50" s="8"/>
      <c r="M50" s="8" t="str">
        <f t="shared" si="23"/>
        <v>70046,70046,70046,70046</v>
      </c>
      <c r="N50" s="42">
        <v>0.2</v>
      </c>
      <c r="O50" s="42">
        <f t="shared" si="13"/>
        <v>7047</v>
      </c>
      <c r="P50" s="54">
        <v>701.0</v>
      </c>
      <c r="Q50" s="54">
        <v>701.0</v>
      </c>
      <c r="R50" s="54"/>
    </row>
    <row r="51" ht="14.25" customHeight="1">
      <c r="A51" s="8">
        <v>70048.0</v>
      </c>
      <c r="B51" s="42" t="s">
        <v>3097</v>
      </c>
      <c r="C51" s="17" t="s">
        <v>1406</v>
      </c>
      <c r="D51" s="42" t="s">
        <v>8</v>
      </c>
      <c r="E51" s="8"/>
      <c r="F51" s="8"/>
      <c r="G51" s="8"/>
      <c r="H51" s="8"/>
      <c r="I51" s="8"/>
      <c r="J51" s="8"/>
      <c r="K51" s="42">
        <v>300.0</v>
      </c>
      <c r="L51" s="8"/>
      <c r="M51" s="8" t="str">
        <f t="shared" si="23"/>
        <v>70047,70047,70047,70047</v>
      </c>
      <c r="N51" s="42">
        <v>0.2</v>
      </c>
      <c r="O51" s="42">
        <f t="shared" si="13"/>
        <v>7048</v>
      </c>
      <c r="P51" s="54">
        <v>701.0</v>
      </c>
      <c r="Q51" s="54">
        <v>701.0</v>
      </c>
      <c r="R51" s="54"/>
    </row>
    <row r="52" ht="14.25" customHeight="1">
      <c r="A52" s="8">
        <v>70049.0</v>
      </c>
      <c r="B52" s="42" t="s">
        <v>3097</v>
      </c>
      <c r="C52" s="17" t="s">
        <v>1411</v>
      </c>
      <c r="D52" s="42" t="s">
        <v>8</v>
      </c>
      <c r="E52" s="8"/>
      <c r="F52" s="8"/>
      <c r="G52" s="8"/>
      <c r="H52" s="8"/>
      <c r="I52" s="8"/>
      <c r="J52" s="8"/>
      <c r="K52" s="42">
        <v>350.0</v>
      </c>
      <c r="L52" s="8"/>
      <c r="M52" s="8" t="str">
        <f t="shared" si="23"/>
        <v>70048,70048,70048,70048</v>
      </c>
      <c r="N52" s="42">
        <v>0.2</v>
      </c>
      <c r="O52" s="42">
        <f t="shared" si="13"/>
        <v>7049</v>
      </c>
      <c r="P52" s="54">
        <v>701.0</v>
      </c>
      <c r="Q52" s="54">
        <v>701.0</v>
      </c>
      <c r="R52" s="54"/>
    </row>
    <row r="53" ht="14.25" customHeight="1">
      <c r="A53" s="8">
        <v>70050.0</v>
      </c>
      <c r="B53" s="42" t="s">
        <v>3097</v>
      </c>
      <c r="C53" s="17" t="s">
        <v>1420</v>
      </c>
      <c r="D53" s="42" t="s">
        <v>8</v>
      </c>
      <c r="E53" s="8"/>
      <c r="F53" s="8"/>
      <c r="G53" s="8"/>
      <c r="H53" s="8"/>
      <c r="I53" s="8"/>
      <c r="J53" s="8"/>
      <c r="K53" s="42">
        <v>400.0</v>
      </c>
      <c r="L53" s="8"/>
      <c r="M53" s="8" t="str">
        <f t="shared" si="23"/>
        <v>70049,70049,70049,70049</v>
      </c>
      <c r="N53" s="42">
        <v>0.2</v>
      </c>
      <c r="O53" s="42">
        <f t="shared" si="13"/>
        <v>7050</v>
      </c>
      <c r="P53" s="54">
        <v>701.0</v>
      </c>
      <c r="Q53" s="54">
        <v>701.0</v>
      </c>
      <c r="R53" s="54"/>
    </row>
    <row r="54" ht="14.25" customHeight="1">
      <c r="A54" s="8">
        <v>70051.0</v>
      </c>
      <c r="B54" s="42" t="s">
        <v>3097</v>
      </c>
      <c r="C54" s="17" t="s">
        <v>1426</v>
      </c>
      <c r="D54" s="42" t="s">
        <v>15</v>
      </c>
      <c r="E54" s="8"/>
      <c r="F54" s="8">
        <f t="shared" ref="F54:F63" si="26">ROUND(K44*2.2,0)</f>
        <v>66</v>
      </c>
      <c r="G54" s="8"/>
      <c r="H54" s="8"/>
      <c r="I54" s="42"/>
      <c r="J54" s="42"/>
      <c r="K54" s="8"/>
      <c r="L54" s="8"/>
      <c r="M54" s="8"/>
      <c r="N54" s="42"/>
      <c r="O54" s="42">
        <f t="shared" si="13"/>
        <v>7051</v>
      </c>
      <c r="P54" s="54">
        <v>701.0</v>
      </c>
      <c r="Q54" s="54">
        <v>701.0</v>
      </c>
      <c r="R54" s="54"/>
    </row>
    <row r="55" ht="14.25" customHeight="1">
      <c r="A55" s="8">
        <v>70052.0</v>
      </c>
      <c r="B55" s="42" t="s">
        <v>3097</v>
      </c>
      <c r="C55" s="17" t="s">
        <v>1433</v>
      </c>
      <c r="D55" s="42" t="s">
        <v>15</v>
      </c>
      <c r="E55" s="8"/>
      <c r="F55" s="8">
        <f t="shared" si="26"/>
        <v>134</v>
      </c>
      <c r="G55" s="8"/>
      <c r="H55" s="8"/>
      <c r="I55" s="42"/>
      <c r="J55" s="42"/>
      <c r="K55" s="8"/>
      <c r="L55" s="8"/>
      <c r="M55" s="8" t="str">
        <f t="shared" ref="M55:M63" si="27">A54&amp;","&amp;A54&amp;","&amp;A54&amp;","&amp;A54</f>
        <v>70051,70051,70051,70051</v>
      </c>
      <c r="N55" s="42">
        <v>0.9</v>
      </c>
      <c r="O55" s="42">
        <f t="shared" si="13"/>
        <v>7052</v>
      </c>
      <c r="P55" s="54">
        <v>701.0</v>
      </c>
      <c r="Q55" s="54">
        <v>701.0</v>
      </c>
      <c r="R55" s="54"/>
    </row>
    <row r="56" ht="14.25" customHeight="1">
      <c r="A56" s="8">
        <v>70053.0</v>
      </c>
      <c r="B56" s="42" t="s">
        <v>3097</v>
      </c>
      <c r="C56" s="17" t="s">
        <v>1441</v>
      </c>
      <c r="D56" s="42" t="s">
        <v>15</v>
      </c>
      <c r="E56" s="8"/>
      <c r="F56" s="8">
        <f t="shared" si="26"/>
        <v>202</v>
      </c>
      <c r="G56" s="8"/>
      <c r="H56" s="8"/>
      <c r="I56" s="42"/>
      <c r="J56" s="42"/>
      <c r="K56" s="8"/>
      <c r="L56" s="8"/>
      <c r="M56" s="8" t="str">
        <f t="shared" si="27"/>
        <v>70052,70052,70052,70052</v>
      </c>
      <c r="N56" s="42">
        <v>0.8</v>
      </c>
      <c r="O56" s="42">
        <f t="shared" si="13"/>
        <v>7053</v>
      </c>
      <c r="P56" s="54">
        <v>701.0</v>
      </c>
      <c r="Q56" s="54">
        <v>701.0</v>
      </c>
      <c r="R56" s="54"/>
    </row>
    <row r="57" ht="14.25" customHeight="1">
      <c r="A57" s="8">
        <v>70054.0</v>
      </c>
      <c r="B57" s="42" t="s">
        <v>3097</v>
      </c>
      <c r="C57" s="17" t="s">
        <v>1445</v>
      </c>
      <c r="D57" s="42" t="s">
        <v>11</v>
      </c>
      <c r="E57" s="8"/>
      <c r="F57" s="8">
        <f t="shared" si="26"/>
        <v>271</v>
      </c>
      <c r="G57" s="8"/>
      <c r="H57" s="8"/>
      <c r="I57" s="42"/>
      <c r="J57" s="42"/>
      <c r="K57" s="8"/>
      <c r="L57" s="8"/>
      <c r="M57" s="8" t="str">
        <f t="shared" si="27"/>
        <v>70053,70053,70053,70053</v>
      </c>
      <c r="N57" s="42">
        <f t="shared" ref="N57:N59" si="28">N56-0.2</f>
        <v>0.6</v>
      </c>
      <c r="O57" s="42">
        <f t="shared" si="13"/>
        <v>7054</v>
      </c>
      <c r="P57" s="54">
        <v>701.0</v>
      </c>
      <c r="Q57" s="54">
        <v>701.0</v>
      </c>
      <c r="R57" s="54"/>
    </row>
    <row r="58" ht="14.25" customHeight="1">
      <c r="A58" s="8">
        <v>70055.0</v>
      </c>
      <c r="B58" s="42" t="s">
        <v>3097</v>
      </c>
      <c r="C58" s="17" t="s">
        <v>1447</v>
      </c>
      <c r="D58" s="42" t="s">
        <v>11</v>
      </c>
      <c r="E58" s="8"/>
      <c r="F58" s="8">
        <f t="shared" si="26"/>
        <v>363</v>
      </c>
      <c r="G58" s="8"/>
      <c r="H58" s="8"/>
      <c r="I58" s="42"/>
      <c r="J58" s="42"/>
      <c r="K58" s="8"/>
      <c r="L58" s="8"/>
      <c r="M58" s="8" t="str">
        <f t="shared" si="27"/>
        <v>70054,70054,70054,70054</v>
      </c>
      <c r="N58" s="42">
        <f t="shared" si="28"/>
        <v>0.4</v>
      </c>
      <c r="O58" s="42">
        <f t="shared" si="13"/>
        <v>7055</v>
      </c>
      <c r="P58" s="54">
        <v>701.0</v>
      </c>
      <c r="Q58" s="54">
        <v>701.0</v>
      </c>
      <c r="R58" s="54"/>
    </row>
    <row r="59" ht="14.25" customHeight="1">
      <c r="A59" s="8">
        <v>70056.0</v>
      </c>
      <c r="B59" s="42" t="s">
        <v>3097</v>
      </c>
      <c r="C59" s="17" t="s">
        <v>1457</v>
      </c>
      <c r="D59" s="42" t="s">
        <v>11</v>
      </c>
      <c r="E59" s="8"/>
      <c r="F59" s="8">
        <f t="shared" si="26"/>
        <v>455</v>
      </c>
      <c r="G59" s="8"/>
      <c r="H59" s="8"/>
      <c r="I59" s="42"/>
      <c r="J59" s="42"/>
      <c r="K59" s="8"/>
      <c r="L59" s="8"/>
      <c r="M59" s="8" t="str">
        <f t="shared" si="27"/>
        <v>70055,70055,70055,70055</v>
      </c>
      <c r="N59" s="42">
        <f t="shared" si="28"/>
        <v>0.2</v>
      </c>
      <c r="O59" s="42">
        <f t="shared" si="13"/>
        <v>7056</v>
      </c>
      <c r="P59" s="54">
        <v>701.0</v>
      </c>
      <c r="Q59" s="54">
        <v>701.0</v>
      </c>
      <c r="R59" s="54"/>
    </row>
    <row r="60" ht="14.25" customHeight="1">
      <c r="A60" s="8">
        <v>70057.0</v>
      </c>
      <c r="B60" s="42" t="s">
        <v>3097</v>
      </c>
      <c r="C60" s="17" t="s">
        <v>1467</v>
      </c>
      <c r="D60" s="42" t="s">
        <v>11</v>
      </c>
      <c r="E60" s="8"/>
      <c r="F60" s="8">
        <f t="shared" si="26"/>
        <v>550</v>
      </c>
      <c r="G60" s="8"/>
      <c r="H60" s="8"/>
      <c r="I60" s="42"/>
      <c r="J60" s="42"/>
      <c r="K60" s="8"/>
      <c r="L60" s="8"/>
      <c r="M60" s="8" t="str">
        <f t="shared" si="27"/>
        <v>70056,70056,70056,70056</v>
      </c>
      <c r="N60" s="42">
        <v>0.2</v>
      </c>
      <c r="O60" s="42">
        <f t="shared" si="13"/>
        <v>7057</v>
      </c>
      <c r="P60" s="54">
        <v>701.0</v>
      </c>
      <c r="Q60" s="54">
        <v>701.0</v>
      </c>
      <c r="R60" s="54"/>
    </row>
    <row r="61" ht="14.25" customHeight="1">
      <c r="A61" s="8">
        <v>70058.0</v>
      </c>
      <c r="B61" s="42" t="s">
        <v>3097</v>
      </c>
      <c r="C61" s="17" t="s">
        <v>1472</v>
      </c>
      <c r="D61" s="42" t="s">
        <v>8</v>
      </c>
      <c r="E61" s="8"/>
      <c r="F61" s="8">
        <f t="shared" si="26"/>
        <v>660</v>
      </c>
      <c r="G61" s="8"/>
      <c r="H61" s="8"/>
      <c r="I61" s="42"/>
      <c r="J61" s="42"/>
      <c r="K61" s="8"/>
      <c r="L61" s="8"/>
      <c r="M61" s="8" t="str">
        <f t="shared" si="27"/>
        <v>70057,70057,70057,70057</v>
      </c>
      <c r="N61" s="42">
        <v>0.2</v>
      </c>
      <c r="O61" s="42">
        <f t="shared" si="13"/>
        <v>7058</v>
      </c>
      <c r="P61" s="54">
        <v>701.0</v>
      </c>
      <c r="Q61" s="54">
        <v>701.0</v>
      </c>
      <c r="R61" s="54"/>
    </row>
    <row r="62" ht="14.25" customHeight="1">
      <c r="A62" s="8">
        <v>70059.0</v>
      </c>
      <c r="B62" s="42" t="s">
        <v>3097</v>
      </c>
      <c r="C62" s="17" t="s">
        <v>1480</v>
      </c>
      <c r="D62" s="42" t="s">
        <v>8</v>
      </c>
      <c r="E62" s="8"/>
      <c r="F62" s="8">
        <f t="shared" si="26"/>
        <v>770</v>
      </c>
      <c r="G62" s="8"/>
      <c r="H62" s="8"/>
      <c r="I62" s="42"/>
      <c r="J62" s="42"/>
      <c r="K62" s="8"/>
      <c r="L62" s="8"/>
      <c r="M62" s="8" t="str">
        <f t="shared" si="27"/>
        <v>70058,70058,70058,70058</v>
      </c>
      <c r="N62" s="42">
        <v>0.2</v>
      </c>
      <c r="O62" s="42">
        <f t="shared" si="13"/>
        <v>7059</v>
      </c>
      <c r="P62" s="54">
        <v>701.0</v>
      </c>
      <c r="Q62" s="54">
        <v>701.0</v>
      </c>
      <c r="R62" s="54"/>
    </row>
    <row r="63" ht="14.25" customHeight="1">
      <c r="A63" s="8">
        <v>70060.0</v>
      </c>
      <c r="B63" s="42" t="s">
        <v>3097</v>
      </c>
      <c r="C63" s="17" t="s">
        <v>1487</v>
      </c>
      <c r="D63" s="42" t="s">
        <v>8</v>
      </c>
      <c r="E63" s="8"/>
      <c r="F63" s="8">
        <f t="shared" si="26"/>
        <v>880</v>
      </c>
      <c r="G63" s="8"/>
      <c r="H63" s="8"/>
      <c r="I63" s="42"/>
      <c r="J63" s="42"/>
      <c r="K63" s="8"/>
      <c r="L63" s="8"/>
      <c r="M63" s="8" t="str">
        <f t="shared" si="27"/>
        <v>70059,70059,70059,70059</v>
      </c>
      <c r="N63" s="42">
        <v>0.2</v>
      </c>
      <c r="O63" s="42">
        <f t="shared" si="13"/>
        <v>7060</v>
      </c>
      <c r="P63" s="54">
        <v>701.0</v>
      </c>
      <c r="Q63" s="54">
        <v>701.0</v>
      </c>
      <c r="R63" s="54"/>
    </row>
    <row r="64" ht="14.25" customHeight="1">
      <c r="A64" s="8">
        <v>70061.0</v>
      </c>
      <c r="B64" s="42" t="s">
        <v>3097</v>
      </c>
      <c r="C64" s="17" t="s">
        <v>1494</v>
      </c>
      <c r="D64" s="42" t="s">
        <v>15</v>
      </c>
      <c r="E64" s="8"/>
      <c r="F64" s="8"/>
      <c r="G64" s="8"/>
      <c r="H64" s="8"/>
      <c r="I64" s="8">
        <v>5.0</v>
      </c>
      <c r="J64" s="8">
        <v>5.0</v>
      </c>
      <c r="K64" s="42"/>
      <c r="L64" s="8"/>
      <c r="M64" s="8"/>
      <c r="N64" s="42"/>
      <c r="O64" s="42">
        <f t="shared" si="13"/>
        <v>7061</v>
      </c>
      <c r="P64" s="54">
        <v>702.0</v>
      </c>
      <c r="Q64" s="54">
        <v>702.0</v>
      </c>
      <c r="R64" s="54"/>
    </row>
    <row r="65" ht="14.25" customHeight="1">
      <c r="A65" s="8">
        <v>70062.0</v>
      </c>
      <c r="B65" s="42" t="s">
        <v>3097</v>
      </c>
      <c r="C65" s="17" t="s">
        <v>1505</v>
      </c>
      <c r="D65" s="42" t="s">
        <v>15</v>
      </c>
      <c r="E65" s="8"/>
      <c r="F65" s="8"/>
      <c r="G65" s="8"/>
      <c r="H65" s="8"/>
      <c r="I65" s="8">
        <v>10.0</v>
      </c>
      <c r="J65" s="8">
        <v>10.0</v>
      </c>
      <c r="K65" s="42"/>
      <c r="L65" s="8"/>
      <c r="M65" s="8" t="str">
        <f t="shared" ref="M65:M73" si="29">A64&amp;","&amp;A64&amp;","&amp;A64&amp;","&amp;A64</f>
        <v>70061,70061,70061,70061</v>
      </c>
      <c r="N65" s="42">
        <v>0.9</v>
      </c>
      <c r="O65" s="42">
        <f t="shared" si="13"/>
        <v>7062</v>
      </c>
      <c r="P65" s="54">
        <v>702.0</v>
      </c>
      <c r="Q65" s="54">
        <v>702.0</v>
      </c>
      <c r="R65" s="54"/>
    </row>
    <row r="66" ht="14.25" customHeight="1">
      <c r="A66" s="8">
        <v>70063.0</v>
      </c>
      <c r="B66" s="42" t="s">
        <v>3097</v>
      </c>
      <c r="C66" s="17" t="s">
        <v>1509</v>
      </c>
      <c r="D66" s="42" t="s">
        <v>15</v>
      </c>
      <c r="E66" s="8"/>
      <c r="F66" s="8"/>
      <c r="G66" s="8"/>
      <c r="H66" s="8"/>
      <c r="I66" s="8">
        <v>15.0</v>
      </c>
      <c r="J66" s="8">
        <v>15.0</v>
      </c>
      <c r="K66" s="42"/>
      <c r="L66" s="8"/>
      <c r="M66" s="8" t="str">
        <f t="shared" si="29"/>
        <v>70062,70062,70062,70062</v>
      </c>
      <c r="N66" s="42">
        <v>0.8</v>
      </c>
      <c r="O66" s="42">
        <f t="shared" si="13"/>
        <v>7063</v>
      </c>
      <c r="P66" s="54">
        <v>702.0</v>
      </c>
      <c r="Q66" s="54">
        <v>702.0</v>
      </c>
      <c r="R66" s="54"/>
    </row>
    <row r="67" ht="14.25" customHeight="1">
      <c r="A67" s="8">
        <v>70064.0</v>
      </c>
      <c r="B67" s="42" t="s">
        <v>3097</v>
      </c>
      <c r="C67" s="17" t="s">
        <v>1514</v>
      </c>
      <c r="D67" s="42" t="s">
        <v>11</v>
      </c>
      <c r="E67" s="8"/>
      <c r="F67" s="8"/>
      <c r="G67" s="8"/>
      <c r="H67" s="8"/>
      <c r="I67" s="8">
        <v>20.0</v>
      </c>
      <c r="J67" s="8">
        <v>20.0</v>
      </c>
      <c r="K67" s="42"/>
      <c r="L67" s="8"/>
      <c r="M67" s="8" t="str">
        <f t="shared" si="29"/>
        <v>70063,70063,70063,70063</v>
      </c>
      <c r="N67" s="42">
        <f t="shared" ref="N67:N69" si="30">N66-0.2</f>
        <v>0.6</v>
      </c>
      <c r="O67" s="42">
        <f t="shared" si="13"/>
        <v>7064</v>
      </c>
      <c r="P67" s="54">
        <v>702.0</v>
      </c>
      <c r="Q67" s="54">
        <v>702.0</v>
      </c>
      <c r="R67" s="54"/>
    </row>
    <row r="68" ht="14.25" customHeight="1">
      <c r="A68" s="8">
        <v>70065.0</v>
      </c>
      <c r="B68" s="42" t="s">
        <v>3097</v>
      </c>
      <c r="C68" s="17" t="s">
        <v>1521</v>
      </c>
      <c r="D68" s="42" t="s">
        <v>11</v>
      </c>
      <c r="E68" s="8"/>
      <c r="F68" s="8"/>
      <c r="G68" s="8"/>
      <c r="H68" s="8"/>
      <c r="I68" s="8">
        <v>30.0</v>
      </c>
      <c r="J68" s="8">
        <v>30.0</v>
      </c>
      <c r="K68" s="42"/>
      <c r="L68" s="8"/>
      <c r="M68" s="8" t="str">
        <f t="shared" si="29"/>
        <v>70064,70064,70064,70064</v>
      </c>
      <c r="N68" s="42">
        <f t="shared" si="30"/>
        <v>0.4</v>
      </c>
      <c r="O68" s="42">
        <f t="shared" si="13"/>
        <v>7065</v>
      </c>
      <c r="P68" s="54">
        <v>702.0</v>
      </c>
      <c r="Q68" s="54">
        <v>702.0</v>
      </c>
      <c r="R68" s="54"/>
    </row>
    <row r="69" ht="14.25" customHeight="1">
      <c r="A69" s="8">
        <v>70066.0</v>
      </c>
      <c r="B69" s="42" t="s">
        <v>3097</v>
      </c>
      <c r="C69" s="17" t="s">
        <v>1530</v>
      </c>
      <c r="D69" s="42" t="s">
        <v>11</v>
      </c>
      <c r="E69" s="8"/>
      <c r="F69" s="8"/>
      <c r="G69" s="8"/>
      <c r="H69" s="8"/>
      <c r="I69" s="8">
        <v>40.0</v>
      </c>
      <c r="J69" s="8">
        <v>40.0</v>
      </c>
      <c r="K69" s="42"/>
      <c r="L69" s="8"/>
      <c r="M69" s="8" t="str">
        <f t="shared" si="29"/>
        <v>70065,70065,70065,70065</v>
      </c>
      <c r="N69" s="42">
        <f t="shared" si="30"/>
        <v>0.2</v>
      </c>
      <c r="O69" s="42">
        <f t="shared" si="13"/>
        <v>7066</v>
      </c>
      <c r="P69" s="54">
        <v>702.0</v>
      </c>
      <c r="Q69" s="54">
        <v>702.0</v>
      </c>
      <c r="R69" s="54"/>
    </row>
    <row r="70" ht="14.25" customHeight="1">
      <c r="A70" s="8">
        <v>70067.0</v>
      </c>
      <c r="B70" s="42" t="s">
        <v>3097</v>
      </c>
      <c r="C70" s="17" t="s">
        <v>1536</v>
      </c>
      <c r="D70" s="42" t="s">
        <v>11</v>
      </c>
      <c r="E70" s="8"/>
      <c r="F70" s="8"/>
      <c r="G70" s="8"/>
      <c r="H70" s="8"/>
      <c r="I70" s="8">
        <v>50.0</v>
      </c>
      <c r="J70" s="8">
        <v>50.0</v>
      </c>
      <c r="K70" s="42"/>
      <c r="L70" s="8"/>
      <c r="M70" s="8" t="str">
        <f t="shared" si="29"/>
        <v>70066,70066,70066,70066</v>
      </c>
      <c r="N70" s="42">
        <v>0.2</v>
      </c>
      <c r="O70" s="42">
        <f t="shared" si="13"/>
        <v>7067</v>
      </c>
      <c r="P70" s="54">
        <v>702.0</v>
      </c>
      <c r="Q70" s="54">
        <v>702.0</v>
      </c>
      <c r="R70" s="54"/>
    </row>
    <row r="71" ht="14.25" customHeight="1">
      <c r="A71" s="8">
        <v>70068.0</v>
      </c>
      <c r="B71" s="42" t="s">
        <v>3097</v>
      </c>
      <c r="C71" s="17" t="s">
        <v>1537</v>
      </c>
      <c r="D71" s="42" t="s">
        <v>8</v>
      </c>
      <c r="E71" s="8"/>
      <c r="F71" s="8"/>
      <c r="G71" s="8"/>
      <c r="H71" s="8"/>
      <c r="I71" s="8">
        <v>75.0</v>
      </c>
      <c r="J71" s="8">
        <v>75.0</v>
      </c>
      <c r="K71" s="42"/>
      <c r="L71" s="8"/>
      <c r="M71" s="8" t="str">
        <f t="shared" si="29"/>
        <v>70067,70067,70067,70067</v>
      </c>
      <c r="N71" s="42">
        <v>0.2</v>
      </c>
      <c r="O71" s="42">
        <f t="shared" si="13"/>
        <v>7068</v>
      </c>
      <c r="P71" s="54">
        <v>702.0</v>
      </c>
      <c r="Q71" s="54">
        <v>702.0</v>
      </c>
      <c r="R71" s="54"/>
    </row>
    <row r="72" ht="14.25" customHeight="1">
      <c r="A72" s="8">
        <v>70069.0</v>
      </c>
      <c r="B72" s="42" t="s">
        <v>3097</v>
      </c>
      <c r="C72" s="17" t="s">
        <v>1538</v>
      </c>
      <c r="D72" s="42" t="s">
        <v>8</v>
      </c>
      <c r="E72" s="8"/>
      <c r="F72" s="8"/>
      <c r="G72" s="8"/>
      <c r="H72" s="8"/>
      <c r="I72" s="8">
        <v>95.0</v>
      </c>
      <c r="J72" s="8">
        <v>95.0</v>
      </c>
      <c r="K72" s="42"/>
      <c r="L72" s="8"/>
      <c r="M72" s="8" t="str">
        <f t="shared" si="29"/>
        <v>70068,70068,70068,70068</v>
      </c>
      <c r="N72" s="42">
        <v>0.2</v>
      </c>
      <c r="O72" s="42">
        <f t="shared" si="13"/>
        <v>7069</v>
      </c>
      <c r="P72" s="54">
        <v>702.0</v>
      </c>
      <c r="Q72" s="54">
        <v>702.0</v>
      </c>
      <c r="R72" s="54"/>
    </row>
    <row r="73" ht="14.25" customHeight="1">
      <c r="A73" s="8">
        <v>70070.0</v>
      </c>
      <c r="B73" s="42" t="s">
        <v>3097</v>
      </c>
      <c r="C73" s="17" t="s">
        <v>1539</v>
      </c>
      <c r="D73" s="42" t="s">
        <v>8</v>
      </c>
      <c r="E73" s="8"/>
      <c r="F73" s="8"/>
      <c r="G73" s="8"/>
      <c r="H73" s="8"/>
      <c r="I73" s="8">
        <v>120.0</v>
      </c>
      <c r="J73" s="8">
        <v>120.0</v>
      </c>
      <c r="K73" s="42"/>
      <c r="L73" s="8"/>
      <c r="M73" s="8" t="str">
        <f t="shared" si="29"/>
        <v>70069,70069,70069,70069</v>
      </c>
      <c r="N73" s="42">
        <v>0.2</v>
      </c>
      <c r="O73" s="42">
        <f t="shared" si="13"/>
        <v>7070</v>
      </c>
      <c r="P73" s="54">
        <v>702.0</v>
      </c>
      <c r="Q73" s="54">
        <v>702.0</v>
      </c>
      <c r="R73" s="54"/>
    </row>
    <row r="74" ht="14.25" customHeight="1">
      <c r="A74" s="8">
        <v>70071.0</v>
      </c>
      <c r="B74" s="42" t="s">
        <v>3097</v>
      </c>
      <c r="C74" s="17" t="s">
        <v>1540</v>
      </c>
      <c r="D74" s="42" t="s">
        <v>15</v>
      </c>
      <c r="E74" s="8"/>
      <c r="F74" s="8">
        <v>35.0</v>
      </c>
      <c r="G74" s="8"/>
      <c r="H74" s="8"/>
      <c r="I74" s="42"/>
      <c r="J74" s="42"/>
      <c r="K74" s="8">
        <v>15.0</v>
      </c>
      <c r="L74" s="8"/>
      <c r="M74" s="8"/>
      <c r="N74" s="42"/>
      <c r="O74" s="42">
        <f t="shared" si="13"/>
        <v>7071</v>
      </c>
      <c r="P74" s="54">
        <v>702.0</v>
      </c>
      <c r="Q74" s="54">
        <v>702.0</v>
      </c>
      <c r="R74" s="54"/>
    </row>
    <row r="75" ht="14.25" customHeight="1">
      <c r="A75" s="8">
        <v>70072.0</v>
      </c>
      <c r="B75" s="42" t="s">
        <v>3097</v>
      </c>
      <c r="C75" s="17" t="s">
        <v>1544</v>
      </c>
      <c r="D75" s="42" t="s">
        <v>15</v>
      </c>
      <c r="E75" s="8"/>
      <c r="F75" s="8">
        <v>65.0</v>
      </c>
      <c r="G75" s="8"/>
      <c r="H75" s="8"/>
      <c r="I75" s="42"/>
      <c r="J75" s="42"/>
      <c r="K75" s="8">
        <v>30.0</v>
      </c>
      <c r="L75" s="8"/>
      <c r="M75" s="8" t="str">
        <f t="shared" ref="M75:M83" si="31">A74&amp;","&amp;A74&amp;","&amp;A74&amp;","&amp;A74</f>
        <v>70071,70071,70071,70071</v>
      </c>
      <c r="N75" s="42">
        <v>0.9</v>
      </c>
      <c r="O75" s="42">
        <f t="shared" si="13"/>
        <v>7072</v>
      </c>
      <c r="P75" s="54">
        <v>702.0</v>
      </c>
      <c r="Q75" s="54">
        <v>702.0</v>
      </c>
      <c r="R75" s="54"/>
    </row>
    <row r="76" ht="14.25" customHeight="1">
      <c r="A76" s="8">
        <v>70073.0</v>
      </c>
      <c r="B76" s="42" t="s">
        <v>3097</v>
      </c>
      <c r="C76" s="17" t="s">
        <v>1548</v>
      </c>
      <c r="D76" s="42" t="s">
        <v>15</v>
      </c>
      <c r="E76" s="8"/>
      <c r="F76" s="8">
        <v>100.0</v>
      </c>
      <c r="G76" s="8"/>
      <c r="H76" s="8"/>
      <c r="I76" s="42"/>
      <c r="J76" s="42"/>
      <c r="K76" s="8">
        <v>46.0</v>
      </c>
      <c r="L76" s="8"/>
      <c r="M76" s="8" t="str">
        <f t="shared" si="31"/>
        <v>70072,70072,70072,70072</v>
      </c>
      <c r="N76" s="42">
        <v>0.8</v>
      </c>
      <c r="O76" s="42">
        <f t="shared" si="13"/>
        <v>7073</v>
      </c>
      <c r="P76" s="54">
        <v>702.0</v>
      </c>
      <c r="Q76" s="54">
        <v>702.0</v>
      </c>
      <c r="R76" s="54"/>
    </row>
    <row r="77" ht="14.25" customHeight="1">
      <c r="A77" s="8">
        <v>70074.0</v>
      </c>
      <c r="B77" s="42" t="s">
        <v>3097</v>
      </c>
      <c r="C77" s="17" t="s">
        <v>1553</v>
      </c>
      <c r="D77" s="42" t="s">
        <v>11</v>
      </c>
      <c r="E77" s="8"/>
      <c r="F77" s="8">
        <v>135.0</v>
      </c>
      <c r="G77" s="8"/>
      <c r="H77" s="8"/>
      <c r="I77" s="42"/>
      <c r="J77" s="42"/>
      <c r="K77" s="8">
        <v>60.0</v>
      </c>
      <c r="L77" s="8"/>
      <c r="M77" s="8" t="str">
        <f t="shared" si="31"/>
        <v>70073,70073,70073,70073</v>
      </c>
      <c r="N77" s="42">
        <f t="shared" ref="N77:N79" si="32">N76-0.2</f>
        <v>0.6</v>
      </c>
      <c r="O77" s="42">
        <f t="shared" si="13"/>
        <v>7074</v>
      </c>
      <c r="P77" s="54">
        <v>702.0</v>
      </c>
      <c r="Q77" s="54">
        <v>702.0</v>
      </c>
      <c r="R77" s="54"/>
    </row>
    <row r="78" ht="14.25" customHeight="1">
      <c r="A78" s="8">
        <v>70075.0</v>
      </c>
      <c r="B78" s="42" t="s">
        <v>3097</v>
      </c>
      <c r="C78" s="17" t="s">
        <v>1558</v>
      </c>
      <c r="D78" s="42" t="s">
        <v>11</v>
      </c>
      <c r="E78" s="8"/>
      <c r="F78" s="8">
        <v>180.0</v>
      </c>
      <c r="G78" s="8"/>
      <c r="H78" s="8"/>
      <c r="I78" s="42"/>
      <c r="J78" s="42"/>
      <c r="K78" s="8">
        <v>80.0</v>
      </c>
      <c r="L78" s="8"/>
      <c r="M78" s="8" t="str">
        <f t="shared" si="31"/>
        <v>70074,70074,70074,70074</v>
      </c>
      <c r="N78" s="42">
        <f t="shared" si="32"/>
        <v>0.4</v>
      </c>
      <c r="O78" s="42">
        <f t="shared" si="13"/>
        <v>7075</v>
      </c>
      <c r="P78" s="54">
        <v>702.0</v>
      </c>
      <c r="Q78" s="54">
        <v>702.0</v>
      </c>
      <c r="R78" s="54"/>
    </row>
    <row r="79" ht="14.25" customHeight="1">
      <c r="A79" s="8">
        <v>70076.0</v>
      </c>
      <c r="B79" s="42" t="s">
        <v>3097</v>
      </c>
      <c r="C79" s="17" t="s">
        <v>1561</v>
      </c>
      <c r="D79" s="42" t="s">
        <v>11</v>
      </c>
      <c r="E79" s="8"/>
      <c r="F79" s="8">
        <v>220.0</v>
      </c>
      <c r="G79" s="8"/>
      <c r="H79" s="8"/>
      <c r="I79" s="42"/>
      <c r="J79" s="42"/>
      <c r="K79" s="8">
        <v>105.0</v>
      </c>
      <c r="L79" s="8"/>
      <c r="M79" s="8" t="str">
        <f t="shared" si="31"/>
        <v>70075,70075,70075,70075</v>
      </c>
      <c r="N79" s="42">
        <f t="shared" si="32"/>
        <v>0.2</v>
      </c>
      <c r="O79" s="42">
        <f t="shared" si="13"/>
        <v>7076</v>
      </c>
      <c r="P79" s="54">
        <v>702.0</v>
      </c>
      <c r="Q79" s="54">
        <v>702.0</v>
      </c>
      <c r="R79" s="54"/>
    </row>
    <row r="80" ht="14.25" customHeight="1">
      <c r="A80" s="8">
        <v>70077.0</v>
      </c>
      <c r="B80" s="42" t="s">
        <v>3097</v>
      </c>
      <c r="C80" s="17" t="s">
        <v>1565</v>
      </c>
      <c r="D80" s="42" t="s">
        <v>11</v>
      </c>
      <c r="E80" s="8"/>
      <c r="F80" s="8">
        <f t="shared" ref="F80:F83" si="33">F60/2</f>
        <v>275</v>
      </c>
      <c r="G80" s="8"/>
      <c r="H80" s="8"/>
      <c r="I80" s="42"/>
      <c r="J80" s="42"/>
      <c r="K80" s="8">
        <v>125.0</v>
      </c>
      <c r="L80" s="8"/>
      <c r="M80" s="8" t="str">
        <f t="shared" si="31"/>
        <v>70076,70076,70076,70076</v>
      </c>
      <c r="N80" s="42">
        <v>0.2</v>
      </c>
      <c r="O80" s="42">
        <f t="shared" si="13"/>
        <v>7077</v>
      </c>
      <c r="P80" s="54">
        <v>702.0</v>
      </c>
      <c r="Q80" s="54">
        <v>702.0</v>
      </c>
      <c r="R80" s="54"/>
    </row>
    <row r="81" ht="14.25" customHeight="1">
      <c r="A81" s="8">
        <v>70078.0</v>
      </c>
      <c r="B81" s="42" t="s">
        <v>3097</v>
      </c>
      <c r="C81" s="17" t="s">
        <v>1569</v>
      </c>
      <c r="D81" s="42" t="s">
        <v>8</v>
      </c>
      <c r="E81" s="8"/>
      <c r="F81" s="8">
        <f t="shared" si="33"/>
        <v>330</v>
      </c>
      <c r="G81" s="8"/>
      <c r="H81" s="8"/>
      <c r="I81" s="42"/>
      <c r="J81" s="42"/>
      <c r="K81" s="8">
        <v>150.0</v>
      </c>
      <c r="L81" s="8"/>
      <c r="M81" s="8" t="str">
        <f t="shared" si="31"/>
        <v>70077,70077,70077,70077</v>
      </c>
      <c r="N81" s="42">
        <v>0.2</v>
      </c>
      <c r="O81" s="42">
        <f t="shared" si="13"/>
        <v>7078</v>
      </c>
      <c r="P81" s="54">
        <v>702.0</v>
      </c>
      <c r="Q81" s="54">
        <v>702.0</v>
      </c>
      <c r="R81" s="54"/>
    </row>
    <row r="82" ht="14.25" customHeight="1">
      <c r="A82" s="8">
        <v>70079.0</v>
      </c>
      <c r="B82" s="42" t="s">
        <v>3097</v>
      </c>
      <c r="C82" s="17" t="s">
        <v>1573</v>
      </c>
      <c r="D82" s="42" t="s">
        <v>8</v>
      </c>
      <c r="E82" s="8"/>
      <c r="F82" s="8">
        <f t="shared" si="33"/>
        <v>385</v>
      </c>
      <c r="G82" s="8"/>
      <c r="H82" s="8"/>
      <c r="I82" s="42"/>
      <c r="J82" s="42"/>
      <c r="K82" s="8">
        <v>175.0</v>
      </c>
      <c r="L82" s="8"/>
      <c r="M82" s="8" t="str">
        <f t="shared" si="31"/>
        <v>70078,70078,70078,70078</v>
      </c>
      <c r="N82" s="42">
        <v>0.2</v>
      </c>
      <c r="O82" s="42">
        <f t="shared" si="13"/>
        <v>7079</v>
      </c>
      <c r="P82" s="54">
        <v>702.0</v>
      </c>
      <c r="Q82" s="54">
        <v>702.0</v>
      </c>
      <c r="R82" s="54"/>
    </row>
    <row r="83" ht="14.25" customHeight="1">
      <c r="A83" s="8">
        <v>70080.0</v>
      </c>
      <c r="B83" s="42" t="s">
        <v>3097</v>
      </c>
      <c r="C83" s="17" t="s">
        <v>1575</v>
      </c>
      <c r="D83" s="42" t="s">
        <v>8</v>
      </c>
      <c r="E83" s="8"/>
      <c r="F83" s="8">
        <f t="shared" si="33"/>
        <v>440</v>
      </c>
      <c r="G83" s="8"/>
      <c r="H83" s="8"/>
      <c r="I83" s="42"/>
      <c r="J83" s="42"/>
      <c r="K83" s="8">
        <v>200.0</v>
      </c>
      <c r="L83" s="8"/>
      <c r="M83" s="8" t="str">
        <f t="shared" si="31"/>
        <v>70079,70079,70079,70079</v>
      </c>
      <c r="N83" s="42">
        <v>0.2</v>
      </c>
      <c r="O83" s="42">
        <f t="shared" si="13"/>
        <v>7080</v>
      </c>
      <c r="P83" s="54">
        <v>702.0</v>
      </c>
      <c r="Q83" s="54">
        <v>702.0</v>
      </c>
      <c r="R83" s="54"/>
    </row>
    <row r="84" ht="14.25" customHeight="1">
      <c r="A84" s="8">
        <v>80001.0</v>
      </c>
      <c r="B84" s="42" t="s">
        <v>774</v>
      </c>
      <c r="C84" s="17" t="s">
        <v>3390</v>
      </c>
      <c r="D84" s="42" t="s">
        <v>15</v>
      </c>
      <c r="F84" s="8"/>
      <c r="G84" s="8"/>
      <c r="H84" s="8">
        <v>29.0</v>
      </c>
      <c r="I84" s="8"/>
      <c r="J84" s="8"/>
      <c r="K84" s="8"/>
      <c r="L84" s="8"/>
      <c r="M84" s="8"/>
      <c r="N84" s="8"/>
      <c r="O84" s="8" t="str">
        <f t="shared" ref="O84:O107" si="34">"6001,6004"</f>
        <v>6001,6004</v>
      </c>
      <c r="P84" s="54">
        <v>800.0</v>
      </c>
      <c r="Q84" s="54">
        <v>800.0</v>
      </c>
      <c r="R84" s="8" t="str">
        <f>"201,202,203,204"</f>
        <v>201,202,203,204</v>
      </c>
    </row>
    <row r="85" ht="14.25" customHeight="1">
      <c r="A85" s="8">
        <v>81001.0</v>
      </c>
      <c r="B85" s="42" t="s">
        <v>3398</v>
      </c>
      <c r="C85" s="17" t="s">
        <v>778</v>
      </c>
      <c r="D85" s="42" t="s">
        <v>15</v>
      </c>
      <c r="E85" s="8"/>
      <c r="F85" s="8">
        <v>80.0</v>
      </c>
      <c r="G85" s="8"/>
      <c r="H85" s="8"/>
      <c r="I85" s="8"/>
      <c r="J85" s="8">
        <v>15.0</v>
      </c>
      <c r="K85" s="8"/>
      <c r="L85" s="8"/>
      <c r="M85" s="8"/>
      <c r="N85" s="8"/>
      <c r="O85" s="8" t="str">
        <f t="shared" si="34"/>
        <v>6001,6004</v>
      </c>
      <c r="P85" s="54">
        <v>800.0</v>
      </c>
      <c r="Q85" s="54">
        <v>800.0</v>
      </c>
      <c r="R85" s="8" t="str">
        <f t="shared" ref="R85:R86" si="35">"205,206,207,208"</f>
        <v>205,206,207,208</v>
      </c>
    </row>
    <row r="86" ht="14.25" customHeight="1">
      <c r="A86" s="8">
        <v>82001.0</v>
      </c>
      <c r="B86" s="42" t="s">
        <v>3401</v>
      </c>
      <c r="C86" s="17" t="s">
        <v>3402</v>
      </c>
      <c r="D86" s="42" t="s">
        <v>15</v>
      </c>
      <c r="E86" s="8"/>
      <c r="F86" s="8"/>
      <c r="G86" s="8"/>
      <c r="H86" s="8">
        <v>12.0</v>
      </c>
      <c r="I86" s="8"/>
      <c r="J86" s="8">
        <v>27.0</v>
      </c>
      <c r="K86" s="8"/>
      <c r="L86" s="8"/>
      <c r="M86" s="8"/>
      <c r="N86" s="8"/>
      <c r="O86" s="8" t="str">
        <f t="shared" si="34"/>
        <v>6001,6004</v>
      </c>
      <c r="P86" s="54">
        <v>800.0</v>
      </c>
      <c r="Q86" s="54">
        <v>800.0</v>
      </c>
      <c r="R86" s="8" t="str">
        <f t="shared" si="35"/>
        <v>205,206,207,208</v>
      </c>
    </row>
    <row r="87" ht="14.25" customHeight="1">
      <c r="A87" s="8">
        <v>83001.0</v>
      </c>
      <c r="B87" s="42" t="s">
        <v>3406</v>
      </c>
      <c r="C87" s="17" t="s">
        <v>3407</v>
      </c>
      <c r="D87" s="42" t="s">
        <v>15</v>
      </c>
      <c r="E87" s="8"/>
      <c r="F87" s="8"/>
      <c r="G87" s="8"/>
      <c r="H87" s="8"/>
      <c r="I87" s="8">
        <v>19.0</v>
      </c>
      <c r="J87" s="8"/>
      <c r="K87" s="8">
        <v>20.0</v>
      </c>
      <c r="L87" s="8"/>
      <c r="M87" s="8"/>
      <c r="N87" s="8"/>
      <c r="O87" s="8" t="str">
        <f t="shared" si="34"/>
        <v>6001,6004</v>
      </c>
      <c r="P87" s="54">
        <v>800.0</v>
      </c>
      <c r="Q87" s="54">
        <v>800.0</v>
      </c>
      <c r="R87" s="8" t="str">
        <f>"201,202,203,204"</f>
        <v>201,202,203,204</v>
      </c>
    </row>
    <row r="88" ht="14.25" customHeight="1">
      <c r="A88" s="8">
        <v>84001.0</v>
      </c>
      <c r="B88" s="42" t="s">
        <v>3413</v>
      </c>
      <c r="C88" s="17" t="s">
        <v>3414</v>
      </c>
      <c r="D88" s="42" t="s">
        <v>15</v>
      </c>
      <c r="E88" s="8"/>
      <c r="F88" s="8">
        <v>65.0</v>
      </c>
      <c r="G88" s="8"/>
      <c r="H88" s="8"/>
      <c r="I88" s="8">
        <v>15.0</v>
      </c>
      <c r="J88" s="8"/>
      <c r="K88" s="8"/>
      <c r="L88" s="8"/>
      <c r="M88" s="8"/>
      <c r="N88" s="8"/>
      <c r="O88" s="8" t="str">
        <f t="shared" si="34"/>
        <v>6001,6004</v>
      </c>
      <c r="P88" s="54">
        <v>800.0</v>
      </c>
      <c r="Q88" s="54">
        <v>800.0</v>
      </c>
      <c r="R88" s="8" t="str">
        <f t="shared" ref="R88:R89" si="36">"209,210,211,212"</f>
        <v>209,210,211,212</v>
      </c>
    </row>
    <row r="89" ht="14.25" customHeight="1">
      <c r="A89" s="8">
        <v>85001.0</v>
      </c>
      <c r="B89" s="42" t="s">
        <v>3417</v>
      </c>
      <c r="C89" s="17" t="s">
        <v>3418</v>
      </c>
      <c r="D89" s="42" t="s">
        <v>15</v>
      </c>
      <c r="E89" s="8"/>
      <c r="G89" s="8"/>
      <c r="H89" s="8"/>
      <c r="I89" s="8">
        <v>27.0</v>
      </c>
      <c r="J89" s="8"/>
      <c r="K89" s="8">
        <v>17.0</v>
      </c>
      <c r="L89" s="8"/>
      <c r="M89" s="8"/>
      <c r="N89" s="8"/>
      <c r="O89" s="8" t="str">
        <f t="shared" si="34"/>
        <v>6001,6004</v>
      </c>
      <c r="P89" s="54">
        <v>800.0</v>
      </c>
      <c r="Q89" s="54">
        <v>800.0</v>
      </c>
      <c r="R89" s="8" t="str">
        <f t="shared" si="36"/>
        <v>209,210,211,212</v>
      </c>
    </row>
    <row r="90" ht="14.25" customHeight="1">
      <c r="A90" s="8">
        <f t="shared" ref="A90:A155" si="38">A84+1</f>
        <v>80002</v>
      </c>
      <c r="B90" s="42" t="s">
        <v>774</v>
      </c>
      <c r="C90" s="17" t="s">
        <v>3423</v>
      </c>
      <c r="D90" s="42" t="s">
        <v>11</v>
      </c>
      <c r="E90" s="8"/>
      <c r="F90" s="8" t="str">
        <f t="shared" ref="F90:L90" si="37">IF(F84=0,,ROUND(F84*1.7,0))</f>
        <v/>
      </c>
      <c r="G90" s="8" t="str">
        <f t="shared" si="37"/>
        <v/>
      </c>
      <c r="H90" s="8">
        <f t="shared" si="37"/>
        <v>49</v>
      </c>
      <c r="I90" s="8" t="str">
        <f t="shared" si="37"/>
        <v/>
      </c>
      <c r="J90" s="8" t="str">
        <f t="shared" si="37"/>
        <v/>
      </c>
      <c r="K90" s="8" t="str">
        <f t="shared" si="37"/>
        <v/>
      </c>
      <c r="L90" s="8" t="str">
        <f t="shared" si="37"/>
        <v/>
      </c>
      <c r="M90" s="8"/>
      <c r="N90" s="8"/>
      <c r="O90" s="8" t="str">
        <f t="shared" si="34"/>
        <v>6001,6004</v>
      </c>
      <c r="P90" s="54">
        <v>800.0</v>
      </c>
      <c r="Q90" s="54">
        <v>800.0</v>
      </c>
      <c r="R90" s="8" t="str">
        <f>"201,202,203,204"</f>
        <v>201,202,203,204</v>
      </c>
    </row>
    <row r="91" ht="14.25" customHeight="1">
      <c r="A91" s="8">
        <f t="shared" si="38"/>
        <v>81002</v>
      </c>
      <c r="B91" s="42" t="s">
        <v>3398</v>
      </c>
      <c r="C91" s="17" t="s">
        <v>3431</v>
      </c>
      <c r="D91" s="42" t="s">
        <v>11</v>
      </c>
      <c r="E91" s="8"/>
      <c r="F91" s="8">
        <f t="shared" ref="F91:L91" si="39">IF(F85=0,,ROUND(F85*1.7,0))</f>
        <v>136</v>
      </c>
      <c r="G91" s="8" t="str">
        <f t="shared" si="39"/>
        <v/>
      </c>
      <c r="H91" s="8" t="str">
        <f t="shared" si="39"/>
        <v/>
      </c>
      <c r="I91" s="8" t="str">
        <f t="shared" si="39"/>
        <v/>
      </c>
      <c r="J91" s="8">
        <f t="shared" si="39"/>
        <v>26</v>
      </c>
      <c r="K91" s="8" t="str">
        <f t="shared" si="39"/>
        <v/>
      </c>
      <c r="L91" s="8" t="str">
        <f t="shared" si="39"/>
        <v/>
      </c>
      <c r="M91" s="8"/>
      <c r="N91" s="8"/>
      <c r="O91" s="8" t="str">
        <f t="shared" si="34"/>
        <v>6001,6004</v>
      </c>
      <c r="P91" s="54">
        <v>800.0</v>
      </c>
      <c r="Q91" s="54">
        <v>800.0</v>
      </c>
      <c r="R91" s="8" t="str">
        <f t="shared" ref="R91:R92" si="41">"205,206,207,208"</f>
        <v>205,206,207,208</v>
      </c>
    </row>
    <row r="92" ht="14.25" customHeight="1">
      <c r="A92" s="8">
        <f t="shared" si="38"/>
        <v>82002</v>
      </c>
      <c r="B92" s="42" t="s">
        <v>3401</v>
      </c>
      <c r="C92" s="17" t="s">
        <v>3443</v>
      </c>
      <c r="D92" s="42" t="s">
        <v>11</v>
      </c>
      <c r="E92" s="8"/>
      <c r="F92" s="8" t="str">
        <f t="shared" ref="F92:L92" si="40">IF(F86=0,,ROUND(F86*1.7,0))</f>
        <v/>
      </c>
      <c r="G92" s="8" t="str">
        <f t="shared" si="40"/>
        <v/>
      </c>
      <c r="H92" s="8">
        <f t="shared" si="40"/>
        <v>20</v>
      </c>
      <c r="I92" s="8" t="str">
        <f t="shared" si="40"/>
        <v/>
      </c>
      <c r="J92" s="8">
        <f t="shared" si="40"/>
        <v>46</v>
      </c>
      <c r="K92" s="8" t="str">
        <f t="shared" si="40"/>
        <v/>
      </c>
      <c r="L92" s="8" t="str">
        <f t="shared" si="40"/>
        <v/>
      </c>
      <c r="M92" s="8"/>
      <c r="N92" s="8"/>
      <c r="O92" s="8" t="str">
        <f t="shared" si="34"/>
        <v>6001,6004</v>
      </c>
      <c r="P92" s="54">
        <v>800.0</v>
      </c>
      <c r="Q92" s="54">
        <v>800.0</v>
      </c>
      <c r="R92" s="8" t="str">
        <f t="shared" si="41"/>
        <v>205,206,207,208</v>
      </c>
    </row>
    <row r="93" ht="14.25" customHeight="1">
      <c r="A93" s="8">
        <f t="shared" si="38"/>
        <v>83002</v>
      </c>
      <c r="B93" s="42" t="s">
        <v>3406</v>
      </c>
      <c r="C93" s="17" t="s">
        <v>3451</v>
      </c>
      <c r="D93" s="42" t="s">
        <v>11</v>
      </c>
      <c r="E93" s="8"/>
      <c r="F93" s="8" t="str">
        <f t="shared" ref="F93:L93" si="42">IF(F87=0,,ROUND(F87*1.7,0))</f>
        <v/>
      </c>
      <c r="G93" s="8" t="str">
        <f t="shared" si="42"/>
        <v/>
      </c>
      <c r="H93" s="8" t="str">
        <f t="shared" si="42"/>
        <v/>
      </c>
      <c r="I93" s="8">
        <f t="shared" si="42"/>
        <v>32</v>
      </c>
      <c r="J93" s="8" t="str">
        <f t="shared" si="42"/>
        <v/>
      </c>
      <c r="K93" s="8">
        <f t="shared" si="42"/>
        <v>34</v>
      </c>
      <c r="L93" s="8" t="str">
        <f t="shared" si="42"/>
        <v/>
      </c>
      <c r="M93" s="8"/>
      <c r="N93" s="8"/>
      <c r="O93" s="8" t="str">
        <f t="shared" si="34"/>
        <v>6001,6004</v>
      </c>
      <c r="P93" s="54">
        <v>800.0</v>
      </c>
      <c r="Q93" s="54">
        <v>800.0</v>
      </c>
      <c r="R93" s="8" t="str">
        <f>"201,202,203,204"</f>
        <v>201,202,203,204</v>
      </c>
    </row>
    <row r="94" ht="14.25" customHeight="1">
      <c r="A94" s="8">
        <f t="shared" si="38"/>
        <v>84002</v>
      </c>
      <c r="B94" s="42" t="s">
        <v>3413</v>
      </c>
      <c r="C94" s="17" t="s">
        <v>3458</v>
      </c>
      <c r="D94" s="42" t="s">
        <v>11</v>
      </c>
      <c r="E94" s="8"/>
      <c r="F94" s="8">
        <f t="shared" ref="F94:L94" si="43">IF(F88=0,,ROUND(F88*1.7,0))</f>
        <v>111</v>
      </c>
      <c r="G94" s="8" t="str">
        <f t="shared" si="43"/>
        <v/>
      </c>
      <c r="H94" s="8" t="str">
        <f t="shared" si="43"/>
        <v/>
      </c>
      <c r="I94" s="8">
        <f t="shared" si="43"/>
        <v>26</v>
      </c>
      <c r="J94" s="8" t="str">
        <f t="shared" si="43"/>
        <v/>
      </c>
      <c r="K94" s="8" t="str">
        <f t="shared" si="43"/>
        <v/>
      </c>
      <c r="L94" s="8" t="str">
        <f t="shared" si="43"/>
        <v/>
      </c>
      <c r="M94" s="8"/>
      <c r="N94" s="8"/>
      <c r="O94" s="8" t="str">
        <f t="shared" si="34"/>
        <v>6001,6004</v>
      </c>
      <c r="P94" s="54">
        <v>800.0</v>
      </c>
      <c r="Q94" s="54">
        <v>800.0</v>
      </c>
      <c r="R94" s="8" t="str">
        <f t="shared" ref="R94:R95" si="45">"209,210,211,212"</f>
        <v>209,210,211,212</v>
      </c>
    </row>
    <row r="95" ht="14.25" customHeight="1">
      <c r="A95" s="8">
        <f t="shared" si="38"/>
        <v>85002</v>
      </c>
      <c r="B95" s="42" t="s">
        <v>3417</v>
      </c>
      <c r="C95" s="17" t="s">
        <v>3468</v>
      </c>
      <c r="D95" s="42" t="s">
        <v>11</v>
      </c>
      <c r="E95" s="8"/>
      <c r="F95" s="8" t="str">
        <f t="shared" ref="F95:L95" si="44">IF(F89=0,,ROUND(F89*1.7,0))</f>
        <v/>
      </c>
      <c r="G95" s="8" t="str">
        <f t="shared" si="44"/>
        <v/>
      </c>
      <c r="H95" s="8" t="str">
        <f t="shared" si="44"/>
        <v/>
      </c>
      <c r="I95" s="8">
        <f t="shared" si="44"/>
        <v>46</v>
      </c>
      <c r="J95" s="8" t="str">
        <f t="shared" si="44"/>
        <v/>
      </c>
      <c r="K95" s="8">
        <f t="shared" si="44"/>
        <v>29</v>
      </c>
      <c r="L95" s="8" t="str">
        <f t="shared" si="44"/>
        <v/>
      </c>
      <c r="M95" s="8"/>
      <c r="N95" s="8"/>
      <c r="O95" s="8" t="str">
        <f t="shared" si="34"/>
        <v>6001,6004</v>
      </c>
      <c r="P95" s="54">
        <v>800.0</v>
      </c>
      <c r="Q95" s="54">
        <v>800.0</v>
      </c>
      <c r="R95" s="8" t="str">
        <f t="shared" si="45"/>
        <v>209,210,211,212</v>
      </c>
    </row>
    <row r="96" ht="14.25" customHeight="1">
      <c r="A96" s="8">
        <f t="shared" si="38"/>
        <v>80003</v>
      </c>
      <c r="B96" s="42" t="s">
        <v>774</v>
      </c>
      <c r="C96" s="17" t="s">
        <v>3487</v>
      </c>
      <c r="D96" s="42" t="s">
        <v>11</v>
      </c>
      <c r="E96" s="8"/>
      <c r="F96" s="8" t="str">
        <f t="shared" ref="F96:L96" si="46">IF(F90=0,,ROUND(F90*1.2,0))</f>
        <v/>
      </c>
      <c r="G96" s="8" t="str">
        <f t="shared" si="46"/>
        <v/>
      </c>
      <c r="H96" s="8">
        <f t="shared" si="46"/>
        <v>59</v>
      </c>
      <c r="I96" s="8" t="str">
        <f t="shared" si="46"/>
        <v/>
      </c>
      <c r="J96" s="8" t="str">
        <f t="shared" si="46"/>
        <v/>
      </c>
      <c r="K96" s="8" t="str">
        <f t="shared" si="46"/>
        <v/>
      </c>
      <c r="L96" s="8" t="str">
        <f t="shared" si="46"/>
        <v/>
      </c>
      <c r="M96" s="8"/>
      <c r="N96" s="8"/>
      <c r="O96" s="8" t="str">
        <f t="shared" si="34"/>
        <v>6001,6004</v>
      </c>
      <c r="P96" s="54">
        <v>800.0</v>
      </c>
      <c r="Q96" s="54">
        <v>800.0</v>
      </c>
      <c r="R96" s="8" t="str">
        <f>"201,202,203,204"</f>
        <v>201,202,203,204</v>
      </c>
    </row>
    <row r="97" ht="14.25" customHeight="1">
      <c r="A97" s="8">
        <f t="shared" si="38"/>
        <v>81003</v>
      </c>
      <c r="B97" s="42" t="s">
        <v>3398</v>
      </c>
      <c r="C97" s="17" t="s">
        <v>3499</v>
      </c>
      <c r="D97" s="42" t="s">
        <v>11</v>
      </c>
      <c r="E97" s="8"/>
      <c r="F97" s="8">
        <f t="shared" ref="F97:L97" si="47">IF(F91=0,,ROUND(F91*1.2,0))</f>
        <v>163</v>
      </c>
      <c r="G97" s="8" t="str">
        <f t="shared" si="47"/>
        <v/>
      </c>
      <c r="H97" s="8" t="str">
        <f t="shared" si="47"/>
        <v/>
      </c>
      <c r="I97" s="8" t="str">
        <f t="shared" si="47"/>
        <v/>
      </c>
      <c r="J97" s="8">
        <f t="shared" si="47"/>
        <v>31</v>
      </c>
      <c r="K97" s="8" t="str">
        <f t="shared" si="47"/>
        <v/>
      </c>
      <c r="L97" s="8" t="str">
        <f t="shared" si="47"/>
        <v/>
      </c>
      <c r="M97" s="8"/>
      <c r="N97" s="8"/>
      <c r="O97" s="8" t="str">
        <f t="shared" si="34"/>
        <v>6001,6004</v>
      </c>
      <c r="P97" s="54">
        <v>800.0</v>
      </c>
      <c r="Q97" s="54">
        <v>800.0</v>
      </c>
      <c r="R97" s="8" t="str">
        <f t="shared" ref="R97:R98" si="49">"205,206,207,208"</f>
        <v>205,206,207,208</v>
      </c>
    </row>
    <row r="98" ht="14.25" customHeight="1">
      <c r="A98" s="8">
        <f t="shared" si="38"/>
        <v>82003</v>
      </c>
      <c r="B98" s="42" t="s">
        <v>3401</v>
      </c>
      <c r="C98" s="17" t="s">
        <v>3511</v>
      </c>
      <c r="D98" s="42" t="s">
        <v>11</v>
      </c>
      <c r="E98" s="8"/>
      <c r="F98" s="8" t="str">
        <f t="shared" ref="F98:L98" si="48">IF(F92=0,,ROUND(F92*1.2,0))</f>
        <v/>
      </c>
      <c r="G98" s="8" t="str">
        <f t="shared" si="48"/>
        <v/>
      </c>
      <c r="H98" s="8">
        <f t="shared" si="48"/>
        <v>24</v>
      </c>
      <c r="I98" s="8" t="str">
        <f t="shared" si="48"/>
        <v/>
      </c>
      <c r="J98" s="8">
        <f t="shared" si="48"/>
        <v>55</v>
      </c>
      <c r="K98" s="8" t="str">
        <f t="shared" si="48"/>
        <v/>
      </c>
      <c r="L98" s="8" t="str">
        <f t="shared" si="48"/>
        <v/>
      </c>
      <c r="M98" s="8"/>
      <c r="N98" s="8"/>
      <c r="O98" s="8" t="str">
        <f t="shared" si="34"/>
        <v>6001,6004</v>
      </c>
      <c r="P98" s="54">
        <v>800.0</v>
      </c>
      <c r="Q98" s="54">
        <v>800.0</v>
      </c>
      <c r="R98" s="8" t="str">
        <f t="shared" si="49"/>
        <v>205,206,207,208</v>
      </c>
    </row>
    <row r="99" ht="14.25" customHeight="1">
      <c r="A99" s="8">
        <f t="shared" si="38"/>
        <v>83003</v>
      </c>
      <c r="B99" s="42" t="s">
        <v>3406</v>
      </c>
      <c r="C99" s="17" t="s">
        <v>3528</v>
      </c>
      <c r="D99" s="42" t="s">
        <v>11</v>
      </c>
      <c r="E99" s="8"/>
      <c r="F99" s="8" t="str">
        <f t="shared" ref="F99:L99" si="50">IF(F93=0,,ROUND(F93*1.2,0))</f>
        <v/>
      </c>
      <c r="G99" s="8" t="str">
        <f t="shared" si="50"/>
        <v/>
      </c>
      <c r="H99" s="8" t="str">
        <f t="shared" si="50"/>
        <v/>
      </c>
      <c r="I99" s="8">
        <f t="shared" si="50"/>
        <v>38</v>
      </c>
      <c r="J99" s="8" t="str">
        <f t="shared" si="50"/>
        <v/>
      </c>
      <c r="K99" s="8">
        <f t="shared" si="50"/>
        <v>41</v>
      </c>
      <c r="L99" s="8" t="str">
        <f t="shared" si="50"/>
        <v/>
      </c>
      <c r="M99" s="8"/>
      <c r="N99" s="8"/>
      <c r="O99" s="8" t="str">
        <f t="shared" si="34"/>
        <v>6001,6004</v>
      </c>
      <c r="P99" s="54">
        <v>800.0</v>
      </c>
      <c r="Q99" s="54">
        <v>800.0</v>
      </c>
      <c r="R99" s="8" t="str">
        <f>"201,202,203,204"</f>
        <v>201,202,203,204</v>
      </c>
    </row>
    <row r="100" ht="14.25" customHeight="1">
      <c r="A100" s="8">
        <f t="shared" si="38"/>
        <v>84003</v>
      </c>
      <c r="B100" s="42" t="s">
        <v>3413</v>
      </c>
      <c r="C100" s="17" t="s">
        <v>3539</v>
      </c>
      <c r="D100" s="42" t="s">
        <v>11</v>
      </c>
      <c r="E100" s="8"/>
      <c r="F100" s="8">
        <f t="shared" ref="F100:L100" si="51">IF(F94=0,,ROUND(F94*1.2,0))</f>
        <v>133</v>
      </c>
      <c r="G100" s="8" t="str">
        <f t="shared" si="51"/>
        <v/>
      </c>
      <c r="H100" s="8" t="str">
        <f t="shared" si="51"/>
        <v/>
      </c>
      <c r="I100" s="8">
        <f t="shared" si="51"/>
        <v>31</v>
      </c>
      <c r="J100" s="8" t="str">
        <f t="shared" si="51"/>
        <v/>
      </c>
      <c r="K100" s="8" t="str">
        <f t="shared" si="51"/>
        <v/>
      </c>
      <c r="L100" s="8" t="str">
        <f t="shared" si="51"/>
        <v/>
      </c>
      <c r="M100" s="8"/>
      <c r="N100" s="8"/>
      <c r="O100" s="8" t="str">
        <f t="shared" si="34"/>
        <v>6001,6004</v>
      </c>
      <c r="P100" s="54">
        <v>800.0</v>
      </c>
      <c r="Q100" s="54">
        <v>800.0</v>
      </c>
      <c r="R100" s="8" t="str">
        <f t="shared" ref="R100:R101" si="53">"209,210,211,212"</f>
        <v>209,210,211,212</v>
      </c>
    </row>
    <row r="101" ht="14.25" customHeight="1">
      <c r="A101" s="8">
        <f t="shared" si="38"/>
        <v>85003</v>
      </c>
      <c r="B101" s="42" t="s">
        <v>3417</v>
      </c>
      <c r="C101" s="17" t="s">
        <v>3550</v>
      </c>
      <c r="D101" s="42" t="s">
        <v>11</v>
      </c>
      <c r="E101" s="8"/>
      <c r="F101" s="8" t="str">
        <f t="shared" ref="F101:L101" si="52">IF(F95=0,,ROUND(F95*1.2,0))</f>
        <v/>
      </c>
      <c r="G101" s="8" t="str">
        <f t="shared" si="52"/>
        <v/>
      </c>
      <c r="H101" s="8" t="str">
        <f t="shared" si="52"/>
        <v/>
      </c>
      <c r="I101" s="8">
        <f t="shared" si="52"/>
        <v>55</v>
      </c>
      <c r="J101" s="8" t="str">
        <f t="shared" si="52"/>
        <v/>
      </c>
      <c r="K101" s="8">
        <f t="shared" si="52"/>
        <v>35</v>
      </c>
      <c r="L101" s="8" t="str">
        <f t="shared" si="52"/>
        <v/>
      </c>
      <c r="M101" s="8"/>
      <c r="N101" s="8"/>
      <c r="O101" s="8" t="str">
        <f t="shared" si="34"/>
        <v>6001,6004</v>
      </c>
      <c r="P101" s="54">
        <v>800.0</v>
      </c>
      <c r="Q101" s="54">
        <v>800.0</v>
      </c>
      <c r="R101" s="8" t="str">
        <f t="shared" si="53"/>
        <v>209,210,211,212</v>
      </c>
    </row>
    <row r="102" ht="14.25" customHeight="1">
      <c r="A102" s="8">
        <f t="shared" si="38"/>
        <v>80004</v>
      </c>
      <c r="B102" s="42" t="s">
        <v>774</v>
      </c>
      <c r="C102" s="155" t="s">
        <v>3561</v>
      </c>
      <c r="D102" s="42" t="s">
        <v>8</v>
      </c>
      <c r="E102" s="8"/>
      <c r="F102" s="8" t="str">
        <f t="shared" ref="F102:K102" si="54">IF(F90=0,,ROUND(F90*1.7,0))</f>
        <v/>
      </c>
      <c r="G102" s="8" t="str">
        <f t="shared" si="54"/>
        <v/>
      </c>
      <c r="H102" s="8">
        <f t="shared" si="54"/>
        <v>83</v>
      </c>
      <c r="I102" s="8" t="str">
        <f t="shared" si="54"/>
        <v/>
      </c>
      <c r="J102" s="8" t="str">
        <f t="shared" si="54"/>
        <v/>
      </c>
      <c r="K102" s="8" t="str">
        <f t="shared" si="54"/>
        <v/>
      </c>
      <c r="L102" s="8"/>
      <c r="M102" s="8"/>
      <c r="N102" s="8"/>
      <c r="O102" s="8" t="str">
        <f t="shared" si="34"/>
        <v>6001,6004</v>
      </c>
      <c r="P102" s="54">
        <v>800.0</v>
      </c>
      <c r="Q102" s="54">
        <v>800.0</v>
      </c>
      <c r="R102" s="8" t="str">
        <f>"201,202,203,204"</f>
        <v>201,202,203,204</v>
      </c>
    </row>
    <row r="103" ht="14.25" customHeight="1">
      <c r="A103" s="8">
        <f t="shared" si="38"/>
        <v>81004</v>
      </c>
      <c r="B103" s="42" t="s">
        <v>3398</v>
      </c>
      <c r="C103" s="17" t="s">
        <v>3573</v>
      </c>
      <c r="D103" s="42" t="s">
        <v>8</v>
      </c>
      <c r="E103" s="8"/>
      <c r="F103" s="8">
        <f t="shared" ref="F103:K103" si="55">IF(F91=0,,ROUND(F91*1.7,0))</f>
        <v>231</v>
      </c>
      <c r="G103" s="8" t="str">
        <f t="shared" si="55"/>
        <v/>
      </c>
      <c r="H103" s="8" t="str">
        <f t="shared" si="55"/>
        <v/>
      </c>
      <c r="I103" s="8" t="str">
        <f t="shared" si="55"/>
        <v/>
      </c>
      <c r="J103" s="8">
        <f t="shared" si="55"/>
        <v>44</v>
      </c>
      <c r="K103" s="8" t="str">
        <f t="shared" si="55"/>
        <v/>
      </c>
      <c r="L103" s="8"/>
      <c r="M103" s="8"/>
      <c r="N103" s="8"/>
      <c r="O103" s="8" t="str">
        <f t="shared" si="34"/>
        <v>6001,6004</v>
      </c>
      <c r="P103" s="54">
        <v>800.0</v>
      </c>
      <c r="Q103" s="54">
        <v>800.0</v>
      </c>
      <c r="R103" s="8" t="str">
        <f t="shared" ref="R103:R104" si="57">"205,206,207,208"</f>
        <v>205,206,207,208</v>
      </c>
    </row>
    <row r="104" ht="14.25" customHeight="1">
      <c r="A104" s="8">
        <f t="shared" si="38"/>
        <v>82004</v>
      </c>
      <c r="B104" s="42" t="s">
        <v>3401</v>
      </c>
      <c r="C104" s="17" t="s">
        <v>3585</v>
      </c>
      <c r="D104" s="42" t="s">
        <v>8</v>
      </c>
      <c r="E104" s="8"/>
      <c r="F104" s="8" t="str">
        <f t="shared" ref="F104:K104" si="56">IF(F92=0,,ROUND(F92*1.7,0))</f>
        <v/>
      </c>
      <c r="G104" s="8" t="str">
        <f t="shared" si="56"/>
        <v/>
      </c>
      <c r="H104" s="8">
        <f t="shared" si="56"/>
        <v>34</v>
      </c>
      <c r="I104" s="8" t="str">
        <f t="shared" si="56"/>
        <v/>
      </c>
      <c r="J104" s="8">
        <f t="shared" si="56"/>
        <v>78</v>
      </c>
      <c r="K104" s="8" t="str">
        <f t="shared" si="56"/>
        <v/>
      </c>
      <c r="L104" s="8"/>
      <c r="M104" s="8"/>
      <c r="N104" s="8"/>
      <c r="O104" s="8" t="str">
        <f t="shared" si="34"/>
        <v>6001,6004</v>
      </c>
      <c r="P104" s="54">
        <v>800.0</v>
      </c>
      <c r="Q104" s="54">
        <v>800.0</v>
      </c>
      <c r="R104" s="8" t="str">
        <f t="shared" si="57"/>
        <v>205,206,207,208</v>
      </c>
    </row>
    <row r="105" ht="14.25" customHeight="1">
      <c r="A105" s="8">
        <f t="shared" si="38"/>
        <v>83004</v>
      </c>
      <c r="B105" s="42" t="s">
        <v>3406</v>
      </c>
      <c r="C105" s="17" t="s">
        <v>3592</v>
      </c>
      <c r="D105" s="42" t="s">
        <v>8</v>
      </c>
      <c r="E105" s="8"/>
      <c r="F105" s="8" t="str">
        <f t="shared" ref="F105:K105" si="58">IF(F93=0,,ROUND(F93*1.7,0))</f>
        <v/>
      </c>
      <c r="G105" s="8" t="str">
        <f t="shared" si="58"/>
        <v/>
      </c>
      <c r="H105" s="8" t="str">
        <f t="shared" si="58"/>
        <v/>
      </c>
      <c r="I105" s="8">
        <f t="shared" si="58"/>
        <v>54</v>
      </c>
      <c r="J105" s="8" t="str">
        <f t="shared" si="58"/>
        <v/>
      </c>
      <c r="K105" s="8">
        <f t="shared" si="58"/>
        <v>58</v>
      </c>
      <c r="L105" s="8"/>
      <c r="M105" s="8"/>
      <c r="N105" s="8"/>
      <c r="O105" s="8" t="str">
        <f t="shared" si="34"/>
        <v>6001,6004</v>
      </c>
      <c r="P105" s="54">
        <v>800.0</v>
      </c>
      <c r="Q105" s="54">
        <v>800.0</v>
      </c>
      <c r="R105" s="8" t="str">
        <f>"201,202,203,204"</f>
        <v>201,202,203,204</v>
      </c>
    </row>
    <row r="106" ht="14.25" customHeight="1">
      <c r="A106" s="8">
        <f t="shared" si="38"/>
        <v>84004</v>
      </c>
      <c r="B106" s="42" t="s">
        <v>3413</v>
      </c>
      <c r="C106" s="17" t="s">
        <v>3606</v>
      </c>
      <c r="D106" s="42" t="s">
        <v>8</v>
      </c>
      <c r="E106" s="8"/>
      <c r="F106" s="8">
        <f t="shared" ref="F106:K106" si="59">IF(F94=0,,ROUND(F94*1.7,0))</f>
        <v>189</v>
      </c>
      <c r="G106" s="8" t="str">
        <f t="shared" si="59"/>
        <v/>
      </c>
      <c r="H106" s="8" t="str">
        <f t="shared" si="59"/>
        <v/>
      </c>
      <c r="I106" s="8">
        <f t="shared" si="59"/>
        <v>44</v>
      </c>
      <c r="J106" s="8" t="str">
        <f t="shared" si="59"/>
        <v/>
      </c>
      <c r="K106" s="8" t="str">
        <f t="shared" si="59"/>
        <v/>
      </c>
      <c r="L106" s="8"/>
      <c r="M106" s="8"/>
      <c r="N106" s="8"/>
      <c r="O106" s="8" t="str">
        <f t="shared" si="34"/>
        <v>6001,6004</v>
      </c>
      <c r="P106" s="54">
        <v>800.0</v>
      </c>
      <c r="Q106" s="54">
        <v>800.0</v>
      </c>
      <c r="R106" s="8" t="str">
        <f t="shared" ref="R106:R107" si="61">"209,210,211,212"</f>
        <v>209,210,211,212</v>
      </c>
    </row>
    <row r="107" ht="14.25" customHeight="1">
      <c r="A107" s="8">
        <f t="shared" si="38"/>
        <v>85004</v>
      </c>
      <c r="B107" s="42" t="s">
        <v>3417</v>
      </c>
      <c r="C107" s="17" t="s">
        <v>3613</v>
      </c>
      <c r="D107" s="42" t="s">
        <v>8</v>
      </c>
      <c r="E107" s="8"/>
      <c r="F107" s="8" t="str">
        <f t="shared" ref="F107:K107" si="60">IF(F95=0,,ROUND(F95*1.7,0))</f>
        <v/>
      </c>
      <c r="G107" s="8" t="str">
        <f t="shared" si="60"/>
        <v/>
      </c>
      <c r="H107" s="8" t="str">
        <f t="shared" si="60"/>
        <v/>
      </c>
      <c r="I107" s="8">
        <f t="shared" si="60"/>
        <v>78</v>
      </c>
      <c r="J107" s="8" t="str">
        <f t="shared" si="60"/>
        <v/>
      </c>
      <c r="K107" s="8">
        <f t="shared" si="60"/>
        <v>49</v>
      </c>
      <c r="L107" s="8"/>
      <c r="M107" s="8"/>
      <c r="N107" s="8"/>
      <c r="O107" s="8" t="str">
        <f t="shared" si="34"/>
        <v>6001,6004</v>
      </c>
      <c r="P107" s="54">
        <v>800.0</v>
      </c>
      <c r="Q107" s="54">
        <v>800.0</v>
      </c>
      <c r="R107" s="8" t="str">
        <f t="shared" si="61"/>
        <v>209,210,211,212</v>
      </c>
    </row>
    <row r="108" ht="14.25" customHeight="1">
      <c r="A108" s="8">
        <f t="shared" si="38"/>
        <v>80005</v>
      </c>
      <c r="B108" s="42" t="s">
        <v>774</v>
      </c>
      <c r="C108" s="17" t="s">
        <v>3618</v>
      </c>
      <c r="D108" s="42" t="s">
        <v>15</v>
      </c>
      <c r="E108" s="8"/>
      <c r="F108" s="8"/>
      <c r="G108" s="8">
        <v>27.0</v>
      </c>
      <c r="H108" s="8">
        <v>22.0</v>
      </c>
      <c r="I108" s="8"/>
      <c r="J108" s="8"/>
      <c r="K108" s="8"/>
      <c r="L108" s="8"/>
      <c r="M108" s="8"/>
      <c r="N108" s="8"/>
      <c r="O108" s="8" t="str">
        <f t="shared" ref="O108:O131" si="62">"6002,6005"</f>
        <v>6002,6005</v>
      </c>
      <c r="P108" s="54">
        <v>800.0</v>
      </c>
      <c r="Q108" s="54">
        <v>800.0</v>
      </c>
      <c r="R108" s="8" t="str">
        <f>"201,202,203,204"</f>
        <v>201,202,203,204</v>
      </c>
    </row>
    <row r="109" ht="14.25" customHeight="1">
      <c r="A109" s="8">
        <f t="shared" si="38"/>
        <v>81005</v>
      </c>
      <c r="B109" s="42" t="s">
        <v>3398</v>
      </c>
      <c r="C109" s="17" t="s">
        <v>3627</v>
      </c>
      <c r="D109" s="42" t="s">
        <v>15</v>
      </c>
      <c r="E109" s="8"/>
      <c r="F109" s="8">
        <v>75.0</v>
      </c>
      <c r="G109" s="8"/>
      <c r="H109" s="8"/>
      <c r="I109" s="8">
        <v>9.0</v>
      </c>
      <c r="J109" s="8"/>
      <c r="K109" s="8"/>
      <c r="L109" s="8"/>
      <c r="M109" s="8"/>
      <c r="N109" s="8"/>
      <c r="O109" s="8" t="str">
        <f t="shared" si="62"/>
        <v>6002,6005</v>
      </c>
      <c r="P109" s="54">
        <v>800.0</v>
      </c>
      <c r="Q109" s="54">
        <v>800.0</v>
      </c>
      <c r="R109" s="8" t="str">
        <f t="shared" ref="R109:R110" si="63">"205,206,207,208"</f>
        <v>205,206,207,208</v>
      </c>
    </row>
    <row r="110" ht="14.25" customHeight="1">
      <c r="A110" s="8">
        <f t="shared" si="38"/>
        <v>82005</v>
      </c>
      <c r="B110" s="42" t="s">
        <v>3401</v>
      </c>
      <c r="C110" s="17" t="s">
        <v>3648</v>
      </c>
      <c r="D110" s="42" t="s">
        <v>15</v>
      </c>
      <c r="E110" s="8"/>
      <c r="F110" s="8"/>
      <c r="G110" s="8"/>
      <c r="H110" s="8"/>
      <c r="I110" s="8">
        <v>11.0</v>
      </c>
      <c r="J110" s="8">
        <v>5.0</v>
      </c>
      <c r="K110" s="8"/>
      <c r="L110" s="8"/>
      <c r="M110" s="8"/>
      <c r="N110" s="8"/>
      <c r="O110" s="8" t="str">
        <f t="shared" si="62"/>
        <v>6002,6005</v>
      </c>
      <c r="P110" s="54">
        <v>800.0</v>
      </c>
      <c r="Q110" s="54">
        <v>800.0</v>
      </c>
      <c r="R110" s="8" t="str">
        <f t="shared" si="63"/>
        <v>205,206,207,208</v>
      </c>
    </row>
    <row r="111" ht="14.25" customHeight="1">
      <c r="A111" s="8">
        <f t="shared" si="38"/>
        <v>83005</v>
      </c>
      <c r="B111" s="42" t="s">
        <v>3406</v>
      </c>
      <c r="C111" s="17" t="s">
        <v>3656</v>
      </c>
      <c r="D111" s="42" t="s">
        <v>15</v>
      </c>
      <c r="E111" s="8"/>
      <c r="F111" s="8">
        <v>29.0</v>
      </c>
      <c r="G111" s="8"/>
      <c r="H111" s="8"/>
      <c r="I111" s="8"/>
      <c r="J111" s="8">
        <v>5.0</v>
      </c>
      <c r="K111" s="8"/>
      <c r="L111" s="8"/>
      <c r="M111" s="8"/>
      <c r="N111" s="8"/>
      <c r="O111" s="8" t="str">
        <f t="shared" si="62"/>
        <v>6002,6005</v>
      </c>
      <c r="P111" s="54">
        <v>800.0</v>
      </c>
      <c r="Q111" s="54">
        <v>800.0</v>
      </c>
      <c r="R111" s="8" t="str">
        <f>"201,202,203,204"</f>
        <v>201,202,203,204</v>
      </c>
    </row>
    <row r="112" ht="14.25" customHeight="1">
      <c r="A112" s="8">
        <f t="shared" si="38"/>
        <v>84005</v>
      </c>
      <c r="B112" s="42" t="s">
        <v>3413</v>
      </c>
      <c r="C112" s="17" t="s">
        <v>3661</v>
      </c>
      <c r="D112" s="42" t="s">
        <v>15</v>
      </c>
      <c r="E112" s="8"/>
      <c r="F112" s="8"/>
      <c r="G112" s="8">
        <v>10.0</v>
      </c>
      <c r="H112" s="8"/>
      <c r="I112" s="8">
        <v>8.0</v>
      </c>
      <c r="J112" s="8"/>
      <c r="K112" s="8"/>
      <c r="L112" s="8"/>
      <c r="M112" s="8"/>
      <c r="N112" s="8"/>
      <c r="O112" s="8" t="str">
        <f t="shared" si="62"/>
        <v>6002,6005</v>
      </c>
      <c r="P112" s="54">
        <v>800.0</v>
      </c>
      <c r="Q112" s="54">
        <v>800.0</v>
      </c>
      <c r="R112" s="8" t="str">
        <f t="shared" ref="R112:R113" si="64">"209,210,211,212"</f>
        <v>209,210,211,212</v>
      </c>
    </row>
    <row r="113" ht="14.25" customHeight="1">
      <c r="A113" s="8">
        <f t="shared" si="38"/>
        <v>85005</v>
      </c>
      <c r="B113" s="42" t="s">
        <v>3417</v>
      </c>
      <c r="C113" s="17" t="s">
        <v>3665</v>
      </c>
      <c r="D113" s="42" t="s">
        <v>15</v>
      </c>
      <c r="E113" s="8"/>
      <c r="F113" s="8"/>
      <c r="G113" s="8">
        <v>9.0</v>
      </c>
      <c r="H113" s="8"/>
      <c r="I113" s="8"/>
      <c r="J113" s="8"/>
      <c r="K113" s="8">
        <v>12.0</v>
      </c>
      <c r="L113" s="8"/>
      <c r="M113" s="8"/>
      <c r="N113" s="8"/>
      <c r="O113" s="8" t="str">
        <f t="shared" si="62"/>
        <v>6002,6005</v>
      </c>
      <c r="P113" s="54">
        <v>800.0</v>
      </c>
      <c r="Q113" s="54">
        <v>800.0</v>
      </c>
      <c r="R113" s="8" t="str">
        <f t="shared" si="64"/>
        <v>209,210,211,212</v>
      </c>
    </row>
    <row r="114" ht="14.25" customHeight="1">
      <c r="A114" s="8">
        <f t="shared" si="38"/>
        <v>80006</v>
      </c>
      <c r="B114" s="42" t="s">
        <v>774</v>
      </c>
      <c r="C114" s="155" t="s">
        <v>3669</v>
      </c>
      <c r="D114" s="42" t="s">
        <v>11</v>
      </c>
      <c r="E114" s="8"/>
      <c r="F114" s="8" t="str">
        <f t="shared" ref="F114:K114" si="65">IF(F108=0,,ROUND(F108*1.7,0))</f>
        <v/>
      </c>
      <c r="G114" s="8">
        <f t="shared" si="65"/>
        <v>46</v>
      </c>
      <c r="H114" s="8">
        <f t="shared" si="65"/>
        <v>37</v>
      </c>
      <c r="I114" s="8" t="str">
        <f t="shared" si="65"/>
        <v/>
      </c>
      <c r="J114" s="8" t="str">
        <f t="shared" si="65"/>
        <v/>
      </c>
      <c r="K114" s="8" t="str">
        <f t="shared" si="65"/>
        <v/>
      </c>
      <c r="L114" s="8"/>
      <c r="M114" s="8"/>
      <c r="N114" s="8"/>
      <c r="O114" s="8" t="str">
        <f t="shared" si="62"/>
        <v>6002,6005</v>
      </c>
      <c r="P114" s="54">
        <v>800.0</v>
      </c>
      <c r="Q114" s="54">
        <v>800.0</v>
      </c>
      <c r="R114" s="8" t="str">
        <f>"201,202,203,204"</f>
        <v>201,202,203,204</v>
      </c>
    </row>
    <row r="115" ht="14.25" customHeight="1">
      <c r="A115" s="8">
        <f t="shared" si="38"/>
        <v>81006</v>
      </c>
      <c r="B115" s="42" t="s">
        <v>3398</v>
      </c>
      <c r="C115" s="17" t="s">
        <v>3680</v>
      </c>
      <c r="D115" s="42" t="s">
        <v>11</v>
      </c>
      <c r="E115" s="8"/>
      <c r="F115" s="8">
        <f t="shared" ref="F115:K115" si="66">IF(F109=0,,ROUND(F109*1.7,0))</f>
        <v>128</v>
      </c>
      <c r="G115" s="8" t="str">
        <f t="shared" si="66"/>
        <v/>
      </c>
      <c r="H115" s="8" t="str">
        <f t="shared" si="66"/>
        <v/>
      </c>
      <c r="I115" s="8">
        <f t="shared" si="66"/>
        <v>15</v>
      </c>
      <c r="J115" s="8" t="str">
        <f t="shared" si="66"/>
        <v/>
      </c>
      <c r="K115" s="8" t="str">
        <f t="shared" si="66"/>
        <v/>
      </c>
      <c r="L115" s="8"/>
      <c r="M115" s="8"/>
      <c r="N115" s="8"/>
      <c r="O115" s="8" t="str">
        <f t="shared" si="62"/>
        <v>6002,6005</v>
      </c>
      <c r="P115" s="54">
        <v>800.0</v>
      </c>
      <c r="Q115" s="54">
        <v>800.0</v>
      </c>
      <c r="R115" s="8" t="str">
        <f t="shared" ref="R115:R116" si="68">"205,206,207,208"</f>
        <v>205,206,207,208</v>
      </c>
    </row>
    <row r="116" ht="14.25" customHeight="1">
      <c r="A116" s="8">
        <f t="shared" si="38"/>
        <v>82006</v>
      </c>
      <c r="B116" s="42" t="s">
        <v>3401</v>
      </c>
      <c r="C116" s="17" t="s">
        <v>3688</v>
      </c>
      <c r="D116" s="42" t="s">
        <v>11</v>
      </c>
      <c r="E116" s="8"/>
      <c r="F116" s="8" t="str">
        <f t="shared" ref="F116:K116" si="67">IF(F110=0,,ROUND(F110*1.7,0))</f>
        <v/>
      </c>
      <c r="G116" s="8" t="str">
        <f t="shared" si="67"/>
        <v/>
      </c>
      <c r="H116" s="8" t="str">
        <f t="shared" si="67"/>
        <v/>
      </c>
      <c r="I116" s="8">
        <f t="shared" si="67"/>
        <v>19</v>
      </c>
      <c r="J116" s="8">
        <f t="shared" si="67"/>
        <v>9</v>
      </c>
      <c r="K116" s="8" t="str">
        <f t="shared" si="67"/>
        <v/>
      </c>
      <c r="L116" s="8"/>
      <c r="M116" s="8"/>
      <c r="N116" s="8"/>
      <c r="O116" s="8" t="str">
        <f t="shared" si="62"/>
        <v>6002,6005</v>
      </c>
      <c r="P116" s="54">
        <v>800.0</v>
      </c>
      <c r="Q116" s="54">
        <v>800.0</v>
      </c>
      <c r="R116" s="8" t="str">
        <f t="shared" si="68"/>
        <v>205,206,207,208</v>
      </c>
    </row>
    <row r="117" ht="14.25" customHeight="1">
      <c r="A117" s="8">
        <f t="shared" si="38"/>
        <v>83006</v>
      </c>
      <c r="B117" s="42" t="s">
        <v>3406</v>
      </c>
      <c r="C117" s="17" t="s">
        <v>3697</v>
      </c>
      <c r="D117" s="42" t="s">
        <v>11</v>
      </c>
      <c r="E117" s="8"/>
      <c r="F117" s="8">
        <f t="shared" ref="F117:K117" si="69">IF(F111=0,,ROUND(F111*1.7,0))</f>
        <v>49</v>
      </c>
      <c r="G117" s="8" t="str">
        <f t="shared" si="69"/>
        <v/>
      </c>
      <c r="H117" s="8" t="str">
        <f t="shared" si="69"/>
        <v/>
      </c>
      <c r="I117" s="8" t="str">
        <f t="shared" si="69"/>
        <v/>
      </c>
      <c r="J117" s="8">
        <f t="shared" si="69"/>
        <v>9</v>
      </c>
      <c r="K117" s="8" t="str">
        <f t="shared" si="69"/>
        <v/>
      </c>
      <c r="L117" s="8"/>
      <c r="M117" s="8"/>
      <c r="N117" s="8"/>
      <c r="O117" s="8" t="str">
        <f t="shared" si="62"/>
        <v>6002,6005</v>
      </c>
      <c r="P117" s="54">
        <v>800.0</v>
      </c>
      <c r="Q117" s="54">
        <v>800.0</v>
      </c>
      <c r="R117" s="8" t="str">
        <f>"201,202,203,204"</f>
        <v>201,202,203,204</v>
      </c>
    </row>
    <row r="118" ht="14.25" customHeight="1">
      <c r="A118" s="8">
        <f t="shared" si="38"/>
        <v>84006</v>
      </c>
      <c r="B118" s="42" t="s">
        <v>3413</v>
      </c>
      <c r="C118" s="17" t="s">
        <v>3705</v>
      </c>
      <c r="D118" s="42" t="s">
        <v>11</v>
      </c>
      <c r="E118" s="8"/>
      <c r="F118" s="8" t="str">
        <f t="shared" ref="F118:K118" si="70">IF(F112=0,,ROUND(F112*1.7,0))</f>
        <v/>
      </c>
      <c r="G118" s="8">
        <f t="shared" si="70"/>
        <v>17</v>
      </c>
      <c r="H118" s="8" t="str">
        <f t="shared" si="70"/>
        <v/>
      </c>
      <c r="I118" s="8">
        <f t="shared" si="70"/>
        <v>14</v>
      </c>
      <c r="J118" s="8" t="str">
        <f t="shared" si="70"/>
        <v/>
      </c>
      <c r="K118" s="8" t="str">
        <f t="shared" si="70"/>
        <v/>
      </c>
      <c r="L118" s="8"/>
      <c r="M118" s="8"/>
      <c r="N118" s="8"/>
      <c r="O118" s="8" t="str">
        <f t="shared" si="62"/>
        <v>6002,6005</v>
      </c>
      <c r="P118" s="54">
        <v>800.0</v>
      </c>
      <c r="Q118" s="54">
        <v>800.0</v>
      </c>
      <c r="R118" s="8" t="str">
        <f t="shared" ref="R118:R119" si="72">"209,210,211,212"</f>
        <v>209,210,211,212</v>
      </c>
    </row>
    <row r="119" ht="14.25" customHeight="1">
      <c r="A119" s="8">
        <f t="shared" si="38"/>
        <v>85006</v>
      </c>
      <c r="B119" s="42" t="s">
        <v>3417</v>
      </c>
      <c r="C119" s="17" t="s">
        <v>3711</v>
      </c>
      <c r="D119" s="42" t="s">
        <v>11</v>
      </c>
      <c r="E119" s="8"/>
      <c r="F119" s="8" t="str">
        <f t="shared" ref="F119:K119" si="71">IF(F113=0,,ROUND(F113*1.7,0))</f>
        <v/>
      </c>
      <c r="G119" s="8">
        <f t="shared" si="71"/>
        <v>15</v>
      </c>
      <c r="H119" s="8" t="str">
        <f t="shared" si="71"/>
        <v/>
      </c>
      <c r="I119" s="8" t="str">
        <f t="shared" si="71"/>
        <v/>
      </c>
      <c r="J119" s="8" t="str">
        <f t="shared" si="71"/>
        <v/>
      </c>
      <c r="K119" s="8">
        <f t="shared" si="71"/>
        <v>20</v>
      </c>
      <c r="L119" s="8"/>
      <c r="M119" s="8"/>
      <c r="N119" s="8"/>
      <c r="O119" s="8" t="str">
        <f t="shared" si="62"/>
        <v>6002,6005</v>
      </c>
      <c r="P119" s="54">
        <v>800.0</v>
      </c>
      <c r="Q119" s="54">
        <v>800.0</v>
      </c>
      <c r="R119" s="8" t="str">
        <f t="shared" si="72"/>
        <v>209,210,211,212</v>
      </c>
    </row>
    <row r="120" ht="14.25" customHeight="1">
      <c r="A120" s="8">
        <f t="shared" si="38"/>
        <v>80007</v>
      </c>
      <c r="B120" s="42" t="s">
        <v>774</v>
      </c>
      <c r="C120" s="17" t="s">
        <v>3721</v>
      </c>
      <c r="D120" s="42" t="s">
        <v>11</v>
      </c>
      <c r="E120" s="8"/>
      <c r="F120" s="8" t="str">
        <f t="shared" ref="F120:K120" si="73">IF(F114=0,,ROUND(F114*1.2,0))</f>
        <v/>
      </c>
      <c r="G120" s="8">
        <f t="shared" si="73"/>
        <v>55</v>
      </c>
      <c r="H120" s="8">
        <f t="shared" si="73"/>
        <v>44</v>
      </c>
      <c r="I120" s="8" t="str">
        <f t="shared" si="73"/>
        <v/>
      </c>
      <c r="J120" s="8" t="str">
        <f t="shared" si="73"/>
        <v/>
      </c>
      <c r="K120" s="8" t="str">
        <f t="shared" si="73"/>
        <v/>
      </c>
      <c r="L120" s="8"/>
      <c r="M120" s="8"/>
      <c r="N120" s="8"/>
      <c r="O120" s="8" t="str">
        <f t="shared" si="62"/>
        <v>6002,6005</v>
      </c>
      <c r="P120" s="54">
        <v>800.0</v>
      </c>
      <c r="Q120" s="54">
        <v>800.0</v>
      </c>
      <c r="R120" s="8" t="str">
        <f>"201,202,203,204"</f>
        <v>201,202,203,204</v>
      </c>
    </row>
    <row r="121" ht="14.25" customHeight="1">
      <c r="A121" s="8">
        <f t="shared" si="38"/>
        <v>81007</v>
      </c>
      <c r="B121" s="42" t="s">
        <v>3398</v>
      </c>
      <c r="C121" s="17" t="s">
        <v>3732</v>
      </c>
      <c r="D121" s="42" t="s">
        <v>11</v>
      </c>
      <c r="E121" s="8"/>
      <c r="F121" s="8">
        <f t="shared" ref="F121:K121" si="74">IF(F115=0,,ROUND(F115*1.2,0))</f>
        <v>154</v>
      </c>
      <c r="G121" s="8" t="str">
        <f t="shared" si="74"/>
        <v/>
      </c>
      <c r="H121" s="8" t="str">
        <f t="shared" si="74"/>
        <v/>
      </c>
      <c r="I121" s="8">
        <f t="shared" si="74"/>
        <v>18</v>
      </c>
      <c r="J121" s="8" t="str">
        <f t="shared" si="74"/>
        <v/>
      </c>
      <c r="K121" s="8" t="str">
        <f t="shared" si="74"/>
        <v/>
      </c>
      <c r="L121" s="8"/>
      <c r="M121" s="8"/>
      <c r="N121" s="8"/>
      <c r="O121" s="8" t="str">
        <f t="shared" si="62"/>
        <v>6002,6005</v>
      </c>
      <c r="P121" s="54">
        <v>800.0</v>
      </c>
      <c r="Q121" s="54">
        <v>800.0</v>
      </c>
      <c r="R121" s="8" t="str">
        <f t="shared" ref="R121:R122" si="76">"205,206,207,208"</f>
        <v>205,206,207,208</v>
      </c>
    </row>
    <row r="122" ht="14.25" customHeight="1">
      <c r="A122" s="8">
        <f t="shared" si="38"/>
        <v>82007</v>
      </c>
      <c r="B122" s="42" t="s">
        <v>3401</v>
      </c>
      <c r="C122" s="17" t="s">
        <v>3741</v>
      </c>
      <c r="D122" s="42" t="s">
        <v>11</v>
      </c>
      <c r="E122" s="8"/>
      <c r="F122" s="8" t="str">
        <f t="shared" ref="F122:K122" si="75">IF(F116=0,,ROUND(F116*1.2,0))</f>
        <v/>
      </c>
      <c r="G122" s="8" t="str">
        <f t="shared" si="75"/>
        <v/>
      </c>
      <c r="H122" s="8" t="str">
        <f t="shared" si="75"/>
        <v/>
      </c>
      <c r="I122" s="8">
        <f t="shared" si="75"/>
        <v>23</v>
      </c>
      <c r="J122" s="8">
        <f t="shared" si="75"/>
        <v>11</v>
      </c>
      <c r="K122" s="8" t="str">
        <f t="shared" si="75"/>
        <v/>
      </c>
      <c r="L122" s="8"/>
      <c r="M122" s="8"/>
      <c r="N122" s="8"/>
      <c r="O122" s="8" t="str">
        <f t="shared" si="62"/>
        <v>6002,6005</v>
      </c>
      <c r="P122" s="54">
        <v>800.0</v>
      </c>
      <c r="Q122" s="54">
        <v>800.0</v>
      </c>
      <c r="R122" s="8" t="str">
        <f t="shared" si="76"/>
        <v>205,206,207,208</v>
      </c>
    </row>
    <row r="123" ht="14.25" customHeight="1">
      <c r="A123" s="8">
        <f t="shared" si="38"/>
        <v>83007</v>
      </c>
      <c r="B123" s="42" t="s">
        <v>3406</v>
      </c>
      <c r="C123" s="17" t="s">
        <v>3750</v>
      </c>
      <c r="D123" s="42" t="s">
        <v>11</v>
      </c>
      <c r="E123" s="8"/>
      <c r="F123" s="8">
        <f t="shared" ref="F123:K123" si="77">IF(F117=0,,ROUND(F117*1.2,0))</f>
        <v>59</v>
      </c>
      <c r="G123" s="8" t="str">
        <f t="shared" si="77"/>
        <v/>
      </c>
      <c r="H123" s="8" t="str">
        <f t="shared" si="77"/>
        <v/>
      </c>
      <c r="I123" s="8" t="str">
        <f t="shared" si="77"/>
        <v/>
      </c>
      <c r="J123" s="8">
        <f t="shared" si="77"/>
        <v>11</v>
      </c>
      <c r="K123" s="8" t="str">
        <f t="shared" si="77"/>
        <v/>
      </c>
      <c r="L123" s="8"/>
      <c r="M123" s="8"/>
      <c r="N123" s="8"/>
      <c r="O123" s="8" t="str">
        <f t="shared" si="62"/>
        <v>6002,6005</v>
      </c>
      <c r="P123" s="54">
        <v>800.0</v>
      </c>
      <c r="Q123" s="54">
        <v>800.0</v>
      </c>
      <c r="R123" s="8" t="str">
        <f>"201,202,203,204"</f>
        <v>201,202,203,204</v>
      </c>
    </row>
    <row r="124" ht="14.25" customHeight="1">
      <c r="A124" s="8">
        <f t="shared" si="38"/>
        <v>84007</v>
      </c>
      <c r="B124" s="42" t="s">
        <v>3413</v>
      </c>
      <c r="C124" s="17" t="s">
        <v>3759</v>
      </c>
      <c r="D124" s="42" t="s">
        <v>11</v>
      </c>
      <c r="E124" s="8"/>
      <c r="F124" s="8" t="str">
        <f t="shared" ref="F124:K124" si="78">IF(F118=0,,ROUND(F118*1.2,0))</f>
        <v/>
      </c>
      <c r="G124" s="8">
        <f t="shared" si="78"/>
        <v>20</v>
      </c>
      <c r="H124" s="8" t="str">
        <f t="shared" si="78"/>
        <v/>
      </c>
      <c r="I124" s="8">
        <f t="shared" si="78"/>
        <v>17</v>
      </c>
      <c r="J124" s="8" t="str">
        <f t="shared" si="78"/>
        <v/>
      </c>
      <c r="K124" s="8" t="str">
        <f t="shared" si="78"/>
        <v/>
      </c>
      <c r="L124" s="8"/>
      <c r="M124" s="8"/>
      <c r="N124" s="8"/>
      <c r="O124" s="8" t="str">
        <f t="shared" si="62"/>
        <v>6002,6005</v>
      </c>
      <c r="P124" s="54">
        <v>800.0</v>
      </c>
      <c r="Q124" s="54">
        <v>800.0</v>
      </c>
      <c r="R124" s="8" t="str">
        <f t="shared" ref="R124:R125" si="80">"209,210,211,212"</f>
        <v>209,210,211,212</v>
      </c>
    </row>
    <row r="125" ht="14.25" customHeight="1">
      <c r="A125" s="8">
        <f t="shared" si="38"/>
        <v>85007</v>
      </c>
      <c r="B125" s="42" t="s">
        <v>3417</v>
      </c>
      <c r="C125" s="17" t="s">
        <v>3767</v>
      </c>
      <c r="D125" s="42" t="s">
        <v>11</v>
      </c>
      <c r="E125" s="8"/>
      <c r="F125" s="8" t="str">
        <f t="shared" ref="F125:K125" si="79">IF(F119=0,,ROUND(F119*1.2,0))</f>
        <v/>
      </c>
      <c r="G125" s="8">
        <f t="shared" si="79"/>
        <v>18</v>
      </c>
      <c r="H125" s="8" t="str">
        <f t="shared" si="79"/>
        <v/>
      </c>
      <c r="I125" s="8" t="str">
        <f t="shared" si="79"/>
        <v/>
      </c>
      <c r="J125" s="8" t="str">
        <f t="shared" si="79"/>
        <v/>
      </c>
      <c r="K125" s="8">
        <f t="shared" si="79"/>
        <v>24</v>
      </c>
      <c r="L125" s="8"/>
      <c r="M125" s="8"/>
      <c r="N125" s="8"/>
      <c r="O125" s="8" t="str">
        <f t="shared" si="62"/>
        <v>6002,6005</v>
      </c>
      <c r="P125" s="54">
        <v>800.0</v>
      </c>
      <c r="Q125" s="54">
        <v>800.0</v>
      </c>
      <c r="R125" s="8" t="str">
        <f t="shared" si="80"/>
        <v>209,210,211,212</v>
      </c>
    </row>
    <row r="126" ht="14.25" customHeight="1">
      <c r="A126" s="8">
        <f t="shared" si="38"/>
        <v>80008</v>
      </c>
      <c r="B126" s="42" t="s">
        <v>774</v>
      </c>
      <c r="C126" s="2" t="s">
        <v>3774</v>
      </c>
      <c r="D126" s="42" t="s">
        <v>8</v>
      </c>
      <c r="E126" s="8"/>
      <c r="F126" s="8" t="str">
        <f t="shared" ref="F126:K126" si="81">IF(F114=0,,ROUND(F114*1.7,0))</f>
        <v/>
      </c>
      <c r="G126" s="8">
        <f t="shared" si="81"/>
        <v>78</v>
      </c>
      <c r="H126" s="8">
        <f t="shared" si="81"/>
        <v>63</v>
      </c>
      <c r="I126" s="8" t="str">
        <f t="shared" si="81"/>
        <v/>
      </c>
      <c r="J126" s="8" t="str">
        <f t="shared" si="81"/>
        <v/>
      </c>
      <c r="K126" s="8" t="str">
        <f t="shared" si="81"/>
        <v/>
      </c>
      <c r="L126" s="8"/>
      <c r="M126" s="8"/>
      <c r="N126" s="8"/>
      <c r="O126" s="8" t="str">
        <f t="shared" si="62"/>
        <v>6002,6005</v>
      </c>
      <c r="P126" s="54">
        <v>800.0</v>
      </c>
      <c r="Q126" s="54">
        <v>800.0</v>
      </c>
      <c r="R126" s="8" t="str">
        <f>"201,202,203,204"</f>
        <v>201,202,203,204</v>
      </c>
    </row>
    <row r="127" ht="14.25" customHeight="1">
      <c r="A127" s="8">
        <f t="shared" si="38"/>
        <v>81008</v>
      </c>
      <c r="B127" s="42" t="s">
        <v>3398</v>
      </c>
      <c r="C127" s="17" t="s">
        <v>3781</v>
      </c>
      <c r="D127" s="42" t="s">
        <v>8</v>
      </c>
      <c r="E127" s="8"/>
      <c r="F127" s="8">
        <f t="shared" ref="F127:K127" si="82">IF(F115=0,,ROUND(F115*1.7,0))</f>
        <v>218</v>
      </c>
      <c r="G127" s="8" t="str">
        <f t="shared" si="82"/>
        <v/>
      </c>
      <c r="H127" s="8" t="str">
        <f t="shared" si="82"/>
        <v/>
      </c>
      <c r="I127" s="8">
        <f t="shared" si="82"/>
        <v>26</v>
      </c>
      <c r="J127" s="8" t="str">
        <f t="shared" si="82"/>
        <v/>
      </c>
      <c r="K127" s="8" t="str">
        <f t="shared" si="82"/>
        <v/>
      </c>
      <c r="L127" s="8"/>
      <c r="M127" s="8"/>
      <c r="N127" s="8"/>
      <c r="O127" s="8" t="str">
        <f t="shared" si="62"/>
        <v>6002,6005</v>
      </c>
      <c r="P127" s="54">
        <v>800.0</v>
      </c>
      <c r="Q127" s="54">
        <v>800.0</v>
      </c>
      <c r="R127" s="8" t="str">
        <f t="shared" ref="R127:R128" si="84">"205,206,207,208"</f>
        <v>205,206,207,208</v>
      </c>
    </row>
    <row r="128" ht="14.25" customHeight="1">
      <c r="A128" s="8">
        <f t="shared" si="38"/>
        <v>82008</v>
      </c>
      <c r="B128" s="42" t="s">
        <v>3401</v>
      </c>
      <c r="C128" s="17" t="s">
        <v>3789</v>
      </c>
      <c r="D128" s="42" t="s">
        <v>8</v>
      </c>
      <c r="E128" s="8"/>
      <c r="F128" s="8" t="str">
        <f t="shared" ref="F128:K128" si="83">IF(F116=0,,ROUND(F116*1.7,0))</f>
        <v/>
      </c>
      <c r="G128" s="8" t="str">
        <f t="shared" si="83"/>
        <v/>
      </c>
      <c r="H128" s="8" t="str">
        <f t="shared" si="83"/>
        <v/>
      </c>
      <c r="I128" s="8">
        <f t="shared" si="83"/>
        <v>32</v>
      </c>
      <c r="J128" s="8">
        <f t="shared" si="83"/>
        <v>15</v>
      </c>
      <c r="K128" s="8" t="str">
        <f t="shared" si="83"/>
        <v/>
      </c>
      <c r="L128" s="8"/>
      <c r="M128" s="8"/>
      <c r="N128" s="8"/>
      <c r="O128" s="8" t="str">
        <f t="shared" si="62"/>
        <v>6002,6005</v>
      </c>
      <c r="P128" s="54">
        <v>800.0</v>
      </c>
      <c r="Q128" s="54">
        <v>800.0</v>
      </c>
      <c r="R128" s="8" t="str">
        <f t="shared" si="84"/>
        <v>205,206,207,208</v>
      </c>
    </row>
    <row r="129" ht="14.25" customHeight="1">
      <c r="A129" s="8">
        <f t="shared" si="38"/>
        <v>83008</v>
      </c>
      <c r="B129" s="42" t="s">
        <v>3406</v>
      </c>
      <c r="C129" s="17" t="s">
        <v>3796</v>
      </c>
      <c r="D129" s="42" t="s">
        <v>8</v>
      </c>
      <c r="E129" s="8"/>
      <c r="F129" s="8">
        <f t="shared" ref="F129:K129" si="85">IF(F117=0,,ROUND(F117*1.7,0))</f>
        <v>83</v>
      </c>
      <c r="G129" s="8" t="str">
        <f t="shared" si="85"/>
        <v/>
      </c>
      <c r="H129" s="8" t="str">
        <f t="shared" si="85"/>
        <v/>
      </c>
      <c r="I129" s="8" t="str">
        <f t="shared" si="85"/>
        <v/>
      </c>
      <c r="J129" s="8">
        <f t="shared" si="85"/>
        <v>15</v>
      </c>
      <c r="K129" s="8" t="str">
        <f t="shared" si="85"/>
        <v/>
      </c>
      <c r="L129" s="8"/>
      <c r="M129" s="8"/>
      <c r="N129" s="8"/>
      <c r="O129" s="8" t="str">
        <f t="shared" si="62"/>
        <v>6002,6005</v>
      </c>
      <c r="P129" s="54">
        <v>800.0</v>
      </c>
      <c r="Q129" s="54">
        <v>800.0</v>
      </c>
      <c r="R129" s="8" t="str">
        <f>"201,202,203,204"</f>
        <v>201,202,203,204</v>
      </c>
    </row>
    <row r="130" ht="14.25" customHeight="1">
      <c r="A130" s="8">
        <f t="shared" si="38"/>
        <v>84008</v>
      </c>
      <c r="B130" s="42" t="s">
        <v>3413</v>
      </c>
      <c r="C130" s="17" t="s">
        <v>3805</v>
      </c>
      <c r="D130" s="42" t="s">
        <v>8</v>
      </c>
      <c r="E130" s="8"/>
      <c r="F130" s="8" t="str">
        <f t="shared" ref="F130:K130" si="86">IF(F118=0,,ROUND(F118*1.7,0))</f>
        <v/>
      </c>
      <c r="G130" s="8">
        <f t="shared" si="86"/>
        <v>29</v>
      </c>
      <c r="H130" s="8" t="str">
        <f t="shared" si="86"/>
        <v/>
      </c>
      <c r="I130" s="8">
        <f t="shared" si="86"/>
        <v>24</v>
      </c>
      <c r="J130" s="8" t="str">
        <f t="shared" si="86"/>
        <v/>
      </c>
      <c r="K130" s="8" t="str">
        <f t="shared" si="86"/>
        <v/>
      </c>
      <c r="L130" s="8"/>
      <c r="M130" s="8"/>
      <c r="N130" s="8"/>
      <c r="O130" s="8" t="str">
        <f t="shared" si="62"/>
        <v>6002,6005</v>
      </c>
      <c r="P130" s="54">
        <v>800.0</v>
      </c>
      <c r="Q130" s="54">
        <v>800.0</v>
      </c>
      <c r="R130" s="8" t="str">
        <f t="shared" ref="R130:R131" si="88">"209,210,211,212"</f>
        <v>209,210,211,212</v>
      </c>
    </row>
    <row r="131" ht="14.25" customHeight="1">
      <c r="A131" s="8">
        <f t="shared" si="38"/>
        <v>85008</v>
      </c>
      <c r="B131" s="42" t="s">
        <v>3417</v>
      </c>
      <c r="C131" s="17" t="s">
        <v>3811</v>
      </c>
      <c r="D131" s="42" t="s">
        <v>8</v>
      </c>
      <c r="E131" s="8"/>
      <c r="F131" s="8" t="str">
        <f t="shared" ref="F131:K131" si="87">IF(F119=0,,ROUND(F119*1.7,0))</f>
        <v/>
      </c>
      <c r="G131" s="8">
        <f t="shared" si="87"/>
        <v>26</v>
      </c>
      <c r="H131" s="8" t="str">
        <f t="shared" si="87"/>
        <v/>
      </c>
      <c r="I131" s="8" t="str">
        <f t="shared" si="87"/>
        <v/>
      </c>
      <c r="J131" s="8" t="str">
        <f t="shared" si="87"/>
        <v/>
      </c>
      <c r="K131" s="8">
        <f t="shared" si="87"/>
        <v>34</v>
      </c>
      <c r="L131" s="8"/>
      <c r="M131" s="8"/>
      <c r="N131" s="8"/>
      <c r="O131" s="8" t="str">
        <f t="shared" si="62"/>
        <v>6002,6005</v>
      </c>
      <c r="P131" s="54">
        <v>800.0</v>
      </c>
      <c r="Q131" s="54">
        <v>800.0</v>
      </c>
      <c r="R131" s="8" t="str">
        <f t="shared" si="88"/>
        <v>209,210,211,212</v>
      </c>
    </row>
    <row r="132" ht="14.25" customHeight="1">
      <c r="A132" s="8">
        <f t="shared" si="38"/>
        <v>80009</v>
      </c>
      <c r="B132" s="42" t="s">
        <v>774</v>
      </c>
      <c r="C132" s="17" t="s">
        <v>3817</v>
      </c>
      <c r="D132" s="42" t="s">
        <v>15</v>
      </c>
      <c r="E132" s="8"/>
      <c r="F132" s="8"/>
      <c r="G132" s="8">
        <v>15.0</v>
      </c>
      <c r="H132" s="8"/>
      <c r="I132" s="8">
        <v>5.0</v>
      </c>
      <c r="J132" s="8"/>
      <c r="K132" s="8"/>
      <c r="L132" s="8"/>
      <c r="M132" s="8"/>
      <c r="N132" s="8"/>
      <c r="O132" s="8" t="str">
        <f t="shared" ref="O132:O155" si="89">"6003,6006"</f>
        <v>6003,6006</v>
      </c>
      <c r="P132" s="54">
        <v>800.0</v>
      </c>
      <c r="Q132" s="54">
        <v>800.0</v>
      </c>
      <c r="R132" s="8" t="str">
        <f>"201,202,203,204"</f>
        <v>201,202,203,204</v>
      </c>
    </row>
    <row r="133" ht="14.25" customHeight="1">
      <c r="A133" s="8">
        <f t="shared" si="38"/>
        <v>81009</v>
      </c>
      <c r="B133" s="42" t="s">
        <v>3398</v>
      </c>
      <c r="C133" s="17" t="s">
        <v>3821</v>
      </c>
      <c r="D133" s="42" t="s">
        <v>15</v>
      </c>
      <c r="E133" s="8"/>
      <c r="F133" s="8"/>
      <c r="G133" s="8"/>
      <c r="H133" s="8"/>
      <c r="I133" s="8">
        <v>17.0</v>
      </c>
      <c r="J133" s="8"/>
      <c r="K133" s="8"/>
      <c r="L133" s="8"/>
      <c r="M133" s="8"/>
      <c r="N133" s="8"/>
      <c r="O133" s="8" t="str">
        <f t="shared" si="89"/>
        <v>6003,6006</v>
      </c>
      <c r="P133" s="54">
        <v>800.0</v>
      </c>
      <c r="Q133" s="54">
        <v>800.0</v>
      </c>
      <c r="R133" s="8" t="str">
        <f t="shared" ref="R133:R134" si="90">"205,206,207,208"</f>
        <v>205,206,207,208</v>
      </c>
    </row>
    <row r="134" ht="14.25" customHeight="1">
      <c r="A134" s="8">
        <f t="shared" si="38"/>
        <v>82009</v>
      </c>
      <c r="B134" s="42" t="s">
        <v>3401</v>
      </c>
      <c r="C134" s="155" t="s">
        <v>788</v>
      </c>
      <c r="D134" s="42" t="s">
        <v>15</v>
      </c>
      <c r="E134" s="8"/>
      <c r="F134" s="8">
        <v>95.0</v>
      </c>
      <c r="G134" s="8"/>
      <c r="H134" s="8"/>
      <c r="I134" s="8">
        <v>16.0</v>
      </c>
      <c r="J134" s="8"/>
      <c r="K134" s="8"/>
      <c r="L134" s="8"/>
      <c r="M134" s="8"/>
      <c r="N134" s="8"/>
      <c r="O134" s="8" t="str">
        <f t="shared" si="89"/>
        <v>6003,6006</v>
      </c>
      <c r="P134" s="54">
        <v>800.0</v>
      </c>
      <c r="Q134" s="54">
        <v>800.0</v>
      </c>
      <c r="R134" s="8" t="str">
        <f t="shared" si="90"/>
        <v>205,206,207,208</v>
      </c>
    </row>
    <row r="135" ht="14.25" customHeight="1">
      <c r="A135" s="8">
        <f t="shared" si="38"/>
        <v>83009</v>
      </c>
      <c r="B135" s="42" t="s">
        <v>3406</v>
      </c>
      <c r="C135" s="17" t="s">
        <v>3827</v>
      </c>
      <c r="D135" s="42" t="s">
        <v>15</v>
      </c>
      <c r="E135" s="8"/>
      <c r="F135" s="8"/>
      <c r="G135" s="8"/>
      <c r="H135" s="8"/>
      <c r="I135" s="8">
        <v>19.0</v>
      </c>
      <c r="J135" s="8">
        <v>12.0</v>
      </c>
      <c r="K135" s="8"/>
      <c r="L135" s="8"/>
      <c r="M135" s="8"/>
      <c r="N135" s="8"/>
      <c r="O135" s="8" t="str">
        <f t="shared" si="89"/>
        <v>6003,6006</v>
      </c>
      <c r="P135" s="54">
        <v>800.0</v>
      </c>
      <c r="Q135" s="54">
        <v>800.0</v>
      </c>
      <c r="R135" s="8" t="str">
        <f>"201,202,203,204"</f>
        <v>201,202,203,204</v>
      </c>
    </row>
    <row r="136" ht="14.25" customHeight="1">
      <c r="A136" s="8">
        <f t="shared" si="38"/>
        <v>84009</v>
      </c>
      <c r="B136" s="42" t="s">
        <v>3413</v>
      </c>
      <c r="C136" s="17" t="s">
        <v>3832</v>
      </c>
      <c r="D136" s="42" t="s">
        <v>15</v>
      </c>
      <c r="E136" s="8"/>
      <c r="F136" s="8">
        <v>79.0</v>
      </c>
      <c r="G136" s="8"/>
      <c r="H136" s="8"/>
      <c r="I136" s="8">
        <v>29.0</v>
      </c>
      <c r="J136" s="8"/>
      <c r="K136" s="8"/>
      <c r="L136" s="8"/>
      <c r="M136" s="8"/>
      <c r="N136" s="8"/>
      <c r="O136" s="8" t="str">
        <f t="shared" si="89"/>
        <v>6003,6006</v>
      </c>
      <c r="P136" s="54">
        <v>800.0</v>
      </c>
      <c r="Q136" s="54">
        <v>800.0</v>
      </c>
      <c r="R136" s="8" t="str">
        <f t="shared" ref="R136:R137" si="91">"209,210,211,212"</f>
        <v>209,210,211,212</v>
      </c>
    </row>
    <row r="137" ht="14.25" customHeight="1">
      <c r="A137" s="8">
        <f t="shared" si="38"/>
        <v>85009</v>
      </c>
      <c r="B137" s="42" t="s">
        <v>3417</v>
      </c>
      <c r="C137" s="17" t="s">
        <v>3835</v>
      </c>
      <c r="D137" s="42" t="s">
        <v>15</v>
      </c>
      <c r="E137" s="8"/>
      <c r="F137" s="8">
        <v>57.0</v>
      </c>
      <c r="G137" s="8">
        <v>6.0</v>
      </c>
      <c r="H137" s="8"/>
      <c r="I137" s="8"/>
      <c r="J137" s="8">
        <v>11.0</v>
      </c>
      <c r="K137" s="8"/>
      <c r="L137" s="8"/>
      <c r="M137" s="8"/>
      <c r="N137" s="8"/>
      <c r="O137" s="8" t="str">
        <f t="shared" si="89"/>
        <v>6003,6006</v>
      </c>
      <c r="P137" s="54">
        <v>800.0</v>
      </c>
      <c r="Q137" s="54">
        <v>800.0</v>
      </c>
      <c r="R137" s="8" t="str">
        <f t="shared" si="91"/>
        <v>209,210,211,212</v>
      </c>
    </row>
    <row r="138" ht="14.25" customHeight="1">
      <c r="A138" s="8">
        <f t="shared" si="38"/>
        <v>80010</v>
      </c>
      <c r="B138" s="42" t="s">
        <v>774</v>
      </c>
      <c r="C138" s="17" t="s">
        <v>3838</v>
      </c>
      <c r="D138" s="42" t="s">
        <v>11</v>
      </c>
      <c r="E138" s="8"/>
      <c r="F138" s="8" t="str">
        <f t="shared" ref="F138:K138" si="92">IF(F132=0,,ROUND(F132*1.7,0))</f>
        <v/>
      </c>
      <c r="G138" s="8">
        <f t="shared" si="92"/>
        <v>26</v>
      </c>
      <c r="H138" s="8" t="str">
        <f t="shared" si="92"/>
        <v/>
      </c>
      <c r="I138" s="8">
        <f t="shared" si="92"/>
        <v>9</v>
      </c>
      <c r="J138" s="8" t="str">
        <f t="shared" si="92"/>
        <v/>
      </c>
      <c r="K138" s="8" t="str">
        <f t="shared" si="92"/>
        <v/>
      </c>
      <c r="L138" s="8"/>
      <c r="M138" s="8"/>
      <c r="N138" s="8"/>
      <c r="O138" s="8" t="str">
        <f t="shared" si="89"/>
        <v>6003,6006</v>
      </c>
      <c r="P138" s="54">
        <v>800.0</v>
      </c>
      <c r="Q138" s="54">
        <v>800.0</v>
      </c>
      <c r="R138" s="8" t="str">
        <f>"201,202,203,204"</f>
        <v>201,202,203,204</v>
      </c>
    </row>
    <row r="139" ht="14.25" customHeight="1">
      <c r="A139" s="8">
        <f t="shared" si="38"/>
        <v>81010</v>
      </c>
      <c r="B139" s="42" t="s">
        <v>3398</v>
      </c>
      <c r="C139" s="17" t="s">
        <v>3843</v>
      </c>
      <c r="D139" s="42" t="s">
        <v>11</v>
      </c>
      <c r="E139" s="8"/>
      <c r="F139" s="8" t="str">
        <f t="shared" ref="F139:K139" si="93">IF(F133=0,,ROUND(F133*1.7,0))</f>
        <v/>
      </c>
      <c r="G139" s="8" t="str">
        <f t="shared" si="93"/>
        <v/>
      </c>
      <c r="H139" s="8" t="str">
        <f t="shared" si="93"/>
        <v/>
      </c>
      <c r="I139" s="8">
        <f t="shared" si="93"/>
        <v>29</v>
      </c>
      <c r="J139" s="8" t="str">
        <f t="shared" si="93"/>
        <v/>
      </c>
      <c r="K139" s="8" t="str">
        <f t="shared" si="93"/>
        <v/>
      </c>
      <c r="L139" s="8"/>
      <c r="M139" s="8"/>
      <c r="N139" s="8"/>
      <c r="O139" s="8" t="str">
        <f t="shared" si="89"/>
        <v>6003,6006</v>
      </c>
      <c r="P139" s="54">
        <v>800.0</v>
      </c>
      <c r="Q139" s="54">
        <v>800.0</v>
      </c>
      <c r="R139" s="8" t="str">
        <f t="shared" ref="R139:R140" si="95">"205,206,207,208"</f>
        <v>205,206,207,208</v>
      </c>
    </row>
    <row r="140" ht="14.25" customHeight="1">
      <c r="A140" s="8">
        <f t="shared" si="38"/>
        <v>82010</v>
      </c>
      <c r="B140" s="42" t="s">
        <v>3401</v>
      </c>
      <c r="C140" s="155" t="s">
        <v>3856</v>
      </c>
      <c r="D140" s="42" t="s">
        <v>11</v>
      </c>
      <c r="E140" s="8"/>
      <c r="F140" s="8">
        <f t="shared" ref="F140:K140" si="94">IF(F134=0,,ROUND(F134*1.7,0))</f>
        <v>162</v>
      </c>
      <c r="G140" s="8" t="str">
        <f t="shared" si="94"/>
        <v/>
      </c>
      <c r="H140" s="8" t="str">
        <f t="shared" si="94"/>
        <v/>
      </c>
      <c r="I140" s="8">
        <f t="shared" si="94"/>
        <v>27</v>
      </c>
      <c r="J140" s="8" t="str">
        <f t="shared" si="94"/>
        <v/>
      </c>
      <c r="K140" s="8" t="str">
        <f t="shared" si="94"/>
        <v/>
      </c>
      <c r="L140" s="8"/>
      <c r="M140" s="8"/>
      <c r="N140" s="8"/>
      <c r="O140" s="8" t="str">
        <f t="shared" si="89"/>
        <v>6003,6006</v>
      </c>
      <c r="P140" s="54">
        <v>800.0</v>
      </c>
      <c r="Q140" s="54">
        <v>800.0</v>
      </c>
      <c r="R140" s="8" t="str">
        <f t="shared" si="95"/>
        <v>205,206,207,208</v>
      </c>
    </row>
    <row r="141" ht="14.25" customHeight="1">
      <c r="A141" s="8">
        <f t="shared" si="38"/>
        <v>83010</v>
      </c>
      <c r="B141" s="42" t="s">
        <v>3406</v>
      </c>
      <c r="C141" s="17" t="s">
        <v>3862</v>
      </c>
      <c r="D141" s="42" t="s">
        <v>11</v>
      </c>
      <c r="E141" s="8"/>
      <c r="F141" s="8" t="str">
        <f t="shared" ref="F141:K141" si="96">IF(F135=0,,ROUND(F135*1.7,0))</f>
        <v/>
      </c>
      <c r="G141" s="8" t="str">
        <f t="shared" si="96"/>
        <v/>
      </c>
      <c r="H141" s="8" t="str">
        <f t="shared" si="96"/>
        <v/>
      </c>
      <c r="I141" s="8">
        <f t="shared" si="96"/>
        <v>32</v>
      </c>
      <c r="J141" s="8">
        <f t="shared" si="96"/>
        <v>20</v>
      </c>
      <c r="K141" s="8" t="str">
        <f t="shared" si="96"/>
        <v/>
      </c>
      <c r="L141" s="8"/>
      <c r="M141" s="8"/>
      <c r="N141" s="8"/>
      <c r="O141" s="8" t="str">
        <f t="shared" si="89"/>
        <v>6003,6006</v>
      </c>
      <c r="P141" s="54">
        <v>800.0</v>
      </c>
      <c r="Q141" s="54">
        <v>800.0</v>
      </c>
      <c r="R141" s="8" t="str">
        <f>"201,202,203,204"</f>
        <v>201,202,203,204</v>
      </c>
    </row>
    <row r="142" ht="14.25" customHeight="1">
      <c r="A142" s="8">
        <f t="shared" si="38"/>
        <v>84010</v>
      </c>
      <c r="B142" s="42" t="s">
        <v>3413</v>
      </c>
      <c r="C142" s="17" t="s">
        <v>3871</v>
      </c>
      <c r="D142" s="42" t="s">
        <v>11</v>
      </c>
      <c r="E142" s="8"/>
      <c r="F142" s="8">
        <f t="shared" ref="F142:K142" si="97">IF(F136=0,,ROUND(F136*1.7,0))</f>
        <v>134</v>
      </c>
      <c r="G142" s="8" t="str">
        <f t="shared" si="97"/>
        <v/>
      </c>
      <c r="H142" s="8" t="str">
        <f t="shared" si="97"/>
        <v/>
      </c>
      <c r="I142" s="8">
        <f t="shared" si="97"/>
        <v>49</v>
      </c>
      <c r="J142" s="8" t="str">
        <f t="shared" si="97"/>
        <v/>
      </c>
      <c r="K142" s="8" t="str">
        <f t="shared" si="97"/>
        <v/>
      </c>
      <c r="L142" s="8"/>
      <c r="M142" s="8"/>
      <c r="N142" s="8"/>
      <c r="O142" s="8" t="str">
        <f t="shared" si="89"/>
        <v>6003,6006</v>
      </c>
      <c r="P142" s="54">
        <v>800.0</v>
      </c>
      <c r="Q142" s="54">
        <v>800.0</v>
      </c>
      <c r="R142" s="8" t="str">
        <f t="shared" ref="R142:R143" si="99">"209,210,211,212"</f>
        <v>209,210,211,212</v>
      </c>
    </row>
    <row r="143" ht="14.25" customHeight="1">
      <c r="A143" s="8">
        <f t="shared" si="38"/>
        <v>85010</v>
      </c>
      <c r="B143" s="42" t="s">
        <v>3417</v>
      </c>
      <c r="C143" s="17" t="s">
        <v>3882</v>
      </c>
      <c r="D143" s="42" t="s">
        <v>11</v>
      </c>
      <c r="E143" s="8"/>
      <c r="F143" s="8">
        <f t="shared" ref="F143:K143" si="98">IF(F137=0,,ROUND(F137*1.7,0))</f>
        <v>97</v>
      </c>
      <c r="G143" s="8">
        <f t="shared" si="98"/>
        <v>10</v>
      </c>
      <c r="H143" s="8" t="str">
        <f t="shared" si="98"/>
        <v/>
      </c>
      <c r="I143" s="8" t="str">
        <f t="shared" si="98"/>
        <v/>
      </c>
      <c r="J143" s="8">
        <f t="shared" si="98"/>
        <v>19</v>
      </c>
      <c r="K143" s="8" t="str">
        <f t="shared" si="98"/>
        <v/>
      </c>
      <c r="L143" s="8"/>
      <c r="M143" s="8"/>
      <c r="N143" s="8"/>
      <c r="O143" s="8" t="str">
        <f t="shared" si="89"/>
        <v>6003,6006</v>
      </c>
      <c r="P143" s="54">
        <v>800.0</v>
      </c>
      <c r="Q143" s="54">
        <v>800.0</v>
      </c>
      <c r="R143" s="8" t="str">
        <f t="shared" si="99"/>
        <v>209,210,211,212</v>
      </c>
    </row>
    <row r="144" ht="14.25" customHeight="1">
      <c r="A144" s="8">
        <f t="shared" si="38"/>
        <v>80011</v>
      </c>
      <c r="B144" s="42" t="s">
        <v>774</v>
      </c>
      <c r="C144" s="17" t="s">
        <v>3888</v>
      </c>
      <c r="D144" s="42" t="s">
        <v>11</v>
      </c>
      <c r="E144" s="8"/>
      <c r="F144" s="8" t="str">
        <f t="shared" ref="F144:K144" si="100">IF(F138=0,,ROUND(F138*1.2,0))</f>
        <v/>
      </c>
      <c r="G144" s="8">
        <f t="shared" si="100"/>
        <v>31</v>
      </c>
      <c r="H144" s="8" t="str">
        <f t="shared" si="100"/>
        <v/>
      </c>
      <c r="I144" s="8">
        <f t="shared" si="100"/>
        <v>11</v>
      </c>
      <c r="J144" s="8" t="str">
        <f t="shared" si="100"/>
        <v/>
      </c>
      <c r="K144" s="8" t="str">
        <f t="shared" si="100"/>
        <v/>
      </c>
      <c r="L144" s="8"/>
      <c r="M144" s="8"/>
      <c r="N144" s="8"/>
      <c r="O144" s="8" t="str">
        <f t="shared" si="89"/>
        <v>6003,6006</v>
      </c>
      <c r="P144" s="54">
        <v>800.0</v>
      </c>
      <c r="Q144" s="54">
        <v>800.0</v>
      </c>
      <c r="R144" s="8" t="str">
        <f>"201,202,203,204"</f>
        <v>201,202,203,204</v>
      </c>
    </row>
    <row r="145" ht="14.25" customHeight="1">
      <c r="A145" s="8">
        <f t="shared" si="38"/>
        <v>81011</v>
      </c>
      <c r="B145" s="42" t="s">
        <v>3398</v>
      </c>
      <c r="C145" s="17" t="s">
        <v>3893</v>
      </c>
      <c r="D145" s="42" t="s">
        <v>11</v>
      </c>
      <c r="E145" s="8"/>
      <c r="F145" s="8" t="str">
        <f t="shared" ref="F145:K145" si="101">IF(F139=0,,ROUND(F139*1.2,0))</f>
        <v/>
      </c>
      <c r="G145" s="8" t="str">
        <f t="shared" si="101"/>
        <v/>
      </c>
      <c r="H145" s="8" t="str">
        <f t="shared" si="101"/>
        <v/>
      </c>
      <c r="I145" s="8">
        <f t="shared" si="101"/>
        <v>35</v>
      </c>
      <c r="J145" s="8" t="str">
        <f t="shared" si="101"/>
        <v/>
      </c>
      <c r="K145" s="8" t="str">
        <f t="shared" si="101"/>
        <v/>
      </c>
      <c r="L145" s="8"/>
      <c r="M145" s="8"/>
      <c r="N145" s="8"/>
      <c r="O145" s="8" t="str">
        <f t="shared" si="89"/>
        <v>6003,6006</v>
      </c>
      <c r="P145" s="54">
        <v>800.0</v>
      </c>
      <c r="Q145" s="54">
        <v>800.0</v>
      </c>
      <c r="R145" s="8" t="str">
        <f t="shared" ref="R145:R146" si="103">"205,206,207,208"</f>
        <v>205,206,207,208</v>
      </c>
    </row>
    <row r="146" ht="14.25" customHeight="1">
      <c r="A146" s="8">
        <f t="shared" si="38"/>
        <v>82011</v>
      </c>
      <c r="B146" s="42" t="s">
        <v>3401</v>
      </c>
      <c r="C146" s="17" t="s">
        <v>3897</v>
      </c>
      <c r="D146" s="42" t="s">
        <v>11</v>
      </c>
      <c r="E146" s="8"/>
      <c r="F146" s="8">
        <f t="shared" ref="F146:K146" si="102">IF(F140=0,,ROUND(F140*1.2,0))</f>
        <v>194</v>
      </c>
      <c r="G146" s="8" t="str">
        <f t="shared" si="102"/>
        <v/>
      </c>
      <c r="H146" s="8" t="str">
        <f t="shared" si="102"/>
        <v/>
      </c>
      <c r="I146" s="8">
        <f t="shared" si="102"/>
        <v>32</v>
      </c>
      <c r="J146" s="8" t="str">
        <f t="shared" si="102"/>
        <v/>
      </c>
      <c r="K146" s="8" t="str">
        <f t="shared" si="102"/>
        <v/>
      </c>
      <c r="L146" s="8"/>
      <c r="M146" s="8"/>
      <c r="N146" s="8"/>
      <c r="O146" s="8" t="str">
        <f t="shared" si="89"/>
        <v>6003,6006</v>
      </c>
      <c r="P146" s="54">
        <v>800.0</v>
      </c>
      <c r="Q146" s="54">
        <v>800.0</v>
      </c>
      <c r="R146" s="8" t="str">
        <f t="shared" si="103"/>
        <v>205,206,207,208</v>
      </c>
    </row>
    <row r="147" ht="14.25" customHeight="1">
      <c r="A147" s="8">
        <f t="shared" si="38"/>
        <v>83011</v>
      </c>
      <c r="B147" s="42" t="s">
        <v>3406</v>
      </c>
      <c r="C147" s="17" t="s">
        <v>3900</v>
      </c>
      <c r="D147" s="42" t="s">
        <v>11</v>
      </c>
      <c r="E147" s="8"/>
      <c r="F147" s="8" t="str">
        <f t="shared" ref="F147:K147" si="104">IF(F141=0,,ROUND(F141*1.2,0))</f>
        <v/>
      </c>
      <c r="G147" s="8" t="str">
        <f t="shared" si="104"/>
        <v/>
      </c>
      <c r="H147" s="8" t="str">
        <f t="shared" si="104"/>
        <v/>
      </c>
      <c r="I147" s="8">
        <f t="shared" si="104"/>
        <v>38</v>
      </c>
      <c r="J147" s="8">
        <f t="shared" si="104"/>
        <v>24</v>
      </c>
      <c r="K147" s="8" t="str">
        <f t="shared" si="104"/>
        <v/>
      </c>
      <c r="L147" s="8"/>
      <c r="M147" s="8"/>
      <c r="N147" s="8"/>
      <c r="O147" s="8" t="str">
        <f t="shared" si="89"/>
        <v>6003,6006</v>
      </c>
      <c r="P147" s="54">
        <v>800.0</v>
      </c>
      <c r="Q147" s="54">
        <v>800.0</v>
      </c>
      <c r="R147" s="8" t="str">
        <f>"201,202,203,204"</f>
        <v>201,202,203,204</v>
      </c>
    </row>
    <row r="148" ht="14.25" customHeight="1">
      <c r="A148" s="8">
        <f t="shared" si="38"/>
        <v>84011</v>
      </c>
      <c r="B148" s="42" t="s">
        <v>3413</v>
      </c>
      <c r="C148" s="17" t="s">
        <v>3904</v>
      </c>
      <c r="D148" s="42" t="s">
        <v>11</v>
      </c>
      <c r="E148" s="8"/>
      <c r="F148" s="8">
        <f t="shared" ref="F148:K148" si="105">IF(F142=0,,ROUND(F142*1.2,0))</f>
        <v>161</v>
      </c>
      <c r="G148" s="8" t="str">
        <f t="shared" si="105"/>
        <v/>
      </c>
      <c r="H148" s="8" t="str">
        <f t="shared" si="105"/>
        <v/>
      </c>
      <c r="I148" s="8">
        <f t="shared" si="105"/>
        <v>59</v>
      </c>
      <c r="J148" s="8" t="str">
        <f t="shared" si="105"/>
        <v/>
      </c>
      <c r="K148" s="8" t="str">
        <f t="shared" si="105"/>
        <v/>
      </c>
      <c r="L148" s="8"/>
      <c r="M148" s="8"/>
      <c r="N148" s="8"/>
      <c r="O148" s="8" t="str">
        <f t="shared" si="89"/>
        <v>6003,6006</v>
      </c>
      <c r="P148" s="54">
        <v>800.0</v>
      </c>
      <c r="Q148" s="54">
        <v>800.0</v>
      </c>
      <c r="R148" s="8" t="str">
        <f t="shared" ref="R148:R149" si="107">"209,210,211,212"</f>
        <v>209,210,211,212</v>
      </c>
    </row>
    <row r="149" ht="14.25" customHeight="1">
      <c r="A149" s="8">
        <f t="shared" si="38"/>
        <v>85011</v>
      </c>
      <c r="B149" s="42" t="s">
        <v>3417</v>
      </c>
      <c r="C149" s="17" t="s">
        <v>3909</v>
      </c>
      <c r="D149" s="42" t="s">
        <v>11</v>
      </c>
      <c r="E149" s="8"/>
      <c r="F149" s="8">
        <f t="shared" ref="F149:K149" si="106">IF(F143=0,,ROUND(F143*1.2,0))</f>
        <v>116</v>
      </c>
      <c r="G149" s="8">
        <f t="shared" si="106"/>
        <v>12</v>
      </c>
      <c r="H149" s="8" t="str">
        <f t="shared" si="106"/>
        <v/>
      </c>
      <c r="I149" s="8" t="str">
        <f t="shared" si="106"/>
        <v/>
      </c>
      <c r="J149" s="8">
        <f t="shared" si="106"/>
        <v>23</v>
      </c>
      <c r="K149" s="8" t="str">
        <f t="shared" si="106"/>
        <v/>
      </c>
      <c r="L149" s="8"/>
      <c r="M149" s="8"/>
      <c r="N149" s="8"/>
      <c r="O149" s="8" t="str">
        <f t="shared" si="89"/>
        <v>6003,6006</v>
      </c>
      <c r="P149" s="54">
        <v>800.0</v>
      </c>
      <c r="Q149" s="54">
        <v>800.0</v>
      </c>
      <c r="R149" s="8" t="str">
        <f t="shared" si="107"/>
        <v>209,210,211,212</v>
      </c>
    </row>
    <row r="150" ht="14.25" customHeight="1">
      <c r="A150" s="8">
        <f t="shared" si="38"/>
        <v>80012</v>
      </c>
      <c r="B150" s="42" t="s">
        <v>774</v>
      </c>
      <c r="C150" s="17" t="s">
        <v>3914</v>
      </c>
      <c r="D150" s="42" t="s">
        <v>8</v>
      </c>
      <c r="E150" s="8"/>
      <c r="F150" s="8" t="str">
        <f t="shared" ref="F150:K150" si="108">IF(F138=0,,ROUND(F138*1.7,0))</f>
        <v/>
      </c>
      <c r="G150" s="8">
        <f t="shared" si="108"/>
        <v>44</v>
      </c>
      <c r="H150" s="8" t="str">
        <f t="shared" si="108"/>
        <v/>
      </c>
      <c r="I150" s="8">
        <f t="shared" si="108"/>
        <v>15</v>
      </c>
      <c r="J150" s="8" t="str">
        <f t="shared" si="108"/>
        <v/>
      </c>
      <c r="K150" s="8" t="str">
        <f t="shared" si="108"/>
        <v/>
      </c>
      <c r="L150" s="8"/>
      <c r="M150" s="8"/>
      <c r="N150" s="8"/>
      <c r="O150" s="8" t="str">
        <f t="shared" si="89"/>
        <v>6003,6006</v>
      </c>
      <c r="P150" s="54">
        <v>800.0</v>
      </c>
      <c r="Q150" s="54">
        <v>800.0</v>
      </c>
      <c r="R150" s="8" t="str">
        <f>"201,202,203,204"</f>
        <v>201,202,203,204</v>
      </c>
    </row>
    <row r="151" ht="14.25" customHeight="1">
      <c r="A151" s="8">
        <f t="shared" si="38"/>
        <v>81012</v>
      </c>
      <c r="B151" s="42" t="s">
        <v>3398</v>
      </c>
      <c r="C151" s="17" t="s">
        <v>3921</v>
      </c>
      <c r="D151" s="42" t="s">
        <v>8</v>
      </c>
      <c r="E151" s="8"/>
      <c r="F151" s="8" t="str">
        <f t="shared" ref="F151:K151" si="109">IF(F139=0,,ROUND(F139*1.7,0))</f>
        <v/>
      </c>
      <c r="G151" s="8" t="str">
        <f t="shared" si="109"/>
        <v/>
      </c>
      <c r="H151" s="8" t="str">
        <f t="shared" si="109"/>
        <v/>
      </c>
      <c r="I151" s="8">
        <f t="shared" si="109"/>
        <v>49</v>
      </c>
      <c r="J151" s="8" t="str">
        <f t="shared" si="109"/>
        <v/>
      </c>
      <c r="K151" s="8" t="str">
        <f t="shared" si="109"/>
        <v/>
      </c>
      <c r="L151" s="8"/>
      <c r="M151" s="8"/>
      <c r="N151" s="8"/>
      <c r="O151" s="8" t="str">
        <f t="shared" si="89"/>
        <v>6003,6006</v>
      </c>
      <c r="P151" s="54">
        <v>800.0</v>
      </c>
      <c r="Q151" s="54">
        <v>800.0</v>
      </c>
      <c r="R151" s="8" t="str">
        <f t="shared" ref="R151:R152" si="111">"205,206,207,208"</f>
        <v>205,206,207,208</v>
      </c>
    </row>
    <row r="152" ht="14.25" customHeight="1">
      <c r="A152" s="8">
        <f t="shared" si="38"/>
        <v>82012</v>
      </c>
      <c r="B152" s="42" t="s">
        <v>3401</v>
      </c>
      <c r="C152" s="17" t="s">
        <v>792</v>
      </c>
      <c r="D152" s="42" t="s">
        <v>8</v>
      </c>
      <c r="E152" s="8"/>
      <c r="F152" s="8">
        <f t="shared" ref="F152:K152" si="110">IF(F140=0,,ROUND(F140*1.7,0))</f>
        <v>275</v>
      </c>
      <c r="G152" s="8" t="str">
        <f t="shared" si="110"/>
        <v/>
      </c>
      <c r="H152" s="8" t="str">
        <f t="shared" si="110"/>
        <v/>
      </c>
      <c r="I152" s="8">
        <f t="shared" si="110"/>
        <v>46</v>
      </c>
      <c r="J152" s="8" t="str">
        <f t="shared" si="110"/>
        <v/>
      </c>
      <c r="K152" s="8" t="str">
        <f t="shared" si="110"/>
        <v/>
      </c>
      <c r="L152" s="8"/>
      <c r="M152" s="8"/>
      <c r="N152" s="8"/>
      <c r="O152" s="8" t="str">
        <f t="shared" si="89"/>
        <v>6003,6006</v>
      </c>
      <c r="P152" s="54">
        <v>800.0</v>
      </c>
      <c r="Q152" s="54">
        <v>800.0</v>
      </c>
      <c r="R152" s="8" t="str">
        <f t="shared" si="111"/>
        <v>205,206,207,208</v>
      </c>
    </row>
    <row r="153" ht="14.25" customHeight="1">
      <c r="A153" s="8">
        <f t="shared" si="38"/>
        <v>83012</v>
      </c>
      <c r="B153" s="42" t="s">
        <v>3406</v>
      </c>
      <c r="C153" s="17" t="s">
        <v>3932</v>
      </c>
      <c r="D153" s="42" t="s">
        <v>8</v>
      </c>
      <c r="E153" s="8"/>
      <c r="F153" s="8" t="str">
        <f t="shared" ref="F153:K153" si="112">IF(F141=0,,ROUND(F141*1.7,0))</f>
        <v/>
      </c>
      <c r="G153" s="8" t="str">
        <f t="shared" si="112"/>
        <v/>
      </c>
      <c r="H153" s="8" t="str">
        <f t="shared" si="112"/>
        <v/>
      </c>
      <c r="I153" s="8">
        <f t="shared" si="112"/>
        <v>54</v>
      </c>
      <c r="J153" s="8">
        <f t="shared" si="112"/>
        <v>34</v>
      </c>
      <c r="K153" s="8" t="str">
        <f t="shared" si="112"/>
        <v/>
      </c>
      <c r="L153" s="8"/>
      <c r="M153" s="8"/>
      <c r="N153" s="8"/>
      <c r="O153" s="8" t="str">
        <f t="shared" si="89"/>
        <v>6003,6006</v>
      </c>
      <c r="P153" s="54">
        <v>800.0</v>
      </c>
      <c r="Q153" s="54">
        <v>800.0</v>
      </c>
      <c r="R153" s="8" t="str">
        <f>"201,202,203,204"</f>
        <v>201,202,203,204</v>
      </c>
    </row>
    <row r="154" ht="14.25" customHeight="1">
      <c r="A154" s="8">
        <f t="shared" si="38"/>
        <v>84012</v>
      </c>
      <c r="B154" s="42" t="s">
        <v>3413</v>
      </c>
      <c r="C154" s="17" t="s">
        <v>3939</v>
      </c>
      <c r="D154" s="42" t="s">
        <v>8</v>
      </c>
      <c r="E154" s="8"/>
      <c r="F154" s="8">
        <f t="shared" ref="F154:K154" si="113">IF(F142=0,,ROUND(F142*1.7,0))</f>
        <v>228</v>
      </c>
      <c r="G154" s="8" t="str">
        <f t="shared" si="113"/>
        <v/>
      </c>
      <c r="H154" s="8" t="str">
        <f t="shared" si="113"/>
        <v/>
      </c>
      <c r="I154" s="8">
        <f t="shared" si="113"/>
        <v>83</v>
      </c>
      <c r="J154" s="8" t="str">
        <f t="shared" si="113"/>
        <v/>
      </c>
      <c r="K154" s="8" t="str">
        <f t="shared" si="113"/>
        <v/>
      </c>
      <c r="L154" s="8"/>
      <c r="M154" s="8"/>
      <c r="N154" s="8"/>
      <c r="O154" s="8" t="str">
        <f t="shared" si="89"/>
        <v>6003,6006</v>
      </c>
      <c r="P154" s="54">
        <v>800.0</v>
      </c>
      <c r="Q154" s="54">
        <v>800.0</v>
      </c>
      <c r="R154" s="8" t="str">
        <f t="shared" ref="R154:R155" si="115">"209,210,211,212"</f>
        <v>209,210,211,212</v>
      </c>
    </row>
    <row r="155" ht="14.25" customHeight="1">
      <c r="A155" s="8">
        <f t="shared" si="38"/>
        <v>85012</v>
      </c>
      <c r="B155" s="42" t="s">
        <v>3417</v>
      </c>
      <c r="C155" s="17" t="s">
        <v>3946</v>
      </c>
      <c r="D155" s="42" t="s">
        <v>8</v>
      </c>
      <c r="E155" s="8"/>
      <c r="F155" s="8">
        <f t="shared" ref="F155:K155" si="114">IF(F143=0,,ROUND(F143*1.7,0))</f>
        <v>165</v>
      </c>
      <c r="G155" s="8">
        <f t="shared" si="114"/>
        <v>17</v>
      </c>
      <c r="H155" s="8" t="str">
        <f t="shared" si="114"/>
        <v/>
      </c>
      <c r="I155" s="8" t="str">
        <f t="shared" si="114"/>
        <v/>
      </c>
      <c r="J155" s="8">
        <f t="shared" si="114"/>
        <v>32</v>
      </c>
      <c r="K155" s="8" t="str">
        <f t="shared" si="114"/>
        <v/>
      </c>
      <c r="L155" s="8"/>
      <c r="M155" s="8"/>
      <c r="N155" s="8"/>
      <c r="O155" s="8" t="str">
        <f t="shared" si="89"/>
        <v>6003,6006</v>
      </c>
      <c r="P155" s="54">
        <v>800.0</v>
      </c>
      <c r="Q155" s="54">
        <v>800.0</v>
      </c>
      <c r="R155" s="8" t="str">
        <f t="shared" si="115"/>
        <v>209,210,211,212</v>
      </c>
    </row>
    <row r="156" ht="14.25" customHeight="1">
      <c r="A156" s="40" t="s">
        <v>3083</v>
      </c>
      <c r="B156" s="40" t="s">
        <v>507</v>
      </c>
      <c r="C156" s="40" t="s">
        <v>943</v>
      </c>
      <c r="D156" s="40" t="s">
        <v>716</v>
      </c>
      <c r="E156" s="40" t="s">
        <v>637</v>
      </c>
      <c r="F156" s="40" t="s">
        <v>107</v>
      </c>
      <c r="G156" s="40" t="s">
        <v>289</v>
      </c>
      <c r="H156" s="40" t="s">
        <v>290</v>
      </c>
      <c r="I156" s="40" t="s">
        <v>291</v>
      </c>
      <c r="J156" s="40" t="s">
        <v>292</v>
      </c>
      <c r="K156" s="40" t="s">
        <v>134</v>
      </c>
      <c r="L156" s="40" t="s">
        <v>295</v>
      </c>
      <c r="M156" s="40" t="s">
        <v>3086</v>
      </c>
      <c r="N156" s="40" t="s">
        <v>3087</v>
      </c>
      <c r="O156" s="40" t="s">
        <v>3089</v>
      </c>
      <c r="P156" s="52" t="s">
        <v>3091</v>
      </c>
      <c r="Q156" s="52" t="s">
        <v>3093</v>
      </c>
      <c r="R156" s="52" t="s">
        <v>3094</v>
      </c>
    </row>
    <row r="157" ht="14.25" customHeight="1">
      <c r="A157" s="8">
        <v>88000.0</v>
      </c>
      <c r="B157" s="42" t="s">
        <v>774</v>
      </c>
      <c r="C157" s="4" t="s">
        <v>3952</v>
      </c>
      <c r="D157" s="42" t="s">
        <v>15</v>
      </c>
      <c r="E157" s="8"/>
      <c r="F157" s="8">
        <v>138.0</v>
      </c>
      <c r="G157" s="8"/>
      <c r="H157" s="8"/>
      <c r="I157" s="8">
        <v>25.0</v>
      </c>
      <c r="J157" s="8"/>
      <c r="K157" s="8"/>
      <c r="L157" s="8"/>
      <c r="M157" s="8"/>
      <c r="N157" s="8"/>
      <c r="O157" s="8" t="str">
        <f t="shared" ref="O157:O198" si="116">"6007,6008,6009,6010,6011"</f>
        <v>6007,6008,6009,6010,6011</v>
      </c>
      <c r="P157" s="54">
        <v>800.0</v>
      </c>
      <c r="Q157" s="54">
        <v>800.0</v>
      </c>
      <c r="R157" s="8" t="str">
        <f t="shared" ref="R157:R159" si="117">"201,202,203,204"</f>
        <v>201,202,203,204</v>
      </c>
    </row>
    <row r="158" ht="14.25" customHeight="1">
      <c r="A158" s="8">
        <v>88001.0</v>
      </c>
      <c r="B158" s="42" t="s">
        <v>774</v>
      </c>
      <c r="C158" s="4" t="s">
        <v>3955</v>
      </c>
      <c r="D158" s="42" t="s">
        <v>15</v>
      </c>
      <c r="E158" s="8"/>
      <c r="F158" s="8"/>
      <c r="G158" s="8">
        <v>22.0</v>
      </c>
      <c r="H158" s="8"/>
      <c r="I158" s="8">
        <v>8.0</v>
      </c>
      <c r="J158" s="8"/>
      <c r="K158" s="8"/>
      <c r="L158" s="8"/>
      <c r="M158" s="8"/>
      <c r="N158" s="8"/>
      <c r="O158" s="8" t="str">
        <f t="shared" si="116"/>
        <v>6007,6008,6009,6010,6011</v>
      </c>
      <c r="P158" s="54">
        <v>800.0</v>
      </c>
      <c r="Q158" s="54">
        <v>800.0</v>
      </c>
      <c r="R158" s="8" t="str">
        <f t="shared" si="117"/>
        <v>201,202,203,204</v>
      </c>
    </row>
    <row r="159" ht="14.25" customHeight="1">
      <c r="A159" s="8">
        <v>88002.0</v>
      </c>
      <c r="B159" s="42" t="s">
        <v>774</v>
      </c>
      <c r="C159" s="4" t="s">
        <v>3957</v>
      </c>
      <c r="D159" s="42" t="s">
        <v>15</v>
      </c>
      <c r="E159" s="8"/>
      <c r="F159" s="8"/>
      <c r="G159" s="8"/>
      <c r="H159" s="8">
        <v>22.0</v>
      </c>
      <c r="I159" s="8"/>
      <c r="J159" s="8">
        <v>8.0</v>
      </c>
      <c r="K159" s="8"/>
      <c r="L159" s="8"/>
      <c r="M159" s="8"/>
      <c r="N159" s="8"/>
      <c r="O159" s="8" t="str">
        <f t="shared" si="116"/>
        <v>6007,6008,6009,6010,6011</v>
      </c>
      <c r="P159" s="54">
        <v>800.0</v>
      </c>
      <c r="Q159" s="54">
        <v>800.0</v>
      </c>
      <c r="R159" s="8" t="str">
        <f t="shared" si="117"/>
        <v>201,202,203,204</v>
      </c>
    </row>
    <row r="160" ht="14.25" customHeight="1">
      <c r="A160" s="8">
        <v>88003.0</v>
      </c>
      <c r="B160" s="42" t="s">
        <v>3398</v>
      </c>
      <c r="C160" s="4" t="s">
        <v>802</v>
      </c>
      <c r="D160" s="42" t="s">
        <v>15</v>
      </c>
      <c r="E160" s="8"/>
      <c r="F160" s="8"/>
      <c r="G160" s="8"/>
      <c r="H160" s="8"/>
      <c r="I160" s="8">
        <v>25.0</v>
      </c>
      <c r="J160" s="8"/>
      <c r="K160" s="8"/>
      <c r="L160" s="8"/>
      <c r="M160" s="8"/>
      <c r="N160" s="8"/>
      <c r="O160" s="8" t="str">
        <f t="shared" si="116"/>
        <v>6007,6008,6009,6010,6011</v>
      </c>
      <c r="P160" s="54">
        <v>800.0</v>
      </c>
      <c r="Q160" s="54">
        <v>800.0</v>
      </c>
      <c r="R160" s="8" t="str">
        <f t="shared" ref="R160:R161" si="118">"205,206,207,208"</f>
        <v>205,206,207,208</v>
      </c>
    </row>
    <row r="161" ht="14.25" customHeight="1">
      <c r="A161" s="8">
        <v>88004.0</v>
      </c>
      <c r="B161" s="42" t="s">
        <v>3401</v>
      </c>
      <c r="C161" s="4" t="s">
        <v>808</v>
      </c>
      <c r="D161" s="42" t="s">
        <v>15</v>
      </c>
      <c r="E161" s="8"/>
      <c r="F161" s="8">
        <v>138.0</v>
      </c>
      <c r="G161" s="8"/>
      <c r="H161" s="8"/>
      <c r="I161" s="8">
        <v>23.0</v>
      </c>
      <c r="J161" s="8"/>
      <c r="K161" s="8"/>
      <c r="L161" s="8"/>
      <c r="M161" s="8"/>
      <c r="N161" s="8"/>
      <c r="O161" s="8" t="str">
        <f t="shared" si="116"/>
        <v>6007,6008,6009,6010,6011</v>
      </c>
      <c r="P161" s="54">
        <v>800.0</v>
      </c>
      <c r="Q161" s="54">
        <v>800.0</v>
      </c>
      <c r="R161" s="8" t="str">
        <f t="shared" si="118"/>
        <v>205,206,207,208</v>
      </c>
    </row>
    <row r="162" ht="14.25" customHeight="1">
      <c r="A162" s="8">
        <v>88005.0</v>
      </c>
      <c r="B162" s="42" t="s">
        <v>3406</v>
      </c>
      <c r="C162" s="4" t="s">
        <v>815</v>
      </c>
      <c r="D162" s="42" t="s">
        <v>15</v>
      </c>
      <c r="E162" s="8"/>
      <c r="F162" s="8"/>
      <c r="G162" s="8"/>
      <c r="H162" s="8"/>
      <c r="I162" s="8">
        <v>27.0</v>
      </c>
      <c r="J162" s="8">
        <v>17.0</v>
      </c>
      <c r="K162" s="8"/>
      <c r="L162" s="8"/>
      <c r="M162" s="8"/>
      <c r="N162" s="8"/>
      <c r="O162" s="8" t="str">
        <f t="shared" si="116"/>
        <v>6007,6008,6009,6010,6011</v>
      </c>
      <c r="P162" s="54">
        <v>800.0</v>
      </c>
      <c r="Q162" s="54">
        <v>800.0</v>
      </c>
      <c r="R162" s="8" t="str">
        <f>"201,202,203,204"</f>
        <v>201,202,203,204</v>
      </c>
    </row>
    <row r="163" ht="14.25" customHeight="1">
      <c r="A163" s="8">
        <v>88006.0</v>
      </c>
      <c r="B163" s="42" t="s">
        <v>3413</v>
      </c>
      <c r="C163" s="4" t="s">
        <v>821</v>
      </c>
      <c r="D163" s="42" t="s">
        <v>15</v>
      </c>
      <c r="E163" s="8"/>
      <c r="F163" s="8">
        <v>115.0</v>
      </c>
      <c r="G163" s="8"/>
      <c r="H163" s="8"/>
      <c r="I163" s="8">
        <v>42.0</v>
      </c>
      <c r="J163" s="8"/>
      <c r="K163" s="8"/>
      <c r="L163" s="8"/>
      <c r="M163" s="8"/>
      <c r="N163" s="8"/>
      <c r="O163" s="8" t="str">
        <f t="shared" si="116"/>
        <v>6007,6008,6009,6010,6011</v>
      </c>
      <c r="P163" s="54">
        <v>800.0</v>
      </c>
      <c r="Q163" s="54">
        <v>800.0</v>
      </c>
      <c r="R163" s="8" t="str">
        <f t="shared" ref="R163:R164" si="119">"209,210,211,212"</f>
        <v>209,210,211,212</v>
      </c>
    </row>
    <row r="164" ht="14.25" customHeight="1">
      <c r="A164" s="8">
        <v>88007.0</v>
      </c>
      <c r="B164" s="42" t="s">
        <v>3417</v>
      </c>
      <c r="C164" s="4" t="s">
        <v>828</v>
      </c>
      <c r="D164" s="42" t="s">
        <v>15</v>
      </c>
      <c r="E164" s="8"/>
      <c r="F164" s="8">
        <v>82.0</v>
      </c>
      <c r="G164" s="8">
        <v>8.0</v>
      </c>
      <c r="H164" s="8"/>
      <c r="I164" s="8"/>
      <c r="J164" s="8">
        <v>16.0</v>
      </c>
      <c r="K164" s="8"/>
      <c r="L164" s="8"/>
      <c r="M164" s="8"/>
      <c r="N164" s="8"/>
      <c r="O164" s="8" t="str">
        <f t="shared" si="116"/>
        <v>6007,6008,6009,6010,6011</v>
      </c>
      <c r="P164" s="54">
        <v>800.0</v>
      </c>
      <c r="Q164" s="54">
        <v>800.0</v>
      </c>
      <c r="R164" s="8" t="str">
        <f t="shared" si="119"/>
        <v>209,210,211,212</v>
      </c>
    </row>
    <row r="165" ht="14.25" customHeight="1">
      <c r="A165" s="8">
        <v>88008.0</v>
      </c>
      <c r="B165" s="42" t="s">
        <v>774</v>
      </c>
      <c r="C165" s="4" t="s">
        <v>796</v>
      </c>
      <c r="D165" s="42" t="s">
        <v>15</v>
      </c>
      <c r="E165" s="8"/>
      <c r="F165" s="8"/>
      <c r="G165" s="8">
        <v>22.0</v>
      </c>
      <c r="H165" s="8"/>
      <c r="I165" s="8">
        <v>8.0</v>
      </c>
      <c r="J165" s="8"/>
      <c r="K165" s="8"/>
      <c r="L165" s="8"/>
      <c r="M165" s="8"/>
      <c r="N165" s="8"/>
      <c r="O165" s="8" t="str">
        <f t="shared" si="116"/>
        <v>6007,6008,6009,6010,6011</v>
      </c>
      <c r="P165" s="54">
        <v>800.0</v>
      </c>
      <c r="Q165" s="54">
        <v>800.0</v>
      </c>
      <c r="R165" s="8" t="str">
        <f>"201,202,203,204"</f>
        <v>201,202,203,204</v>
      </c>
    </row>
    <row r="166" ht="14.25" customHeight="1">
      <c r="A166" s="8">
        <v>88009.0</v>
      </c>
      <c r="B166" s="42" t="s">
        <v>3398</v>
      </c>
      <c r="C166" s="4" t="s">
        <v>803</v>
      </c>
      <c r="D166" s="42" t="s">
        <v>15</v>
      </c>
      <c r="E166" s="8"/>
      <c r="F166" s="8"/>
      <c r="G166" s="8"/>
      <c r="H166" s="8"/>
      <c r="I166" s="8">
        <v>25.0</v>
      </c>
      <c r="J166" s="8"/>
      <c r="K166" s="8"/>
      <c r="L166" s="8"/>
      <c r="M166" s="8"/>
      <c r="N166" s="8"/>
      <c r="O166" s="8" t="str">
        <f t="shared" si="116"/>
        <v>6007,6008,6009,6010,6011</v>
      </c>
      <c r="P166" s="54">
        <v>800.0</v>
      </c>
      <c r="Q166" s="54">
        <v>800.0</v>
      </c>
      <c r="R166" s="8" t="str">
        <f t="shared" ref="R166:R167" si="120">"205,206,207,208"</f>
        <v>205,206,207,208</v>
      </c>
    </row>
    <row r="167" ht="14.25" customHeight="1">
      <c r="A167" s="8">
        <v>88010.0</v>
      </c>
      <c r="B167" s="42" t="s">
        <v>3401</v>
      </c>
      <c r="C167" s="4" t="s">
        <v>809</v>
      </c>
      <c r="D167" s="42" t="s">
        <v>15</v>
      </c>
      <c r="E167" s="8"/>
      <c r="F167" s="8">
        <v>138.0</v>
      </c>
      <c r="G167" s="8"/>
      <c r="H167" s="8"/>
      <c r="I167" s="8">
        <v>23.0</v>
      </c>
      <c r="J167" s="8"/>
      <c r="K167" s="8"/>
      <c r="L167" s="8"/>
      <c r="M167" s="8"/>
      <c r="N167" s="8"/>
      <c r="O167" s="8" t="str">
        <f t="shared" si="116"/>
        <v>6007,6008,6009,6010,6011</v>
      </c>
      <c r="P167" s="54">
        <v>800.0</v>
      </c>
      <c r="Q167" s="54">
        <v>800.0</v>
      </c>
      <c r="R167" s="8" t="str">
        <f t="shared" si="120"/>
        <v>205,206,207,208</v>
      </c>
    </row>
    <row r="168" ht="14.25" customHeight="1">
      <c r="A168" s="8">
        <v>88011.0</v>
      </c>
      <c r="B168" s="42" t="s">
        <v>3406</v>
      </c>
      <c r="C168" s="4" t="s">
        <v>816</v>
      </c>
      <c r="D168" s="42" t="s">
        <v>15</v>
      </c>
      <c r="E168" s="8"/>
      <c r="F168" s="8"/>
      <c r="G168" s="8"/>
      <c r="H168" s="8"/>
      <c r="I168" s="8">
        <v>27.0</v>
      </c>
      <c r="J168" s="8">
        <v>17.0</v>
      </c>
      <c r="K168" s="8"/>
      <c r="L168" s="8"/>
      <c r="M168" s="8"/>
      <c r="N168" s="8"/>
      <c r="O168" s="8" t="str">
        <f t="shared" si="116"/>
        <v>6007,6008,6009,6010,6011</v>
      </c>
      <c r="P168" s="54">
        <v>800.0</v>
      </c>
      <c r="Q168" s="54">
        <v>800.0</v>
      </c>
      <c r="R168" s="8" t="str">
        <f>"201,202,203,204"</f>
        <v>201,202,203,204</v>
      </c>
    </row>
    <row r="169" ht="14.25" customHeight="1">
      <c r="A169" s="8">
        <v>88012.0</v>
      </c>
      <c r="B169" s="42" t="s">
        <v>3413</v>
      </c>
      <c r="C169" s="4" t="s">
        <v>822</v>
      </c>
      <c r="D169" s="42" t="s">
        <v>15</v>
      </c>
      <c r="E169" s="8"/>
      <c r="F169" s="8">
        <v>115.0</v>
      </c>
      <c r="G169" s="8"/>
      <c r="H169" s="8"/>
      <c r="I169" s="8">
        <v>42.0</v>
      </c>
      <c r="J169" s="8"/>
      <c r="K169" s="8"/>
      <c r="L169" s="8"/>
      <c r="M169" s="8"/>
      <c r="N169" s="8"/>
      <c r="O169" s="8" t="str">
        <f t="shared" si="116"/>
        <v>6007,6008,6009,6010,6011</v>
      </c>
      <c r="P169" s="54">
        <v>800.0</v>
      </c>
      <c r="Q169" s="54">
        <v>800.0</v>
      </c>
      <c r="R169" s="8" t="str">
        <f t="shared" ref="R169:R170" si="121">"209,210,211,212"</f>
        <v>209,210,211,212</v>
      </c>
    </row>
    <row r="170" ht="14.25" customHeight="1">
      <c r="A170" s="8">
        <v>88013.0</v>
      </c>
      <c r="B170" s="42" t="s">
        <v>3417</v>
      </c>
      <c r="C170" s="4" t="s">
        <v>829</v>
      </c>
      <c r="D170" s="42" t="s">
        <v>15</v>
      </c>
      <c r="E170" s="8"/>
      <c r="F170" s="8">
        <v>82.0</v>
      </c>
      <c r="G170" s="8">
        <v>8.0</v>
      </c>
      <c r="H170" s="8"/>
      <c r="I170" s="8"/>
      <c r="J170" s="8">
        <v>16.0</v>
      </c>
      <c r="K170" s="8"/>
      <c r="L170" s="8"/>
      <c r="M170" s="8"/>
      <c r="N170" s="8"/>
      <c r="O170" s="8" t="str">
        <f t="shared" si="116"/>
        <v>6007,6008,6009,6010,6011</v>
      </c>
      <c r="P170" s="54">
        <v>800.0</v>
      </c>
      <c r="Q170" s="54">
        <v>800.0</v>
      </c>
      <c r="R170" s="8" t="str">
        <f t="shared" si="121"/>
        <v>209,210,211,212</v>
      </c>
    </row>
    <row r="171" ht="14.25" customHeight="1">
      <c r="A171" s="8">
        <v>88014.0</v>
      </c>
      <c r="B171" s="42" t="s">
        <v>774</v>
      </c>
      <c r="C171" s="4" t="s">
        <v>797</v>
      </c>
      <c r="D171" s="42" t="s">
        <v>15</v>
      </c>
      <c r="E171" s="8"/>
      <c r="F171" s="8"/>
      <c r="G171" s="8">
        <v>22.0</v>
      </c>
      <c r="H171" s="8"/>
      <c r="I171" s="8">
        <v>8.0</v>
      </c>
      <c r="J171" s="8"/>
      <c r="K171" s="8"/>
      <c r="L171" s="8"/>
      <c r="M171" s="8"/>
      <c r="N171" s="8"/>
      <c r="O171" s="8" t="str">
        <f t="shared" si="116"/>
        <v>6007,6008,6009,6010,6011</v>
      </c>
      <c r="P171" s="54">
        <v>800.0</v>
      </c>
      <c r="Q171" s="54">
        <v>800.0</v>
      </c>
      <c r="R171" s="8" t="str">
        <f>"201,202,203,204"</f>
        <v>201,202,203,204</v>
      </c>
    </row>
    <row r="172" ht="14.25" customHeight="1">
      <c r="A172" s="8">
        <v>88015.0</v>
      </c>
      <c r="B172" s="42" t="s">
        <v>3398</v>
      </c>
      <c r="C172" s="4" t="s">
        <v>804</v>
      </c>
      <c r="D172" s="42" t="s">
        <v>15</v>
      </c>
      <c r="E172" s="8"/>
      <c r="F172" s="8"/>
      <c r="G172" s="8"/>
      <c r="H172" s="8"/>
      <c r="I172" s="8">
        <v>25.0</v>
      </c>
      <c r="J172" s="8"/>
      <c r="K172" s="8"/>
      <c r="L172" s="8"/>
      <c r="M172" s="8"/>
      <c r="N172" s="8"/>
      <c r="O172" s="8" t="str">
        <f t="shared" si="116"/>
        <v>6007,6008,6009,6010,6011</v>
      </c>
      <c r="P172" s="54">
        <v>800.0</v>
      </c>
      <c r="Q172" s="54">
        <v>800.0</v>
      </c>
      <c r="R172" s="8" t="str">
        <f t="shared" ref="R172:R173" si="122">"205,206,207,208"</f>
        <v>205,206,207,208</v>
      </c>
    </row>
    <row r="173" ht="14.25" customHeight="1">
      <c r="A173" s="8">
        <v>88016.0</v>
      </c>
      <c r="B173" s="42" t="s">
        <v>3401</v>
      </c>
      <c r="C173" s="4" t="s">
        <v>810</v>
      </c>
      <c r="D173" s="42" t="s">
        <v>15</v>
      </c>
      <c r="E173" s="8"/>
      <c r="F173" s="8">
        <v>138.0</v>
      </c>
      <c r="G173" s="8"/>
      <c r="H173" s="8"/>
      <c r="I173" s="8">
        <v>23.0</v>
      </c>
      <c r="J173" s="8"/>
      <c r="K173" s="8"/>
      <c r="L173" s="8"/>
      <c r="M173" s="8"/>
      <c r="N173" s="8"/>
      <c r="O173" s="8" t="str">
        <f t="shared" si="116"/>
        <v>6007,6008,6009,6010,6011</v>
      </c>
      <c r="P173" s="54">
        <v>800.0</v>
      </c>
      <c r="Q173" s="54">
        <v>800.0</v>
      </c>
      <c r="R173" s="8" t="str">
        <f t="shared" si="122"/>
        <v>205,206,207,208</v>
      </c>
    </row>
    <row r="174" ht="14.25" customHeight="1">
      <c r="A174" s="8">
        <v>88017.0</v>
      </c>
      <c r="B174" s="42" t="s">
        <v>3406</v>
      </c>
      <c r="C174" s="4" t="s">
        <v>817</v>
      </c>
      <c r="D174" s="42" t="s">
        <v>15</v>
      </c>
      <c r="E174" s="8"/>
      <c r="F174" s="8"/>
      <c r="G174" s="8"/>
      <c r="H174" s="8"/>
      <c r="I174" s="8">
        <v>27.0</v>
      </c>
      <c r="J174" s="8">
        <v>17.0</v>
      </c>
      <c r="K174" s="8"/>
      <c r="L174" s="8"/>
      <c r="M174" s="8"/>
      <c r="N174" s="8"/>
      <c r="O174" s="8" t="str">
        <f t="shared" si="116"/>
        <v>6007,6008,6009,6010,6011</v>
      </c>
      <c r="P174" s="54">
        <v>800.0</v>
      </c>
      <c r="Q174" s="54">
        <v>800.0</v>
      </c>
      <c r="R174" s="8" t="str">
        <f>"201,202,203,204"</f>
        <v>201,202,203,204</v>
      </c>
    </row>
    <row r="175" ht="14.25" customHeight="1">
      <c r="A175" s="8">
        <v>88018.0</v>
      </c>
      <c r="B175" s="42" t="s">
        <v>3413</v>
      </c>
      <c r="C175" s="4" t="s">
        <v>823</v>
      </c>
      <c r="D175" s="42" t="s">
        <v>15</v>
      </c>
      <c r="E175" s="8"/>
      <c r="F175" s="8">
        <v>115.0</v>
      </c>
      <c r="G175" s="8"/>
      <c r="H175" s="8"/>
      <c r="I175" s="8">
        <v>42.0</v>
      </c>
      <c r="J175" s="8"/>
      <c r="K175" s="8"/>
      <c r="L175" s="8"/>
      <c r="M175" s="8"/>
      <c r="N175" s="8"/>
      <c r="O175" s="8" t="str">
        <f t="shared" si="116"/>
        <v>6007,6008,6009,6010,6011</v>
      </c>
      <c r="P175" s="54">
        <v>800.0</v>
      </c>
      <c r="Q175" s="54">
        <v>800.0</v>
      </c>
      <c r="R175" s="8" t="str">
        <f t="shared" ref="R175:R176" si="123">"209,210,211,212"</f>
        <v>209,210,211,212</v>
      </c>
    </row>
    <row r="176" ht="14.25" customHeight="1">
      <c r="A176" s="8">
        <v>88019.0</v>
      </c>
      <c r="B176" s="42" t="s">
        <v>3417</v>
      </c>
      <c r="C176" s="4" t="s">
        <v>830</v>
      </c>
      <c r="D176" s="42" t="s">
        <v>15</v>
      </c>
      <c r="E176" s="8"/>
      <c r="F176" s="8">
        <v>82.0</v>
      </c>
      <c r="G176" s="8">
        <v>8.0</v>
      </c>
      <c r="H176" s="8"/>
      <c r="I176" s="8"/>
      <c r="J176" s="8">
        <v>16.0</v>
      </c>
      <c r="K176" s="8"/>
      <c r="L176" s="8"/>
      <c r="M176" s="8"/>
      <c r="N176" s="8"/>
      <c r="O176" s="8" t="str">
        <f t="shared" si="116"/>
        <v>6007,6008,6009,6010,6011</v>
      </c>
      <c r="P176" s="54">
        <v>800.0</v>
      </c>
      <c r="Q176" s="54">
        <v>800.0</v>
      </c>
      <c r="R176" s="8" t="str">
        <f t="shared" si="123"/>
        <v>209,210,211,212</v>
      </c>
    </row>
    <row r="177" ht="14.25" customHeight="1">
      <c r="A177" s="8">
        <v>88020.0</v>
      </c>
      <c r="B177" s="42" t="s">
        <v>774</v>
      </c>
      <c r="C177" s="4" t="s">
        <v>798</v>
      </c>
      <c r="D177" s="42" t="s">
        <v>11</v>
      </c>
      <c r="E177" s="8"/>
      <c r="F177" s="8"/>
      <c r="G177" s="8">
        <v>31.0</v>
      </c>
      <c r="H177" s="8"/>
      <c r="I177" s="8">
        <v>11.0</v>
      </c>
      <c r="J177" s="8"/>
      <c r="K177" s="8"/>
      <c r="L177" s="8"/>
      <c r="M177" s="8"/>
      <c r="N177" s="8"/>
      <c r="O177" s="8" t="str">
        <f t="shared" si="116"/>
        <v>6007,6008,6009,6010,6011</v>
      </c>
      <c r="P177" s="54">
        <v>800.0</v>
      </c>
      <c r="Q177" s="54">
        <v>800.0</v>
      </c>
      <c r="R177" s="8" t="str">
        <f>"201,202,203,204"</f>
        <v>201,202,203,204</v>
      </c>
    </row>
    <row r="178" ht="14.25" customHeight="1">
      <c r="A178" s="8">
        <v>88021.0</v>
      </c>
      <c r="B178" s="42" t="s">
        <v>3398</v>
      </c>
      <c r="C178" s="4" t="s">
        <v>805</v>
      </c>
      <c r="D178" s="42" t="s">
        <v>11</v>
      </c>
      <c r="E178" s="8"/>
      <c r="F178" s="8"/>
      <c r="G178" s="8"/>
      <c r="H178" s="8"/>
      <c r="I178" s="8">
        <v>35.0</v>
      </c>
      <c r="J178" s="8"/>
      <c r="K178" s="8"/>
      <c r="L178" s="8"/>
      <c r="M178" s="8"/>
      <c r="N178" s="8"/>
      <c r="O178" s="8" t="str">
        <f t="shared" si="116"/>
        <v>6007,6008,6009,6010,6011</v>
      </c>
      <c r="P178" s="54">
        <v>800.0</v>
      </c>
      <c r="Q178" s="54">
        <v>800.0</v>
      </c>
      <c r="R178" s="8" t="str">
        <f t="shared" ref="R178:R179" si="124">"205,206,207,208"</f>
        <v>205,206,207,208</v>
      </c>
    </row>
    <row r="179" ht="14.25" customHeight="1">
      <c r="A179" s="8">
        <v>88022.0</v>
      </c>
      <c r="B179" s="42" t="s">
        <v>3401</v>
      </c>
      <c r="C179" s="4" t="s">
        <v>811</v>
      </c>
      <c r="D179" s="42" t="s">
        <v>11</v>
      </c>
      <c r="E179" s="8"/>
      <c r="F179" s="8">
        <v>194.0</v>
      </c>
      <c r="G179" s="8"/>
      <c r="H179" s="8"/>
      <c r="I179" s="8">
        <v>32.0</v>
      </c>
      <c r="J179" s="8"/>
      <c r="K179" s="8"/>
      <c r="L179" s="8"/>
      <c r="M179" s="8"/>
      <c r="N179" s="8"/>
      <c r="O179" s="8" t="str">
        <f t="shared" si="116"/>
        <v>6007,6008,6009,6010,6011</v>
      </c>
      <c r="P179" s="54">
        <v>800.0</v>
      </c>
      <c r="Q179" s="54">
        <v>800.0</v>
      </c>
      <c r="R179" s="8" t="str">
        <f t="shared" si="124"/>
        <v>205,206,207,208</v>
      </c>
    </row>
    <row r="180" ht="14.25" customHeight="1">
      <c r="A180" s="8">
        <v>88023.0</v>
      </c>
      <c r="B180" s="42" t="s">
        <v>3406</v>
      </c>
      <c r="C180" s="4" t="s">
        <v>818</v>
      </c>
      <c r="D180" s="42" t="s">
        <v>11</v>
      </c>
      <c r="E180" s="8"/>
      <c r="F180" s="8"/>
      <c r="G180" s="8"/>
      <c r="H180" s="8"/>
      <c r="I180" s="8">
        <v>38.0</v>
      </c>
      <c r="J180" s="8">
        <v>24.0</v>
      </c>
      <c r="K180" s="8"/>
      <c r="L180" s="8"/>
      <c r="M180" s="8"/>
      <c r="N180" s="8"/>
      <c r="O180" s="8" t="str">
        <f t="shared" si="116"/>
        <v>6007,6008,6009,6010,6011</v>
      </c>
      <c r="P180" s="54">
        <v>800.0</v>
      </c>
      <c r="Q180" s="54">
        <v>800.0</v>
      </c>
      <c r="R180" s="8" t="str">
        <f>"201,202,203,204"</f>
        <v>201,202,203,204</v>
      </c>
    </row>
    <row r="181" ht="14.25" customHeight="1">
      <c r="A181" s="8">
        <v>88024.0</v>
      </c>
      <c r="B181" s="42" t="s">
        <v>3413</v>
      </c>
      <c r="C181" s="4" t="s">
        <v>824</v>
      </c>
      <c r="D181" s="42" t="s">
        <v>11</v>
      </c>
      <c r="E181" s="8"/>
      <c r="F181" s="8">
        <v>161.0</v>
      </c>
      <c r="G181" s="8"/>
      <c r="H181" s="8"/>
      <c r="I181" s="8">
        <v>59.0</v>
      </c>
      <c r="J181" s="8"/>
      <c r="K181" s="8"/>
      <c r="L181" s="8"/>
      <c r="M181" s="8"/>
      <c r="N181" s="8"/>
      <c r="O181" s="8" t="str">
        <f t="shared" si="116"/>
        <v>6007,6008,6009,6010,6011</v>
      </c>
      <c r="P181" s="54">
        <v>800.0</v>
      </c>
      <c r="Q181" s="54">
        <v>800.0</v>
      </c>
      <c r="R181" s="8" t="str">
        <f t="shared" ref="R181:R182" si="125">"209,210,211,212"</f>
        <v>209,210,211,212</v>
      </c>
    </row>
    <row r="182" ht="14.25" customHeight="1">
      <c r="A182" s="8">
        <v>88025.0</v>
      </c>
      <c r="B182" s="42" t="s">
        <v>3417</v>
      </c>
      <c r="C182" s="4" t="s">
        <v>831</v>
      </c>
      <c r="D182" s="42" t="s">
        <v>11</v>
      </c>
      <c r="E182" s="8"/>
      <c r="F182" s="8">
        <v>116.0</v>
      </c>
      <c r="G182" s="8">
        <v>12.0</v>
      </c>
      <c r="H182" s="8"/>
      <c r="I182" s="8"/>
      <c r="J182" s="8">
        <v>23.0</v>
      </c>
      <c r="K182" s="8"/>
      <c r="L182" s="8"/>
      <c r="M182" s="8"/>
      <c r="N182" s="8"/>
      <c r="O182" s="8" t="str">
        <f t="shared" si="116"/>
        <v>6007,6008,6009,6010,6011</v>
      </c>
      <c r="P182" s="54">
        <v>800.0</v>
      </c>
      <c r="Q182" s="54">
        <v>800.0</v>
      </c>
      <c r="R182" s="8" t="str">
        <f t="shared" si="125"/>
        <v>209,210,211,212</v>
      </c>
    </row>
    <row r="183" ht="14.25" customHeight="1">
      <c r="A183" s="8">
        <v>88026.0</v>
      </c>
      <c r="B183" s="42" t="s">
        <v>774</v>
      </c>
      <c r="C183" s="4" t="s">
        <v>799</v>
      </c>
      <c r="D183" s="42" t="s">
        <v>11</v>
      </c>
      <c r="E183" s="8"/>
      <c r="F183" s="8"/>
      <c r="G183" s="8">
        <v>31.0</v>
      </c>
      <c r="H183" s="8"/>
      <c r="I183" s="8">
        <v>11.0</v>
      </c>
      <c r="J183" s="8"/>
      <c r="K183" s="8"/>
      <c r="L183" s="8"/>
      <c r="M183" s="8"/>
      <c r="N183" s="8"/>
      <c r="O183" s="8" t="str">
        <f t="shared" si="116"/>
        <v>6007,6008,6009,6010,6011</v>
      </c>
      <c r="P183" s="54">
        <v>800.0</v>
      </c>
      <c r="Q183" s="54">
        <v>800.0</v>
      </c>
      <c r="R183" s="8" t="str">
        <f>"201,202,203,204"</f>
        <v>201,202,203,204</v>
      </c>
    </row>
    <row r="184" ht="14.25" customHeight="1">
      <c r="A184" s="8">
        <v>88027.0</v>
      </c>
      <c r="B184" s="42" t="s">
        <v>3398</v>
      </c>
      <c r="C184" s="4" t="s">
        <v>806</v>
      </c>
      <c r="D184" s="42" t="s">
        <v>11</v>
      </c>
      <c r="E184" s="8"/>
      <c r="F184" s="8"/>
      <c r="G184" s="8"/>
      <c r="H184" s="8"/>
      <c r="I184" s="8">
        <v>35.0</v>
      </c>
      <c r="J184" s="8"/>
      <c r="K184" s="8"/>
      <c r="L184" s="8"/>
      <c r="M184" s="8"/>
      <c r="N184" s="8"/>
      <c r="O184" s="8" t="str">
        <f t="shared" si="116"/>
        <v>6007,6008,6009,6010,6011</v>
      </c>
      <c r="P184" s="54">
        <v>800.0</v>
      </c>
      <c r="Q184" s="54">
        <v>800.0</v>
      </c>
      <c r="R184" s="8" t="str">
        <f t="shared" ref="R184:R185" si="126">"205,206,207,208"</f>
        <v>205,206,207,208</v>
      </c>
    </row>
    <row r="185" ht="14.25" customHeight="1">
      <c r="A185" s="8">
        <v>88028.0</v>
      </c>
      <c r="B185" s="42" t="s">
        <v>3401</v>
      </c>
      <c r="C185" s="4" t="s">
        <v>812</v>
      </c>
      <c r="D185" s="42" t="s">
        <v>11</v>
      </c>
      <c r="E185" s="8"/>
      <c r="F185" s="8">
        <v>194.0</v>
      </c>
      <c r="G185" s="8"/>
      <c r="H185" s="8"/>
      <c r="I185" s="8">
        <v>32.0</v>
      </c>
      <c r="J185" s="8"/>
      <c r="K185" s="8"/>
      <c r="L185" s="8"/>
      <c r="M185" s="8"/>
      <c r="N185" s="8"/>
      <c r="O185" s="8" t="str">
        <f t="shared" si="116"/>
        <v>6007,6008,6009,6010,6011</v>
      </c>
      <c r="P185" s="54">
        <v>800.0</v>
      </c>
      <c r="Q185" s="54">
        <v>800.0</v>
      </c>
      <c r="R185" s="8" t="str">
        <f t="shared" si="126"/>
        <v>205,206,207,208</v>
      </c>
    </row>
    <row r="186" ht="14.25" customHeight="1">
      <c r="A186" s="8">
        <v>88029.0</v>
      </c>
      <c r="B186" s="42" t="s">
        <v>3406</v>
      </c>
      <c r="C186" s="4" t="s">
        <v>819</v>
      </c>
      <c r="D186" s="42" t="s">
        <v>11</v>
      </c>
      <c r="E186" s="8"/>
      <c r="F186" s="8"/>
      <c r="G186" s="8"/>
      <c r="H186" s="8"/>
      <c r="I186" s="8">
        <v>38.0</v>
      </c>
      <c r="J186" s="8">
        <v>24.0</v>
      </c>
      <c r="K186" s="8"/>
      <c r="L186" s="8"/>
      <c r="M186" s="8"/>
      <c r="N186" s="8"/>
      <c r="O186" s="8" t="str">
        <f t="shared" si="116"/>
        <v>6007,6008,6009,6010,6011</v>
      </c>
      <c r="P186" s="54">
        <v>800.0</v>
      </c>
      <c r="Q186" s="54">
        <v>800.0</v>
      </c>
      <c r="R186" s="8" t="str">
        <f>"201,202,203,204"</f>
        <v>201,202,203,204</v>
      </c>
    </row>
    <row r="187" ht="14.25" customHeight="1">
      <c r="A187" s="8">
        <v>88030.0</v>
      </c>
      <c r="B187" s="42" t="s">
        <v>3413</v>
      </c>
      <c r="C187" s="4" t="s">
        <v>825</v>
      </c>
      <c r="D187" s="42" t="s">
        <v>11</v>
      </c>
      <c r="E187" s="8"/>
      <c r="F187" s="8">
        <v>161.0</v>
      </c>
      <c r="G187" s="8"/>
      <c r="H187" s="8"/>
      <c r="I187" s="8">
        <v>59.0</v>
      </c>
      <c r="J187" s="8"/>
      <c r="K187" s="8"/>
      <c r="L187" s="8"/>
      <c r="M187" s="8"/>
      <c r="N187" s="8"/>
      <c r="O187" s="8" t="str">
        <f t="shared" si="116"/>
        <v>6007,6008,6009,6010,6011</v>
      </c>
      <c r="P187" s="54">
        <v>800.0</v>
      </c>
      <c r="Q187" s="54">
        <v>800.0</v>
      </c>
      <c r="R187" s="8" t="str">
        <f t="shared" ref="R187:R188" si="127">"209,210,211,212"</f>
        <v>209,210,211,212</v>
      </c>
    </row>
    <row r="188" ht="14.25" customHeight="1">
      <c r="A188" s="8">
        <v>88031.0</v>
      </c>
      <c r="B188" s="42" t="s">
        <v>3417</v>
      </c>
      <c r="C188" s="4" t="s">
        <v>832</v>
      </c>
      <c r="D188" s="42" t="s">
        <v>11</v>
      </c>
      <c r="E188" s="8"/>
      <c r="F188" s="8">
        <v>116.0</v>
      </c>
      <c r="G188" s="8">
        <v>12.0</v>
      </c>
      <c r="H188" s="8"/>
      <c r="I188" s="8"/>
      <c r="J188" s="8">
        <v>23.0</v>
      </c>
      <c r="K188" s="8"/>
      <c r="L188" s="8"/>
      <c r="M188" s="8"/>
      <c r="N188" s="8"/>
      <c r="O188" s="8" t="str">
        <f t="shared" si="116"/>
        <v>6007,6008,6009,6010,6011</v>
      </c>
      <c r="P188" s="54">
        <v>800.0</v>
      </c>
      <c r="Q188" s="54">
        <v>800.0</v>
      </c>
      <c r="R188" s="8" t="str">
        <f t="shared" si="127"/>
        <v>209,210,211,212</v>
      </c>
    </row>
    <row r="189" ht="14.25" customHeight="1">
      <c r="A189" s="8">
        <v>88032.0</v>
      </c>
      <c r="B189" s="42" t="s">
        <v>774</v>
      </c>
      <c r="C189" s="4" t="s">
        <v>4010</v>
      </c>
      <c r="D189" s="42" t="s">
        <v>8</v>
      </c>
      <c r="E189" s="8"/>
      <c r="F189" s="8"/>
      <c r="G189" s="8">
        <v>44.0</v>
      </c>
      <c r="H189" s="8"/>
      <c r="I189" s="8">
        <v>15.0</v>
      </c>
      <c r="J189" s="8"/>
      <c r="K189" s="8"/>
      <c r="L189" s="8"/>
      <c r="M189" s="8"/>
      <c r="N189" s="8"/>
      <c r="O189" s="8" t="str">
        <f t="shared" si="116"/>
        <v>6007,6008,6009,6010,6011</v>
      </c>
      <c r="P189" s="54">
        <v>800.0</v>
      </c>
      <c r="Q189" s="54">
        <v>800.0</v>
      </c>
      <c r="R189" s="8" t="str">
        <f t="shared" ref="R189:R190" si="128">"201,202,203,204"</f>
        <v>201,202,203,204</v>
      </c>
    </row>
    <row r="190" ht="14.25" customHeight="1">
      <c r="A190" s="8">
        <v>88033.0</v>
      </c>
      <c r="B190" s="42" t="s">
        <v>774</v>
      </c>
      <c r="C190" s="4" t="s">
        <v>4014</v>
      </c>
      <c r="D190" s="42" t="s">
        <v>8</v>
      </c>
      <c r="E190" s="8"/>
      <c r="F190" s="8"/>
      <c r="G190" s="8"/>
      <c r="H190" s="8">
        <v>44.0</v>
      </c>
      <c r="I190" s="8"/>
      <c r="J190" s="8">
        <v>15.0</v>
      </c>
      <c r="K190" s="8"/>
      <c r="L190" s="8"/>
      <c r="M190" s="8"/>
      <c r="N190" s="8"/>
      <c r="O190" s="8" t="str">
        <f t="shared" si="116"/>
        <v>6007,6008,6009,6010,6011</v>
      </c>
      <c r="P190" s="54">
        <v>800.0</v>
      </c>
      <c r="Q190" s="54">
        <v>800.0</v>
      </c>
      <c r="R190" s="8" t="str">
        <f t="shared" si="128"/>
        <v>201,202,203,204</v>
      </c>
    </row>
    <row r="191" ht="14.25" customHeight="1">
      <c r="A191" s="8">
        <v>88034.0</v>
      </c>
      <c r="B191" s="42" t="s">
        <v>774</v>
      </c>
      <c r="C191" s="4" t="s">
        <v>4016</v>
      </c>
      <c r="D191" s="42" t="s">
        <v>8</v>
      </c>
      <c r="E191" s="8"/>
      <c r="F191" s="8"/>
      <c r="G191" s="8">
        <v>44.0</v>
      </c>
      <c r="H191" s="8"/>
      <c r="I191" s="8">
        <v>15.0</v>
      </c>
      <c r="J191" s="8"/>
      <c r="K191" s="8"/>
      <c r="L191" s="8"/>
      <c r="M191" s="8"/>
      <c r="N191" s="8"/>
      <c r="O191" s="8" t="str">
        <f t="shared" si="116"/>
        <v>6007,6008,6009,6010,6011</v>
      </c>
      <c r="P191" s="54">
        <v>800.0</v>
      </c>
      <c r="Q191" s="54">
        <v>800.0</v>
      </c>
      <c r="R191" s="8" t="str">
        <f t="shared" ref="R191:R192" si="129">"205,206,207,208"</f>
        <v>205,206,207,208</v>
      </c>
    </row>
    <row r="192" ht="14.25" customHeight="1">
      <c r="A192" s="8">
        <v>88035.0</v>
      </c>
      <c r="B192" s="42" t="s">
        <v>3398</v>
      </c>
      <c r="C192" s="4" t="s">
        <v>807</v>
      </c>
      <c r="D192" s="42" t="s">
        <v>8</v>
      </c>
      <c r="E192" s="8"/>
      <c r="F192" s="8"/>
      <c r="G192" s="8"/>
      <c r="H192" s="8"/>
      <c r="I192" s="8">
        <v>49.0</v>
      </c>
      <c r="J192" s="8"/>
      <c r="K192" s="8"/>
      <c r="L192" s="8"/>
      <c r="M192" s="8"/>
      <c r="N192" s="8"/>
      <c r="O192" s="8" t="str">
        <f t="shared" si="116"/>
        <v>6007,6008,6009,6010,6011</v>
      </c>
      <c r="P192" s="54">
        <v>800.0</v>
      </c>
      <c r="Q192" s="54">
        <v>800.0</v>
      </c>
      <c r="R192" s="8" t="str">
        <f t="shared" si="129"/>
        <v>205,206,207,208</v>
      </c>
    </row>
    <row r="193" ht="14.25" customHeight="1">
      <c r="A193" s="8">
        <v>88036.0</v>
      </c>
      <c r="B193" s="42" t="s">
        <v>3401</v>
      </c>
      <c r="C193" s="4" t="s">
        <v>813</v>
      </c>
      <c r="D193" s="42" t="s">
        <v>8</v>
      </c>
      <c r="E193" s="8"/>
      <c r="F193" s="8">
        <v>275.0</v>
      </c>
      <c r="G193" s="8"/>
      <c r="H193" s="8"/>
      <c r="I193" s="8">
        <v>46.0</v>
      </c>
      <c r="J193" s="8"/>
      <c r="K193" s="8"/>
      <c r="L193" s="8"/>
      <c r="M193" s="8"/>
      <c r="N193" s="8"/>
      <c r="O193" s="8" t="str">
        <f t="shared" si="116"/>
        <v>6007,6008,6009,6010,6011</v>
      </c>
      <c r="P193" s="54">
        <v>800.0</v>
      </c>
      <c r="Q193" s="54">
        <v>800.0</v>
      </c>
      <c r="R193" s="8" t="str">
        <f>"201,202,203,204"</f>
        <v>201,202,203,204</v>
      </c>
    </row>
    <row r="194" ht="14.25" customHeight="1">
      <c r="A194" s="8">
        <v>88037.0</v>
      </c>
      <c r="B194" s="42" t="s">
        <v>3406</v>
      </c>
      <c r="C194" s="4" t="s">
        <v>820</v>
      </c>
      <c r="D194" s="42" t="s">
        <v>8</v>
      </c>
      <c r="E194" s="8"/>
      <c r="F194" s="8"/>
      <c r="G194" s="8"/>
      <c r="H194" s="8"/>
      <c r="I194" s="8">
        <v>54.0</v>
      </c>
      <c r="J194" s="8">
        <v>34.0</v>
      </c>
      <c r="K194" s="8"/>
      <c r="L194" s="8"/>
      <c r="M194" s="8"/>
      <c r="N194" s="8"/>
      <c r="O194" s="8" t="str">
        <f t="shared" si="116"/>
        <v>6007,6008,6009,6010,6011</v>
      </c>
      <c r="P194" s="54">
        <v>800.0</v>
      </c>
      <c r="Q194" s="54">
        <v>800.0</v>
      </c>
      <c r="R194" s="8" t="str">
        <f t="shared" ref="R194:R195" si="130">"209,210,211,212"</f>
        <v>209,210,211,212</v>
      </c>
    </row>
    <row r="195" ht="14.25" customHeight="1">
      <c r="A195" s="8">
        <v>88038.0</v>
      </c>
      <c r="B195" s="42" t="s">
        <v>3413</v>
      </c>
      <c r="C195" s="4" t="s">
        <v>826</v>
      </c>
      <c r="D195" s="42" t="s">
        <v>8</v>
      </c>
      <c r="E195" s="8"/>
      <c r="F195" s="8">
        <v>228.0</v>
      </c>
      <c r="G195" s="8"/>
      <c r="H195" s="8"/>
      <c r="I195" s="8">
        <v>83.0</v>
      </c>
      <c r="J195" s="8"/>
      <c r="K195" s="8"/>
      <c r="L195" s="8"/>
      <c r="M195" s="8"/>
      <c r="N195" s="8"/>
      <c r="O195" s="8" t="str">
        <f t="shared" si="116"/>
        <v>6007,6008,6009,6010,6011</v>
      </c>
      <c r="P195" s="54">
        <v>800.0</v>
      </c>
      <c r="Q195" s="54">
        <v>800.0</v>
      </c>
      <c r="R195" s="8" t="str">
        <f t="shared" si="130"/>
        <v>209,210,211,212</v>
      </c>
    </row>
    <row r="196" ht="14.25" customHeight="1">
      <c r="A196" s="8">
        <v>88039.0</v>
      </c>
      <c r="B196" s="42" t="s">
        <v>3417</v>
      </c>
      <c r="C196" s="4" t="s">
        <v>833</v>
      </c>
      <c r="D196" s="42" t="s">
        <v>8</v>
      </c>
      <c r="E196" s="8"/>
      <c r="F196" s="8">
        <v>165.0</v>
      </c>
      <c r="G196" s="8">
        <v>17.0</v>
      </c>
      <c r="H196" s="8"/>
      <c r="I196" s="8"/>
      <c r="J196" s="8">
        <v>32.0</v>
      </c>
      <c r="K196" s="8"/>
      <c r="L196" s="8"/>
      <c r="M196" s="8"/>
      <c r="N196" s="8"/>
      <c r="O196" s="8" t="str">
        <f t="shared" si="116"/>
        <v>6007,6008,6009,6010,6011</v>
      </c>
      <c r="P196" s="54">
        <v>800.0</v>
      </c>
      <c r="Q196" s="54">
        <v>800.0</v>
      </c>
      <c r="R196" s="54" t="str">
        <f>"205,206,207,208"</f>
        <v>205,206,207,208</v>
      </c>
    </row>
    <row r="197" ht="14.25" customHeight="1">
      <c r="A197" s="8">
        <v>88040.0</v>
      </c>
      <c r="B197" s="42" t="s">
        <v>774</v>
      </c>
      <c r="C197" s="4" t="s">
        <v>793</v>
      </c>
      <c r="D197" s="42" t="s">
        <v>15</v>
      </c>
      <c r="E197" s="8"/>
      <c r="F197" s="8"/>
      <c r="G197" s="8"/>
      <c r="H197" s="8">
        <v>22.0</v>
      </c>
      <c r="I197" s="8"/>
      <c r="J197" s="8">
        <v>8.0</v>
      </c>
      <c r="K197" s="8"/>
      <c r="L197" s="8"/>
      <c r="M197" s="8"/>
      <c r="N197" s="8"/>
      <c r="O197" s="8" t="str">
        <f t="shared" si="116"/>
        <v>6007,6008,6009,6010,6011</v>
      </c>
      <c r="P197" s="54">
        <v>800.0</v>
      </c>
      <c r="Q197" s="54">
        <v>800.0</v>
      </c>
      <c r="R197" s="8" t="str">
        <f t="shared" ref="R197:R198" si="131">"201,202,203,204"</f>
        <v>201,202,203,204</v>
      </c>
    </row>
    <row r="198" ht="14.25" customHeight="1">
      <c r="A198" s="8">
        <v>88041.0</v>
      </c>
      <c r="B198" s="42" t="s">
        <v>774</v>
      </c>
      <c r="C198" s="4" t="s">
        <v>794</v>
      </c>
      <c r="D198" s="42" t="s">
        <v>8</v>
      </c>
      <c r="E198" s="8"/>
      <c r="F198" s="8"/>
      <c r="G198" s="8"/>
      <c r="H198" s="8">
        <v>44.0</v>
      </c>
      <c r="I198" s="8"/>
      <c r="J198" s="8">
        <v>15.0</v>
      </c>
      <c r="K198" s="8"/>
      <c r="L198" s="8"/>
      <c r="M198" s="8"/>
      <c r="N198" s="8"/>
      <c r="O198" s="8" t="str">
        <f t="shared" si="116"/>
        <v>6007,6008,6009,6010,6011</v>
      </c>
      <c r="P198" s="54">
        <v>800.0</v>
      </c>
      <c r="Q198" s="54">
        <v>800.0</v>
      </c>
      <c r="R198" s="8" t="str">
        <f t="shared" si="131"/>
        <v>201,202,203,204</v>
      </c>
    </row>
    <row r="199" ht="14.25" customHeight="1">
      <c r="D199" s="47"/>
    </row>
    <row r="200" ht="14.25" customHeight="1">
      <c r="D200" s="47"/>
    </row>
    <row r="201" ht="14.25" customHeight="1">
      <c r="D201" s="47"/>
    </row>
    <row r="202" ht="14.25" customHeight="1">
      <c r="D202" s="47"/>
    </row>
    <row r="203" ht="14.25" customHeight="1">
      <c r="D203" s="47"/>
    </row>
    <row r="204" ht="14.25" customHeight="1">
      <c r="D204" s="47"/>
    </row>
    <row r="205" ht="14.25" customHeight="1">
      <c r="D205" s="47"/>
    </row>
    <row r="206" ht="14.25" customHeight="1">
      <c r="D206" s="47"/>
    </row>
    <row r="207" ht="14.25" customHeight="1">
      <c r="D207" s="47"/>
    </row>
    <row r="208" ht="14.25" customHeight="1">
      <c r="D208" s="47"/>
    </row>
    <row r="209" ht="14.25" customHeight="1">
      <c r="D209" s="47"/>
    </row>
    <row r="210" ht="14.25" customHeight="1">
      <c r="D210" s="47"/>
    </row>
    <row r="211" ht="14.25" customHeight="1">
      <c r="D211" s="47"/>
    </row>
    <row r="212" ht="14.25" customHeight="1">
      <c r="D212" s="47"/>
    </row>
    <row r="213" ht="14.25" customHeight="1">
      <c r="D213" s="47"/>
    </row>
    <row r="214" ht="14.25" customHeight="1">
      <c r="D214" s="47"/>
    </row>
    <row r="215" ht="14.25" customHeight="1">
      <c r="D215" s="47"/>
    </row>
    <row r="216" ht="14.25" customHeight="1">
      <c r="D216" s="47"/>
    </row>
    <row r="217" ht="14.25" customHeight="1">
      <c r="D217" s="47"/>
    </row>
    <row r="218" ht="14.25" customHeight="1">
      <c r="D218" s="47"/>
    </row>
    <row r="219" ht="14.25" customHeight="1">
      <c r="D219" s="47"/>
    </row>
    <row r="220" ht="14.25" customHeight="1">
      <c r="D220" s="47"/>
    </row>
    <row r="221" ht="14.25" customHeight="1">
      <c r="D221" s="47"/>
    </row>
    <row r="222" ht="14.25" customHeight="1">
      <c r="D222" s="47"/>
    </row>
    <row r="223" ht="14.25" customHeight="1">
      <c r="D223" s="47"/>
    </row>
    <row r="224" ht="14.25" customHeight="1">
      <c r="D224" s="47"/>
    </row>
    <row r="225" ht="14.25" customHeight="1">
      <c r="D225" s="47"/>
    </row>
    <row r="226" ht="14.25" customHeight="1">
      <c r="D226" s="47"/>
    </row>
    <row r="227" ht="14.25" customHeight="1">
      <c r="D227" s="47"/>
    </row>
    <row r="228" ht="14.25" customHeight="1">
      <c r="D228" s="47"/>
    </row>
    <row r="229" ht="14.25" customHeight="1">
      <c r="D229" s="47"/>
    </row>
    <row r="230" ht="14.25" customHeight="1">
      <c r="D230" s="47"/>
    </row>
    <row r="231" ht="14.25" customHeight="1">
      <c r="D231" s="47"/>
    </row>
    <row r="232" ht="14.25" customHeight="1">
      <c r="D232" s="47"/>
    </row>
    <row r="233" ht="14.25" customHeight="1">
      <c r="D233" s="47"/>
    </row>
    <row r="234" ht="14.25" customHeight="1">
      <c r="D234" s="47"/>
    </row>
    <row r="235" ht="14.25" customHeight="1">
      <c r="D235" s="47"/>
    </row>
    <row r="236" ht="14.25" customHeight="1">
      <c r="D236" s="47"/>
    </row>
    <row r="237" ht="14.25" customHeight="1">
      <c r="D237" s="47"/>
    </row>
    <row r="238" ht="14.25" customHeight="1">
      <c r="D238" s="47"/>
    </row>
    <row r="239" ht="14.25" customHeight="1">
      <c r="D239" s="47"/>
    </row>
    <row r="240" ht="14.25" customHeight="1">
      <c r="D240" s="47"/>
    </row>
    <row r="241" ht="14.25" customHeight="1">
      <c r="D241" s="47"/>
    </row>
    <row r="242" ht="14.25" customHeight="1">
      <c r="D242" s="47"/>
    </row>
    <row r="243" ht="14.25" customHeight="1">
      <c r="D243" s="47"/>
    </row>
    <row r="244" ht="14.25" customHeight="1">
      <c r="D244" s="47"/>
    </row>
    <row r="245" ht="14.25" customHeight="1">
      <c r="D245" s="47"/>
    </row>
    <row r="246" ht="14.25" customHeight="1">
      <c r="D246" s="47"/>
    </row>
    <row r="247" ht="14.25" customHeight="1">
      <c r="D247" s="47"/>
    </row>
    <row r="248" ht="14.25" customHeight="1">
      <c r="D248" s="47"/>
    </row>
    <row r="249" ht="14.25" customHeight="1">
      <c r="D249" s="47"/>
    </row>
    <row r="250" ht="14.25" customHeight="1">
      <c r="D250" s="47"/>
    </row>
    <row r="251" ht="14.25" customHeight="1">
      <c r="D251" s="47"/>
    </row>
    <row r="252" ht="14.25" customHeight="1">
      <c r="D252" s="47"/>
    </row>
    <row r="253" ht="14.25" customHeight="1">
      <c r="D253" s="47"/>
    </row>
    <row r="254" ht="14.25" customHeight="1">
      <c r="D254" s="47"/>
    </row>
    <row r="255" ht="14.25" customHeight="1">
      <c r="D255" s="47"/>
    </row>
    <row r="256" ht="14.25" customHeight="1">
      <c r="D256" s="47"/>
    </row>
    <row r="257" ht="14.25" customHeight="1">
      <c r="D257" s="47"/>
    </row>
    <row r="258" ht="14.25" customHeight="1">
      <c r="D258" s="47"/>
    </row>
    <row r="259" ht="14.25" customHeight="1">
      <c r="D259" s="47"/>
    </row>
    <row r="260" ht="14.25" customHeight="1">
      <c r="D260" s="47"/>
    </row>
    <row r="261" ht="14.25" customHeight="1">
      <c r="D261" s="47"/>
    </row>
    <row r="262" ht="14.25" customHeight="1">
      <c r="D262" s="47"/>
    </row>
    <row r="263" ht="14.25" customHeight="1">
      <c r="D263" s="47"/>
    </row>
    <row r="264" ht="14.25" customHeight="1">
      <c r="D264" s="47"/>
    </row>
    <row r="265" ht="14.25" customHeight="1">
      <c r="D265" s="47"/>
    </row>
    <row r="266" ht="14.25" customHeight="1">
      <c r="D266" s="47"/>
    </row>
    <row r="267" ht="14.25" customHeight="1">
      <c r="D267" s="47"/>
    </row>
    <row r="268" ht="14.25" customHeight="1">
      <c r="D268" s="47"/>
    </row>
    <row r="269" ht="14.25" customHeight="1">
      <c r="D269" s="47"/>
    </row>
    <row r="270" ht="14.25" customHeight="1">
      <c r="D270" s="47"/>
    </row>
    <row r="271" ht="14.25" customHeight="1">
      <c r="D271" s="47"/>
    </row>
    <row r="272" ht="14.25" customHeight="1">
      <c r="D272" s="47"/>
    </row>
    <row r="273" ht="14.25" customHeight="1">
      <c r="D273" s="47"/>
    </row>
    <row r="274" ht="14.25" customHeight="1">
      <c r="D274" s="47"/>
    </row>
    <row r="275" ht="14.25" customHeight="1">
      <c r="D275" s="47"/>
    </row>
    <row r="276" ht="14.25" customHeight="1">
      <c r="D276" s="47"/>
    </row>
    <row r="277" ht="14.25" customHeight="1">
      <c r="D277" s="47"/>
    </row>
    <row r="278" ht="14.25" customHeight="1">
      <c r="D278" s="47"/>
    </row>
    <row r="279" ht="14.25" customHeight="1">
      <c r="D279" s="47"/>
    </row>
    <row r="280" ht="14.25" customHeight="1">
      <c r="D280" s="47"/>
    </row>
    <row r="281" ht="14.25" customHeight="1">
      <c r="D281" s="47"/>
    </row>
    <row r="282" ht="14.25" customHeight="1">
      <c r="D282" s="47"/>
    </row>
    <row r="283" ht="14.25" customHeight="1">
      <c r="D283" s="47"/>
    </row>
    <row r="284" ht="14.25" customHeight="1">
      <c r="D284" s="47"/>
    </row>
    <row r="285" ht="14.25" customHeight="1">
      <c r="D285" s="47"/>
    </row>
    <row r="286" ht="14.25" customHeight="1">
      <c r="D286" s="47"/>
    </row>
    <row r="287" ht="14.25" customHeight="1">
      <c r="D287" s="47"/>
    </row>
    <row r="288" ht="14.25" customHeight="1">
      <c r="D288" s="47"/>
    </row>
    <row r="289" ht="14.25" customHeight="1">
      <c r="D289" s="47"/>
    </row>
    <row r="290" ht="14.25" customHeight="1">
      <c r="D290" s="47"/>
    </row>
    <row r="291" ht="14.25" customHeight="1">
      <c r="D291" s="47"/>
    </row>
    <row r="292" ht="14.25" customHeight="1">
      <c r="D292" s="47"/>
    </row>
    <row r="293" ht="14.25" customHeight="1">
      <c r="D293" s="47"/>
    </row>
    <row r="294" ht="14.25" customHeight="1">
      <c r="D294" s="47"/>
    </row>
    <row r="295" ht="14.25" customHeight="1">
      <c r="D295" s="47"/>
    </row>
    <row r="296" ht="14.25" customHeight="1">
      <c r="D296" s="47"/>
    </row>
    <row r="297" ht="14.25" customHeight="1">
      <c r="D297" s="47"/>
    </row>
    <row r="298" ht="14.25" customHeight="1">
      <c r="D298" s="47"/>
    </row>
    <row r="299" ht="14.25" customHeight="1">
      <c r="D299" s="47"/>
    </row>
    <row r="300" ht="14.25" customHeight="1">
      <c r="D300" s="47"/>
    </row>
    <row r="301" ht="14.25" customHeight="1">
      <c r="D301" s="47"/>
    </row>
    <row r="302" ht="14.25" customHeight="1">
      <c r="D302" s="47"/>
    </row>
    <row r="303" ht="14.25" customHeight="1">
      <c r="D303" s="47"/>
    </row>
    <row r="304" ht="14.25" customHeight="1">
      <c r="D304" s="47"/>
    </row>
    <row r="305" ht="14.25" customHeight="1">
      <c r="D305" s="47"/>
    </row>
    <row r="306" ht="14.25" customHeight="1">
      <c r="D306" s="47"/>
    </row>
    <row r="307" ht="14.25" customHeight="1">
      <c r="D307" s="47"/>
    </row>
    <row r="308" ht="14.25" customHeight="1">
      <c r="D308" s="47"/>
    </row>
    <row r="309" ht="14.25" customHeight="1">
      <c r="D309" s="47"/>
    </row>
    <row r="310" ht="14.25" customHeight="1">
      <c r="D310" s="47"/>
    </row>
    <row r="311" ht="14.25" customHeight="1">
      <c r="D311" s="47"/>
    </row>
    <row r="312" ht="14.25" customHeight="1">
      <c r="D312" s="47"/>
    </row>
    <row r="313" ht="14.25" customHeight="1">
      <c r="D313" s="47"/>
    </row>
    <row r="314" ht="14.25" customHeight="1">
      <c r="D314" s="47"/>
    </row>
    <row r="315" ht="14.25" customHeight="1">
      <c r="D315" s="47"/>
    </row>
    <row r="316" ht="14.25" customHeight="1">
      <c r="D316" s="47"/>
    </row>
    <row r="317" ht="14.25" customHeight="1">
      <c r="D317" s="47"/>
    </row>
    <row r="318" ht="14.25" customHeight="1">
      <c r="D318" s="47"/>
    </row>
    <row r="319" ht="14.25" customHeight="1">
      <c r="D319" s="47"/>
    </row>
    <row r="320" ht="14.25" customHeight="1">
      <c r="D320" s="47"/>
    </row>
    <row r="321" ht="14.25" customHeight="1">
      <c r="D321" s="47"/>
    </row>
    <row r="322" ht="14.25" customHeight="1">
      <c r="D322" s="47"/>
    </row>
    <row r="323" ht="14.25" customHeight="1">
      <c r="D323" s="47"/>
    </row>
    <row r="324" ht="14.25" customHeight="1">
      <c r="D324" s="47"/>
    </row>
    <row r="325" ht="14.25" customHeight="1">
      <c r="D325" s="47"/>
    </row>
    <row r="326" ht="14.25" customHeight="1">
      <c r="D326" s="47"/>
    </row>
    <row r="327" ht="14.25" customHeight="1">
      <c r="D327" s="47"/>
    </row>
    <row r="328" ht="14.25" customHeight="1">
      <c r="D328" s="47"/>
    </row>
    <row r="329" ht="14.25" customHeight="1">
      <c r="D329" s="47"/>
    </row>
    <row r="330" ht="14.25" customHeight="1">
      <c r="D330" s="47"/>
    </row>
    <row r="331" ht="14.25" customHeight="1">
      <c r="D331" s="47"/>
    </row>
    <row r="332" ht="14.25" customHeight="1">
      <c r="D332" s="47"/>
    </row>
    <row r="333" ht="14.25" customHeight="1">
      <c r="D333" s="47"/>
    </row>
    <row r="334" ht="14.25" customHeight="1">
      <c r="D334" s="47"/>
    </row>
    <row r="335" ht="14.25" customHeight="1">
      <c r="D335" s="47"/>
    </row>
    <row r="336" ht="14.25" customHeight="1">
      <c r="D336" s="47"/>
    </row>
    <row r="337" ht="14.25" customHeight="1">
      <c r="D337" s="47"/>
    </row>
    <row r="338" ht="14.25" customHeight="1">
      <c r="D338" s="47"/>
    </row>
    <row r="339" ht="14.25" customHeight="1">
      <c r="D339" s="47"/>
    </row>
    <row r="340" ht="14.25" customHeight="1">
      <c r="D340" s="47"/>
    </row>
    <row r="341" ht="14.25" customHeight="1">
      <c r="D341" s="47"/>
    </row>
    <row r="342" ht="14.25" customHeight="1">
      <c r="D342" s="47"/>
    </row>
    <row r="343" ht="14.25" customHeight="1">
      <c r="D343" s="47"/>
    </row>
    <row r="344" ht="14.25" customHeight="1">
      <c r="D344" s="47"/>
    </row>
    <row r="345" ht="14.25" customHeight="1">
      <c r="D345" s="47"/>
    </row>
    <row r="346" ht="14.25" customHeight="1">
      <c r="D346" s="47"/>
    </row>
    <row r="347" ht="14.25" customHeight="1">
      <c r="D347" s="47"/>
    </row>
    <row r="348" ht="14.25" customHeight="1">
      <c r="D348" s="47"/>
    </row>
    <row r="349" ht="14.25" customHeight="1">
      <c r="D349" s="47"/>
    </row>
    <row r="350" ht="14.25" customHeight="1">
      <c r="D350" s="47"/>
    </row>
    <row r="351" ht="14.25" customHeight="1">
      <c r="D351" s="47"/>
    </row>
    <row r="352" ht="14.25" customHeight="1">
      <c r="D352" s="47"/>
    </row>
    <row r="353" ht="14.25" customHeight="1">
      <c r="D353" s="47"/>
    </row>
    <row r="354" ht="14.25" customHeight="1">
      <c r="D354" s="47"/>
    </row>
    <row r="355" ht="14.25" customHeight="1">
      <c r="D355" s="47"/>
    </row>
    <row r="356" ht="14.25" customHeight="1">
      <c r="D356" s="47"/>
    </row>
    <row r="357" ht="14.25" customHeight="1">
      <c r="D357" s="47"/>
    </row>
    <row r="358" ht="14.25" customHeight="1">
      <c r="D358" s="47"/>
    </row>
    <row r="359" ht="14.25" customHeight="1">
      <c r="D359" s="47"/>
    </row>
    <row r="360" ht="14.25" customHeight="1">
      <c r="D360" s="47"/>
    </row>
    <row r="361" ht="14.25" customHeight="1">
      <c r="D361" s="47"/>
    </row>
    <row r="362" ht="14.25" customHeight="1">
      <c r="D362" s="47"/>
    </row>
    <row r="363" ht="14.25" customHeight="1">
      <c r="D363" s="47"/>
    </row>
    <row r="364" ht="14.25" customHeight="1">
      <c r="D364" s="47"/>
    </row>
    <row r="365" ht="14.25" customHeight="1">
      <c r="D365" s="47"/>
    </row>
    <row r="366" ht="14.25" customHeight="1">
      <c r="D366" s="47"/>
    </row>
    <row r="367" ht="14.25" customHeight="1">
      <c r="D367" s="47"/>
    </row>
    <row r="368" ht="14.25" customHeight="1">
      <c r="D368" s="47"/>
    </row>
    <row r="369" ht="14.25" customHeight="1">
      <c r="D369" s="47"/>
    </row>
    <row r="370" ht="14.25" customHeight="1">
      <c r="D370" s="47"/>
    </row>
    <row r="371" ht="14.25" customHeight="1">
      <c r="D371" s="47"/>
    </row>
    <row r="372" ht="14.25" customHeight="1">
      <c r="D372" s="47"/>
    </row>
    <row r="373" ht="14.25" customHeight="1">
      <c r="D373" s="47"/>
    </row>
    <row r="374" ht="14.25" customHeight="1">
      <c r="D374" s="47"/>
    </row>
    <row r="375" ht="14.25" customHeight="1">
      <c r="D375" s="47"/>
    </row>
    <row r="376" ht="14.25" customHeight="1">
      <c r="D376" s="47"/>
    </row>
    <row r="377" ht="14.25" customHeight="1">
      <c r="D377" s="47"/>
    </row>
    <row r="378" ht="14.25" customHeight="1">
      <c r="D378" s="47"/>
    </row>
    <row r="379" ht="14.25" customHeight="1">
      <c r="D379" s="47"/>
    </row>
    <row r="380" ht="14.25" customHeight="1">
      <c r="D380" s="47"/>
    </row>
    <row r="381" ht="14.25" customHeight="1">
      <c r="D381" s="47"/>
    </row>
    <row r="382" ht="14.25" customHeight="1">
      <c r="D382" s="47"/>
    </row>
    <row r="383" ht="14.25" customHeight="1">
      <c r="D383" s="47"/>
    </row>
    <row r="384" ht="14.25" customHeight="1">
      <c r="D384" s="47"/>
    </row>
    <row r="385" ht="14.25" customHeight="1">
      <c r="D385" s="47"/>
    </row>
    <row r="386" ht="14.25" customHeight="1">
      <c r="D386" s="47"/>
    </row>
    <row r="387" ht="14.25" customHeight="1">
      <c r="D387" s="47"/>
    </row>
    <row r="388" ht="14.25" customHeight="1">
      <c r="D388" s="47"/>
    </row>
    <row r="389" ht="14.25" customHeight="1">
      <c r="D389" s="47"/>
    </row>
    <row r="390" ht="14.25" customHeight="1">
      <c r="D390" s="47"/>
    </row>
    <row r="391" ht="14.25" customHeight="1">
      <c r="D391" s="47"/>
    </row>
    <row r="392" ht="14.25" customHeight="1">
      <c r="D392" s="47"/>
    </row>
    <row r="393" ht="14.25" customHeight="1">
      <c r="D393" s="47"/>
    </row>
    <row r="394" ht="14.25" customHeight="1">
      <c r="D394" s="47"/>
    </row>
    <row r="395" ht="14.25" customHeight="1">
      <c r="D395" s="47"/>
    </row>
    <row r="396" ht="14.25" customHeight="1">
      <c r="D396" s="47"/>
    </row>
    <row r="397" ht="14.25" customHeight="1">
      <c r="D397" s="47"/>
    </row>
    <row r="398" ht="14.25" customHeight="1">
      <c r="D398" s="47"/>
    </row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D3:D155 D157:D198">
      <formula1>"R,SR,SSR"</formula1>
    </dataValidation>
    <dataValidation type="list" allowBlank="1" showErrorMessage="1" sqref="B3:B155 B157:B198">
      <formula1>"gem,weapon,head,armor,shoe,cloak,Pants"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2" width="11.0"/>
    <col customWidth="1" min="13" max="13" width="13.5"/>
    <col customWidth="1" min="14" max="14" width="12.5"/>
    <col customWidth="1" min="15" max="15" width="11.0"/>
    <col customWidth="1" min="16" max="16" width="12.5"/>
    <col customWidth="1" min="17" max="17" width="11.38"/>
    <col customWidth="1" min="18" max="36" width="11.0"/>
  </cols>
  <sheetData>
    <row r="1" ht="14.25" customHeight="1">
      <c r="A1" s="42" t="s">
        <v>3371</v>
      </c>
      <c r="B1" s="42" t="s">
        <v>2749</v>
      </c>
      <c r="C1" s="40" t="s">
        <v>107</v>
      </c>
      <c r="D1" s="40" t="s">
        <v>289</v>
      </c>
      <c r="E1" s="40" t="s">
        <v>290</v>
      </c>
      <c r="F1" s="40" t="s">
        <v>291</v>
      </c>
      <c r="G1" s="40" t="s">
        <v>292</v>
      </c>
      <c r="H1" s="40" t="s">
        <v>134</v>
      </c>
      <c r="I1" s="40" t="s">
        <v>295</v>
      </c>
      <c r="J1" s="40" t="s">
        <v>293</v>
      </c>
      <c r="K1" s="40" t="s">
        <v>294</v>
      </c>
      <c r="L1" s="40" t="s">
        <v>297</v>
      </c>
      <c r="M1" s="40" t="s">
        <v>298</v>
      </c>
      <c r="N1" s="40" t="s">
        <v>299</v>
      </c>
      <c r="O1" s="40" t="s">
        <v>300</v>
      </c>
      <c r="P1" s="40" t="s">
        <v>301</v>
      </c>
      <c r="Q1" s="40" t="s">
        <v>302</v>
      </c>
      <c r="R1" s="40" t="s">
        <v>296</v>
      </c>
      <c r="S1" s="41" t="s">
        <v>303</v>
      </c>
      <c r="T1" s="41" t="s">
        <v>304</v>
      </c>
      <c r="U1" s="41" t="s">
        <v>305</v>
      </c>
      <c r="V1" s="41" t="s">
        <v>306</v>
      </c>
      <c r="W1" s="41" t="s">
        <v>307</v>
      </c>
      <c r="X1" s="42" t="s">
        <v>3381</v>
      </c>
      <c r="Y1" s="42" t="s">
        <v>716</v>
      </c>
    </row>
    <row r="2" ht="14.25" customHeight="1">
      <c r="A2" s="148">
        <v>201.0</v>
      </c>
      <c r="B2" s="148">
        <v>1900.0</v>
      </c>
      <c r="C2" s="148"/>
      <c r="D2" s="148">
        <v>6.0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>
        <v>0.15</v>
      </c>
      <c r="Y2" s="148">
        <v>1.0</v>
      </c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</row>
    <row r="3" ht="14.25" customHeight="1">
      <c r="A3" s="148">
        <v>201.0</v>
      </c>
      <c r="B3" s="148">
        <v>400.0</v>
      </c>
      <c r="C3" s="148"/>
      <c r="D3" s="148">
        <v>11.0</v>
      </c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>
        <v>0.15</v>
      </c>
      <c r="Y3" s="148">
        <v>1.0</v>
      </c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</row>
    <row r="4" ht="14.25" customHeight="1">
      <c r="A4" s="148">
        <v>201.0</v>
      </c>
      <c r="B4" s="148">
        <v>150.0</v>
      </c>
      <c r="C4" s="148"/>
      <c r="D4" s="148">
        <v>20.0</v>
      </c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>
        <v>0.15</v>
      </c>
      <c r="Y4" s="148">
        <v>2.0</v>
      </c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</row>
    <row r="5" ht="14.25" customHeight="1">
      <c r="A5" s="148">
        <v>201.0</v>
      </c>
      <c r="B5" s="148">
        <v>40.0</v>
      </c>
      <c r="C5" s="148"/>
      <c r="D5" s="148">
        <v>38.0</v>
      </c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>
        <v>0.15</v>
      </c>
      <c r="Y5" s="148">
        <v>3.0</v>
      </c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</row>
    <row r="6" ht="14.25" customHeight="1">
      <c r="A6" s="148">
        <v>201.0</v>
      </c>
      <c r="B6" s="148">
        <v>10.0</v>
      </c>
      <c r="C6" s="148"/>
      <c r="D6" s="148">
        <v>70.0</v>
      </c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>
        <v>0.15</v>
      </c>
      <c r="Y6" s="148">
        <v>4.0</v>
      </c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</row>
    <row r="7" ht="14.25" customHeight="1">
      <c r="A7" s="148">
        <v>201.0</v>
      </c>
      <c r="B7" s="148">
        <v>1900.0</v>
      </c>
      <c r="C7" s="148"/>
      <c r="D7" s="148"/>
      <c r="E7" s="148">
        <v>8.0</v>
      </c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>
        <v>0.15</v>
      </c>
      <c r="Y7" s="148">
        <v>1.0</v>
      </c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</row>
    <row r="8" ht="14.25" customHeight="1">
      <c r="A8" s="148">
        <v>201.0</v>
      </c>
      <c r="B8" s="148">
        <v>400.0</v>
      </c>
      <c r="C8" s="148"/>
      <c r="D8" s="148"/>
      <c r="E8" s="148">
        <f t="shared" ref="E8:E11" si="1">ROUND(D3*1.05,0)</f>
        <v>12</v>
      </c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>
        <v>0.15</v>
      </c>
      <c r="Y8" s="148">
        <v>1.0</v>
      </c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</row>
    <row r="9" ht="14.25" customHeight="1">
      <c r="A9" s="148">
        <v>201.0</v>
      </c>
      <c r="B9" s="148">
        <v>150.0</v>
      </c>
      <c r="C9" s="148"/>
      <c r="D9" s="148"/>
      <c r="E9" s="148">
        <f t="shared" si="1"/>
        <v>21</v>
      </c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>
        <v>0.15</v>
      </c>
      <c r="Y9" s="148">
        <v>2.0</v>
      </c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</row>
    <row r="10" ht="14.25" customHeight="1">
      <c r="A10" s="148">
        <v>201.0</v>
      </c>
      <c r="B10" s="148">
        <v>40.0</v>
      </c>
      <c r="C10" s="148"/>
      <c r="D10" s="148"/>
      <c r="E10" s="148">
        <f t="shared" si="1"/>
        <v>40</v>
      </c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>
        <v>0.15</v>
      </c>
      <c r="Y10" s="148">
        <v>3.0</v>
      </c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</row>
    <row r="11" ht="14.25" customHeight="1">
      <c r="A11" s="148">
        <v>201.0</v>
      </c>
      <c r="B11" s="148">
        <v>10.0</v>
      </c>
      <c r="C11" s="148"/>
      <c r="D11" s="148"/>
      <c r="E11" s="148">
        <f t="shared" si="1"/>
        <v>74</v>
      </c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>
        <v>0.15</v>
      </c>
      <c r="Y11" s="148">
        <v>4.0</v>
      </c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</row>
    <row r="12" ht="14.25" customHeight="1">
      <c r="A12" s="148">
        <v>201.0</v>
      </c>
      <c r="B12" s="148">
        <v>1900.0</v>
      </c>
      <c r="C12" s="148"/>
      <c r="D12" s="148"/>
      <c r="E12" s="148"/>
      <c r="F12" s="148"/>
      <c r="G12" s="148"/>
      <c r="H12" s="148">
        <v>50.0</v>
      </c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>
        <v>0.15</v>
      </c>
      <c r="Y12" s="148">
        <v>1.0</v>
      </c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</row>
    <row r="13" ht="14.25" customHeight="1">
      <c r="A13" s="148">
        <v>201.0</v>
      </c>
      <c r="B13" s="148">
        <v>400.0</v>
      </c>
      <c r="C13" s="148"/>
      <c r="D13" s="148"/>
      <c r="E13" s="148"/>
      <c r="F13" s="148"/>
      <c r="G13" s="148"/>
      <c r="H13" s="148">
        <v>75.0</v>
      </c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>
        <v>0.15</v>
      </c>
      <c r="Y13" s="148">
        <v>1.0</v>
      </c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</row>
    <row r="14" ht="14.25" customHeight="1">
      <c r="A14" s="148">
        <v>201.0</v>
      </c>
      <c r="B14" s="148">
        <v>150.0</v>
      </c>
      <c r="C14" s="148"/>
      <c r="D14" s="148"/>
      <c r="E14" s="148"/>
      <c r="F14" s="148"/>
      <c r="G14" s="148"/>
      <c r="H14" s="148">
        <v>135.0</v>
      </c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>
        <v>0.15</v>
      </c>
      <c r="Y14" s="148">
        <v>2.0</v>
      </c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</row>
    <row r="15" ht="14.25" customHeight="1">
      <c r="A15" s="148">
        <v>201.0</v>
      </c>
      <c r="B15" s="148">
        <v>40.0</v>
      </c>
      <c r="C15" s="148"/>
      <c r="D15" s="148"/>
      <c r="E15" s="148"/>
      <c r="F15" s="148"/>
      <c r="G15" s="148"/>
      <c r="H15" s="148">
        <v>260.0</v>
      </c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>
        <v>0.15</v>
      </c>
      <c r="Y15" s="148">
        <v>3.0</v>
      </c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</row>
    <row r="16" ht="14.25" customHeight="1">
      <c r="A16" s="148">
        <v>201.0</v>
      </c>
      <c r="B16" s="148">
        <v>10.0</v>
      </c>
      <c r="C16" s="148"/>
      <c r="D16" s="148"/>
      <c r="E16" s="148"/>
      <c r="F16" s="148"/>
      <c r="G16" s="148"/>
      <c r="H16" s="148">
        <v>450.0</v>
      </c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>
        <v>0.15</v>
      </c>
      <c r="Y16" s="148">
        <v>4.0</v>
      </c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</row>
    <row r="17" ht="14.25" customHeight="1">
      <c r="A17" s="148">
        <v>201.0</v>
      </c>
      <c r="B17" s="148">
        <v>1900.0</v>
      </c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>
        <v>0.02</v>
      </c>
      <c r="P17" s="148"/>
      <c r="Q17" s="148"/>
      <c r="R17" s="148"/>
      <c r="S17" s="148"/>
      <c r="T17" s="148"/>
      <c r="U17" s="148"/>
      <c r="V17" s="148"/>
      <c r="W17" s="148"/>
      <c r="X17" s="148">
        <v>0.15</v>
      </c>
      <c r="Y17" s="148">
        <v>1.0</v>
      </c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</row>
    <row r="18" ht="14.25" customHeight="1">
      <c r="A18" s="148">
        <v>201.0</v>
      </c>
      <c r="B18" s="148">
        <v>400.0</v>
      </c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>
        <v>0.04</v>
      </c>
      <c r="P18" s="148"/>
      <c r="Q18" s="148"/>
      <c r="R18" s="148"/>
      <c r="S18" s="148"/>
      <c r="T18" s="148"/>
      <c r="U18" s="148"/>
      <c r="V18" s="148"/>
      <c r="W18" s="148"/>
      <c r="X18" s="148">
        <v>0.15</v>
      </c>
      <c r="Y18" s="148">
        <v>1.0</v>
      </c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</row>
    <row r="19" ht="14.25" customHeight="1">
      <c r="A19" s="148">
        <v>201.0</v>
      </c>
      <c r="B19" s="148">
        <v>150.0</v>
      </c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>
        <v>0.08</v>
      </c>
      <c r="P19" s="148"/>
      <c r="Q19" s="148"/>
      <c r="R19" s="148"/>
      <c r="S19" s="148"/>
      <c r="T19" s="148"/>
      <c r="U19" s="148"/>
      <c r="V19" s="148"/>
      <c r="W19" s="148"/>
      <c r="X19" s="148">
        <v>0.15</v>
      </c>
      <c r="Y19" s="148">
        <v>2.0</v>
      </c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</row>
    <row r="20" ht="14.25" customHeight="1">
      <c r="A20" s="148">
        <v>201.0</v>
      </c>
      <c r="B20" s="148">
        <v>40.0</v>
      </c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>
        <v>0.15</v>
      </c>
      <c r="P20" s="148"/>
      <c r="Q20" s="148"/>
      <c r="R20" s="148"/>
      <c r="S20" s="148"/>
      <c r="T20" s="148"/>
      <c r="U20" s="148"/>
      <c r="V20" s="148"/>
      <c r="W20" s="148"/>
      <c r="X20" s="148">
        <v>0.15</v>
      </c>
      <c r="Y20" s="148">
        <v>3.0</v>
      </c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</row>
    <row r="21" ht="14.25" customHeight="1">
      <c r="A21" s="148">
        <v>201.0</v>
      </c>
      <c r="B21" s="148">
        <v>10.0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>
        <v>0.25</v>
      </c>
      <c r="P21" s="148"/>
      <c r="Q21" s="148"/>
      <c r="R21" s="148"/>
      <c r="S21" s="148"/>
      <c r="T21" s="148"/>
      <c r="U21" s="148"/>
      <c r="V21" s="148"/>
      <c r="W21" s="148"/>
      <c r="X21" s="148">
        <v>0.15</v>
      </c>
      <c r="Y21" s="148">
        <v>4.0</v>
      </c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</row>
    <row r="22" ht="14.25" customHeight="1">
      <c r="A22" s="42">
        <v>202.0</v>
      </c>
      <c r="B22" s="42">
        <v>2500.0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>
        <v>0.13</v>
      </c>
      <c r="Y22" s="42">
        <v>1.0</v>
      </c>
    </row>
    <row r="23" ht="14.25" customHeight="1">
      <c r="A23" s="42">
        <v>202.0</v>
      </c>
      <c r="B23" s="150">
        <f t="shared" ref="B23:B42" si="2">B2/2</f>
        <v>950</v>
      </c>
      <c r="C23" s="42"/>
      <c r="D23" s="42">
        <v>6.0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>
        <v>0.13</v>
      </c>
      <c r="Y23" s="42">
        <v>1.0</v>
      </c>
    </row>
    <row r="24" ht="14.25" customHeight="1">
      <c r="A24" s="42">
        <v>202.0</v>
      </c>
      <c r="B24" s="150">
        <f t="shared" si="2"/>
        <v>200</v>
      </c>
      <c r="C24" s="42"/>
      <c r="D24" s="42">
        <v>11.0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>
        <v>0.13</v>
      </c>
      <c r="Y24" s="42">
        <v>1.0</v>
      </c>
    </row>
    <row r="25" ht="14.25" customHeight="1">
      <c r="A25" s="42">
        <v>202.0</v>
      </c>
      <c r="B25" s="150">
        <f t="shared" si="2"/>
        <v>75</v>
      </c>
      <c r="C25" s="42"/>
      <c r="D25" s="42">
        <v>20.0</v>
      </c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>
        <v>0.13</v>
      </c>
      <c r="Y25" s="42">
        <v>2.0</v>
      </c>
    </row>
    <row r="26" ht="14.25" customHeight="1">
      <c r="A26" s="42">
        <v>202.0</v>
      </c>
      <c r="B26" s="150">
        <f t="shared" si="2"/>
        <v>20</v>
      </c>
      <c r="C26" s="42"/>
      <c r="D26" s="42">
        <v>38.0</v>
      </c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>
        <v>0.13</v>
      </c>
      <c r="Y26" s="42">
        <v>3.0</v>
      </c>
    </row>
    <row r="27" ht="14.25" customHeight="1">
      <c r="A27" s="42">
        <v>202.0</v>
      </c>
      <c r="B27" s="150">
        <f t="shared" si="2"/>
        <v>5</v>
      </c>
      <c r="C27" s="42"/>
      <c r="D27" s="42">
        <v>70.0</v>
      </c>
      <c r="E27" s="1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>
        <v>0.13</v>
      </c>
      <c r="Y27" s="42">
        <v>4.0</v>
      </c>
    </row>
    <row r="28" ht="14.25" customHeight="1">
      <c r="A28" s="42">
        <v>202.0</v>
      </c>
      <c r="B28" s="150">
        <f t="shared" si="2"/>
        <v>950</v>
      </c>
      <c r="C28" s="42"/>
      <c r="D28" s="42"/>
      <c r="E28" s="42">
        <v>8.0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>
        <v>0.13</v>
      </c>
      <c r="Y28" s="42">
        <v>1.0</v>
      </c>
    </row>
    <row r="29" ht="14.25" customHeight="1">
      <c r="A29" s="42">
        <v>202.0</v>
      </c>
      <c r="B29" s="150">
        <f t="shared" si="2"/>
        <v>200</v>
      </c>
      <c r="C29" s="42"/>
      <c r="D29" s="42"/>
      <c r="E29" s="42">
        <v>12.0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>
        <v>0.13</v>
      </c>
      <c r="Y29" s="42">
        <v>1.0</v>
      </c>
    </row>
    <row r="30" ht="14.25" customHeight="1">
      <c r="A30" s="42">
        <v>202.0</v>
      </c>
      <c r="B30" s="150">
        <f t="shared" si="2"/>
        <v>75</v>
      </c>
      <c r="C30" s="42"/>
      <c r="D30" s="42"/>
      <c r="E30" s="42">
        <v>21.0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>
        <v>0.13</v>
      </c>
      <c r="Y30" s="42">
        <v>2.0</v>
      </c>
    </row>
    <row r="31" ht="14.25" customHeight="1">
      <c r="A31" s="42">
        <v>202.0</v>
      </c>
      <c r="B31" s="150">
        <f t="shared" si="2"/>
        <v>20</v>
      </c>
      <c r="C31" s="42"/>
      <c r="D31" s="42"/>
      <c r="E31" s="42">
        <v>40.0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>
        <v>0.13</v>
      </c>
      <c r="Y31" s="42">
        <v>3.0</v>
      </c>
    </row>
    <row r="32" ht="14.25" customHeight="1">
      <c r="A32" s="42">
        <v>202.0</v>
      </c>
      <c r="B32" s="150">
        <f t="shared" si="2"/>
        <v>5</v>
      </c>
      <c r="C32" s="42"/>
      <c r="D32" s="42"/>
      <c r="E32" s="42">
        <v>74.0</v>
      </c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>
        <v>0.13</v>
      </c>
      <c r="Y32" s="42">
        <v>4.0</v>
      </c>
    </row>
    <row r="33" ht="14.25" customHeight="1">
      <c r="A33" s="42">
        <v>202.0</v>
      </c>
      <c r="B33" s="150">
        <f t="shared" si="2"/>
        <v>950</v>
      </c>
      <c r="C33" s="42"/>
      <c r="D33" s="42"/>
      <c r="E33" s="42"/>
      <c r="F33" s="42"/>
      <c r="G33" s="42"/>
      <c r="H33" s="42">
        <v>50.0</v>
      </c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>
        <v>0.13</v>
      </c>
      <c r="Y33" s="42">
        <v>1.0</v>
      </c>
    </row>
    <row r="34" ht="14.25" customHeight="1">
      <c r="A34" s="42">
        <v>202.0</v>
      </c>
      <c r="B34" s="150">
        <f t="shared" si="2"/>
        <v>200</v>
      </c>
      <c r="C34" s="42"/>
      <c r="D34" s="42"/>
      <c r="E34" s="42"/>
      <c r="F34" s="42"/>
      <c r="G34" s="42"/>
      <c r="H34" s="42">
        <v>75.0</v>
      </c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>
        <v>0.13</v>
      </c>
      <c r="Y34" s="42">
        <v>1.0</v>
      </c>
    </row>
    <row r="35" ht="14.25" customHeight="1">
      <c r="A35" s="42">
        <v>202.0</v>
      </c>
      <c r="B35" s="150">
        <f t="shared" si="2"/>
        <v>75</v>
      </c>
      <c r="C35" s="42"/>
      <c r="D35" s="42"/>
      <c r="E35" s="42"/>
      <c r="F35" s="42"/>
      <c r="G35" s="42"/>
      <c r="H35" s="42">
        <v>135.0</v>
      </c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>
        <v>0.13</v>
      </c>
      <c r="Y35" s="42">
        <v>2.0</v>
      </c>
    </row>
    <row r="36" ht="14.25" customHeight="1">
      <c r="A36" s="42">
        <v>202.0</v>
      </c>
      <c r="B36" s="150">
        <f t="shared" si="2"/>
        <v>20</v>
      </c>
      <c r="C36" s="42"/>
      <c r="D36" s="42"/>
      <c r="E36" s="42"/>
      <c r="F36" s="42"/>
      <c r="G36" s="42"/>
      <c r="H36" s="42">
        <v>260.0</v>
      </c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>
        <v>0.13</v>
      </c>
      <c r="Y36" s="42">
        <v>3.0</v>
      </c>
    </row>
    <row r="37" ht="14.25" customHeight="1">
      <c r="A37" s="42">
        <v>202.0</v>
      </c>
      <c r="B37" s="150">
        <f t="shared" si="2"/>
        <v>5</v>
      </c>
      <c r="C37" s="42"/>
      <c r="D37" s="42"/>
      <c r="E37" s="42"/>
      <c r="F37" s="42"/>
      <c r="G37" s="42"/>
      <c r="H37" s="42">
        <v>450.0</v>
      </c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>
        <v>0.13</v>
      </c>
      <c r="Y37" s="42">
        <v>4.0</v>
      </c>
    </row>
    <row r="38" ht="14.25" customHeight="1">
      <c r="A38" s="42">
        <v>202.0</v>
      </c>
      <c r="B38" s="150">
        <f t="shared" si="2"/>
        <v>950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>
        <v>0.02</v>
      </c>
      <c r="P38" s="42"/>
      <c r="Q38" s="42"/>
      <c r="R38" s="42"/>
      <c r="S38" s="42"/>
      <c r="T38" s="42"/>
      <c r="U38" s="42"/>
      <c r="V38" s="42"/>
      <c r="W38" s="42"/>
      <c r="X38" s="42">
        <v>0.13</v>
      </c>
      <c r="Y38" s="42">
        <v>1.0</v>
      </c>
    </row>
    <row r="39" ht="14.25" customHeight="1">
      <c r="A39" s="42">
        <v>202.0</v>
      </c>
      <c r="B39" s="150">
        <f t="shared" si="2"/>
        <v>200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>
        <v>0.04</v>
      </c>
      <c r="P39" s="42"/>
      <c r="Q39" s="42"/>
      <c r="R39" s="42"/>
      <c r="S39" s="42"/>
      <c r="T39" s="42"/>
      <c r="U39" s="42"/>
      <c r="V39" s="42"/>
      <c r="W39" s="42"/>
      <c r="X39" s="42">
        <v>0.13</v>
      </c>
      <c r="Y39" s="42">
        <v>1.0</v>
      </c>
    </row>
    <row r="40" ht="14.25" customHeight="1">
      <c r="A40" s="42">
        <v>202.0</v>
      </c>
      <c r="B40" s="150">
        <f t="shared" si="2"/>
        <v>75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>
        <v>0.08</v>
      </c>
      <c r="P40" s="42"/>
      <c r="Q40" s="42"/>
      <c r="R40" s="42"/>
      <c r="S40" s="42"/>
      <c r="T40" s="42"/>
      <c r="U40" s="42"/>
      <c r="V40" s="42"/>
      <c r="W40" s="42"/>
      <c r="X40" s="42">
        <v>0.13</v>
      </c>
      <c r="Y40" s="42">
        <v>2.0</v>
      </c>
    </row>
    <row r="41" ht="14.25" customHeight="1">
      <c r="A41" s="42">
        <v>202.0</v>
      </c>
      <c r="B41" s="150">
        <f t="shared" si="2"/>
        <v>20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>
        <v>0.15</v>
      </c>
      <c r="P41" s="42"/>
      <c r="Q41" s="42"/>
      <c r="R41" s="42"/>
      <c r="S41" s="42"/>
      <c r="T41" s="42"/>
      <c r="U41" s="42"/>
      <c r="V41" s="42"/>
      <c r="W41" s="42"/>
      <c r="X41" s="42">
        <v>0.13</v>
      </c>
      <c r="Y41" s="42">
        <v>3.0</v>
      </c>
    </row>
    <row r="42" ht="14.25" customHeight="1">
      <c r="A42" s="42">
        <v>202.0</v>
      </c>
      <c r="B42" s="150">
        <f t="shared" si="2"/>
        <v>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>
        <v>0.25</v>
      </c>
      <c r="P42" s="42"/>
      <c r="Q42" s="42"/>
      <c r="R42" s="42"/>
      <c r="S42" s="42"/>
      <c r="T42" s="42"/>
      <c r="U42" s="42"/>
      <c r="V42" s="42"/>
      <c r="W42" s="42"/>
      <c r="X42" s="42">
        <v>0.13</v>
      </c>
      <c r="Y42" s="42">
        <v>4.0</v>
      </c>
    </row>
    <row r="43" ht="14.25" customHeight="1">
      <c r="A43" s="42">
        <v>202.0</v>
      </c>
      <c r="B43" s="150">
        <v>1900.0</v>
      </c>
      <c r="C43" s="42"/>
      <c r="D43" s="42"/>
      <c r="E43" s="42"/>
      <c r="F43" s="42"/>
      <c r="G43" s="42"/>
      <c r="H43" s="42"/>
      <c r="I43" s="42"/>
      <c r="J43" s="42">
        <v>0.01</v>
      </c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>
        <v>0.13</v>
      </c>
      <c r="Y43" s="42">
        <v>1.0</v>
      </c>
    </row>
    <row r="44" ht="14.25" customHeight="1">
      <c r="A44" s="42">
        <v>202.0</v>
      </c>
      <c r="B44" s="150">
        <v>400.0</v>
      </c>
      <c r="C44" s="42"/>
      <c r="D44" s="42"/>
      <c r="E44" s="42"/>
      <c r="F44" s="42"/>
      <c r="G44" s="42"/>
      <c r="H44" s="42"/>
      <c r="I44" s="42"/>
      <c r="J44" s="42">
        <v>0.02</v>
      </c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>
        <v>0.13</v>
      </c>
      <c r="Y44" s="42">
        <v>1.0</v>
      </c>
    </row>
    <row r="45" ht="14.25" customHeight="1">
      <c r="A45" s="42">
        <v>202.0</v>
      </c>
      <c r="B45" s="150">
        <v>150.0</v>
      </c>
      <c r="C45" s="42"/>
      <c r="D45" s="42"/>
      <c r="E45" s="42"/>
      <c r="F45" s="42"/>
      <c r="G45" s="42"/>
      <c r="H45" s="42"/>
      <c r="I45" s="42"/>
      <c r="J45" s="42">
        <v>0.04</v>
      </c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>
        <v>0.13</v>
      </c>
      <c r="Y45" s="42">
        <v>2.0</v>
      </c>
    </row>
    <row r="46" ht="14.25" customHeight="1">
      <c r="A46" s="42">
        <v>202.0</v>
      </c>
      <c r="B46" s="150">
        <v>40.0</v>
      </c>
      <c r="C46" s="42"/>
      <c r="D46" s="42"/>
      <c r="E46" s="42"/>
      <c r="F46" s="42"/>
      <c r="G46" s="42"/>
      <c r="H46" s="42"/>
      <c r="I46" s="42"/>
      <c r="J46" s="42">
        <v>0.09</v>
      </c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>
        <v>0.13</v>
      </c>
      <c r="Y46" s="42">
        <v>3.0</v>
      </c>
    </row>
    <row r="47" ht="14.25" customHeight="1">
      <c r="A47" s="42">
        <v>202.0</v>
      </c>
      <c r="B47" s="150">
        <v>10.0</v>
      </c>
      <c r="C47" s="42"/>
      <c r="D47" s="42"/>
      <c r="E47" s="42"/>
      <c r="F47" s="42"/>
      <c r="G47" s="42"/>
      <c r="H47" s="42"/>
      <c r="I47" s="42"/>
      <c r="J47" s="42">
        <v>0.15</v>
      </c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>
        <v>0.13</v>
      </c>
      <c r="Y47" s="42">
        <v>4.0</v>
      </c>
    </row>
    <row r="48" ht="14.25" customHeight="1">
      <c r="A48" s="152">
        <v>203.0</v>
      </c>
      <c r="B48" s="152">
        <v>5350.0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>
        <v>0.11</v>
      </c>
      <c r="Y48" s="153">
        <v>1.0</v>
      </c>
      <c r="Z48" s="154"/>
      <c r="AA48" s="154"/>
      <c r="AB48" s="154"/>
      <c r="AC48" s="154"/>
      <c r="AD48" s="154"/>
      <c r="AE48" s="154"/>
      <c r="AF48" s="154"/>
      <c r="AG48" s="154"/>
      <c r="AH48" s="154"/>
      <c r="AI48" s="154"/>
      <c r="AJ48" s="154"/>
    </row>
    <row r="49" ht="14.25" customHeight="1">
      <c r="A49" s="152">
        <v>203.0</v>
      </c>
      <c r="B49" s="152">
        <v>550.0</v>
      </c>
      <c r="C49" s="152"/>
      <c r="D49" s="152">
        <v>6.0</v>
      </c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>
        <v>0.11</v>
      </c>
      <c r="Y49" s="153">
        <v>1.0</v>
      </c>
      <c r="Z49" s="154"/>
      <c r="AA49" s="154"/>
      <c r="AB49" s="154"/>
      <c r="AC49" s="154"/>
      <c r="AD49" s="154"/>
      <c r="AE49" s="154"/>
      <c r="AF49" s="154"/>
      <c r="AG49" s="154"/>
      <c r="AH49" s="154"/>
      <c r="AI49" s="154"/>
      <c r="AJ49" s="154"/>
    </row>
    <row r="50" ht="14.25" customHeight="1">
      <c r="A50" s="152">
        <v>203.0</v>
      </c>
      <c r="B50" s="152">
        <f>B29/2</f>
        <v>100</v>
      </c>
      <c r="C50" s="152"/>
      <c r="D50" s="152">
        <v>11.0</v>
      </c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>
        <v>0.11</v>
      </c>
      <c r="Y50" s="153">
        <v>1.0</v>
      </c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</row>
    <row r="51" ht="14.25" customHeight="1">
      <c r="A51" s="152">
        <v>203.0</v>
      </c>
      <c r="B51" s="152">
        <v>35.0</v>
      </c>
      <c r="C51" s="152"/>
      <c r="D51" s="152">
        <v>20.0</v>
      </c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>
        <v>0.11</v>
      </c>
      <c r="Y51" s="153">
        <v>2.0</v>
      </c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</row>
    <row r="52" ht="14.25" customHeight="1">
      <c r="A52" s="152">
        <v>203.0</v>
      </c>
      <c r="B52" s="152">
        <f>B31/2</f>
        <v>10</v>
      </c>
      <c r="C52" s="152"/>
      <c r="D52" s="152">
        <v>38.0</v>
      </c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>
        <v>0.11</v>
      </c>
      <c r="Y52" s="153">
        <v>3.0</v>
      </c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</row>
    <row r="53" ht="14.25" customHeight="1">
      <c r="A53" s="152">
        <v>203.0</v>
      </c>
      <c r="B53" s="152">
        <v>5.0</v>
      </c>
      <c r="C53" s="152"/>
      <c r="D53" s="152">
        <v>70.0</v>
      </c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>
        <v>0.11</v>
      </c>
      <c r="Y53" s="153">
        <v>4.0</v>
      </c>
      <c r="Z53" s="154"/>
      <c r="AA53" s="154"/>
      <c r="AB53" s="154"/>
      <c r="AC53" s="154"/>
      <c r="AD53" s="154"/>
      <c r="AE53" s="154"/>
      <c r="AF53" s="154"/>
      <c r="AG53" s="154"/>
      <c r="AH53" s="154"/>
      <c r="AI53" s="154"/>
      <c r="AJ53" s="154"/>
    </row>
    <row r="54" ht="14.25" customHeight="1">
      <c r="A54" s="152">
        <v>203.0</v>
      </c>
      <c r="B54" s="152">
        <v>550.0</v>
      </c>
      <c r="C54" s="152"/>
      <c r="D54" s="152"/>
      <c r="E54" s="152">
        <v>8.0</v>
      </c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>
        <v>0.11</v>
      </c>
      <c r="Y54" s="153">
        <v>1.0</v>
      </c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</row>
    <row r="55" ht="14.25" customHeight="1">
      <c r="A55" s="152">
        <v>203.0</v>
      </c>
      <c r="B55" s="152">
        <f>B34/2</f>
        <v>100</v>
      </c>
      <c r="C55" s="152"/>
      <c r="D55" s="152"/>
      <c r="E55" s="152">
        <v>12.0</v>
      </c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>
        <v>0.11</v>
      </c>
      <c r="Y55" s="153">
        <v>1.0</v>
      </c>
      <c r="Z55" s="154"/>
      <c r="AA55" s="154"/>
      <c r="AB55" s="154"/>
      <c r="AC55" s="154"/>
      <c r="AD55" s="154"/>
      <c r="AE55" s="154"/>
      <c r="AF55" s="154"/>
      <c r="AG55" s="154"/>
      <c r="AH55" s="154"/>
      <c r="AI55" s="154"/>
      <c r="AJ55" s="154"/>
    </row>
    <row r="56" ht="14.25" customHeight="1">
      <c r="A56" s="152">
        <v>203.0</v>
      </c>
      <c r="B56" s="152">
        <v>35.0</v>
      </c>
      <c r="C56" s="152"/>
      <c r="D56" s="152"/>
      <c r="E56" s="152">
        <v>21.0</v>
      </c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>
        <v>0.11</v>
      </c>
      <c r="Y56" s="153">
        <v>2.0</v>
      </c>
      <c r="Z56" s="154"/>
      <c r="AA56" s="154"/>
      <c r="AB56" s="154"/>
      <c r="AC56" s="154"/>
      <c r="AD56" s="154"/>
      <c r="AE56" s="154"/>
      <c r="AF56" s="154"/>
      <c r="AG56" s="154"/>
      <c r="AH56" s="154"/>
      <c r="AI56" s="154"/>
      <c r="AJ56" s="154"/>
    </row>
    <row r="57" ht="14.25" customHeight="1">
      <c r="A57" s="152">
        <v>203.0</v>
      </c>
      <c r="B57" s="152">
        <f>B36/2</f>
        <v>10</v>
      </c>
      <c r="C57" s="152"/>
      <c r="D57" s="152"/>
      <c r="E57" s="152">
        <v>40.0</v>
      </c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>
        <v>0.11</v>
      </c>
      <c r="Y57" s="153">
        <v>3.0</v>
      </c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</row>
    <row r="58" ht="14.25" customHeight="1">
      <c r="A58" s="152">
        <v>203.0</v>
      </c>
      <c r="B58" s="152">
        <v>5.0</v>
      </c>
      <c r="C58" s="152"/>
      <c r="D58" s="152"/>
      <c r="E58" s="152">
        <v>74.0</v>
      </c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>
        <v>0.11</v>
      </c>
      <c r="Y58" s="153">
        <v>4.0</v>
      </c>
      <c r="Z58" s="154"/>
      <c r="AA58" s="154"/>
      <c r="AB58" s="154"/>
      <c r="AC58" s="154"/>
      <c r="AD58" s="154"/>
      <c r="AE58" s="154"/>
      <c r="AF58" s="154"/>
      <c r="AG58" s="154"/>
      <c r="AH58" s="154"/>
      <c r="AI58" s="154"/>
      <c r="AJ58" s="154"/>
    </row>
    <row r="59" ht="14.25" customHeight="1">
      <c r="A59" s="152">
        <v>203.0</v>
      </c>
      <c r="B59" s="152">
        <v>550.0</v>
      </c>
      <c r="C59" s="152"/>
      <c r="D59" s="152"/>
      <c r="E59" s="152"/>
      <c r="F59" s="152"/>
      <c r="G59" s="152"/>
      <c r="H59" s="152">
        <v>50.0</v>
      </c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>
        <v>0.11</v>
      </c>
      <c r="Y59" s="153">
        <v>1.0</v>
      </c>
      <c r="Z59" s="154"/>
      <c r="AA59" s="154"/>
      <c r="AB59" s="154"/>
      <c r="AC59" s="154"/>
      <c r="AD59" s="154"/>
      <c r="AE59" s="154"/>
      <c r="AF59" s="154"/>
      <c r="AG59" s="154"/>
      <c r="AH59" s="154"/>
      <c r="AI59" s="154"/>
      <c r="AJ59" s="154"/>
    </row>
    <row r="60" ht="14.25" customHeight="1">
      <c r="A60" s="152">
        <v>203.0</v>
      </c>
      <c r="B60" s="152">
        <f>B39/2</f>
        <v>100</v>
      </c>
      <c r="C60" s="152"/>
      <c r="D60" s="152"/>
      <c r="E60" s="152"/>
      <c r="F60" s="152"/>
      <c r="G60" s="152"/>
      <c r="H60" s="152">
        <v>75.0</v>
      </c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>
        <v>0.11</v>
      </c>
      <c r="Y60" s="153">
        <v>1.0</v>
      </c>
      <c r="Z60" s="154"/>
      <c r="AA60" s="154"/>
      <c r="AB60" s="154"/>
      <c r="AC60" s="154"/>
      <c r="AD60" s="154"/>
      <c r="AE60" s="154"/>
      <c r="AF60" s="154"/>
      <c r="AG60" s="154"/>
      <c r="AH60" s="154"/>
      <c r="AI60" s="154"/>
      <c r="AJ60" s="154"/>
    </row>
    <row r="61" ht="14.25" customHeight="1">
      <c r="A61" s="152">
        <v>203.0</v>
      </c>
      <c r="B61" s="152">
        <v>35.0</v>
      </c>
      <c r="C61" s="152"/>
      <c r="D61" s="152"/>
      <c r="E61" s="152"/>
      <c r="F61" s="152"/>
      <c r="G61" s="152"/>
      <c r="H61" s="152">
        <v>135.0</v>
      </c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>
        <v>0.11</v>
      </c>
      <c r="Y61" s="153">
        <v>2.0</v>
      </c>
      <c r="Z61" s="154"/>
      <c r="AA61" s="154"/>
      <c r="AB61" s="154"/>
      <c r="AC61" s="154"/>
      <c r="AD61" s="154"/>
      <c r="AE61" s="154"/>
      <c r="AF61" s="154"/>
      <c r="AG61" s="154"/>
      <c r="AH61" s="154"/>
      <c r="AI61" s="154"/>
      <c r="AJ61" s="154"/>
    </row>
    <row r="62" ht="14.25" customHeight="1">
      <c r="A62" s="152">
        <v>203.0</v>
      </c>
      <c r="B62" s="152">
        <v>10.0</v>
      </c>
      <c r="C62" s="152"/>
      <c r="D62" s="152"/>
      <c r="E62" s="152"/>
      <c r="F62" s="152"/>
      <c r="G62" s="152"/>
      <c r="H62" s="152">
        <v>260.0</v>
      </c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>
        <v>0.11</v>
      </c>
      <c r="Y62" s="153">
        <v>3.0</v>
      </c>
      <c r="Z62" s="154"/>
      <c r="AA62" s="154"/>
      <c r="AB62" s="154"/>
      <c r="AC62" s="154"/>
      <c r="AD62" s="154"/>
      <c r="AE62" s="154"/>
      <c r="AF62" s="154"/>
      <c r="AG62" s="154"/>
      <c r="AH62" s="154"/>
      <c r="AI62" s="154"/>
      <c r="AJ62" s="154"/>
    </row>
    <row r="63" ht="14.25" customHeight="1">
      <c r="A63" s="152">
        <v>203.0</v>
      </c>
      <c r="B63" s="152">
        <v>5.0</v>
      </c>
      <c r="C63" s="152"/>
      <c r="D63" s="152"/>
      <c r="E63" s="152"/>
      <c r="F63" s="152"/>
      <c r="G63" s="152"/>
      <c r="H63" s="152">
        <v>450.0</v>
      </c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>
        <v>0.11</v>
      </c>
      <c r="Y63" s="153">
        <v>4.0</v>
      </c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</row>
    <row r="64" ht="14.25" customHeight="1">
      <c r="A64" s="152">
        <v>203.0</v>
      </c>
      <c r="B64" s="152">
        <v>550.0</v>
      </c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>
        <v>0.02</v>
      </c>
      <c r="P64" s="152"/>
      <c r="Q64" s="152"/>
      <c r="R64" s="152"/>
      <c r="S64" s="152"/>
      <c r="T64" s="152"/>
      <c r="U64" s="152"/>
      <c r="V64" s="152"/>
      <c r="W64" s="152"/>
      <c r="X64" s="152">
        <v>0.11</v>
      </c>
      <c r="Y64" s="153">
        <v>1.0</v>
      </c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</row>
    <row r="65" ht="14.25" customHeight="1">
      <c r="A65" s="152">
        <v>203.0</v>
      </c>
      <c r="B65" s="152">
        <f>B44/2</f>
        <v>200</v>
      </c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>
        <v>0.04</v>
      </c>
      <c r="P65" s="152"/>
      <c r="Q65" s="152"/>
      <c r="R65" s="152"/>
      <c r="S65" s="152"/>
      <c r="T65" s="152"/>
      <c r="U65" s="152"/>
      <c r="V65" s="152"/>
      <c r="W65" s="152"/>
      <c r="X65" s="152">
        <v>0.11</v>
      </c>
      <c r="Y65" s="153">
        <v>1.0</v>
      </c>
      <c r="Z65" s="154"/>
      <c r="AA65" s="154"/>
      <c r="AB65" s="154"/>
      <c r="AC65" s="154"/>
      <c r="AD65" s="154"/>
      <c r="AE65" s="154"/>
      <c r="AF65" s="154"/>
      <c r="AG65" s="154"/>
      <c r="AH65" s="154"/>
      <c r="AI65" s="154"/>
      <c r="AJ65" s="154"/>
    </row>
    <row r="66" ht="14.25" customHeight="1">
      <c r="A66" s="152">
        <v>203.0</v>
      </c>
      <c r="B66" s="152">
        <v>35.0</v>
      </c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>
        <v>0.08</v>
      </c>
      <c r="P66" s="152"/>
      <c r="Q66" s="152"/>
      <c r="R66" s="152"/>
      <c r="S66" s="152"/>
      <c r="T66" s="152"/>
      <c r="U66" s="152"/>
      <c r="V66" s="152"/>
      <c r="W66" s="152"/>
      <c r="X66" s="152">
        <v>0.11</v>
      </c>
      <c r="Y66" s="153">
        <v>2.0</v>
      </c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</row>
    <row r="67" ht="14.25" customHeight="1">
      <c r="A67" s="152">
        <v>203.0</v>
      </c>
      <c r="B67" s="152">
        <v>10.0</v>
      </c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>
        <v>0.15</v>
      </c>
      <c r="P67" s="152"/>
      <c r="Q67" s="152"/>
      <c r="R67" s="152"/>
      <c r="S67" s="152"/>
      <c r="T67" s="152"/>
      <c r="U67" s="152"/>
      <c r="V67" s="152"/>
      <c r="W67" s="152"/>
      <c r="X67" s="152">
        <v>0.11</v>
      </c>
      <c r="Y67" s="153">
        <v>3.0</v>
      </c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</row>
    <row r="68" ht="14.25" customHeight="1">
      <c r="A68" s="152">
        <v>203.0</v>
      </c>
      <c r="B68" s="152">
        <v>5.0</v>
      </c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>
        <v>0.25</v>
      </c>
      <c r="P68" s="152"/>
      <c r="Q68" s="152"/>
      <c r="R68" s="152"/>
      <c r="S68" s="152"/>
      <c r="T68" s="152"/>
      <c r="U68" s="152"/>
      <c r="V68" s="152"/>
      <c r="W68" s="152"/>
      <c r="X68" s="152">
        <v>0.11</v>
      </c>
      <c r="Y68" s="153">
        <v>4.0</v>
      </c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</row>
    <row r="69" ht="14.25" customHeight="1">
      <c r="A69" s="152">
        <v>203.0</v>
      </c>
      <c r="B69" s="152">
        <v>550.0</v>
      </c>
      <c r="C69" s="152"/>
      <c r="D69" s="152"/>
      <c r="E69" s="152"/>
      <c r="F69" s="152"/>
      <c r="G69" s="152"/>
      <c r="H69" s="152"/>
      <c r="I69" s="152"/>
      <c r="J69" s="152">
        <v>0.01</v>
      </c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>
        <v>0.11</v>
      </c>
      <c r="Y69" s="153">
        <v>1.0</v>
      </c>
      <c r="Z69" s="154"/>
      <c r="AA69" s="154"/>
      <c r="AB69" s="154"/>
      <c r="AC69" s="154"/>
      <c r="AD69" s="154"/>
      <c r="AE69" s="154"/>
      <c r="AF69" s="154"/>
      <c r="AG69" s="154"/>
      <c r="AH69" s="154"/>
      <c r="AI69" s="154"/>
      <c r="AJ69" s="154"/>
    </row>
    <row r="70" ht="14.25" customHeight="1">
      <c r="A70" s="152">
        <v>203.0</v>
      </c>
      <c r="B70" s="152">
        <f>B49/2</f>
        <v>275</v>
      </c>
      <c r="C70" s="152"/>
      <c r="D70" s="152"/>
      <c r="E70" s="152"/>
      <c r="F70" s="152"/>
      <c r="G70" s="152"/>
      <c r="H70" s="152"/>
      <c r="I70" s="152"/>
      <c r="J70" s="152">
        <v>0.02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>
        <v>0.11</v>
      </c>
      <c r="Y70" s="153">
        <v>1.0</v>
      </c>
      <c r="Z70" s="154"/>
      <c r="AA70" s="154"/>
      <c r="AB70" s="154"/>
      <c r="AC70" s="154"/>
      <c r="AD70" s="154"/>
      <c r="AE70" s="154"/>
      <c r="AF70" s="154"/>
      <c r="AG70" s="154"/>
      <c r="AH70" s="154"/>
      <c r="AI70" s="154"/>
      <c r="AJ70" s="154"/>
    </row>
    <row r="71" ht="14.25" customHeight="1">
      <c r="A71" s="152">
        <v>203.0</v>
      </c>
      <c r="B71" s="152">
        <v>35.0</v>
      </c>
      <c r="C71" s="152"/>
      <c r="D71" s="152"/>
      <c r="E71" s="152"/>
      <c r="F71" s="152"/>
      <c r="G71" s="152"/>
      <c r="H71" s="152"/>
      <c r="I71" s="152"/>
      <c r="J71" s="152">
        <v>0.04</v>
      </c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>
        <v>0.11</v>
      </c>
      <c r="Y71" s="153">
        <v>2.0</v>
      </c>
      <c r="Z71" s="154"/>
      <c r="AA71" s="154"/>
      <c r="AB71" s="154"/>
      <c r="AC71" s="154"/>
      <c r="AD71" s="154"/>
      <c r="AE71" s="154"/>
      <c r="AF71" s="154"/>
      <c r="AG71" s="154"/>
      <c r="AH71" s="154"/>
      <c r="AI71" s="154"/>
      <c r="AJ71" s="154"/>
    </row>
    <row r="72" ht="14.25" customHeight="1">
      <c r="A72" s="152">
        <v>203.0</v>
      </c>
      <c r="B72" s="152">
        <v>10.0</v>
      </c>
      <c r="C72" s="152"/>
      <c r="D72" s="152"/>
      <c r="E72" s="152"/>
      <c r="F72" s="152"/>
      <c r="G72" s="152"/>
      <c r="H72" s="152"/>
      <c r="I72" s="152"/>
      <c r="J72" s="152">
        <v>0.09</v>
      </c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>
        <v>0.11</v>
      </c>
      <c r="Y72" s="153">
        <v>3.0</v>
      </c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154"/>
    </row>
    <row r="73" ht="14.25" customHeight="1">
      <c r="A73" s="152">
        <v>203.0</v>
      </c>
      <c r="B73" s="152">
        <v>5.0</v>
      </c>
      <c r="C73" s="152"/>
      <c r="D73" s="152"/>
      <c r="E73" s="152"/>
      <c r="F73" s="152"/>
      <c r="G73" s="152"/>
      <c r="H73" s="152"/>
      <c r="I73" s="152"/>
      <c r="J73" s="152">
        <v>0.15</v>
      </c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>
        <v>0.11</v>
      </c>
      <c r="Y73" s="153">
        <v>4.0</v>
      </c>
      <c r="Z73" s="154"/>
      <c r="AA73" s="154"/>
      <c r="AB73" s="154"/>
      <c r="AC73" s="154"/>
      <c r="AD73" s="154"/>
      <c r="AE73" s="154"/>
      <c r="AF73" s="154"/>
      <c r="AG73" s="154"/>
      <c r="AH73" s="154"/>
      <c r="AI73" s="154"/>
      <c r="AJ73" s="154"/>
    </row>
    <row r="74" ht="14.25" customHeight="1">
      <c r="A74" s="152">
        <v>203.0</v>
      </c>
      <c r="B74" s="152">
        <v>550.0</v>
      </c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>
        <v>0.02</v>
      </c>
      <c r="U74" s="152"/>
      <c r="V74" s="152"/>
      <c r="W74" s="152"/>
      <c r="X74" s="152">
        <v>0.11</v>
      </c>
      <c r="Y74" s="153">
        <v>1.0</v>
      </c>
      <c r="Z74" s="154"/>
      <c r="AA74" s="154"/>
      <c r="AB74" s="154"/>
      <c r="AC74" s="154"/>
      <c r="AD74" s="154"/>
      <c r="AE74" s="154"/>
      <c r="AF74" s="154"/>
      <c r="AG74" s="154"/>
      <c r="AH74" s="154"/>
      <c r="AI74" s="154"/>
      <c r="AJ74" s="154"/>
    </row>
    <row r="75" ht="14.25" customHeight="1">
      <c r="A75" s="152">
        <v>203.0</v>
      </c>
      <c r="B75" s="152">
        <f>B54/2</f>
        <v>275</v>
      </c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>
        <v>0.04</v>
      </c>
      <c r="U75" s="152"/>
      <c r="V75" s="152"/>
      <c r="W75" s="152"/>
      <c r="X75" s="152">
        <v>0.11</v>
      </c>
      <c r="Y75" s="153">
        <v>1.0</v>
      </c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</row>
    <row r="76" ht="14.25" customHeight="1">
      <c r="A76" s="152">
        <v>203.0</v>
      </c>
      <c r="B76" s="152">
        <v>35.0</v>
      </c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>
        <v>0.08</v>
      </c>
      <c r="U76" s="152"/>
      <c r="V76" s="152"/>
      <c r="W76" s="152"/>
      <c r="X76" s="152">
        <v>0.11</v>
      </c>
      <c r="Y76" s="153">
        <v>2.0</v>
      </c>
      <c r="Z76" s="154"/>
      <c r="AA76" s="154"/>
      <c r="AB76" s="154"/>
      <c r="AC76" s="154"/>
      <c r="AD76" s="154"/>
      <c r="AE76" s="154"/>
      <c r="AF76" s="154"/>
      <c r="AG76" s="154"/>
      <c r="AH76" s="154"/>
      <c r="AI76" s="154"/>
      <c r="AJ76" s="154"/>
    </row>
    <row r="77" ht="14.25" customHeight="1">
      <c r="A77" s="152">
        <v>203.0</v>
      </c>
      <c r="B77" s="152">
        <v>10.0</v>
      </c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>
        <v>0.15</v>
      </c>
      <c r="U77" s="152"/>
      <c r="V77" s="152"/>
      <c r="W77" s="152"/>
      <c r="X77" s="152">
        <v>0.11</v>
      </c>
      <c r="Y77" s="153">
        <v>3.0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</row>
    <row r="78" ht="14.25" customHeight="1">
      <c r="A78" s="152">
        <v>203.0</v>
      </c>
      <c r="B78" s="152">
        <v>5.0</v>
      </c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>
        <v>0.25</v>
      </c>
      <c r="U78" s="152"/>
      <c r="V78" s="152"/>
      <c r="W78" s="152"/>
      <c r="X78" s="152">
        <v>0.11</v>
      </c>
      <c r="Y78" s="153">
        <v>4.0</v>
      </c>
      <c r="Z78" s="154"/>
      <c r="AA78" s="154"/>
      <c r="AB78" s="154"/>
      <c r="AC78" s="154"/>
      <c r="AD78" s="154"/>
      <c r="AE78" s="154"/>
      <c r="AF78" s="154"/>
      <c r="AG78" s="154"/>
      <c r="AH78" s="154"/>
      <c r="AI78" s="154"/>
      <c r="AJ78" s="154"/>
    </row>
    <row r="79" ht="14.25" customHeight="1">
      <c r="A79" s="150">
        <v>204.0</v>
      </c>
      <c r="B79" s="150">
        <v>4050.0</v>
      </c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>
        <v>0.08</v>
      </c>
      <c r="Y79" s="150">
        <v>1.0</v>
      </c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</row>
    <row r="80" ht="14.25" customHeight="1">
      <c r="A80" s="150">
        <v>204.0</v>
      </c>
      <c r="B80" s="150">
        <v>650.0</v>
      </c>
      <c r="C80" s="150"/>
      <c r="D80" s="150">
        <v>6.0</v>
      </c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>
        <v>0.08</v>
      </c>
      <c r="Y80" s="150">
        <v>1.0</v>
      </c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</row>
    <row r="81" ht="14.25" customHeight="1">
      <c r="A81" s="150">
        <v>204.0</v>
      </c>
      <c r="B81" s="150">
        <v>150.0</v>
      </c>
      <c r="C81" s="150"/>
      <c r="D81" s="150">
        <v>11.0</v>
      </c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>
        <v>0.08</v>
      </c>
      <c r="Y81" s="150">
        <v>1.0</v>
      </c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</row>
    <row r="82" ht="14.25" customHeight="1">
      <c r="A82" s="150">
        <v>204.0</v>
      </c>
      <c r="B82" s="150">
        <v>35.0</v>
      </c>
      <c r="C82" s="150"/>
      <c r="D82" s="150">
        <v>20.0</v>
      </c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>
        <v>0.08</v>
      </c>
      <c r="Y82" s="150">
        <v>2.0</v>
      </c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</row>
    <row r="83" ht="14.25" customHeight="1">
      <c r="A83" s="150">
        <v>204.0</v>
      </c>
      <c r="B83" s="150">
        <v>10.0</v>
      </c>
      <c r="C83" s="150"/>
      <c r="D83" s="150">
        <v>38.0</v>
      </c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>
        <v>0.08</v>
      </c>
      <c r="Y83" s="150">
        <v>3.0</v>
      </c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</row>
    <row r="84" ht="14.25" customHeight="1">
      <c r="A84" s="150">
        <v>204.0</v>
      </c>
      <c r="B84" s="150">
        <v>5.0</v>
      </c>
      <c r="C84" s="150"/>
      <c r="D84" s="150">
        <v>70.0</v>
      </c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>
        <v>0.08</v>
      </c>
      <c r="Y84" s="150">
        <v>4.0</v>
      </c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</row>
    <row r="85" ht="14.25" customHeight="1">
      <c r="A85" s="150">
        <v>204.0</v>
      </c>
      <c r="B85" s="150">
        <v>650.0</v>
      </c>
      <c r="C85" s="150"/>
      <c r="D85" s="150"/>
      <c r="E85" s="150">
        <v>8.0</v>
      </c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>
        <v>0.08</v>
      </c>
      <c r="Y85" s="150">
        <v>1.0</v>
      </c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</row>
    <row r="86" ht="14.25" customHeight="1">
      <c r="A86" s="150">
        <v>204.0</v>
      </c>
      <c r="B86" s="150">
        <v>150.0</v>
      </c>
      <c r="C86" s="150"/>
      <c r="D86" s="150"/>
      <c r="E86" s="150">
        <v>12.0</v>
      </c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>
        <v>0.08</v>
      </c>
      <c r="Y86" s="150">
        <v>1.0</v>
      </c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</row>
    <row r="87" ht="14.25" customHeight="1">
      <c r="A87" s="150">
        <v>204.0</v>
      </c>
      <c r="B87" s="150">
        <v>35.0</v>
      </c>
      <c r="C87" s="150"/>
      <c r="D87" s="150"/>
      <c r="E87" s="150">
        <v>21.0</v>
      </c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>
        <v>0.08</v>
      </c>
      <c r="Y87" s="150">
        <v>2.0</v>
      </c>
      <c r="Z87" s="156"/>
      <c r="AA87" s="156"/>
      <c r="AB87" s="156"/>
      <c r="AC87" s="156"/>
      <c r="AD87" s="156"/>
      <c r="AE87" s="156"/>
      <c r="AF87" s="156"/>
      <c r="AG87" s="156"/>
      <c r="AH87" s="156"/>
      <c r="AI87" s="156"/>
      <c r="AJ87" s="156"/>
    </row>
    <row r="88" ht="14.25" customHeight="1">
      <c r="A88" s="150">
        <v>204.0</v>
      </c>
      <c r="B88" s="150">
        <v>10.0</v>
      </c>
      <c r="C88" s="150"/>
      <c r="D88" s="150"/>
      <c r="E88" s="150">
        <v>40.0</v>
      </c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>
        <v>0.08</v>
      </c>
      <c r="Y88" s="150">
        <v>3.0</v>
      </c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</row>
    <row r="89" ht="14.25" customHeight="1">
      <c r="A89" s="150">
        <v>204.0</v>
      </c>
      <c r="B89" s="150">
        <v>5.0</v>
      </c>
      <c r="C89" s="150"/>
      <c r="D89" s="150"/>
      <c r="E89" s="150">
        <v>74.0</v>
      </c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>
        <v>0.08</v>
      </c>
      <c r="Y89" s="150">
        <v>4.0</v>
      </c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</row>
    <row r="90" ht="14.25" customHeight="1">
      <c r="A90" s="150">
        <v>204.0</v>
      </c>
      <c r="B90" s="150">
        <v>650.0</v>
      </c>
      <c r="C90" s="150"/>
      <c r="D90" s="150"/>
      <c r="E90" s="150"/>
      <c r="F90" s="150"/>
      <c r="G90" s="150"/>
      <c r="H90" s="150">
        <v>50.0</v>
      </c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>
        <v>0.08</v>
      </c>
      <c r="Y90" s="150">
        <v>1.0</v>
      </c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</row>
    <row r="91" ht="14.25" customHeight="1">
      <c r="A91" s="150">
        <v>204.0</v>
      </c>
      <c r="B91" s="150">
        <v>150.0</v>
      </c>
      <c r="C91" s="150"/>
      <c r="D91" s="150"/>
      <c r="E91" s="150"/>
      <c r="F91" s="150"/>
      <c r="G91" s="150"/>
      <c r="H91" s="150">
        <v>75.0</v>
      </c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>
        <v>0.08</v>
      </c>
      <c r="Y91" s="150">
        <v>1.0</v>
      </c>
      <c r="Z91" s="156"/>
      <c r="AA91" s="156"/>
      <c r="AB91" s="156"/>
      <c r="AC91" s="156"/>
      <c r="AD91" s="156"/>
      <c r="AE91" s="156"/>
      <c r="AF91" s="156"/>
      <c r="AG91" s="156"/>
      <c r="AH91" s="156"/>
      <c r="AI91" s="156"/>
      <c r="AJ91" s="156"/>
    </row>
    <row r="92" ht="14.25" customHeight="1">
      <c r="A92" s="150">
        <v>204.0</v>
      </c>
      <c r="B92" s="150">
        <v>35.0</v>
      </c>
      <c r="C92" s="150"/>
      <c r="D92" s="150"/>
      <c r="E92" s="150"/>
      <c r="F92" s="150"/>
      <c r="G92" s="150"/>
      <c r="H92" s="150">
        <v>135.0</v>
      </c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>
        <v>0.08</v>
      </c>
      <c r="Y92" s="150">
        <v>2.0</v>
      </c>
      <c r="Z92" s="156"/>
      <c r="AA92" s="156"/>
      <c r="AB92" s="156"/>
      <c r="AC92" s="156"/>
      <c r="AD92" s="156"/>
      <c r="AE92" s="156"/>
      <c r="AF92" s="156"/>
      <c r="AG92" s="156"/>
      <c r="AH92" s="156"/>
      <c r="AI92" s="156"/>
      <c r="AJ92" s="156"/>
    </row>
    <row r="93" ht="14.25" customHeight="1">
      <c r="A93" s="150">
        <v>204.0</v>
      </c>
      <c r="B93" s="150">
        <v>10.0</v>
      </c>
      <c r="C93" s="150"/>
      <c r="D93" s="150"/>
      <c r="E93" s="150"/>
      <c r="F93" s="150"/>
      <c r="G93" s="150"/>
      <c r="H93" s="150">
        <v>260.0</v>
      </c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>
        <v>0.08</v>
      </c>
      <c r="Y93" s="150">
        <v>3.0</v>
      </c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</row>
    <row r="94" ht="14.25" customHeight="1">
      <c r="A94" s="150">
        <v>204.0</v>
      </c>
      <c r="B94" s="150">
        <v>5.0</v>
      </c>
      <c r="C94" s="150"/>
      <c r="D94" s="150"/>
      <c r="E94" s="150"/>
      <c r="F94" s="150"/>
      <c r="G94" s="150"/>
      <c r="H94" s="150">
        <v>450.0</v>
      </c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>
        <v>0.08</v>
      </c>
      <c r="Y94" s="150">
        <v>4.0</v>
      </c>
      <c r="Z94" s="156"/>
      <c r="AA94" s="156"/>
      <c r="AB94" s="156"/>
      <c r="AC94" s="156"/>
      <c r="AD94" s="156"/>
      <c r="AE94" s="156"/>
      <c r="AF94" s="156"/>
      <c r="AG94" s="156"/>
      <c r="AH94" s="156"/>
      <c r="AI94" s="156"/>
      <c r="AJ94" s="156"/>
    </row>
    <row r="95" ht="14.25" customHeight="1">
      <c r="A95" s="150">
        <v>204.0</v>
      </c>
      <c r="B95" s="150">
        <v>650.0</v>
      </c>
      <c r="C95" s="150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>
        <v>0.02</v>
      </c>
      <c r="P95" s="150"/>
      <c r="Q95" s="150"/>
      <c r="R95" s="150"/>
      <c r="S95" s="150"/>
      <c r="T95" s="150"/>
      <c r="U95" s="150"/>
      <c r="V95" s="150"/>
      <c r="W95" s="150"/>
      <c r="X95" s="150">
        <v>0.08</v>
      </c>
      <c r="Y95" s="150">
        <v>1.0</v>
      </c>
      <c r="Z95" s="156"/>
      <c r="AA95" s="156"/>
      <c r="AB95" s="156"/>
      <c r="AC95" s="156"/>
      <c r="AD95" s="156"/>
      <c r="AE95" s="156"/>
      <c r="AF95" s="156"/>
      <c r="AG95" s="156"/>
      <c r="AH95" s="156"/>
      <c r="AI95" s="156"/>
      <c r="AJ95" s="156"/>
    </row>
    <row r="96" ht="14.25" customHeight="1">
      <c r="A96" s="150">
        <v>204.0</v>
      </c>
      <c r="B96" s="150">
        <v>150.0</v>
      </c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>
        <v>0.04</v>
      </c>
      <c r="P96" s="150"/>
      <c r="Q96" s="150"/>
      <c r="R96" s="150"/>
      <c r="S96" s="150"/>
      <c r="T96" s="150"/>
      <c r="U96" s="150"/>
      <c r="V96" s="150"/>
      <c r="W96" s="150"/>
      <c r="X96" s="150">
        <v>0.08</v>
      </c>
      <c r="Y96" s="150">
        <v>1.0</v>
      </c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</row>
    <row r="97" ht="14.25" customHeight="1">
      <c r="A97" s="150">
        <v>204.0</v>
      </c>
      <c r="B97" s="150">
        <v>35.0</v>
      </c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>
        <v>0.08</v>
      </c>
      <c r="P97" s="150"/>
      <c r="Q97" s="150"/>
      <c r="R97" s="150"/>
      <c r="S97" s="150"/>
      <c r="T97" s="150"/>
      <c r="U97" s="150"/>
      <c r="V97" s="150"/>
      <c r="W97" s="150"/>
      <c r="X97" s="150">
        <v>0.08</v>
      </c>
      <c r="Y97" s="150">
        <v>2.0</v>
      </c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</row>
    <row r="98" ht="14.25" customHeight="1">
      <c r="A98" s="150">
        <v>204.0</v>
      </c>
      <c r="B98" s="150">
        <v>10.0</v>
      </c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>
        <v>0.15</v>
      </c>
      <c r="P98" s="150"/>
      <c r="Q98" s="150"/>
      <c r="R98" s="150"/>
      <c r="S98" s="150"/>
      <c r="T98" s="150"/>
      <c r="U98" s="150"/>
      <c r="V98" s="150"/>
      <c r="W98" s="150"/>
      <c r="X98" s="150">
        <v>0.08</v>
      </c>
      <c r="Y98" s="150">
        <v>3.0</v>
      </c>
      <c r="Z98" s="156"/>
      <c r="AA98" s="156"/>
      <c r="AB98" s="156"/>
      <c r="AC98" s="156"/>
      <c r="AD98" s="156"/>
      <c r="AE98" s="156"/>
      <c r="AF98" s="156"/>
      <c r="AG98" s="156"/>
      <c r="AH98" s="156"/>
      <c r="AI98" s="156"/>
      <c r="AJ98" s="156"/>
    </row>
    <row r="99" ht="14.25" customHeight="1">
      <c r="A99" s="150">
        <v>204.0</v>
      </c>
      <c r="B99" s="150">
        <v>5.0</v>
      </c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>
        <v>0.25</v>
      </c>
      <c r="P99" s="150"/>
      <c r="Q99" s="150"/>
      <c r="R99" s="150"/>
      <c r="S99" s="150"/>
      <c r="T99" s="150"/>
      <c r="U99" s="150"/>
      <c r="V99" s="150"/>
      <c r="W99" s="150"/>
      <c r="X99" s="150">
        <v>0.08</v>
      </c>
      <c r="Y99" s="150">
        <v>4.0</v>
      </c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</row>
    <row r="100" ht="14.25" customHeight="1">
      <c r="A100" s="150">
        <v>204.0</v>
      </c>
      <c r="B100" s="150">
        <v>650.0</v>
      </c>
      <c r="C100" s="150"/>
      <c r="D100" s="150"/>
      <c r="E100" s="150"/>
      <c r="F100" s="150"/>
      <c r="G100" s="150"/>
      <c r="H100" s="150"/>
      <c r="I100" s="150"/>
      <c r="J100" s="150">
        <v>0.01</v>
      </c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>
        <v>0.08</v>
      </c>
      <c r="Y100" s="150">
        <v>1.0</v>
      </c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</row>
    <row r="101" ht="14.25" customHeight="1">
      <c r="A101" s="150">
        <v>204.0</v>
      </c>
      <c r="B101" s="150">
        <v>150.0</v>
      </c>
      <c r="C101" s="150"/>
      <c r="D101" s="150"/>
      <c r="E101" s="150"/>
      <c r="F101" s="150"/>
      <c r="G101" s="150"/>
      <c r="H101" s="150"/>
      <c r="I101" s="150"/>
      <c r="J101" s="150">
        <v>0.02</v>
      </c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>
        <v>0.08</v>
      </c>
      <c r="Y101" s="150">
        <v>1.0</v>
      </c>
      <c r="Z101" s="156"/>
      <c r="AA101" s="156"/>
      <c r="AB101" s="156"/>
      <c r="AC101" s="156"/>
      <c r="AD101" s="156"/>
      <c r="AE101" s="156"/>
      <c r="AF101" s="156"/>
      <c r="AG101" s="156"/>
      <c r="AH101" s="156"/>
      <c r="AI101" s="156"/>
      <c r="AJ101" s="156"/>
    </row>
    <row r="102" ht="14.25" customHeight="1">
      <c r="A102" s="150">
        <v>204.0</v>
      </c>
      <c r="B102" s="150">
        <v>35.0</v>
      </c>
      <c r="C102" s="150"/>
      <c r="D102" s="150"/>
      <c r="E102" s="150"/>
      <c r="F102" s="150"/>
      <c r="G102" s="150"/>
      <c r="H102" s="150"/>
      <c r="I102" s="150"/>
      <c r="J102" s="150">
        <v>0.04</v>
      </c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>
        <v>0.08</v>
      </c>
      <c r="Y102" s="150">
        <v>2.0</v>
      </c>
      <c r="Z102" s="156"/>
      <c r="AA102" s="156"/>
      <c r="AB102" s="156"/>
      <c r="AC102" s="156"/>
      <c r="AD102" s="156"/>
      <c r="AE102" s="156"/>
      <c r="AF102" s="156"/>
      <c r="AG102" s="156"/>
      <c r="AH102" s="156"/>
      <c r="AI102" s="156"/>
      <c r="AJ102" s="156"/>
    </row>
    <row r="103" ht="14.25" customHeight="1">
      <c r="A103" s="150">
        <v>204.0</v>
      </c>
      <c r="B103" s="150">
        <v>10.0</v>
      </c>
      <c r="C103" s="150"/>
      <c r="D103" s="150"/>
      <c r="E103" s="150"/>
      <c r="F103" s="150"/>
      <c r="G103" s="150"/>
      <c r="H103" s="150"/>
      <c r="I103" s="150"/>
      <c r="J103" s="150">
        <v>0.09</v>
      </c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>
        <v>0.08</v>
      </c>
      <c r="Y103" s="150">
        <v>3.0</v>
      </c>
      <c r="Z103" s="156"/>
      <c r="AA103" s="156"/>
      <c r="AB103" s="156"/>
      <c r="AC103" s="156"/>
      <c r="AD103" s="156"/>
      <c r="AE103" s="156"/>
      <c r="AF103" s="156"/>
      <c r="AG103" s="156"/>
      <c r="AH103" s="156"/>
      <c r="AI103" s="156"/>
      <c r="AJ103" s="156"/>
    </row>
    <row r="104" ht="14.25" customHeight="1">
      <c r="A104" s="150">
        <v>204.0</v>
      </c>
      <c r="B104" s="150">
        <v>5.0</v>
      </c>
      <c r="C104" s="150"/>
      <c r="D104" s="150"/>
      <c r="E104" s="150"/>
      <c r="F104" s="150"/>
      <c r="G104" s="150"/>
      <c r="H104" s="150"/>
      <c r="I104" s="150"/>
      <c r="J104" s="150">
        <v>0.15</v>
      </c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>
        <v>0.08</v>
      </c>
      <c r="Y104" s="150">
        <v>4.0</v>
      </c>
      <c r="Z104" s="156"/>
      <c r="AA104" s="156"/>
      <c r="AB104" s="156"/>
      <c r="AC104" s="156"/>
      <c r="AD104" s="156"/>
      <c r="AE104" s="156"/>
      <c r="AF104" s="156"/>
      <c r="AG104" s="156"/>
      <c r="AH104" s="156"/>
      <c r="AI104" s="156"/>
      <c r="AJ104" s="156"/>
    </row>
    <row r="105" ht="14.25" customHeight="1">
      <c r="A105" s="150">
        <v>204.0</v>
      </c>
      <c r="B105" s="150">
        <v>650.0</v>
      </c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>
        <v>0.02</v>
      </c>
      <c r="U105" s="150"/>
      <c r="V105" s="150"/>
      <c r="W105" s="150"/>
      <c r="X105" s="150">
        <v>0.08</v>
      </c>
      <c r="Y105" s="150">
        <v>1.0</v>
      </c>
      <c r="Z105" s="156"/>
      <c r="AA105" s="156"/>
      <c r="AB105" s="156"/>
      <c r="AC105" s="156"/>
      <c r="AD105" s="156"/>
      <c r="AE105" s="156"/>
      <c r="AF105" s="156"/>
      <c r="AG105" s="156"/>
      <c r="AH105" s="156"/>
      <c r="AI105" s="156"/>
      <c r="AJ105" s="156"/>
    </row>
    <row r="106" ht="14.25" customHeight="1">
      <c r="A106" s="150">
        <v>204.0</v>
      </c>
      <c r="B106" s="150">
        <v>150.0</v>
      </c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>
        <v>0.04</v>
      </c>
      <c r="U106" s="150"/>
      <c r="V106" s="150"/>
      <c r="W106" s="150"/>
      <c r="X106" s="150">
        <v>0.08</v>
      </c>
      <c r="Y106" s="150">
        <v>1.0</v>
      </c>
      <c r="Z106" s="156"/>
      <c r="AA106" s="156"/>
      <c r="AB106" s="156"/>
      <c r="AC106" s="156"/>
      <c r="AD106" s="156"/>
      <c r="AE106" s="156"/>
      <c r="AF106" s="156"/>
      <c r="AG106" s="156"/>
      <c r="AH106" s="156"/>
      <c r="AI106" s="156"/>
      <c r="AJ106" s="156"/>
    </row>
    <row r="107" ht="14.25" customHeight="1">
      <c r="A107" s="150">
        <v>204.0</v>
      </c>
      <c r="B107" s="150">
        <v>35.0</v>
      </c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>
        <v>0.08</v>
      </c>
      <c r="U107" s="150"/>
      <c r="V107" s="150"/>
      <c r="W107" s="150"/>
      <c r="X107" s="150">
        <v>0.08</v>
      </c>
      <c r="Y107" s="150">
        <v>2.0</v>
      </c>
      <c r="Z107" s="156"/>
      <c r="AA107" s="156"/>
      <c r="AB107" s="156"/>
      <c r="AC107" s="156"/>
      <c r="AD107" s="156"/>
      <c r="AE107" s="156"/>
      <c r="AF107" s="156"/>
      <c r="AG107" s="156"/>
      <c r="AH107" s="156"/>
      <c r="AI107" s="156"/>
      <c r="AJ107" s="156"/>
    </row>
    <row r="108" ht="14.25" customHeight="1">
      <c r="A108" s="150">
        <v>204.0</v>
      </c>
      <c r="B108" s="150">
        <v>10.0</v>
      </c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>
        <v>0.15</v>
      </c>
      <c r="U108" s="150"/>
      <c r="V108" s="150"/>
      <c r="W108" s="150"/>
      <c r="X108" s="150">
        <v>0.08</v>
      </c>
      <c r="Y108" s="150">
        <v>3.0</v>
      </c>
      <c r="Z108" s="156"/>
      <c r="AA108" s="156"/>
      <c r="AB108" s="156"/>
      <c r="AC108" s="156"/>
      <c r="AD108" s="156"/>
      <c r="AE108" s="156"/>
      <c r="AF108" s="156"/>
      <c r="AG108" s="156"/>
      <c r="AH108" s="156"/>
      <c r="AI108" s="156"/>
      <c r="AJ108" s="156"/>
    </row>
    <row r="109" ht="14.25" customHeight="1">
      <c r="A109" s="150">
        <v>204.0</v>
      </c>
      <c r="B109" s="150">
        <v>5.0</v>
      </c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>
        <v>0.25</v>
      </c>
      <c r="U109" s="150"/>
      <c r="V109" s="150"/>
      <c r="W109" s="150"/>
      <c r="X109" s="150">
        <v>0.08</v>
      </c>
      <c r="Y109" s="150">
        <v>4.0</v>
      </c>
      <c r="Z109" s="156"/>
      <c r="AA109" s="156"/>
      <c r="AB109" s="156"/>
      <c r="AC109" s="156"/>
      <c r="AD109" s="156"/>
      <c r="AE109" s="156"/>
      <c r="AF109" s="156"/>
      <c r="AG109" s="156"/>
      <c r="AH109" s="156"/>
      <c r="AI109" s="156"/>
      <c r="AJ109" s="156"/>
    </row>
    <row r="110" ht="14.25" customHeight="1">
      <c r="A110" s="150">
        <v>204.0</v>
      </c>
      <c r="B110" s="150">
        <v>650.0</v>
      </c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>
        <v>10.0</v>
      </c>
      <c r="V110" s="150"/>
      <c r="W110" s="150"/>
      <c r="X110" s="150">
        <v>0.08</v>
      </c>
      <c r="Y110" s="150">
        <v>1.0</v>
      </c>
      <c r="Z110" s="156"/>
      <c r="AA110" s="156"/>
      <c r="AB110" s="156"/>
      <c r="AC110" s="156"/>
      <c r="AD110" s="156"/>
      <c r="AE110" s="156"/>
      <c r="AF110" s="156"/>
      <c r="AG110" s="156"/>
      <c r="AH110" s="156"/>
      <c r="AI110" s="156"/>
      <c r="AJ110" s="156"/>
    </row>
    <row r="111" ht="14.25" customHeight="1">
      <c r="A111" s="150">
        <v>204.0</v>
      </c>
      <c r="B111" s="150">
        <v>150.0</v>
      </c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>
        <v>25.0</v>
      </c>
      <c r="V111" s="150"/>
      <c r="W111" s="150"/>
      <c r="X111" s="150">
        <v>0.08</v>
      </c>
      <c r="Y111" s="150">
        <v>1.0</v>
      </c>
      <c r="Z111" s="156"/>
      <c r="AA111" s="156"/>
      <c r="AB111" s="156"/>
      <c r="AC111" s="156"/>
      <c r="AD111" s="156"/>
      <c r="AE111" s="156"/>
      <c r="AF111" s="156"/>
      <c r="AG111" s="156"/>
      <c r="AH111" s="156"/>
      <c r="AI111" s="156"/>
      <c r="AJ111" s="156"/>
    </row>
    <row r="112" ht="14.25" customHeight="1">
      <c r="A112" s="150">
        <v>204.0</v>
      </c>
      <c r="B112" s="150">
        <v>35.0</v>
      </c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>
        <v>40.0</v>
      </c>
      <c r="V112" s="150"/>
      <c r="W112" s="150"/>
      <c r="X112" s="150">
        <v>0.08</v>
      </c>
      <c r="Y112" s="150">
        <v>2.0</v>
      </c>
      <c r="Z112" s="156"/>
      <c r="AA112" s="156"/>
      <c r="AB112" s="156"/>
      <c r="AC112" s="156"/>
      <c r="AD112" s="156"/>
      <c r="AE112" s="156"/>
      <c r="AF112" s="156"/>
      <c r="AG112" s="156"/>
      <c r="AH112" s="156"/>
      <c r="AI112" s="156"/>
      <c r="AJ112" s="156"/>
    </row>
    <row r="113" ht="14.25" customHeight="1">
      <c r="A113" s="150">
        <v>204.0</v>
      </c>
      <c r="B113" s="150">
        <v>10.0</v>
      </c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>
        <v>95.0</v>
      </c>
      <c r="V113" s="150"/>
      <c r="W113" s="150"/>
      <c r="X113" s="150">
        <v>0.08</v>
      </c>
      <c r="Y113" s="150">
        <v>3.0</v>
      </c>
      <c r="Z113" s="156"/>
      <c r="AA113" s="156"/>
      <c r="AB113" s="156"/>
      <c r="AC113" s="156"/>
      <c r="AD113" s="156"/>
      <c r="AE113" s="156"/>
      <c r="AF113" s="156"/>
      <c r="AG113" s="156"/>
      <c r="AH113" s="156"/>
      <c r="AI113" s="156"/>
      <c r="AJ113" s="156"/>
    </row>
    <row r="114" ht="14.25" customHeight="1">
      <c r="A114" s="150">
        <v>204.0</v>
      </c>
      <c r="B114" s="150">
        <v>5.0</v>
      </c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>
        <v>150.0</v>
      </c>
      <c r="V114" s="150"/>
      <c r="W114" s="150"/>
      <c r="X114" s="150">
        <v>0.08</v>
      </c>
      <c r="Y114" s="150">
        <v>4.0</v>
      </c>
      <c r="Z114" s="156"/>
      <c r="AA114" s="156"/>
      <c r="AB114" s="156"/>
      <c r="AC114" s="156"/>
      <c r="AD114" s="156"/>
      <c r="AE114" s="156"/>
      <c r="AF114" s="156"/>
      <c r="AG114" s="156"/>
      <c r="AH114" s="156"/>
      <c r="AI114" s="156"/>
      <c r="AJ114" s="156"/>
    </row>
    <row r="115" ht="14.25" customHeight="1">
      <c r="A115" s="148">
        <f t="shared" ref="A115:A227" si="3">A2+4</f>
        <v>205</v>
      </c>
      <c r="B115" s="148">
        <v>1900.0</v>
      </c>
      <c r="C115" s="148">
        <v>90.0</v>
      </c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>
        <v>0.15</v>
      </c>
      <c r="Y115" s="148">
        <v>1.0</v>
      </c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</row>
    <row r="116" ht="14.25" customHeight="1">
      <c r="A116" s="148">
        <f t="shared" si="3"/>
        <v>205</v>
      </c>
      <c r="B116" s="148">
        <v>400.0</v>
      </c>
      <c r="C116" s="148">
        <v>165.0</v>
      </c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>
        <v>0.15</v>
      </c>
      <c r="Y116" s="148">
        <v>1.0</v>
      </c>
      <c r="Z116" s="149"/>
      <c r="AA116" s="149"/>
      <c r="AB116" s="149"/>
      <c r="AC116" s="149"/>
      <c r="AD116" s="149"/>
      <c r="AE116" s="149"/>
      <c r="AF116" s="149"/>
      <c r="AG116" s="149"/>
      <c r="AH116" s="149"/>
      <c r="AI116" s="149"/>
      <c r="AJ116" s="149"/>
    </row>
    <row r="117" ht="14.25" customHeight="1">
      <c r="A117" s="148">
        <f t="shared" si="3"/>
        <v>205</v>
      </c>
      <c r="B117" s="148">
        <v>150.0</v>
      </c>
      <c r="C117" s="148">
        <v>300.0</v>
      </c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>
        <v>0.15</v>
      </c>
      <c r="Y117" s="148">
        <v>2.0</v>
      </c>
      <c r="Z117" s="149"/>
      <c r="AA117" s="149"/>
      <c r="AB117" s="149"/>
      <c r="AC117" s="149"/>
      <c r="AD117" s="149"/>
      <c r="AE117" s="149"/>
      <c r="AF117" s="149"/>
      <c r="AG117" s="149"/>
      <c r="AH117" s="149"/>
      <c r="AI117" s="149"/>
      <c r="AJ117" s="149"/>
    </row>
    <row r="118" ht="14.25" customHeight="1">
      <c r="A118" s="148">
        <f t="shared" si="3"/>
        <v>205</v>
      </c>
      <c r="B118" s="148">
        <v>40.0</v>
      </c>
      <c r="C118" s="148">
        <v>570.0</v>
      </c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>
        <v>0.15</v>
      </c>
      <c r="Y118" s="148">
        <v>3.0</v>
      </c>
      <c r="Z118" s="149"/>
      <c r="AA118" s="149"/>
      <c r="AB118" s="149"/>
      <c r="AC118" s="149"/>
      <c r="AD118" s="149"/>
      <c r="AE118" s="149"/>
      <c r="AF118" s="149"/>
      <c r="AG118" s="149"/>
      <c r="AH118" s="149"/>
      <c r="AI118" s="149"/>
      <c r="AJ118" s="149"/>
    </row>
    <row r="119" ht="14.25" customHeight="1">
      <c r="A119" s="148">
        <f t="shared" si="3"/>
        <v>205</v>
      </c>
      <c r="B119" s="148">
        <v>10.0</v>
      </c>
      <c r="C119" s="148">
        <v>1050.0</v>
      </c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>
        <v>0.15</v>
      </c>
      <c r="Y119" s="148">
        <v>4.0</v>
      </c>
      <c r="Z119" s="149"/>
      <c r="AA119" s="149"/>
      <c r="AB119" s="149"/>
      <c r="AC119" s="149"/>
      <c r="AD119" s="149"/>
      <c r="AE119" s="149"/>
      <c r="AF119" s="149"/>
      <c r="AG119" s="149"/>
      <c r="AH119" s="149"/>
      <c r="AI119" s="149"/>
      <c r="AJ119" s="149"/>
    </row>
    <row r="120" ht="14.25" customHeight="1">
      <c r="A120" s="148">
        <f t="shared" si="3"/>
        <v>205</v>
      </c>
      <c r="B120" s="148">
        <v>1900.0</v>
      </c>
      <c r="C120" s="148"/>
      <c r="D120" s="148"/>
      <c r="E120" s="148"/>
      <c r="F120" s="148">
        <v>9.0</v>
      </c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>
        <v>0.15</v>
      </c>
      <c r="Y120" s="148">
        <v>1.0</v>
      </c>
      <c r="Z120" s="149"/>
      <c r="AA120" s="149"/>
      <c r="AB120" s="149"/>
      <c r="AC120" s="149"/>
      <c r="AD120" s="149"/>
      <c r="AE120" s="149"/>
      <c r="AF120" s="149"/>
      <c r="AG120" s="149"/>
      <c r="AH120" s="149"/>
      <c r="AI120" s="149"/>
      <c r="AJ120" s="149"/>
    </row>
    <row r="121" ht="14.25" customHeight="1">
      <c r="A121" s="148">
        <f t="shared" si="3"/>
        <v>205</v>
      </c>
      <c r="B121" s="148">
        <v>400.0</v>
      </c>
      <c r="C121" s="148"/>
      <c r="D121" s="148"/>
      <c r="E121" s="148"/>
      <c r="F121" s="148">
        <v>14.0</v>
      </c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>
        <v>0.15</v>
      </c>
      <c r="Y121" s="148">
        <v>1.0</v>
      </c>
      <c r="Z121" s="149"/>
      <c r="AA121" s="149"/>
      <c r="AB121" s="149"/>
      <c r="AC121" s="149"/>
      <c r="AD121" s="149"/>
      <c r="AE121" s="149"/>
      <c r="AF121" s="149"/>
      <c r="AG121" s="149"/>
      <c r="AH121" s="149"/>
      <c r="AI121" s="149"/>
      <c r="AJ121" s="149"/>
    </row>
    <row r="122" ht="14.25" customHeight="1">
      <c r="A122" s="148">
        <f t="shared" si="3"/>
        <v>205</v>
      </c>
      <c r="B122" s="148">
        <v>150.0</v>
      </c>
      <c r="C122" s="148"/>
      <c r="D122" s="148"/>
      <c r="E122" s="148"/>
      <c r="F122" s="148">
        <v>23.0</v>
      </c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>
        <v>0.15</v>
      </c>
      <c r="Y122" s="148">
        <v>2.0</v>
      </c>
      <c r="Z122" s="149"/>
      <c r="AA122" s="149"/>
      <c r="AB122" s="149"/>
      <c r="AC122" s="149"/>
      <c r="AD122" s="149"/>
      <c r="AE122" s="149"/>
      <c r="AF122" s="149"/>
      <c r="AG122" s="149"/>
      <c r="AH122" s="149"/>
      <c r="AI122" s="149"/>
      <c r="AJ122" s="149"/>
    </row>
    <row r="123" ht="14.25" customHeight="1">
      <c r="A123" s="148">
        <f t="shared" si="3"/>
        <v>205</v>
      </c>
      <c r="B123" s="148">
        <v>40.0</v>
      </c>
      <c r="C123" s="148"/>
      <c r="D123" s="148"/>
      <c r="E123" s="148"/>
      <c r="F123" s="148">
        <v>35.0</v>
      </c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>
        <v>0.15</v>
      </c>
      <c r="Y123" s="148">
        <v>3.0</v>
      </c>
      <c r="Z123" s="149"/>
      <c r="AA123" s="149"/>
      <c r="AB123" s="149"/>
      <c r="AC123" s="149"/>
      <c r="AD123" s="149"/>
      <c r="AE123" s="149"/>
      <c r="AF123" s="149"/>
      <c r="AG123" s="149"/>
      <c r="AH123" s="149"/>
      <c r="AI123" s="149"/>
      <c r="AJ123" s="149"/>
    </row>
    <row r="124" ht="14.25" customHeight="1">
      <c r="A124" s="148">
        <f t="shared" si="3"/>
        <v>205</v>
      </c>
      <c r="B124" s="148">
        <v>10.0</v>
      </c>
      <c r="C124" s="148"/>
      <c r="D124" s="148"/>
      <c r="E124" s="148"/>
      <c r="F124" s="148">
        <v>81.0</v>
      </c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>
        <v>0.15</v>
      </c>
      <c r="Y124" s="148">
        <v>4.0</v>
      </c>
      <c r="Z124" s="149"/>
      <c r="AA124" s="149"/>
      <c r="AB124" s="149"/>
      <c r="AC124" s="149"/>
      <c r="AD124" s="149"/>
      <c r="AE124" s="149"/>
      <c r="AF124" s="149"/>
      <c r="AG124" s="149"/>
      <c r="AH124" s="149"/>
      <c r="AI124" s="149"/>
      <c r="AJ124" s="149"/>
    </row>
    <row r="125" ht="14.25" customHeight="1">
      <c r="A125" s="148">
        <f t="shared" si="3"/>
        <v>205</v>
      </c>
      <c r="B125" s="148">
        <v>1900.0</v>
      </c>
      <c r="C125" s="148"/>
      <c r="D125" s="148"/>
      <c r="E125" s="148"/>
      <c r="F125" s="148"/>
      <c r="G125" s="148">
        <v>13.0</v>
      </c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>
        <v>0.15</v>
      </c>
      <c r="Y125" s="148">
        <v>1.0</v>
      </c>
      <c r="Z125" s="149"/>
      <c r="AA125" s="149"/>
      <c r="AB125" s="149"/>
      <c r="AC125" s="149"/>
      <c r="AD125" s="149"/>
      <c r="AE125" s="149"/>
      <c r="AF125" s="149"/>
      <c r="AG125" s="149"/>
      <c r="AH125" s="149"/>
      <c r="AI125" s="149"/>
      <c r="AJ125" s="149"/>
    </row>
    <row r="126" ht="14.25" customHeight="1">
      <c r="A126" s="148">
        <f t="shared" si="3"/>
        <v>205</v>
      </c>
      <c r="B126" s="148">
        <v>400.0</v>
      </c>
      <c r="C126" s="148"/>
      <c r="D126" s="148"/>
      <c r="E126" s="148"/>
      <c r="F126" s="148"/>
      <c r="G126" s="148">
        <v>19.0</v>
      </c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>
        <v>0.15</v>
      </c>
      <c r="Y126" s="148">
        <v>1.0</v>
      </c>
      <c r="Z126" s="149"/>
      <c r="AA126" s="149"/>
      <c r="AB126" s="149"/>
      <c r="AC126" s="149"/>
      <c r="AD126" s="149"/>
      <c r="AE126" s="149"/>
      <c r="AF126" s="149"/>
      <c r="AG126" s="149"/>
      <c r="AH126" s="149"/>
      <c r="AI126" s="149"/>
      <c r="AJ126" s="149"/>
    </row>
    <row r="127" ht="14.25" customHeight="1">
      <c r="A127" s="148">
        <f t="shared" si="3"/>
        <v>205</v>
      </c>
      <c r="B127" s="148">
        <v>150.0</v>
      </c>
      <c r="C127" s="148"/>
      <c r="D127" s="148"/>
      <c r="E127" s="148"/>
      <c r="F127" s="148"/>
      <c r="G127" s="148">
        <v>32.0</v>
      </c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>
        <v>0.15</v>
      </c>
      <c r="Y127" s="148">
        <v>2.0</v>
      </c>
      <c r="Z127" s="149"/>
      <c r="AA127" s="149"/>
      <c r="AB127" s="149"/>
      <c r="AC127" s="149"/>
      <c r="AD127" s="149"/>
      <c r="AE127" s="149"/>
      <c r="AF127" s="149"/>
      <c r="AG127" s="149"/>
      <c r="AH127" s="149"/>
      <c r="AI127" s="149"/>
      <c r="AJ127" s="149"/>
    </row>
    <row r="128" ht="14.25" customHeight="1">
      <c r="A128" s="148">
        <f t="shared" si="3"/>
        <v>205</v>
      </c>
      <c r="B128" s="148">
        <v>40.0</v>
      </c>
      <c r="C128" s="148"/>
      <c r="D128" s="148"/>
      <c r="E128" s="148"/>
      <c r="F128" s="148"/>
      <c r="G128" s="148">
        <v>61.0</v>
      </c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>
        <v>0.15</v>
      </c>
      <c r="Y128" s="148">
        <v>3.0</v>
      </c>
      <c r="Z128" s="149"/>
      <c r="AA128" s="149"/>
      <c r="AB128" s="149"/>
      <c r="AC128" s="149"/>
      <c r="AD128" s="149"/>
      <c r="AE128" s="149"/>
      <c r="AF128" s="149"/>
      <c r="AG128" s="149"/>
      <c r="AH128" s="149"/>
      <c r="AI128" s="149"/>
      <c r="AJ128" s="149"/>
    </row>
    <row r="129" ht="14.25" customHeight="1">
      <c r="A129" s="148">
        <f t="shared" si="3"/>
        <v>205</v>
      </c>
      <c r="B129" s="148">
        <v>10.0</v>
      </c>
      <c r="C129" s="148"/>
      <c r="D129" s="148"/>
      <c r="E129" s="148"/>
      <c r="F129" s="148"/>
      <c r="G129" s="148">
        <v>103.0</v>
      </c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>
        <v>0.15</v>
      </c>
      <c r="Y129" s="148">
        <v>4.0</v>
      </c>
      <c r="Z129" s="149"/>
      <c r="AA129" s="149"/>
      <c r="AB129" s="149"/>
      <c r="AC129" s="149"/>
      <c r="AD129" s="149"/>
      <c r="AE129" s="149"/>
      <c r="AF129" s="149"/>
      <c r="AG129" s="149"/>
      <c r="AH129" s="149"/>
      <c r="AI129" s="149"/>
      <c r="AJ129" s="149"/>
    </row>
    <row r="130" ht="14.25" customHeight="1">
      <c r="A130" s="148">
        <f t="shared" si="3"/>
        <v>205</v>
      </c>
      <c r="B130" s="148">
        <v>1900.0</v>
      </c>
      <c r="C130" s="148"/>
      <c r="D130" s="148"/>
      <c r="E130" s="148"/>
      <c r="F130" s="148"/>
      <c r="G130" s="148"/>
      <c r="H130" s="148"/>
      <c r="I130" s="148"/>
      <c r="J130" s="148"/>
      <c r="K130" s="148">
        <v>0.01</v>
      </c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>
        <v>0.15</v>
      </c>
      <c r="Y130" s="148">
        <v>1.0</v>
      </c>
      <c r="Z130" s="149"/>
      <c r="AA130" s="149"/>
      <c r="AB130" s="149"/>
      <c r="AC130" s="149"/>
      <c r="AD130" s="149"/>
      <c r="AE130" s="149"/>
      <c r="AF130" s="149"/>
      <c r="AG130" s="149"/>
      <c r="AH130" s="149"/>
      <c r="AI130" s="149"/>
      <c r="AJ130" s="149"/>
    </row>
    <row r="131" ht="14.25" customHeight="1">
      <c r="A131" s="148">
        <f t="shared" si="3"/>
        <v>205</v>
      </c>
      <c r="B131" s="148">
        <v>400.0</v>
      </c>
      <c r="C131" s="148"/>
      <c r="D131" s="148"/>
      <c r="E131" s="148"/>
      <c r="F131" s="148"/>
      <c r="G131" s="148"/>
      <c r="H131" s="148"/>
      <c r="I131" s="148"/>
      <c r="J131" s="148"/>
      <c r="K131" s="148">
        <v>0.03</v>
      </c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>
        <v>0.15</v>
      </c>
      <c r="Y131" s="148">
        <v>1.0</v>
      </c>
      <c r="Z131" s="149"/>
      <c r="AA131" s="149"/>
      <c r="AB131" s="149"/>
      <c r="AC131" s="149"/>
      <c r="AD131" s="149"/>
      <c r="AE131" s="149"/>
      <c r="AF131" s="149"/>
      <c r="AG131" s="149"/>
      <c r="AH131" s="149"/>
      <c r="AI131" s="149"/>
      <c r="AJ131" s="149"/>
    </row>
    <row r="132" ht="14.25" customHeight="1">
      <c r="A132" s="148">
        <f t="shared" si="3"/>
        <v>205</v>
      </c>
      <c r="B132" s="148">
        <v>150.0</v>
      </c>
      <c r="C132" s="148"/>
      <c r="D132" s="148"/>
      <c r="E132" s="148"/>
      <c r="F132" s="148"/>
      <c r="G132" s="148"/>
      <c r="H132" s="148"/>
      <c r="I132" s="148"/>
      <c r="J132" s="148"/>
      <c r="K132" s="148">
        <v>0.05</v>
      </c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>
        <v>0.15</v>
      </c>
      <c r="Y132" s="148">
        <v>2.0</v>
      </c>
      <c r="Z132" s="149"/>
      <c r="AA132" s="149"/>
      <c r="AB132" s="149"/>
      <c r="AC132" s="149"/>
      <c r="AD132" s="149"/>
      <c r="AE132" s="149"/>
      <c r="AF132" s="149"/>
      <c r="AG132" s="149"/>
      <c r="AH132" s="149"/>
      <c r="AI132" s="149"/>
      <c r="AJ132" s="149"/>
    </row>
    <row r="133" ht="14.25" customHeight="1">
      <c r="A133" s="148">
        <f t="shared" si="3"/>
        <v>205</v>
      </c>
      <c r="B133" s="148">
        <v>40.0</v>
      </c>
      <c r="C133" s="148"/>
      <c r="D133" s="148"/>
      <c r="E133" s="148"/>
      <c r="F133" s="148"/>
      <c r="G133" s="148"/>
      <c r="H133" s="148"/>
      <c r="I133" s="148"/>
      <c r="J133" s="148"/>
      <c r="K133" s="148">
        <v>0.09</v>
      </c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>
        <v>0.15</v>
      </c>
      <c r="Y133" s="148">
        <v>3.0</v>
      </c>
      <c r="Z133" s="149"/>
      <c r="AA133" s="149"/>
      <c r="AB133" s="149"/>
      <c r="AC133" s="149"/>
      <c r="AD133" s="149"/>
      <c r="AE133" s="149"/>
      <c r="AF133" s="149"/>
      <c r="AG133" s="149"/>
      <c r="AH133" s="149"/>
      <c r="AI133" s="149"/>
      <c r="AJ133" s="149"/>
    </row>
    <row r="134" ht="14.25" customHeight="1">
      <c r="A134" s="148">
        <f t="shared" si="3"/>
        <v>205</v>
      </c>
      <c r="B134" s="148">
        <v>10.0</v>
      </c>
      <c r="C134" s="148"/>
      <c r="D134" s="148"/>
      <c r="E134" s="148"/>
      <c r="F134" s="148"/>
      <c r="G134" s="148"/>
      <c r="H134" s="148"/>
      <c r="I134" s="148"/>
      <c r="J134" s="148"/>
      <c r="K134" s="148">
        <v>0.15</v>
      </c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>
        <v>0.15</v>
      </c>
      <c r="Y134" s="148">
        <v>4.0</v>
      </c>
      <c r="Z134" s="149"/>
      <c r="AA134" s="149"/>
      <c r="AB134" s="149"/>
      <c r="AC134" s="149"/>
      <c r="AD134" s="149"/>
      <c r="AE134" s="149"/>
      <c r="AF134" s="149"/>
      <c r="AG134" s="149"/>
      <c r="AH134" s="149"/>
      <c r="AI134" s="149"/>
      <c r="AJ134" s="149"/>
    </row>
    <row r="135" ht="14.25" customHeight="1">
      <c r="A135" s="42">
        <f t="shared" si="3"/>
        <v>206</v>
      </c>
      <c r="B135" s="42">
        <v>2500.0</v>
      </c>
      <c r="C135" s="8"/>
      <c r="D135" s="8"/>
      <c r="E135" s="8"/>
      <c r="F135" s="8"/>
      <c r="G135" s="8"/>
      <c r="H135" s="8"/>
      <c r="I135" s="8"/>
      <c r="J135" s="8"/>
      <c r="K135" s="8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>
        <v>0.13</v>
      </c>
      <c r="Y135" s="42">
        <v>1.0</v>
      </c>
    </row>
    <row r="136" ht="14.25" customHeight="1">
      <c r="A136" s="42">
        <f t="shared" si="3"/>
        <v>206</v>
      </c>
      <c r="B136" s="150">
        <f t="shared" ref="B136:B155" si="4">B115/2</f>
        <v>950</v>
      </c>
      <c r="C136" s="42">
        <v>90.0</v>
      </c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>
        <v>0.13</v>
      </c>
      <c r="Y136" s="42">
        <v>1.0</v>
      </c>
    </row>
    <row r="137" ht="14.25" customHeight="1">
      <c r="A137" s="42">
        <f t="shared" si="3"/>
        <v>206</v>
      </c>
      <c r="B137" s="150">
        <f t="shared" si="4"/>
        <v>200</v>
      </c>
      <c r="C137" s="42">
        <v>165.0</v>
      </c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>
        <v>0.13</v>
      </c>
      <c r="Y137" s="42">
        <v>1.0</v>
      </c>
    </row>
    <row r="138" ht="14.25" customHeight="1">
      <c r="A138" s="42">
        <f t="shared" si="3"/>
        <v>206</v>
      </c>
      <c r="B138" s="150">
        <f t="shared" si="4"/>
        <v>75</v>
      </c>
      <c r="C138" s="42">
        <v>300.0</v>
      </c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>
        <v>0.13</v>
      </c>
      <c r="Y138" s="42">
        <v>2.0</v>
      </c>
    </row>
    <row r="139" ht="14.25" customHeight="1">
      <c r="A139" s="42">
        <f t="shared" si="3"/>
        <v>206</v>
      </c>
      <c r="B139" s="150">
        <f t="shared" si="4"/>
        <v>20</v>
      </c>
      <c r="C139" s="42">
        <v>570.0</v>
      </c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>
        <v>0.13</v>
      </c>
      <c r="Y139" s="42">
        <v>3.0</v>
      </c>
    </row>
    <row r="140" ht="14.25" customHeight="1">
      <c r="A140" s="42">
        <f t="shared" si="3"/>
        <v>206</v>
      </c>
      <c r="B140" s="150">
        <f t="shared" si="4"/>
        <v>5</v>
      </c>
      <c r="C140" s="42">
        <v>1050.0</v>
      </c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>
        <v>0.13</v>
      </c>
      <c r="Y140" s="42">
        <v>4.0</v>
      </c>
    </row>
    <row r="141" ht="14.25" customHeight="1">
      <c r="A141" s="42">
        <f t="shared" si="3"/>
        <v>206</v>
      </c>
      <c r="B141" s="150">
        <f t="shared" si="4"/>
        <v>950</v>
      </c>
      <c r="C141" s="42"/>
      <c r="D141" s="42"/>
      <c r="E141" s="1"/>
      <c r="F141" s="42">
        <v>9.0</v>
      </c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>
        <v>0.13</v>
      </c>
      <c r="Y141" s="42">
        <v>1.0</v>
      </c>
    </row>
    <row r="142" ht="14.25" customHeight="1">
      <c r="A142" s="42">
        <f t="shared" si="3"/>
        <v>206</v>
      </c>
      <c r="B142" s="150">
        <f t="shared" si="4"/>
        <v>200</v>
      </c>
      <c r="C142" s="42"/>
      <c r="D142" s="42"/>
      <c r="E142" s="42"/>
      <c r="F142" s="42">
        <v>14.0</v>
      </c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>
        <v>0.13</v>
      </c>
      <c r="Y142" s="42">
        <v>1.0</v>
      </c>
    </row>
    <row r="143" ht="14.25" customHeight="1">
      <c r="A143" s="42">
        <f t="shared" si="3"/>
        <v>206</v>
      </c>
      <c r="B143" s="150">
        <f t="shared" si="4"/>
        <v>75</v>
      </c>
      <c r="C143" s="42"/>
      <c r="D143" s="42"/>
      <c r="E143" s="42"/>
      <c r="F143" s="42">
        <v>23.0</v>
      </c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>
        <v>0.13</v>
      </c>
      <c r="Y143" s="42">
        <v>2.0</v>
      </c>
    </row>
    <row r="144" ht="14.25" customHeight="1">
      <c r="A144" s="42">
        <f t="shared" si="3"/>
        <v>206</v>
      </c>
      <c r="B144" s="150">
        <f t="shared" si="4"/>
        <v>20</v>
      </c>
      <c r="C144" s="42"/>
      <c r="D144" s="42"/>
      <c r="E144" s="42"/>
      <c r="F144" s="42">
        <v>35.0</v>
      </c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>
        <v>0.13</v>
      </c>
      <c r="Y144" s="42">
        <v>3.0</v>
      </c>
    </row>
    <row r="145" ht="14.25" customHeight="1">
      <c r="A145" s="42">
        <f t="shared" si="3"/>
        <v>206</v>
      </c>
      <c r="B145" s="150">
        <f t="shared" si="4"/>
        <v>5</v>
      </c>
      <c r="C145" s="42"/>
      <c r="D145" s="42"/>
      <c r="E145" s="42"/>
      <c r="F145" s="42">
        <v>81.0</v>
      </c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>
        <v>0.13</v>
      </c>
      <c r="Y145" s="42">
        <v>4.0</v>
      </c>
    </row>
    <row r="146" ht="14.25" customHeight="1">
      <c r="A146" s="42">
        <f t="shared" si="3"/>
        <v>206</v>
      </c>
      <c r="B146" s="150">
        <f t="shared" si="4"/>
        <v>950</v>
      </c>
      <c r="C146" s="42"/>
      <c r="D146" s="42"/>
      <c r="E146" s="42"/>
      <c r="F146" s="42"/>
      <c r="G146" s="42">
        <v>13.0</v>
      </c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>
        <v>0.13</v>
      </c>
      <c r="Y146" s="42">
        <v>1.0</v>
      </c>
    </row>
    <row r="147" ht="14.25" customHeight="1">
      <c r="A147" s="42">
        <f t="shared" si="3"/>
        <v>206</v>
      </c>
      <c r="B147" s="150">
        <f t="shared" si="4"/>
        <v>200</v>
      </c>
      <c r="C147" s="42"/>
      <c r="D147" s="42"/>
      <c r="E147" s="42"/>
      <c r="F147" s="42"/>
      <c r="G147" s="42">
        <v>19.0</v>
      </c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>
        <v>0.13</v>
      </c>
      <c r="Y147" s="42">
        <v>1.0</v>
      </c>
    </row>
    <row r="148" ht="14.25" customHeight="1">
      <c r="A148" s="42">
        <f t="shared" si="3"/>
        <v>206</v>
      </c>
      <c r="B148" s="150">
        <f t="shared" si="4"/>
        <v>75</v>
      </c>
      <c r="C148" s="42"/>
      <c r="D148" s="42"/>
      <c r="E148" s="42"/>
      <c r="F148" s="42"/>
      <c r="G148" s="42">
        <v>32.0</v>
      </c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>
        <v>0.13</v>
      </c>
      <c r="Y148" s="42">
        <v>2.0</v>
      </c>
    </row>
    <row r="149" ht="14.25" customHeight="1">
      <c r="A149" s="42">
        <f t="shared" si="3"/>
        <v>206</v>
      </c>
      <c r="B149" s="150">
        <f t="shared" si="4"/>
        <v>20</v>
      </c>
      <c r="C149" s="42"/>
      <c r="D149" s="42"/>
      <c r="E149" s="42"/>
      <c r="F149" s="42"/>
      <c r="G149" s="42">
        <v>61.0</v>
      </c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>
        <v>0.13</v>
      </c>
      <c r="Y149" s="42">
        <v>3.0</v>
      </c>
    </row>
    <row r="150" ht="14.25" customHeight="1">
      <c r="A150" s="42">
        <f t="shared" si="3"/>
        <v>206</v>
      </c>
      <c r="B150" s="150">
        <f t="shared" si="4"/>
        <v>5</v>
      </c>
      <c r="C150" s="42"/>
      <c r="D150" s="42"/>
      <c r="E150" s="42"/>
      <c r="F150" s="42"/>
      <c r="G150" s="42">
        <v>103.0</v>
      </c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>
        <v>0.13</v>
      </c>
      <c r="Y150" s="42">
        <v>4.0</v>
      </c>
    </row>
    <row r="151" ht="14.25" customHeight="1">
      <c r="A151" s="42">
        <f t="shared" si="3"/>
        <v>206</v>
      </c>
      <c r="B151" s="150">
        <f t="shared" si="4"/>
        <v>950</v>
      </c>
      <c r="C151" s="42"/>
      <c r="D151" s="42"/>
      <c r="E151" s="42"/>
      <c r="F151" s="42"/>
      <c r="G151" s="42"/>
      <c r="H151" s="42"/>
      <c r="I151" s="42"/>
      <c r="J151" s="42"/>
      <c r="K151" s="42">
        <v>0.01</v>
      </c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>
        <v>0.13</v>
      </c>
      <c r="Y151" s="42">
        <v>1.0</v>
      </c>
    </row>
    <row r="152" ht="14.25" customHeight="1">
      <c r="A152" s="42">
        <f t="shared" si="3"/>
        <v>206</v>
      </c>
      <c r="B152" s="150">
        <f t="shared" si="4"/>
        <v>200</v>
      </c>
      <c r="C152" s="42"/>
      <c r="D152" s="42"/>
      <c r="E152" s="42"/>
      <c r="F152" s="42"/>
      <c r="G152" s="42"/>
      <c r="H152" s="42"/>
      <c r="I152" s="42"/>
      <c r="J152" s="42"/>
      <c r="K152" s="42">
        <v>0.03</v>
      </c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>
        <v>0.13</v>
      </c>
      <c r="Y152" s="42">
        <v>1.0</v>
      </c>
    </row>
    <row r="153" ht="14.25" customHeight="1">
      <c r="A153" s="42">
        <f t="shared" si="3"/>
        <v>206</v>
      </c>
      <c r="B153" s="150">
        <f t="shared" si="4"/>
        <v>75</v>
      </c>
      <c r="C153" s="42"/>
      <c r="D153" s="42"/>
      <c r="E153" s="42"/>
      <c r="F153" s="42"/>
      <c r="G153" s="42"/>
      <c r="H153" s="42"/>
      <c r="I153" s="42"/>
      <c r="J153" s="42"/>
      <c r="K153" s="42">
        <v>0.05</v>
      </c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>
        <v>0.13</v>
      </c>
      <c r="Y153" s="42">
        <v>2.0</v>
      </c>
    </row>
    <row r="154" ht="14.25" customHeight="1">
      <c r="A154" s="42">
        <f t="shared" si="3"/>
        <v>206</v>
      </c>
      <c r="B154" s="150">
        <f t="shared" si="4"/>
        <v>20</v>
      </c>
      <c r="C154" s="42"/>
      <c r="D154" s="42"/>
      <c r="E154" s="42"/>
      <c r="F154" s="42"/>
      <c r="G154" s="42"/>
      <c r="H154" s="42"/>
      <c r="I154" s="42"/>
      <c r="J154" s="42"/>
      <c r="K154" s="42">
        <v>0.09</v>
      </c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>
        <v>0.13</v>
      </c>
      <c r="Y154" s="42">
        <v>3.0</v>
      </c>
    </row>
    <row r="155" ht="14.25" customHeight="1">
      <c r="A155" s="42">
        <f t="shared" si="3"/>
        <v>206</v>
      </c>
      <c r="B155" s="150">
        <f t="shared" si="4"/>
        <v>5</v>
      </c>
      <c r="C155" s="42"/>
      <c r="D155" s="42"/>
      <c r="E155" s="42"/>
      <c r="F155" s="42"/>
      <c r="G155" s="42"/>
      <c r="H155" s="42"/>
      <c r="I155" s="42"/>
      <c r="J155" s="42"/>
      <c r="K155" s="42">
        <v>0.15</v>
      </c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>
        <v>0.13</v>
      </c>
      <c r="Y155" s="42">
        <v>4.0</v>
      </c>
    </row>
    <row r="156" ht="14.25" customHeight="1">
      <c r="A156" s="42">
        <f t="shared" si="3"/>
        <v>206</v>
      </c>
      <c r="B156" s="150">
        <v>1900.0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>
        <v>0.01</v>
      </c>
      <c r="O156" s="42"/>
      <c r="P156" s="42"/>
      <c r="Q156" s="42"/>
      <c r="R156" s="42"/>
      <c r="S156" s="42"/>
      <c r="T156" s="42"/>
      <c r="U156" s="42"/>
      <c r="V156" s="42"/>
      <c r="W156" s="42"/>
      <c r="X156" s="42">
        <v>0.13</v>
      </c>
      <c r="Y156" s="42">
        <v>1.0</v>
      </c>
    </row>
    <row r="157" ht="14.25" customHeight="1">
      <c r="A157" s="42">
        <f t="shared" si="3"/>
        <v>206</v>
      </c>
      <c r="B157" s="150">
        <v>400.0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>
        <v>0.03</v>
      </c>
      <c r="O157" s="42"/>
      <c r="P157" s="42"/>
      <c r="Q157" s="42"/>
      <c r="R157" s="42"/>
      <c r="S157" s="42"/>
      <c r="T157" s="42"/>
      <c r="U157" s="42"/>
      <c r="V157" s="42"/>
      <c r="W157" s="42"/>
      <c r="X157" s="42">
        <v>0.13</v>
      </c>
      <c r="Y157" s="42">
        <v>1.0</v>
      </c>
    </row>
    <row r="158" ht="14.25" customHeight="1">
      <c r="A158" s="42">
        <f t="shared" si="3"/>
        <v>206</v>
      </c>
      <c r="B158" s="150">
        <v>150.0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>
        <v>0.05</v>
      </c>
      <c r="O158" s="42"/>
      <c r="P158" s="42"/>
      <c r="Q158" s="42"/>
      <c r="R158" s="42"/>
      <c r="S158" s="42"/>
      <c r="T158" s="42"/>
      <c r="U158" s="42"/>
      <c r="V158" s="42"/>
      <c r="W158" s="42"/>
      <c r="X158" s="42">
        <v>0.13</v>
      </c>
      <c r="Y158" s="42">
        <v>2.0</v>
      </c>
    </row>
    <row r="159" ht="14.25" customHeight="1">
      <c r="A159" s="42">
        <f t="shared" si="3"/>
        <v>206</v>
      </c>
      <c r="B159" s="150">
        <v>40.0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>
        <v>0.09</v>
      </c>
      <c r="O159" s="42"/>
      <c r="P159" s="42"/>
      <c r="Q159" s="42"/>
      <c r="R159" s="42"/>
      <c r="S159" s="42"/>
      <c r="T159" s="42"/>
      <c r="U159" s="42"/>
      <c r="V159" s="42"/>
      <c r="W159" s="42"/>
      <c r="X159" s="42">
        <v>0.13</v>
      </c>
      <c r="Y159" s="42">
        <v>3.0</v>
      </c>
    </row>
    <row r="160" ht="14.25" customHeight="1">
      <c r="A160" s="42">
        <f t="shared" si="3"/>
        <v>206</v>
      </c>
      <c r="B160" s="150">
        <v>10.0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>
        <v>0.15</v>
      </c>
      <c r="O160" s="42"/>
      <c r="P160" s="42"/>
      <c r="Q160" s="42"/>
      <c r="R160" s="42"/>
      <c r="S160" s="42"/>
      <c r="T160" s="42"/>
      <c r="U160" s="42"/>
      <c r="V160" s="42"/>
      <c r="W160" s="42"/>
      <c r="X160" s="42">
        <v>0.13</v>
      </c>
      <c r="Y160" s="42">
        <v>4.0</v>
      </c>
    </row>
    <row r="161" ht="14.25" customHeight="1">
      <c r="A161" s="152">
        <f t="shared" si="3"/>
        <v>207</v>
      </c>
      <c r="B161" s="152">
        <v>5350.0</v>
      </c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>
        <v>0.11</v>
      </c>
      <c r="Y161" s="153">
        <v>1.0</v>
      </c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</row>
    <row r="162" ht="14.25" customHeight="1">
      <c r="A162" s="152">
        <f t="shared" si="3"/>
        <v>207</v>
      </c>
      <c r="B162" s="152">
        <v>550.0</v>
      </c>
      <c r="C162" s="152">
        <v>90.0</v>
      </c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>
        <v>0.11</v>
      </c>
      <c r="Y162" s="153">
        <v>1.0</v>
      </c>
      <c r="Z162" s="154"/>
      <c r="AA162" s="154"/>
      <c r="AB162" s="154"/>
      <c r="AC162" s="154"/>
      <c r="AD162" s="154"/>
      <c r="AE162" s="154"/>
      <c r="AF162" s="154"/>
      <c r="AG162" s="154"/>
      <c r="AH162" s="154"/>
      <c r="AI162" s="154"/>
      <c r="AJ162" s="154"/>
    </row>
    <row r="163" ht="14.25" customHeight="1">
      <c r="A163" s="152">
        <f t="shared" si="3"/>
        <v>207</v>
      </c>
      <c r="B163" s="152">
        <f>B142/2</f>
        <v>100</v>
      </c>
      <c r="C163" s="152">
        <v>165.0</v>
      </c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>
        <v>0.11</v>
      </c>
      <c r="Y163" s="153">
        <v>1.0</v>
      </c>
      <c r="Z163" s="154"/>
      <c r="AA163" s="154"/>
      <c r="AB163" s="154"/>
      <c r="AC163" s="154"/>
      <c r="AD163" s="154"/>
      <c r="AE163" s="154"/>
      <c r="AF163" s="154"/>
      <c r="AG163" s="154"/>
      <c r="AH163" s="154"/>
      <c r="AI163" s="154"/>
      <c r="AJ163" s="154"/>
    </row>
    <row r="164" ht="14.25" customHeight="1">
      <c r="A164" s="152">
        <f t="shared" si="3"/>
        <v>207</v>
      </c>
      <c r="B164" s="152">
        <v>35.0</v>
      </c>
      <c r="C164" s="152">
        <v>300.0</v>
      </c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>
        <v>0.11</v>
      </c>
      <c r="Y164" s="153">
        <v>2.0</v>
      </c>
      <c r="Z164" s="154"/>
      <c r="AA164" s="154"/>
      <c r="AB164" s="154"/>
      <c r="AC164" s="154"/>
      <c r="AD164" s="154"/>
      <c r="AE164" s="154"/>
      <c r="AF164" s="154"/>
      <c r="AG164" s="154"/>
      <c r="AH164" s="154"/>
      <c r="AI164" s="154"/>
      <c r="AJ164" s="154"/>
    </row>
    <row r="165" ht="14.25" customHeight="1">
      <c r="A165" s="152">
        <f t="shared" si="3"/>
        <v>207</v>
      </c>
      <c r="B165" s="152">
        <f>B144/2</f>
        <v>10</v>
      </c>
      <c r="C165" s="152">
        <v>570.0</v>
      </c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>
        <v>0.11</v>
      </c>
      <c r="Y165" s="153">
        <v>3.0</v>
      </c>
      <c r="Z165" s="154"/>
      <c r="AA165" s="154"/>
      <c r="AB165" s="154"/>
      <c r="AC165" s="154"/>
      <c r="AD165" s="154"/>
      <c r="AE165" s="154"/>
      <c r="AF165" s="154"/>
      <c r="AG165" s="154"/>
      <c r="AH165" s="154"/>
      <c r="AI165" s="154"/>
      <c r="AJ165" s="154"/>
    </row>
    <row r="166" ht="14.25" customHeight="1">
      <c r="A166" s="152">
        <f t="shared" si="3"/>
        <v>207</v>
      </c>
      <c r="B166" s="152">
        <v>5.0</v>
      </c>
      <c r="C166" s="152">
        <v>1050.0</v>
      </c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>
        <v>0.11</v>
      </c>
      <c r="Y166" s="153">
        <v>4.0</v>
      </c>
      <c r="Z166" s="154"/>
      <c r="AA166" s="154"/>
      <c r="AB166" s="154"/>
      <c r="AC166" s="154"/>
      <c r="AD166" s="154"/>
      <c r="AE166" s="154"/>
      <c r="AF166" s="154"/>
      <c r="AG166" s="154"/>
      <c r="AH166" s="154"/>
      <c r="AI166" s="154"/>
      <c r="AJ166" s="154"/>
    </row>
    <row r="167" ht="14.25" customHeight="1">
      <c r="A167" s="152">
        <f t="shared" si="3"/>
        <v>207</v>
      </c>
      <c r="B167" s="152">
        <v>550.0</v>
      </c>
      <c r="C167" s="152"/>
      <c r="D167" s="152"/>
      <c r="E167" s="152"/>
      <c r="F167" s="152">
        <v>9.0</v>
      </c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>
        <v>0.11</v>
      </c>
      <c r="Y167" s="153">
        <v>1.0</v>
      </c>
      <c r="Z167" s="154"/>
      <c r="AA167" s="154"/>
      <c r="AB167" s="154"/>
      <c r="AC167" s="154"/>
      <c r="AD167" s="154"/>
      <c r="AE167" s="154"/>
      <c r="AF167" s="154"/>
      <c r="AG167" s="154"/>
      <c r="AH167" s="154"/>
      <c r="AI167" s="154"/>
      <c r="AJ167" s="154"/>
    </row>
    <row r="168" ht="14.25" customHeight="1">
      <c r="A168" s="152">
        <f t="shared" si="3"/>
        <v>207</v>
      </c>
      <c r="B168" s="152">
        <f>B147/2</f>
        <v>100</v>
      </c>
      <c r="C168" s="152"/>
      <c r="D168" s="152"/>
      <c r="E168" s="152"/>
      <c r="F168" s="152">
        <v>14.0</v>
      </c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>
        <v>0.11</v>
      </c>
      <c r="Y168" s="153">
        <v>1.0</v>
      </c>
      <c r="Z168" s="154"/>
      <c r="AA168" s="154"/>
      <c r="AB168" s="154"/>
      <c r="AC168" s="154"/>
      <c r="AD168" s="154"/>
      <c r="AE168" s="154"/>
      <c r="AF168" s="154"/>
      <c r="AG168" s="154"/>
      <c r="AH168" s="154"/>
      <c r="AI168" s="154"/>
      <c r="AJ168" s="154"/>
    </row>
    <row r="169" ht="14.25" customHeight="1">
      <c r="A169" s="152">
        <f t="shared" si="3"/>
        <v>207</v>
      </c>
      <c r="B169" s="152">
        <v>35.0</v>
      </c>
      <c r="C169" s="152"/>
      <c r="D169" s="152"/>
      <c r="E169" s="152"/>
      <c r="F169" s="152">
        <v>23.0</v>
      </c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>
        <v>0.11</v>
      </c>
      <c r="Y169" s="153">
        <v>2.0</v>
      </c>
      <c r="Z169" s="154"/>
      <c r="AA169" s="154"/>
      <c r="AB169" s="154"/>
      <c r="AC169" s="154"/>
      <c r="AD169" s="154"/>
      <c r="AE169" s="154"/>
      <c r="AF169" s="154"/>
      <c r="AG169" s="154"/>
      <c r="AH169" s="154"/>
      <c r="AI169" s="154"/>
      <c r="AJ169" s="154"/>
    </row>
    <row r="170" ht="14.25" customHeight="1">
      <c r="A170" s="152">
        <f t="shared" si="3"/>
        <v>207</v>
      </c>
      <c r="B170" s="152">
        <f>B149/2</f>
        <v>10</v>
      </c>
      <c r="C170" s="152"/>
      <c r="D170" s="152"/>
      <c r="E170" s="152"/>
      <c r="F170" s="152">
        <v>35.0</v>
      </c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>
        <v>0.11</v>
      </c>
      <c r="Y170" s="153">
        <v>3.0</v>
      </c>
      <c r="Z170" s="154"/>
      <c r="AA170" s="154"/>
      <c r="AB170" s="154"/>
      <c r="AC170" s="154"/>
      <c r="AD170" s="154"/>
      <c r="AE170" s="154"/>
      <c r="AF170" s="154"/>
      <c r="AG170" s="154"/>
      <c r="AH170" s="154"/>
      <c r="AI170" s="154"/>
      <c r="AJ170" s="154"/>
    </row>
    <row r="171" ht="14.25" customHeight="1">
      <c r="A171" s="152">
        <f t="shared" si="3"/>
        <v>207</v>
      </c>
      <c r="B171" s="152">
        <v>5.0</v>
      </c>
      <c r="C171" s="152"/>
      <c r="D171" s="152"/>
      <c r="E171" s="152"/>
      <c r="F171" s="152">
        <v>81.0</v>
      </c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>
        <v>0.11</v>
      </c>
      <c r="Y171" s="153">
        <v>4.0</v>
      </c>
      <c r="Z171" s="154"/>
      <c r="AA171" s="154"/>
      <c r="AB171" s="154"/>
      <c r="AC171" s="154"/>
      <c r="AD171" s="154"/>
      <c r="AE171" s="154"/>
      <c r="AF171" s="154"/>
      <c r="AG171" s="154"/>
      <c r="AH171" s="154"/>
      <c r="AI171" s="154"/>
      <c r="AJ171" s="154"/>
    </row>
    <row r="172" ht="14.25" customHeight="1">
      <c r="A172" s="152">
        <f t="shared" si="3"/>
        <v>207</v>
      </c>
      <c r="B172" s="152">
        <v>550.0</v>
      </c>
      <c r="C172" s="152"/>
      <c r="D172" s="152"/>
      <c r="E172" s="152"/>
      <c r="F172" s="152"/>
      <c r="G172" s="152">
        <v>13.0</v>
      </c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>
        <v>0.11</v>
      </c>
      <c r="Y172" s="153">
        <v>1.0</v>
      </c>
      <c r="Z172" s="154"/>
      <c r="AA172" s="154"/>
      <c r="AB172" s="154"/>
      <c r="AC172" s="154"/>
      <c r="AD172" s="154"/>
      <c r="AE172" s="154"/>
      <c r="AF172" s="154"/>
      <c r="AG172" s="154"/>
      <c r="AH172" s="154"/>
      <c r="AI172" s="154"/>
      <c r="AJ172" s="154"/>
    </row>
    <row r="173" ht="14.25" customHeight="1">
      <c r="A173" s="152">
        <f t="shared" si="3"/>
        <v>207</v>
      </c>
      <c r="B173" s="152">
        <f>B152/2</f>
        <v>100</v>
      </c>
      <c r="C173" s="152"/>
      <c r="D173" s="152"/>
      <c r="E173" s="152"/>
      <c r="F173" s="152"/>
      <c r="G173" s="152">
        <v>19.0</v>
      </c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>
        <v>0.11</v>
      </c>
      <c r="Y173" s="153">
        <v>1.0</v>
      </c>
      <c r="Z173" s="154"/>
      <c r="AA173" s="154"/>
      <c r="AB173" s="154"/>
      <c r="AC173" s="154"/>
      <c r="AD173" s="154"/>
      <c r="AE173" s="154"/>
      <c r="AF173" s="154"/>
      <c r="AG173" s="154"/>
      <c r="AH173" s="154"/>
      <c r="AI173" s="154"/>
      <c r="AJ173" s="154"/>
    </row>
    <row r="174" ht="14.25" customHeight="1">
      <c r="A174" s="152">
        <f t="shared" si="3"/>
        <v>207</v>
      </c>
      <c r="B174" s="152">
        <v>35.0</v>
      </c>
      <c r="C174" s="152"/>
      <c r="D174" s="152"/>
      <c r="E174" s="152"/>
      <c r="F174" s="152"/>
      <c r="G174" s="152">
        <v>32.0</v>
      </c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>
        <v>0.11</v>
      </c>
      <c r="Y174" s="153">
        <v>2.0</v>
      </c>
      <c r="Z174" s="154"/>
      <c r="AA174" s="154"/>
      <c r="AB174" s="154"/>
      <c r="AC174" s="154"/>
      <c r="AD174" s="154"/>
      <c r="AE174" s="154"/>
      <c r="AF174" s="154"/>
      <c r="AG174" s="154"/>
      <c r="AH174" s="154"/>
      <c r="AI174" s="154"/>
      <c r="AJ174" s="154"/>
    </row>
    <row r="175" ht="14.25" customHeight="1">
      <c r="A175" s="152">
        <f t="shared" si="3"/>
        <v>207</v>
      </c>
      <c r="B175" s="152">
        <v>10.0</v>
      </c>
      <c r="C175" s="152"/>
      <c r="D175" s="152"/>
      <c r="E175" s="152"/>
      <c r="F175" s="152"/>
      <c r="G175" s="152">
        <v>61.0</v>
      </c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>
        <v>0.11</v>
      </c>
      <c r="Y175" s="153">
        <v>3.0</v>
      </c>
      <c r="Z175" s="154"/>
      <c r="AA175" s="154"/>
      <c r="AB175" s="154"/>
      <c r="AC175" s="154"/>
      <c r="AD175" s="154"/>
      <c r="AE175" s="154"/>
      <c r="AF175" s="154"/>
      <c r="AG175" s="154"/>
      <c r="AH175" s="154"/>
      <c r="AI175" s="154"/>
      <c r="AJ175" s="154"/>
    </row>
    <row r="176" ht="14.25" customHeight="1">
      <c r="A176" s="152">
        <f t="shared" si="3"/>
        <v>207</v>
      </c>
      <c r="B176" s="152">
        <v>5.0</v>
      </c>
      <c r="C176" s="152"/>
      <c r="D176" s="152"/>
      <c r="E176" s="152"/>
      <c r="F176" s="152"/>
      <c r="G176" s="152">
        <v>103.0</v>
      </c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>
        <v>0.11</v>
      </c>
      <c r="Y176" s="153">
        <v>4.0</v>
      </c>
      <c r="Z176" s="154"/>
      <c r="AA176" s="154"/>
      <c r="AB176" s="154"/>
      <c r="AC176" s="154"/>
      <c r="AD176" s="154"/>
      <c r="AE176" s="154"/>
      <c r="AF176" s="154"/>
      <c r="AG176" s="154"/>
      <c r="AH176" s="154"/>
      <c r="AI176" s="154"/>
      <c r="AJ176" s="154"/>
    </row>
    <row r="177" ht="14.25" customHeight="1">
      <c r="A177" s="152">
        <f t="shared" si="3"/>
        <v>207</v>
      </c>
      <c r="B177" s="152">
        <v>550.0</v>
      </c>
      <c r="C177" s="152"/>
      <c r="D177" s="152"/>
      <c r="E177" s="152"/>
      <c r="F177" s="152"/>
      <c r="G177" s="152"/>
      <c r="H177" s="152"/>
      <c r="I177" s="152"/>
      <c r="J177" s="152"/>
      <c r="K177" s="152">
        <v>0.01</v>
      </c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>
        <v>0.11</v>
      </c>
      <c r="Y177" s="153">
        <v>1.0</v>
      </c>
      <c r="Z177" s="154"/>
      <c r="AA177" s="154"/>
      <c r="AB177" s="154"/>
      <c r="AC177" s="154"/>
      <c r="AD177" s="154"/>
      <c r="AE177" s="154"/>
      <c r="AF177" s="154"/>
      <c r="AG177" s="154"/>
      <c r="AH177" s="154"/>
      <c r="AI177" s="154"/>
      <c r="AJ177" s="154"/>
    </row>
    <row r="178" ht="14.25" customHeight="1">
      <c r="A178" s="152">
        <f t="shared" si="3"/>
        <v>207</v>
      </c>
      <c r="B178" s="152">
        <f>B157/2</f>
        <v>200</v>
      </c>
      <c r="C178" s="152"/>
      <c r="D178" s="152"/>
      <c r="E178" s="152"/>
      <c r="F178" s="152"/>
      <c r="G178" s="152"/>
      <c r="H178" s="152"/>
      <c r="I178" s="152"/>
      <c r="J178" s="152"/>
      <c r="K178" s="152">
        <v>0.03</v>
      </c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>
        <v>0.11</v>
      </c>
      <c r="Y178" s="153">
        <v>1.0</v>
      </c>
      <c r="Z178" s="154"/>
      <c r="AA178" s="154"/>
      <c r="AB178" s="154"/>
      <c r="AC178" s="154"/>
      <c r="AD178" s="154"/>
      <c r="AE178" s="154"/>
      <c r="AF178" s="154"/>
      <c r="AG178" s="154"/>
      <c r="AH178" s="154"/>
      <c r="AI178" s="154"/>
      <c r="AJ178" s="154"/>
    </row>
    <row r="179" ht="14.25" customHeight="1">
      <c r="A179" s="152">
        <f t="shared" si="3"/>
        <v>207</v>
      </c>
      <c r="B179" s="152">
        <v>35.0</v>
      </c>
      <c r="C179" s="152"/>
      <c r="D179" s="152"/>
      <c r="E179" s="152"/>
      <c r="F179" s="152"/>
      <c r="G179" s="152"/>
      <c r="H179" s="152"/>
      <c r="I179" s="152"/>
      <c r="J179" s="152"/>
      <c r="K179" s="152">
        <v>0.05</v>
      </c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>
        <v>0.11</v>
      </c>
      <c r="Y179" s="153">
        <v>2.0</v>
      </c>
      <c r="Z179" s="154"/>
      <c r="AA179" s="154"/>
      <c r="AB179" s="154"/>
      <c r="AC179" s="154"/>
      <c r="AD179" s="154"/>
      <c r="AE179" s="154"/>
      <c r="AF179" s="154"/>
      <c r="AG179" s="154"/>
      <c r="AH179" s="154"/>
      <c r="AI179" s="154"/>
      <c r="AJ179" s="154"/>
    </row>
    <row r="180" ht="14.25" customHeight="1">
      <c r="A180" s="152">
        <f t="shared" si="3"/>
        <v>207</v>
      </c>
      <c r="B180" s="152">
        <v>10.0</v>
      </c>
      <c r="C180" s="152"/>
      <c r="D180" s="152"/>
      <c r="E180" s="152"/>
      <c r="F180" s="152"/>
      <c r="G180" s="152"/>
      <c r="H180" s="152"/>
      <c r="I180" s="152"/>
      <c r="J180" s="152"/>
      <c r="K180" s="152">
        <v>0.09</v>
      </c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>
        <v>0.11</v>
      </c>
      <c r="Y180" s="153">
        <v>3.0</v>
      </c>
      <c r="Z180" s="154"/>
      <c r="AA180" s="154"/>
      <c r="AB180" s="154"/>
      <c r="AC180" s="154"/>
      <c r="AD180" s="154"/>
      <c r="AE180" s="154"/>
      <c r="AF180" s="154"/>
      <c r="AG180" s="154"/>
      <c r="AH180" s="154"/>
      <c r="AI180" s="154"/>
      <c r="AJ180" s="154"/>
    </row>
    <row r="181" ht="14.25" customHeight="1">
      <c r="A181" s="152">
        <f t="shared" si="3"/>
        <v>207</v>
      </c>
      <c r="B181" s="152">
        <v>5.0</v>
      </c>
      <c r="C181" s="152"/>
      <c r="D181" s="152"/>
      <c r="E181" s="152"/>
      <c r="F181" s="152"/>
      <c r="G181" s="152"/>
      <c r="H181" s="152"/>
      <c r="I181" s="152"/>
      <c r="J181" s="152"/>
      <c r="K181" s="152">
        <v>0.15</v>
      </c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>
        <v>0.11</v>
      </c>
      <c r="Y181" s="153">
        <v>4.0</v>
      </c>
      <c r="Z181" s="154"/>
      <c r="AA181" s="154"/>
      <c r="AB181" s="154"/>
      <c r="AC181" s="154"/>
      <c r="AD181" s="154"/>
      <c r="AE181" s="154"/>
      <c r="AF181" s="154"/>
      <c r="AG181" s="154"/>
      <c r="AH181" s="154"/>
      <c r="AI181" s="154"/>
      <c r="AJ181" s="154"/>
    </row>
    <row r="182" ht="14.25" customHeight="1">
      <c r="A182" s="152">
        <f t="shared" si="3"/>
        <v>207</v>
      </c>
      <c r="B182" s="152">
        <v>550.0</v>
      </c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>
        <v>0.01</v>
      </c>
      <c r="O182" s="152"/>
      <c r="P182" s="152"/>
      <c r="Q182" s="152"/>
      <c r="R182" s="152"/>
      <c r="S182" s="152"/>
      <c r="T182" s="152"/>
      <c r="U182" s="152"/>
      <c r="V182" s="152"/>
      <c r="W182" s="152"/>
      <c r="X182" s="152">
        <v>0.11</v>
      </c>
      <c r="Y182" s="153">
        <v>1.0</v>
      </c>
      <c r="Z182" s="154"/>
      <c r="AA182" s="154"/>
      <c r="AB182" s="154"/>
      <c r="AC182" s="154"/>
      <c r="AD182" s="154"/>
      <c r="AE182" s="154"/>
      <c r="AF182" s="154"/>
      <c r="AG182" s="154"/>
      <c r="AH182" s="154"/>
      <c r="AI182" s="154"/>
      <c r="AJ182" s="154"/>
    </row>
    <row r="183" ht="14.25" customHeight="1">
      <c r="A183" s="152">
        <f t="shared" si="3"/>
        <v>207</v>
      </c>
      <c r="B183" s="152">
        <f>B162/2</f>
        <v>275</v>
      </c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>
        <v>0.03</v>
      </c>
      <c r="O183" s="152"/>
      <c r="P183" s="152"/>
      <c r="Q183" s="152"/>
      <c r="R183" s="152"/>
      <c r="S183" s="152"/>
      <c r="T183" s="152"/>
      <c r="U183" s="152"/>
      <c r="V183" s="152"/>
      <c r="W183" s="152"/>
      <c r="X183" s="152">
        <v>0.11</v>
      </c>
      <c r="Y183" s="153">
        <v>1.0</v>
      </c>
      <c r="Z183" s="154"/>
      <c r="AA183" s="154"/>
      <c r="AB183" s="154"/>
      <c r="AC183" s="154"/>
      <c r="AD183" s="154"/>
      <c r="AE183" s="154"/>
      <c r="AF183" s="154"/>
      <c r="AG183" s="154"/>
      <c r="AH183" s="154"/>
      <c r="AI183" s="154"/>
      <c r="AJ183" s="154"/>
    </row>
    <row r="184" ht="14.25" customHeight="1">
      <c r="A184" s="152">
        <f t="shared" si="3"/>
        <v>207</v>
      </c>
      <c r="B184" s="152">
        <v>35.0</v>
      </c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>
        <v>0.05</v>
      </c>
      <c r="O184" s="152"/>
      <c r="P184" s="152"/>
      <c r="Q184" s="152"/>
      <c r="R184" s="152"/>
      <c r="S184" s="152"/>
      <c r="T184" s="152"/>
      <c r="U184" s="152"/>
      <c r="V184" s="152"/>
      <c r="W184" s="152"/>
      <c r="X184" s="152">
        <v>0.11</v>
      </c>
      <c r="Y184" s="153">
        <v>2.0</v>
      </c>
      <c r="Z184" s="154"/>
      <c r="AA184" s="154"/>
      <c r="AB184" s="154"/>
      <c r="AC184" s="154"/>
      <c r="AD184" s="154"/>
      <c r="AE184" s="154"/>
      <c r="AF184" s="154"/>
      <c r="AG184" s="154"/>
      <c r="AH184" s="154"/>
      <c r="AI184" s="154"/>
      <c r="AJ184" s="154"/>
    </row>
    <row r="185" ht="14.25" customHeight="1">
      <c r="A185" s="152">
        <f t="shared" si="3"/>
        <v>207</v>
      </c>
      <c r="B185" s="152">
        <v>10.0</v>
      </c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>
        <v>0.09</v>
      </c>
      <c r="O185" s="152"/>
      <c r="P185" s="152"/>
      <c r="Q185" s="152"/>
      <c r="R185" s="152"/>
      <c r="S185" s="152"/>
      <c r="T185" s="152"/>
      <c r="U185" s="152"/>
      <c r="V185" s="152"/>
      <c r="W185" s="152"/>
      <c r="X185" s="152">
        <v>0.11</v>
      </c>
      <c r="Y185" s="153">
        <v>3.0</v>
      </c>
      <c r="Z185" s="154"/>
      <c r="AA185" s="154"/>
      <c r="AB185" s="154"/>
      <c r="AC185" s="154"/>
      <c r="AD185" s="154"/>
      <c r="AE185" s="154"/>
      <c r="AF185" s="154"/>
      <c r="AG185" s="154"/>
      <c r="AH185" s="154"/>
      <c r="AI185" s="154"/>
      <c r="AJ185" s="154"/>
    </row>
    <row r="186" ht="14.25" customHeight="1">
      <c r="A186" s="152">
        <f t="shared" si="3"/>
        <v>207</v>
      </c>
      <c r="B186" s="152">
        <v>5.0</v>
      </c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>
        <v>0.15</v>
      </c>
      <c r="O186" s="152"/>
      <c r="P186" s="152"/>
      <c r="Q186" s="152"/>
      <c r="R186" s="152"/>
      <c r="S186" s="152"/>
      <c r="T186" s="152"/>
      <c r="U186" s="152"/>
      <c r="V186" s="152"/>
      <c r="W186" s="152"/>
      <c r="X186" s="152">
        <v>0.11</v>
      </c>
      <c r="Y186" s="153">
        <v>4.0</v>
      </c>
      <c r="Z186" s="154"/>
      <c r="AA186" s="154"/>
      <c r="AB186" s="154"/>
      <c r="AC186" s="154"/>
      <c r="AD186" s="154"/>
      <c r="AE186" s="154"/>
      <c r="AF186" s="154"/>
      <c r="AG186" s="154"/>
      <c r="AH186" s="154"/>
      <c r="AI186" s="154"/>
      <c r="AJ186" s="154"/>
    </row>
    <row r="187" ht="14.25" customHeight="1">
      <c r="A187" s="152">
        <f t="shared" si="3"/>
        <v>207</v>
      </c>
      <c r="B187" s="152">
        <v>550.0</v>
      </c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>
        <v>0.01</v>
      </c>
      <c r="R187" s="152"/>
      <c r="S187" s="152"/>
      <c r="T187" s="152"/>
      <c r="U187" s="152"/>
      <c r="V187" s="152"/>
      <c r="W187" s="152"/>
      <c r="X187" s="152">
        <v>0.11</v>
      </c>
      <c r="Y187" s="153">
        <v>1.0</v>
      </c>
      <c r="Z187" s="154"/>
      <c r="AA187" s="154"/>
      <c r="AB187" s="154"/>
      <c r="AC187" s="154"/>
      <c r="AD187" s="154"/>
      <c r="AE187" s="154"/>
      <c r="AF187" s="154"/>
      <c r="AG187" s="154"/>
      <c r="AH187" s="154"/>
      <c r="AI187" s="154"/>
      <c r="AJ187" s="154"/>
    </row>
    <row r="188" ht="14.25" customHeight="1">
      <c r="A188" s="152">
        <f t="shared" si="3"/>
        <v>207</v>
      </c>
      <c r="B188" s="152">
        <f>B167/2</f>
        <v>275</v>
      </c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>
        <v>0.03</v>
      </c>
      <c r="R188" s="152"/>
      <c r="S188" s="152"/>
      <c r="T188" s="152"/>
      <c r="U188" s="152"/>
      <c r="V188" s="152"/>
      <c r="W188" s="152"/>
      <c r="X188" s="152">
        <v>0.11</v>
      </c>
      <c r="Y188" s="153">
        <v>1.0</v>
      </c>
      <c r="Z188" s="154"/>
      <c r="AA188" s="154"/>
      <c r="AB188" s="154"/>
      <c r="AC188" s="154"/>
      <c r="AD188" s="154"/>
      <c r="AE188" s="154"/>
      <c r="AF188" s="154"/>
      <c r="AG188" s="154"/>
      <c r="AH188" s="154"/>
      <c r="AI188" s="154"/>
      <c r="AJ188" s="154"/>
    </row>
    <row r="189" ht="14.25" customHeight="1">
      <c r="A189" s="152">
        <f t="shared" si="3"/>
        <v>207</v>
      </c>
      <c r="B189" s="152">
        <v>35.0</v>
      </c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>
        <v>0.05</v>
      </c>
      <c r="R189" s="152"/>
      <c r="S189" s="152"/>
      <c r="T189" s="152"/>
      <c r="U189" s="152"/>
      <c r="V189" s="152"/>
      <c r="W189" s="152"/>
      <c r="X189" s="152">
        <v>0.11</v>
      </c>
      <c r="Y189" s="153">
        <v>2.0</v>
      </c>
      <c r="Z189" s="154"/>
      <c r="AA189" s="154"/>
      <c r="AB189" s="154"/>
      <c r="AC189" s="154"/>
      <c r="AD189" s="154"/>
      <c r="AE189" s="154"/>
      <c r="AF189" s="154"/>
      <c r="AG189" s="154"/>
      <c r="AH189" s="154"/>
      <c r="AI189" s="154"/>
      <c r="AJ189" s="154"/>
    </row>
    <row r="190" ht="14.25" customHeight="1">
      <c r="A190" s="152">
        <f t="shared" si="3"/>
        <v>207</v>
      </c>
      <c r="B190" s="152">
        <v>10.0</v>
      </c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>
        <v>0.09</v>
      </c>
      <c r="R190" s="152"/>
      <c r="S190" s="152"/>
      <c r="T190" s="152"/>
      <c r="U190" s="152"/>
      <c r="V190" s="152"/>
      <c r="W190" s="152"/>
      <c r="X190" s="152">
        <v>0.11</v>
      </c>
      <c r="Y190" s="153">
        <v>3.0</v>
      </c>
      <c r="Z190" s="154"/>
      <c r="AA190" s="154"/>
      <c r="AB190" s="154"/>
      <c r="AC190" s="154"/>
      <c r="AD190" s="154"/>
      <c r="AE190" s="154"/>
      <c r="AF190" s="154"/>
      <c r="AG190" s="154"/>
      <c r="AH190" s="154"/>
      <c r="AI190" s="154"/>
      <c r="AJ190" s="154"/>
    </row>
    <row r="191" ht="14.25" customHeight="1">
      <c r="A191" s="152">
        <f t="shared" si="3"/>
        <v>207</v>
      </c>
      <c r="B191" s="152">
        <v>5.0</v>
      </c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>
        <v>0.15</v>
      </c>
      <c r="R191" s="152"/>
      <c r="S191" s="152"/>
      <c r="T191" s="152"/>
      <c r="U191" s="152"/>
      <c r="V191" s="152"/>
      <c r="W191" s="152"/>
      <c r="X191" s="152">
        <v>0.11</v>
      </c>
      <c r="Y191" s="153">
        <v>4.0</v>
      </c>
      <c r="Z191" s="154"/>
      <c r="AA191" s="154"/>
      <c r="AB191" s="154"/>
      <c r="AC191" s="154"/>
      <c r="AD191" s="154"/>
      <c r="AE191" s="154"/>
      <c r="AF191" s="154"/>
      <c r="AG191" s="154"/>
      <c r="AH191" s="154"/>
      <c r="AI191" s="154"/>
      <c r="AJ191" s="154"/>
    </row>
    <row r="192" ht="14.25" customHeight="1">
      <c r="A192" s="150">
        <f t="shared" si="3"/>
        <v>208</v>
      </c>
      <c r="B192" s="150">
        <v>4050.0</v>
      </c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>
        <v>0.08</v>
      </c>
      <c r="Y192" s="150">
        <v>1.0</v>
      </c>
      <c r="Z192" s="156"/>
      <c r="AA192" s="156"/>
      <c r="AB192" s="156"/>
      <c r="AC192" s="156"/>
      <c r="AD192" s="156"/>
      <c r="AE192" s="156"/>
      <c r="AF192" s="156"/>
      <c r="AG192" s="156"/>
      <c r="AH192" s="156"/>
      <c r="AI192" s="156"/>
      <c r="AJ192" s="156"/>
    </row>
    <row r="193" ht="14.25" customHeight="1">
      <c r="A193" s="150">
        <f t="shared" si="3"/>
        <v>208</v>
      </c>
      <c r="B193" s="150">
        <v>650.0</v>
      </c>
      <c r="C193" s="150">
        <v>90.0</v>
      </c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>
        <v>0.08</v>
      </c>
      <c r="Y193" s="150">
        <v>1.0</v>
      </c>
      <c r="Z193" s="156"/>
      <c r="AA193" s="156"/>
      <c r="AB193" s="156"/>
      <c r="AC193" s="156"/>
      <c r="AD193" s="156"/>
      <c r="AE193" s="156"/>
      <c r="AF193" s="156"/>
      <c r="AG193" s="156"/>
      <c r="AH193" s="156"/>
      <c r="AI193" s="156"/>
      <c r="AJ193" s="156"/>
    </row>
    <row r="194" ht="14.25" customHeight="1">
      <c r="A194" s="150">
        <f t="shared" si="3"/>
        <v>208</v>
      </c>
      <c r="B194" s="150">
        <v>150.0</v>
      </c>
      <c r="C194" s="150">
        <v>165.0</v>
      </c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>
        <v>0.08</v>
      </c>
      <c r="Y194" s="150">
        <v>1.0</v>
      </c>
      <c r="Z194" s="156"/>
      <c r="AA194" s="156"/>
      <c r="AB194" s="156"/>
      <c r="AC194" s="156"/>
      <c r="AD194" s="156"/>
      <c r="AE194" s="156"/>
      <c r="AF194" s="156"/>
      <c r="AG194" s="156"/>
      <c r="AH194" s="156"/>
      <c r="AI194" s="156"/>
      <c r="AJ194" s="156"/>
    </row>
    <row r="195" ht="14.25" customHeight="1">
      <c r="A195" s="150">
        <f t="shared" si="3"/>
        <v>208</v>
      </c>
      <c r="B195" s="150">
        <v>35.0</v>
      </c>
      <c r="C195" s="150">
        <v>300.0</v>
      </c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>
        <v>0.08</v>
      </c>
      <c r="Y195" s="150">
        <v>2.0</v>
      </c>
      <c r="Z195" s="156"/>
      <c r="AA195" s="156"/>
      <c r="AB195" s="156"/>
      <c r="AC195" s="156"/>
      <c r="AD195" s="156"/>
      <c r="AE195" s="156"/>
      <c r="AF195" s="156"/>
      <c r="AG195" s="156"/>
      <c r="AH195" s="156"/>
      <c r="AI195" s="156"/>
      <c r="AJ195" s="156"/>
    </row>
    <row r="196" ht="14.25" customHeight="1">
      <c r="A196" s="150">
        <f t="shared" si="3"/>
        <v>208</v>
      </c>
      <c r="B196" s="150">
        <v>10.0</v>
      </c>
      <c r="C196" s="150">
        <v>570.0</v>
      </c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>
        <v>0.08</v>
      </c>
      <c r="Y196" s="150">
        <v>3.0</v>
      </c>
      <c r="Z196" s="156"/>
      <c r="AA196" s="156"/>
      <c r="AB196" s="156"/>
      <c r="AC196" s="156"/>
      <c r="AD196" s="156"/>
      <c r="AE196" s="156"/>
      <c r="AF196" s="156"/>
      <c r="AG196" s="156"/>
      <c r="AH196" s="156"/>
      <c r="AI196" s="156"/>
      <c r="AJ196" s="156"/>
    </row>
    <row r="197" ht="14.25" customHeight="1">
      <c r="A197" s="150">
        <f t="shared" si="3"/>
        <v>208</v>
      </c>
      <c r="B197" s="150">
        <v>5.0</v>
      </c>
      <c r="C197" s="150">
        <v>1050.0</v>
      </c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>
        <v>0.08</v>
      </c>
      <c r="Y197" s="150">
        <v>4.0</v>
      </c>
      <c r="Z197" s="156"/>
      <c r="AA197" s="156"/>
      <c r="AB197" s="156"/>
      <c r="AC197" s="156"/>
      <c r="AD197" s="156"/>
      <c r="AE197" s="156"/>
      <c r="AF197" s="156"/>
      <c r="AG197" s="156"/>
      <c r="AH197" s="156"/>
      <c r="AI197" s="156"/>
      <c r="AJ197" s="156"/>
    </row>
    <row r="198" ht="14.25" customHeight="1">
      <c r="A198" s="150">
        <f t="shared" si="3"/>
        <v>208</v>
      </c>
      <c r="B198" s="150">
        <v>650.0</v>
      </c>
      <c r="C198" s="150"/>
      <c r="D198" s="150"/>
      <c r="E198" s="150"/>
      <c r="F198" s="150">
        <v>9.0</v>
      </c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>
        <v>0.08</v>
      </c>
      <c r="Y198" s="150">
        <v>1.0</v>
      </c>
      <c r="Z198" s="156"/>
      <c r="AA198" s="156"/>
      <c r="AB198" s="156"/>
      <c r="AC198" s="156"/>
      <c r="AD198" s="156"/>
      <c r="AE198" s="156"/>
      <c r="AF198" s="156"/>
      <c r="AG198" s="156"/>
      <c r="AH198" s="156"/>
      <c r="AI198" s="156"/>
      <c r="AJ198" s="156"/>
    </row>
    <row r="199" ht="14.25" customHeight="1">
      <c r="A199" s="150">
        <f t="shared" si="3"/>
        <v>208</v>
      </c>
      <c r="B199" s="150">
        <v>150.0</v>
      </c>
      <c r="C199" s="150"/>
      <c r="D199" s="150"/>
      <c r="E199" s="150"/>
      <c r="F199" s="150">
        <v>14.0</v>
      </c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>
        <v>0.08</v>
      </c>
      <c r="Y199" s="150">
        <v>1.0</v>
      </c>
      <c r="Z199" s="156"/>
      <c r="AA199" s="156"/>
      <c r="AB199" s="156"/>
      <c r="AC199" s="156"/>
      <c r="AD199" s="156"/>
      <c r="AE199" s="156"/>
      <c r="AF199" s="156"/>
      <c r="AG199" s="156"/>
      <c r="AH199" s="156"/>
      <c r="AI199" s="156"/>
      <c r="AJ199" s="156"/>
    </row>
    <row r="200" ht="14.25" customHeight="1">
      <c r="A200" s="150">
        <f t="shared" si="3"/>
        <v>208</v>
      </c>
      <c r="B200" s="150">
        <v>35.0</v>
      </c>
      <c r="C200" s="150"/>
      <c r="D200" s="150"/>
      <c r="E200" s="150"/>
      <c r="F200" s="150">
        <v>23.0</v>
      </c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>
        <v>0.08</v>
      </c>
      <c r="Y200" s="150">
        <v>2.0</v>
      </c>
      <c r="Z200" s="156"/>
      <c r="AA200" s="156"/>
      <c r="AB200" s="156"/>
      <c r="AC200" s="156"/>
      <c r="AD200" s="156"/>
      <c r="AE200" s="156"/>
      <c r="AF200" s="156"/>
      <c r="AG200" s="156"/>
      <c r="AH200" s="156"/>
      <c r="AI200" s="156"/>
      <c r="AJ200" s="156"/>
    </row>
    <row r="201" ht="14.25" customHeight="1">
      <c r="A201" s="150">
        <f t="shared" si="3"/>
        <v>208</v>
      </c>
      <c r="B201" s="150">
        <v>10.0</v>
      </c>
      <c r="C201" s="150"/>
      <c r="D201" s="150"/>
      <c r="E201" s="150"/>
      <c r="F201" s="150">
        <v>35.0</v>
      </c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>
        <v>0.08</v>
      </c>
      <c r="Y201" s="150">
        <v>3.0</v>
      </c>
      <c r="Z201" s="156"/>
      <c r="AA201" s="156"/>
      <c r="AB201" s="156"/>
      <c r="AC201" s="156"/>
      <c r="AD201" s="156"/>
      <c r="AE201" s="156"/>
      <c r="AF201" s="156"/>
      <c r="AG201" s="156"/>
      <c r="AH201" s="156"/>
      <c r="AI201" s="156"/>
      <c r="AJ201" s="156"/>
    </row>
    <row r="202" ht="14.25" customHeight="1">
      <c r="A202" s="150">
        <f t="shared" si="3"/>
        <v>208</v>
      </c>
      <c r="B202" s="150">
        <v>5.0</v>
      </c>
      <c r="C202" s="150"/>
      <c r="D202" s="150"/>
      <c r="E202" s="150"/>
      <c r="F202" s="150">
        <v>81.0</v>
      </c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>
        <v>0.08</v>
      </c>
      <c r="Y202" s="150">
        <v>4.0</v>
      </c>
      <c r="Z202" s="156"/>
      <c r="AA202" s="156"/>
      <c r="AB202" s="156"/>
      <c r="AC202" s="156"/>
      <c r="AD202" s="156"/>
      <c r="AE202" s="156"/>
      <c r="AF202" s="156"/>
      <c r="AG202" s="156"/>
      <c r="AH202" s="156"/>
      <c r="AI202" s="156"/>
      <c r="AJ202" s="156"/>
    </row>
    <row r="203" ht="14.25" customHeight="1">
      <c r="A203" s="150">
        <f t="shared" si="3"/>
        <v>208</v>
      </c>
      <c r="B203" s="150">
        <v>650.0</v>
      </c>
      <c r="C203" s="150"/>
      <c r="D203" s="150"/>
      <c r="E203" s="150"/>
      <c r="F203" s="150"/>
      <c r="G203" s="150">
        <v>13.0</v>
      </c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>
        <v>0.08</v>
      </c>
      <c r="Y203" s="150">
        <v>1.0</v>
      </c>
      <c r="Z203" s="156"/>
      <c r="AA203" s="156"/>
      <c r="AB203" s="156"/>
      <c r="AC203" s="156"/>
      <c r="AD203" s="156"/>
      <c r="AE203" s="156"/>
      <c r="AF203" s="156"/>
      <c r="AG203" s="156"/>
      <c r="AH203" s="156"/>
      <c r="AI203" s="156"/>
      <c r="AJ203" s="156"/>
    </row>
    <row r="204" ht="14.25" customHeight="1">
      <c r="A204" s="150">
        <f t="shared" si="3"/>
        <v>208</v>
      </c>
      <c r="B204" s="150">
        <v>150.0</v>
      </c>
      <c r="C204" s="150"/>
      <c r="D204" s="150"/>
      <c r="E204" s="150"/>
      <c r="F204" s="150"/>
      <c r="G204" s="150">
        <v>19.0</v>
      </c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>
        <v>0.08</v>
      </c>
      <c r="Y204" s="150">
        <v>1.0</v>
      </c>
      <c r="Z204" s="156"/>
      <c r="AA204" s="156"/>
      <c r="AB204" s="156"/>
      <c r="AC204" s="156"/>
      <c r="AD204" s="156"/>
      <c r="AE204" s="156"/>
      <c r="AF204" s="156"/>
      <c r="AG204" s="156"/>
      <c r="AH204" s="156"/>
      <c r="AI204" s="156"/>
      <c r="AJ204" s="156"/>
    </row>
    <row r="205" ht="14.25" customHeight="1">
      <c r="A205" s="150">
        <f t="shared" si="3"/>
        <v>208</v>
      </c>
      <c r="B205" s="150">
        <v>35.0</v>
      </c>
      <c r="C205" s="150"/>
      <c r="D205" s="150"/>
      <c r="E205" s="150"/>
      <c r="F205" s="150"/>
      <c r="G205" s="150">
        <v>32.0</v>
      </c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>
        <v>0.08</v>
      </c>
      <c r="Y205" s="150">
        <v>2.0</v>
      </c>
      <c r="Z205" s="156"/>
      <c r="AA205" s="156"/>
      <c r="AB205" s="156"/>
      <c r="AC205" s="156"/>
      <c r="AD205" s="156"/>
      <c r="AE205" s="156"/>
      <c r="AF205" s="156"/>
      <c r="AG205" s="156"/>
      <c r="AH205" s="156"/>
      <c r="AI205" s="156"/>
      <c r="AJ205" s="156"/>
    </row>
    <row r="206" ht="14.25" customHeight="1">
      <c r="A206" s="150">
        <f t="shared" si="3"/>
        <v>208</v>
      </c>
      <c r="B206" s="150">
        <v>10.0</v>
      </c>
      <c r="C206" s="150"/>
      <c r="D206" s="150"/>
      <c r="E206" s="150"/>
      <c r="F206" s="150"/>
      <c r="G206" s="150">
        <v>61.0</v>
      </c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>
        <v>0.08</v>
      </c>
      <c r="Y206" s="150">
        <v>3.0</v>
      </c>
      <c r="Z206" s="156"/>
      <c r="AA206" s="156"/>
      <c r="AB206" s="156"/>
      <c r="AC206" s="156"/>
      <c r="AD206" s="156"/>
      <c r="AE206" s="156"/>
      <c r="AF206" s="156"/>
      <c r="AG206" s="156"/>
      <c r="AH206" s="156"/>
      <c r="AI206" s="156"/>
      <c r="AJ206" s="156"/>
    </row>
    <row r="207" ht="14.25" customHeight="1">
      <c r="A207" s="150">
        <f t="shared" si="3"/>
        <v>208</v>
      </c>
      <c r="B207" s="150">
        <v>5.0</v>
      </c>
      <c r="C207" s="150"/>
      <c r="D207" s="150"/>
      <c r="E207" s="150"/>
      <c r="F207" s="150"/>
      <c r="G207" s="150">
        <v>103.0</v>
      </c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>
        <v>0.08</v>
      </c>
      <c r="Y207" s="150">
        <v>4.0</v>
      </c>
      <c r="Z207" s="156"/>
      <c r="AA207" s="156"/>
      <c r="AB207" s="156"/>
      <c r="AC207" s="156"/>
      <c r="AD207" s="156"/>
      <c r="AE207" s="156"/>
      <c r="AF207" s="156"/>
      <c r="AG207" s="156"/>
      <c r="AH207" s="156"/>
      <c r="AI207" s="156"/>
      <c r="AJ207" s="156"/>
    </row>
    <row r="208" ht="14.25" customHeight="1">
      <c r="A208" s="150">
        <f t="shared" si="3"/>
        <v>208</v>
      </c>
      <c r="B208" s="150">
        <v>650.0</v>
      </c>
      <c r="C208" s="150"/>
      <c r="D208" s="150"/>
      <c r="E208" s="150"/>
      <c r="F208" s="150"/>
      <c r="G208" s="150"/>
      <c r="H208" s="150"/>
      <c r="I208" s="150"/>
      <c r="J208" s="150"/>
      <c r="K208" s="150">
        <v>0.01</v>
      </c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>
        <v>0.08</v>
      </c>
      <c r="Y208" s="150">
        <v>1.0</v>
      </c>
      <c r="Z208" s="156"/>
      <c r="AA208" s="156"/>
      <c r="AB208" s="156"/>
      <c r="AC208" s="156"/>
      <c r="AD208" s="156"/>
      <c r="AE208" s="156"/>
      <c r="AF208" s="156"/>
      <c r="AG208" s="156"/>
      <c r="AH208" s="156"/>
      <c r="AI208" s="156"/>
      <c r="AJ208" s="156"/>
    </row>
    <row r="209" ht="14.25" customHeight="1">
      <c r="A209" s="150">
        <f t="shared" si="3"/>
        <v>208</v>
      </c>
      <c r="B209" s="150">
        <v>150.0</v>
      </c>
      <c r="C209" s="150"/>
      <c r="D209" s="150"/>
      <c r="E209" s="150"/>
      <c r="F209" s="150"/>
      <c r="G209" s="150"/>
      <c r="H209" s="150"/>
      <c r="I209" s="150"/>
      <c r="J209" s="150"/>
      <c r="K209" s="150">
        <v>0.03</v>
      </c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>
        <v>0.08</v>
      </c>
      <c r="Y209" s="150">
        <v>1.0</v>
      </c>
      <c r="Z209" s="156"/>
      <c r="AA209" s="156"/>
      <c r="AB209" s="156"/>
      <c r="AC209" s="156"/>
      <c r="AD209" s="156"/>
      <c r="AE209" s="156"/>
      <c r="AF209" s="156"/>
      <c r="AG209" s="156"/>
      <c r="AH209" s="156"/>
      <c r="AI209" s="156"/>
      <c r="AJ209" s="156"/>
    </row>
    <row r="210" ht="14.25" customHeight="1">
      <c r="A210" s="150">
        <f t="shared" si="3"/>
        <v>208</v>
      </c>
      <c r="B210" s="150">
        <v>35.0</v>
      </c>
      <c r="C210" s="150"/>
      <c r="D210" s="150"/>
      <c r="E210" s="150"/>
      <c r="F210" s="150"/>
      <c r="G210" s="150"/>
      <c r="H210" s="150"/>
      <c r="I210" s="150"/>
      <c r="J210" s="150"/>
      <c r="K210" s="150">
        <v>0.05</v>
      </c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>
        <v>0.08</v>
      </c>
      <c r="Y210" s="150">
        <v>2.0</v>
      </c>
      <c r="Z210" s="156"/>
      <c r="AA210" s="156"/>
      <c r="AB210" s="156"/>
      <c r="AC210" s="156"/>
      <c r="AD210" s="156"/>
      <c r="AE210" s="156"/>
      <c r="AF210" s="156"/>
      <c r="AG210" s="156"/>
      <c r="AH210" s="156"/>
      <c r="AI210" s="156"/>
      <c r="AJ210" s="156"/>
    </row>
    <row r="211" ht="14.25" customHeight="1">
      <c r="A211" s="150">
        <f t="shared" si="3"/>
        <v>208</v>
      </c>
      <c r="B211" s="150">
        <v>10.0</v>
      </c>
      <c r="C211" s="150"/>
      <c r="D211" s="150"/>
      <c r="E211" s="150"/>
      <c r="F211" s="150"/>
      <c r="G211" s="150"/>
      <c r="H211" s="150"/>
      <c r="I211" s="150"/>
      <c r="J211" s="150"/>
      <c r="K211" s="150">
        <v>0.09</v>
      </c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>
        <v>0.08</v>
      </c>
      <c r="Y211" s="150">
        <v>3.0</v>
      </c>
      <c r="Z211" s="156"/>
      <c r="AA211" s="156"/>
      <c r="AB211" s="156"/>
      <c r="AC211" s="156"/>
      <c r="AD211" s="156"/>
      <c r="AE211" s="156"/>
      <c r="AF211" s="156"/>
      <c r="AG211" s="156"/>
      <c r="AH211" s="156"/>
      <c r="AI211" s="156"/>
      <c r="AJ211" s="156"/>
    </row>
    <row r="212" ht="14.25" customHeight="1">
      <c r="A212" s="150">
        <f t="shared" si="3"/>
        <v>208</v>
      </c>
      <c r="B212" s="150">
        <v>5.0</v>
      </c>
      <c r="C212" s="150"/>
      <c r="D212" s="150"/>
      <c r="E212" s="150"/>
      <c r="F212" s="150"/>
      <c r="G212" s="150"/>
      <c r="H212" s="150"/>
      <c r="I212" s="150"/>
      <c r="J212" s="150"/>
      <c r="K212" s="150">
        <v>0.15</v>
      </c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>
        <v>0.08</v>
      </c>
      <c r="Y212" s="150">
        <v>4.0</v>
      </c>
      <c r="Z212" s="156"/>
      <c r="AA212" s="156"/>
      <c r="AB212" s="156"/>
      <c r="AC212" s="156"/>
      <c r="AD212" s="156"/>
      <c r="AE212" s="156"/>
      <c r="AF212" s="156"/>
      <c r="AG212" s="156"/>
      <c r="AH212" s="156"/>
      <c r="AI212" s="156"/>
      <c r="AJ212" s="156"/>
    </row>
    <row r="213" ht="14.25" customHeight="1">
      <c r="A213" s="150">
        <f t="shared" si="3"/>
        <v>208</v>
      </c>
      <c r="B213" s="150">
        <v>650.0</v>
      </c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>
        <v>0.01</v>
      </c>
      <c r="O213" s="150"/>
      <c r="P213" s="150"/>
      <c r="Q213" s="150"/>
      <c r="R213" s="150"/>
      <c r="S213" s="150"/>
      <c r="T213" s="150"/>
      <c r="U213" s="150"/>
      <c r="V213" s="150"/>
      <c r="W213" s="150"/>
      <c r="X213" s="150">
        <v>0.08</v>
      </c>
      <c r="Y213" s="150">
        <v>1.0</v>
      </c>
      <c r="Z213" s="156"/>
      <c r="AA213" s="156"/>
      <c r="AB213" s="156"/>
      <c r="AC213" s="156"/>
      <c r="AD213" s="156"/>
      <c r="AE213" s="156"/>
      <c r="AF213" s="156"/>
      <c r="AG213" s="156"/>
      <c r="AH213" s="156"/>
      <c r="AI213" s="156"/>
      <c r="AJ213" s="156"/>
    </row>
    <row r="214" ht="14.25" customHeight="1">
      <c r="A214" s="150">
        <f t="shared" si="3"/>
        <v>208</v>
      </c>
      <c r="B214" s="150">
        <v>150.0</v>
      </c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>
        <v>0.03</v>
      </c>
      <c r="O214" s="150"/>
      <c r="P214" s="150"/>
      <c r="Q214" s="150"/>
      <c r="R214" s="150"/>
      <c r="S214" s="150"/>
      <c r="T214" s="150"/>
      <c r="U214" s="150"/>
      <c r="V214" s="150"/>
      <c r="W214" s="150"/>
      <c r="X214" s="150">
        <v>0.08</v>
      </c>
      <c r="Y214" s="150">
        <v>1.0</v>
      </c>
      <c r="Z214" s="156"/>
      <c r="AA214" s="156"/>
      <c r="AB214" s="156"/>
      <c r="AC214" s="156"/>
      <c r="AD214" s="156"/>
      <c r="AE214" s="156"/>
      <c r="AF214" s="156"/>
      <c r="AG214" s="156"/>
      <c r="AH214" s="156"/>
      <c r="AI214" s="156"/>
      <c r="AJ214" s="156"/>
    </row>
    <row r="215" ht="14.25" customHeight="1">
      <c r="A215" s="150">
        <f t="shared" si="3"/>
        <v>208</v>
      </c>
      <c r="B215" s="150">
        <v>35.0</v>
      </c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>
        <v>0.05</v>
      </c>
      <c r="O215" s="150"/>
      <c r="P215" s="150"/>
      <c r="Q215" s="150"/>
      <c r="R215" s="150"/>
      <c r="S215" s="150"/>
      <c r="T215" s="150"/>
      <c r="U215" s="150"/>
      <c r="V215" s="150"/>
      <c r="W215" s="150"/>
      <c r="X215" s="150">
        <v>0.08</v>
      </c>
      <c r="Y215" s="150">
        <v>2.0</v>
      </c>
      <c r="Z215" s="156"/>
      <c r="AA215" s="156"/>
      <c r="AB215" s="156"/>
      <c r="AC215" s="156"/>
      <c r="AD215" s="156"/>
      <c r="AE215" s="156"/>
      <c r="AF215" s="156"/>
      <c r="AG215" s="156"/>
      <c r="AH215" s="156"/>
      <c r="AI215" s="156"/>
      <c r="AJ215" s="156"/>
    </row>
    <row r="216" ht="14.25" customHeight="1">
      <c r="A216" s="150">
        <f t="shared" si="3"/>
        <v>208</v>
      </c>
      <c r="B216" s="150">
        <v>10.0</v>
      </c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>
        <v>0.09</v>
      </c>
      <c r="O216" s="150"/>
      <c r="P216" s="150"/>
      <c r="Q216" s="150"/>
      <c r="R216" s="150"/>
      <c r="S216" s="150"/>
      <c r="T216" s="150"/>
      <c r="U216" s="150"/>
      <c r="V216" s="150"/>
      <c r="W216" s="150"/>
      <c r="X216" s="150">
        <v>0.08</v>
      </c>
      <c r="Y216" s="150">
        <v>3.0</v>
      </c>
      <c r="Z216" s="156"/>
      <c r="AA216" s="156"/>
      <c r="AB216" s="156"/>
      <c r="AC216" s="156"/>
      <c r="AD216" s="156"/>
      <c r="AE216" s="156"/>
      <c r="AF216" s="156"/>
      <c r="AG216" s="156"/>
      <c r="AH216" s="156"/>
      <c r="AI216" s="156"/>
      <c r="AJ216" s="156"/>
    </row>
    <row r="217" ht="14.25" customHeight="1">
      <c r="A217" s="150">
        <f t="shared" si="3"/>
        <v>208</v>
      </c>
      <c r="B217" s="150">
        <v>5.0</v>
      </c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>
        <v>0.15</v>
      </c>
      <c r="O217" s="150"/>
      <c r="P217" s="150"/>
      <c r="Q217" s="150"/>
      <c r="R217" s="150"/>
      <c r="S217" s="150"/>
      <c r="T217" s="150"/>
      <c r="U217" s="150"/>
      <c r="V217" s="150"/>
      <c r="W217" s="150"/>
      <c r="X217" s="150">
        <v>0.08</v>
      </c>
      <c r="Y217" s="150">
        <v>4.0</v>
      </c>
      <c r="Z217" s="156"/>
      <c r="AA217" s="156"/>
      <c r="AB217" s="156"/>
      <c r="AC217" s="156"/>
      <c r="AD217" s="156"/>
      <c r="AE217" s="156"/>
      <c r="AF217" s="156"/>
      <c r="AG217" s="156"/>
      <c r="AH217" s="156"/>
      <c r="AI217" s="156"/>
      <c r="AJ217" s="156"/>
    </row>
    <row r="218" ht="14.25" customHeight="1">
      <c r="A218" s="150">
        <f t="shared" si="3"/>
        <v>208</v>
      </c>
      <c r="B218" s="150">
        <v>650.0</v>
      </c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>
        <v>0.01</v>
      </c>
      <c r="R218" s="150"/>
      <c r="S218" s="150"/>
      <c r="T218" s="150"/>
      <c r="U218" s="150"/>
      <c r="V218" s="150"/>
      <c r="W218" s="150"/>
      <c r="X218" s="150">
        <v>0.08</v>
      </c>
      <c r="Y218" s="150">
        <v>1.0</v>
      </c>
      <c r="Z218" s="156"/>
      <c r="AA218" s="156"/>
      <c r="AB218" s="156"/>
      <c r="AC218" s="156"/>
      <c r="AD218" s="156"/>
      <c r="AE218" s="156"/>
      <c r="AF218" s="156"/>
      <c r="AG218" s="156"/>
      <c r="AH218" s="156"/>
      <c r="AI218" s="156"/>
      <c r="AJ218" s="156"/>
    </row>
    <row r="219" ht="14.25" customHeight="1">
      <c r="A219" s="150">
        <f t="shared" si="3"/>
        <v>208</v>
      </c>
      <c r="B219" s="150">
        <v>150.0</v>
      </c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>
        <v>0.03</v>
      </c>
      <c r="R219" s="150"/>
      <c r="S219" s="150"/>
      <c r="T219" s="150"/>
      <c r="U219" s="150"/>
      <c r="V219" s="150"/>
      <c r="W219" s="150"/>
      <c r="X219" s="150">
        <v>0.08</v>
      </c>
      <c r="Y219" s="150">
        <v>1.0</v>
      </c>
      <c r="Z219" s="156"/>
      <c r="AA219" s="156"/>
      <c r="AB219" s="156"/>
      <c r="AC219" s="156"/>
      <c r="AD219" s="156"/>
      <c r="AE219" s="156"/>
      <c r="AF219" s="156"/>
      <c r="AG219" s="156"/>
      <c r="AH219" s="156"/>
      <c r="AI219" s="156"/>
      <c r="AJ219" s="156"/>
    </row>
    <row r="220" ht="14.25" customHeight="1">
      <c r="A220" s="150">
        <f t="shared" si="3"/>
        <v>208</v>
      </c>
      <c r="B220" s="150">
        <v>35.0</v>
      </c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>
        <v>0.05</v>
      </c>
      <c r="R220" s="150"/>
      <c r="S220" s="150"/>
      <c r="T220" s="150"/>
      <c r="U220" s="150"/>
      <c r="V220" s="150"/>
      <c r="W220" s="150"/>
      <c r="X220" s="150">
        <v>0.08</v>
      </c>
      <c r="Y220" s="150">
        <v>2.0</v>
      </c>
      <c r="Z220" s="156"/>
      <c r="AA220" s="156"/>
      <c r="AB220" s="156"/>
      <c r="AC220" s="156"/>
      <c r="AD220" s="156"/>
      <c r="AE220" s="156"/>
      <c r="AF220" s="156"/>
      <c r="AG220" s="156"/>
      <c r="AH220" s="156"/>
      <c r="AI220" s="156"/>
      <c r="AJ220" s="156"/>
    </row>
    <row r="221" ht="14.25" customHeight="1">
      <c r="A221" s="150">
        <f t="shared" si="3"/>
        <v>208</v>
      </c>
      <c r="B221" s="150">
        <v>10.0</v>
      </c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>
        <v>0.09</v>
      </c>
      <c r="R221" s="150"/>
      <c r="S221" s="150"/>
      <c r="T221" s="150"/>
      <c r="U221" s="150"/>
      <c r="V221" s="150"/>
      <c r="W221" s="150"/>
      <c r="X221" s="150">
        <v>0.08</v>
      </c>
      <c r="Y221" s="150">
        <v>3.0</v>
      </c>
      <c r="Z221" s="156"/>
      <c r="AA221" s="156"/>
      <c r="AB221" s="156"/>
      <c r="AC221" s="156"/>
      <c r="AD221" s="156"/>
      <c r="AE221" s="156"/>
      <c r="AF221" s="156"/>
      <c r="AG221" s="156"/>
      <c r="AH221" s="156"/>
      <c r="AI221" s="156"/>
      <c r="AJ221" s="156"/>
    </row>
    <row r="222" ht="14.25" customHeight="1">
      <c r="A222" s="150">
        <f t="shared" si="3"/>
        <v>208</v>
      </c>
      <c r="B222" s="150">
        <v>5.0</v>
      </c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>
        <v>0.15</v>
      </c>
      <c r="R222" s="150"/>
      <c r="S222" s="150"/>
      <c r="T222" s="150"/>
      <c r="U222" s="150"/>
      <c r="V222" s="150"/>
      <c r="W222" s="150"/>
      <c r="X222" s="150">
        <v>0.08</v>
      </c>
      <c r="Y222" s="150">
        <v>4.0</v>
      </c>
      <c r="Z222" s="156"/>
      <c r="AA222" s="156"/>
      <c r="AB222" s="156"/>
      <c r="AC222" s="156"/>
      <c r="AD222" s="156"/>
      <c r="AE222" s="156"/>
      <c r="AF222" s="156"/>
      <c r="AG222" s="156"/>
      <c r="AH222" s="156"/>
      <c r="AI222" s="156"/>
      <c r="AJ222" s="156"/>
    </row>
    <row r="223" ht="14.25" customHeight="1">
      <c r="A223" s="150">
        <f t="shared" si="3"/>
        <v>208</v>
      </c>
      <c r="B223" s="150">
        <v>650.0</v>
      </c>
      <c r="C223" s="150"/>
      <c r="D223" s="150"/>
      <c r="E223" s="150"/>
      <c r="F223" s="150"/>
      <c r="G223" s="150"/>
      <c r="H223" s="150"/>
      <c r="I223" s="150"/>
      <c r="J223" s="150"/>
      <c r="K223" s="150"/>
      <c r="L223" s="150">
        <v>0.01</v>
      </c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>
        <v>0.08</v>
      </c>
      <c r="Y223" s="150">
        <v>1.0</v>
      </c>
      <c r="Z223" s="156"/>
      <c r="AA223" s="156"/>
      <c r="AB223" s="156"/>
      <c r="AC223" s="156"/>
      <c r="AD223" s="156"/>
      <c r="AE223" s="156"/>
      <c r="AF223" s="156"/>
      <c r="AG223" s="156"/>
      <c r="AH223" s="156"/>
      <c r="AI223" s="156"/>
      <c r="AJ223" s="156"/>
    </row>
    <row r="224" ht="14.25" customHeight="1">
      <c r="A224" s="150">
        <f t="shared" si="3"/>
        <v>208</v>
      </c>
      <c r="B224" s="150">
        <v>150.0</v>
      </c>
      <c r="C224" s="150"/>
      <c r="D224" s="150"/>
      <c r="E224" s="150"/>
      <c r="F224" s="150"/>
      <c r="G224" s="150"/>
      <c r="H224" s="150"/>
      <c r="I224" s="150"/>
      <c r="J224" s="150"/>
      <c r="K224" s="150"/>
      <c r="L224" s="150">
        <v>0.03</v>
      </c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>
        <v>0.08</v>
      </c>
      <c r="Y224" s="150">
        <v>1.0</v>
      </c>
      <c r="Z224" s="156"/>
      <c r="AA224" s="156"/>
      <c r="AB224" s="156"/>
      <c r="AC224" s="156"/>
      <c r="AD224" s="156"/>
      <c r="AE224" s="156"/>
      <c r="AF224" s="156"/>
      <c r="AG224" s="156"/>
      <c r="AH224" s="156"/>
      <c r="AI224" s="156"/>
      <c r="AJ224" s="156"/>
    </row>
    <row r="225" ht="14.25" customHeight="1">
      <c r="A225" s="150">
        <f t="shared" si="3"/>
        <v>208</v>
      </c>
      <c r="B225" s="150">
        <v>35.0</v>
      </c>
      <c r="C225" s="150"/>
      <c r="D225" s="150"/>
      <c r="E225" s="150"/>
      <c r="F225" s="150"/>
      <c r="G225" s="150"/>
      <c r="H225" s="150"/>
      <c r="I225" s="150"/>
      <c r="J225" s="150"/>
      <c r="K225" s="150"/>
      <c r="L225" s="150">
        <v>0.05</v>
      </c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>
        <v>0.08</v>
      </c>
      <c r="Y225" s="150">
        <v>2.0</v>
      </c>
      <c r="Z225" s="156"/>
      <c r="AA225" s="156"/>
      <c r="AB225" s="156"/>
      <c r="AC225" s="156"/>
      <c r="AD225" s="156"/>
      <c r="AE225" s="156"/>
      <c r="AF225" s="156"/>
      <c r="AG225" s="156"/>
      <c r="AH225" s="156"/>
      <c r="AI225" s="156"/>
      <c r="AJ225" s="156"/>
    </row>
    <row r="226" ht="14.25" customHeight="1">
      <c r="A226" s="150">
        <f t="shared" si="3"/>
        <v>208</v>
      </c>
      <c r="B226" s="150">
        <v>10.0</v>
      </c>
      <c r="C226" s="150"/>
      <c r="D226" s="150"/>
      <c r="E226" s="150"/>
      <c r="F226" s="150"/>
      <c r="G226" s="150"/>
      <c r="H226" s="150"/>
      <c r="I226" s="150"/>
      <c r="J226" s="150"/>
      <c r="K226" s="150"/>
      <c r="L226" s="150">
        <v>0.09</v>
      </c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>
        <v>0.08</v>
      </c>
      <c r="Y226" s="150">
        <v>3.0</v>
      </c>
      <c r="Z226" s="156"/>
      <c r="AA226" s="156"/>
      <c r="AB226" s="156"/>
      <c r="AC226" s="156"/>
      <c r="AD226" s="156"/>
      <c r="AE226" s="156"/>
      <c r="AF226" s="156"/>
      <c r="AG226" s="156"/>
      <c r="AH226" s="156"/>
      <c r="AI226" s="156"/>
      <c r="AJ226" s="156"/>
    </row>
    <row r="227" ht="14.25" customHeight="1">
      <c r="A227" s="150">
        <f t="shared" si="3"/>
        <v>208</v>
      </c>
      <c r="B227" s="150">
        <v>5.0</v>
      </c>
      <c r="C227" s="150"/>
      <c r="D227" s="150"/>
      <c r="E227" s="150"/>
      <c r="F227" s="150"/>
      <c r="G227" s="150"/>
      <c r="H227" s="150"/>
      <c r="I227" s="150"/>
      <c r="J227" s="150"/>
      <c r="K227" s="150"/>
      <c r="L227" s="150">
        <v>0.15</v>
      </c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>
        <v>0.08</v>
      </c>
      <c r="Y227" s="150">
        <v>4.0</v>
      </c>
      <c r="Z227" s="156"/>
      <c r="AA227" s="156"/>
      <c r="AB227" s="156"/>
      <c r="AC227" s="156"/>
      <c r="AD227" s="156"/>
      <c r="AE227" s="156"/>
      <c r="AF227" s="156"/>
      <c r="AG227" s="156"/>
      <c r="AH227" s="156"/>
      <c r="AI227" s="156"/>
      <c r="AJ227" s="156"/>
    </row>
    <row r="228" ht="14.25" customHeight="1">
      <c r="A228" s="148">
        <v>209.0</v>
      </c>
      <c r="B228" s="148">
        <v>950.0</v>
      </c>
      <c r="C228" s="148">
        <v>65.0</v>
      </c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>
        <v>0.15</v>
      </c>
      <c r="Y228" s="148">
        <v>1.0</v>
      </c>
    </row>
    <row r="229" ht="14.25" customHeight="1">
      <c r="A229" s="148">
        <v>209.0</v>
      </c>
      <c r="B229" s="148">
        <v>200.0</v>
      </c>
      <c r="C229" s="148">
        <v>115.0</v>
      </c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>
        <v>0.15</v>
      </c>
      <c r="Y229" s="148">
        <v>1.0</v>
      </c>
    </row>
    <row r="230" ht="14.25" customHeight="1">
      <c r="A230" s="148">
        <v>209.0</v>
      </c>
      <c r="B230" s="148">
        <v>75.0</v>
      </c>
      <c r="C230" s="148">
        <v>210.0</v>
      </c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>
        <v>0.15</v>
      </c>
      <c r="Y230" s="148">
        <v>2.0</v>
      </c>
    </row>
    <row r="231" ht="14.25" customHeight="1">
      <c r="A231" s="148">
        <v>209.0</v>
      </c>
      <c r="B231" s="148">
        <v>20.0</v>
      </c>
      <c r="C231" s="148">
        <v>400.0</v>
      </c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>
        <v>0.15</v>
      </c>
      <c r="Y231" s="148">
        <v>3.0</v>
      </c>
    </row>
    <row r="232" ht="14.25" customHeight="1">
      <c r="A232" s="148">
        <v>209.0</v>
      </c>
      <c r="B232" s="148">
        <v>5.0</v>
      </c>
      <c r="C232" s="148">
        <v>730.0</v>
      </c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>
        <v>0.15</v>
      </c>
      <c r="Y232" s="148">
        <v>4.0</v>
      </c>
    </row>
    <row r="233" ht="14.25" customHeight="1">
      <c r="A233" s="148">
        <v>209.0</v>
      </c>
      <c r="B233" s="148">
        <v>1900.0</v>
      </c>
      <c r="C233" s="148"/>
      <c r="D233" s="148"/>
      <c r="E233" s="148"/>
      <c r="F233" s="148">
        <v>6.0</v>
      </c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>
        <v>0.15</v>
      </c>
      <c r="Y233" s="148">
        <v>1.0</v>
      </c>
    </row>
    <row r="234" ht="14.25" customHeight="1">
      <c r="A234" s="148">
        <v>209.0</v>
      </c>
      <c r="B234" s="148">
        <v>400.0</v>
      </c>
      <c r="C234" s="148"/>
      <c r="D234" s="148"/>
      <c r="E234" s="148"/>
      <c r="F234" s="148">
        <v>10.0</v>
      </c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>
        <v>0.15</v>
      </c>
      <c r="Y234" s="148">
        <v>1.0</v>
      </c>
    </row>
    <row r="235" ht="14.25" customHeight="1">
      <c r="A235" s="148">
        <v>209.0</v>
      </c>
      <c r="B235" s="148">
        <v>150.0</v>
      </c>
      <c r="C235" s="148"/>
      <c r="D235" s="148"/>
      <c r="E235" s="148"/>
      <c r="F235" s="148">
        <v>16.0</v>
      </c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>
        <v>0.15</v>
      </c>
      <c r="Y235" s="148">
        <v>2.0</v>
      </c>
    </row>
    <row r="236" ht="14.25" customHeight="1">
      <c r="A236" s="148">
        <v>209.0</v>
      </c>
      <c r="B236" s="148">
        <v>40.0</v>
      </c>
      <c r="C236" s="148"/>
      <c r="D236" s="148"/>
      <c r="E236" s="148"/>
      <c r="F236" s="148">
        <v>24.0</v>
      </c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>
        <v>0.15</v>
      </c>
      <c r="Y236" s="148">
        <v>3.0</v>
      </c>
    </row>
    <row r="237" ht="14.25" customHeight="1">
      <c r="A237" s="148">
        <v>209.0</v>
      </c>
      <c r="B237" s="148">
        <v>10.0</v>
      </c>
      <c r="C237" s="148"/>
      <c r="D237" s="148"/>
      <c r="E237" s="148"/>
      <c r="F237" s="148">
        <v>57.0</v>
      </c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>
        <v>0.15</v>
      </c>
      <c r="Y237" s="148">
        <v>4.0</v>
      </c>
    </row>
    <row r="238" ht="14.25" customHeight="1">
      <c r="A238" s="148">
        <v>209.0</v>
      </c>
      <c r="B238" s="148">
        <v>1900.0</v>
      </c>
      <c r="C238" s="148"/>
      <c r="D238" s="148"/>
      <c r="E238" s="148"/>
      <c r="F238" s="148"/>
      <c r="G238" s="148">
        <v>9.0</v>
      </c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>
        <v>0.15</v>
      </c>
      <c r="Y238" s="148">
        <v>1.0</v>
      </c>
    </row>
    <row r="239" ht="14.25" customHeight="1">
      <c r="A239" s="148">
        <v>209.0</v>
      </c>
      <c r="B239" s="148">
        <v>400.0</v>
      </c>
      <c r="C239" s="148"/>
      <c r="D239" s="148"/>
      <c r="E239" s="148"/>
      <c r="F239" s="148"/>
      <c r="G239" s="148">
        <v>13.0</v>
      </c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>
        <v>0.15</v>
      </c>
      <c r="Y239" s="148">
        <v>1.0</v>
      </c>
    </row>
    <row r="240" ht="14.25" customHeight="1">
      <c r="A240" s="148">
        <v>209.0</v>
      </c>
      <c r="B240" s="148">
        <v>150.0</v>
      </c>
      <c r="C240" s="148"/>
      <c r="D240" s="148"/>
      <c r="E240" s="148"/>
      <c r="F240" s="148"/>
      <c r="G240" s="148">
        <v>22.0</v>
      </c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>
        <v>0.15</v>
      </c>
      <c r="Y240" s="148">
        <v>2.0</v>
      </c>
    </row>
    <row r="241" ht="14.25" customHeight="1">
      <c r="A241" s="148">
        <v>209.0</v>
      </c>
      <c r="B241" s="148">
        <v>40.0</v>
      </c>
      <c r="C241" s="148"/>
      <c r="D241" s="148"/>
      <c r="E241" s="148"/>
      <c r="F241" s="148"/>
      <c r="G241" s="148">
        <v>42.0</v>
      </c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>
        <v>0.15</v>
      </c>
      <c r="Y241" s="148">
        <v>3.0</v>
      </c>
    </row>
    <row r="242" ht="14.25" customHeight="1">
      <c r="A242" s="148">
        <v>209.0</v>
      </c>
      <c r="B242" s="148">
        <v>10.0</v>
      </c>
      <c r="C242" s="148"/>
      <c r="D242" s="148"/>
      <c r="E242" s="148"/>
      <c r="F242" s="148"/>
      <c r="G242" s="148">
        <v>72.0</v>
      </c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>
        <v>0.15</v>
      </c>
      <c r="Y242" s="148">
        <v>4.0</v>
      </c>
    </row>
    <row r="243" ht="14.25" customHeight="1">
      <c r="A243" s="148">
        <v>209.0</v>
      </c>
      <c r="B243" s="148">
        <v>950.0</v>
      </c>
      <c r="C243" s="148"/>
      <c r="D243" s="148">
        <v>4.0</v>
      </c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>
        <v>0.15</v>
      </c>
      <c r="Y243" s="148">
        <v>1.0</v>
      </c>
    </row>
    <row r="244" ht="14.25" customHeight="1">
      <c r="A244" s="148">
        <v>209.0</v>
      </c>
      <c r="B244" s="148">
        <v>200.0</v>
      </c>
      <c r="C244" s="148"/>
      <c r="D244" s="148">
        <v>8.0</v>
      </c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>
        <v>0.15</v>
      </c>
      <c r="Y244" s="148">
        <v>1.0</v>
      </c>
    </row>
    <row r="245" ht="14.25" customHeight="1">
      <c r="A245" s="148">
        <v>209.0</v>
      </c>
      <c r="B245" s="148">
        <v>75.0</v>
      </c>
      <c r="C245" s="148"/>
      <c r="D245" s="148">
        <v>11.0</v>
      </c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>
        <v>0.15</v>
      </c>
      <c r="Y245" s="148">
        <v>2.0</v>
      </c>
    </row>
    <row r="246" ht="14.25" customHeight="1">
      <c r="A246" s="148">
        <v>209.0</v>
      </c>
      <c r="B246" s="148">
        <v>20.0</v>
      </c>
      <c r="C246" s="148"/>
      <c r="D246" s="148">
        <v>17.0</v>
      </c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>
        <v>0.15</v>
      </c>
      <c r="Y246" s="148">
        <v>3.0</v>
      </c>
    </row>
    <row r="247" ht="14.25" customHeight="1">
      <c r="A247" s="148">
        <v>209.0</v>
      </c>
      <c r="B247" s="148">
        <v>5.0</v>
      </c>
      <c r="C247" s="148"/>
      <c r="D247" s="148">
        <v>40.0</v>
      </c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>
        <v>0.15</v>
      </c>
      <c r="Y247" s="148">
        <v>4.0</v>
      </c>
    </row>
    <row r="248" ht="14.25" customHeight="1">
      <c r="A248" s="148">
        <v>209.0</v>
      </c>
      <c r="B248" s="148">
        <v>950.0</v>
      </c>
      <c r="C248" s="148"/>
      <c r="D248" s="148"/>
      <c r="E248" s="148">
        <v>6.0</v>
      </c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>
        <v>0.15</v>
      </c>
      <c r="Y248" s="148">
        <v>1.0</v>
      </c>
    </row>
    <row r="249" ht="14.25" customHeight="1">
      <c r="A249" s="148">
        <v>209.0</v>
      </c>
      <c r="B249" s="148">
        <v>200.0</v>
      </c>
      <c r="C249" s="148"/>
      <c r="D249" s="148"/>
      <c r="E249" s="148">
        <v>10.0</v>
      </c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>
        <v>0.15</v>
      </c>
      <c r="Y249" s="148">
        <v>1.0</v>
      </c>
    </row>
    <row r="250" ht="14.25" customHeight="1">
      <c r="A250" s="148">
        <v>209.0</v>
      </c>
      <c r="B250" s="148">
        <v>75.0</v>
      </c>
      <c r="C250" s="148"/>
      <c r="D250" s="148"/>
      <c r="E250" s="148">
        <v>17.0</v>
      </c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>
        <v>0.15</v>
      </c>
      <c r="Y250" s="148">
        <v>2.0</v>
      </c>
    </row>
    <row r="251" ht="14.25" customHeight="1">
      <c r="A251" s="148">
        <v>209.0</v>
      </c>
      <c r="B251" s="148">
        <v>20.0</v>
      </c>
      <c r="C251" s="148"/>
      <c r="D251" s="148"/>
      <c r="E251" s="148">
        <v>30.0</v>
      </c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>
        <v>0.15</v>
      </c>
      <c r="Y251" s="148">
        <v>3.0</v>
      </c>
    </row>
    <row r="252" ht="14.25" customHeight="1">
      <c r="A252" s="148">
        <v>209.0</v>
      </c>
      <c r="B252" s="148">
        <v>5.0</v>
      </c>
      <c r="C252" s="148"/>
      <c r="D252" s="148"/>
      <c r="E252" s="148">
        <v>51.0</v>
      </c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>
        <v>0.15</v>
      </c>
      <c r="Y252" s="148">
        <v>4.0</v>
      </c>
    </row>
    <row r="253" ht="14.25" customHeight="1">
      <c r="A253" s="148">
        <v>209.0</v>
      </c>
      <c r="B253" s="148">
        <v>950.0</v>
      </c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>
        <v>0.01</v>
      </c>
      <c r="Q253" s="148"/>
      <c r="R253" s="148"/>
      <c r="S253" s="148"/>
      <c r="T253" s="148"/>
      <c r="U253" s="148"/>
      <c r="V253" s="148"/>
      <c r="W253" s="148"/>
      <c r="X253" s="148">
        <v>0.15</v>
      </c>
      <c r="Y253" s="148">
        <v>1.0</v>
      </c>
    </row>
    <row r="254" ht="14.25" customHeight="1">
      <c r="A254" s="148">
        <v>209.0</v>
      </c>
      <c r="B254" s="148">
        <v>200.0</v>
      </c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>
        <v>0.02</v>
      </c>
      <c r="Q254" s="148"/>
      <c r="R254" s="148"/>
      <c r="S254" s="148"/>
      <c r="T254" s="148"/>
      <c r="U254" s="148"/>
      <c r="V254" s="148"/>
      <c r="W254" s="148"/>
      <c r="X254" s="148">
        <v>0.15</v>
      </c>
      <c r="Y254" s="148">
        <v>1.0</v>
      </c>
    </row>
    <row r="255" ht="14.25" customHeight="1">
      <c r="A255" s="148">
        <v>209.0</v>
      </c>
      <c r="B255" s="148">
        <v>75.0</v>
      </c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>
        <v>0.04</v>
      </c>
      <c r="Q255" s="148"/>
      <c r="R255" s="148"/>
      <c r="S255" s="148"/>
      <c r="T255" s="148"/>
      <c r="U255" s="148"/>
      <c r="V255" s="148"/>
      <c r="W255" s="148"/>
      <c r="X255" s="148">
        <v>0.15</v>
      </c>
      <c r="Y255" s="148">
        <v>2.0</v>
      </c>
    </row>
    <row r="256" ht="14.25" customHeight="1">
      <c r="A256" s="148">
        <v>209.0</v>
      </c>
      <c r="B256" s="148">
        <v>20.0</v>
      </c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>
        <v>0.07</v>
      </c>
      <c r="Q256" s="148"/>
      <c r="R256" s="148"/>
      <c r="S256" s="148"/>
      <c r="T256" s="148"/>
      <c r="U256" s="148"/>
      <c r="V256" s="148"/>
      <c r="W256" s="148"/>
      <c r="X256" s="148">
        <v>0.15</v>
      </c>
      <c r="Y256" s="148">
        <v>3.0</v>
      </c>
    </row>
    <row r="257" ht="14.25" customHeight="1">
      <c r="A257" s="148">
        <v>209.0</v>
      </c>
      <c r="B257" s="148">
        <v>5.0</v>
      </c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>
        <v>0.1</v>
      </c>
      <c r="Q257" s="148"/>
      <c r="R257" s="148"/>
      <c r="S257" s="148"/>
      <c r="T257" s="148"/>
      <c r="U257" s="148"/>
      <c r="V257" s="148"/>
      <c r="W257" s="148"/>
      <c r="X257" s="148">
        <v>0.15</v>
      </c>
      <c r="Y257" s="148">
        <v>4.0</v>
      </c>
    </row>
    <row r="258" ht="14.25" customHeight="1">
      <c r="A258" s="150">
        <v>210.0</v>
      </c>
      <c r="B258" s="42">
        <v>2700.0</v>
      </c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6"/>
      <c r="AA258" s="156"/>
      <c r="AB258" s="156"/>
      <c r="AC258" s="156"/>
      <c r="AD258" s="156"/>
      <c r="AE258" s="156"/>
      <c r="AF258" s="156"/>
      <c r="AG258" s="156"/>
      <c r="AH258" s="156"/>
      <c r="AI258" s="156"/>
      <c r="AJ258" s="156"/>
    </row>
    <row r="259" ht="14.25" customHeight="1">
      <c r="A259" s="150">
        <v>210.0</v>
      </c>
      <c r="B259" s="150">
        <v>950.0</v>
      </c>
      <c r="C259" s="150">
        <v>65.0</v>
      </c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42">
        <v>0.13</v>
      </c>
      <c r="Y259" s="150">
        <v>1.0</v>
      </c>
      <c r="Z259" s="156"/>
      <c r="AA259" s="156"/>
      <c r="AB259" s="156"/>
      <c r="AC259" s="156"/>
      <c r="AD259" s="156"/>
      <c r="AE259" s="156"/>
      <c r="AF259" s="156"/>
      <c r="AG259" s="156"/>
      <c r="AH259" s="156"/>
      <c r="AI259" s="156"/>
      <c r="AJ259" s="156"/>
    </row>
    <row r="260" ht="14.25" customHeight="1">
      <c r="A260" s="150">
        <v>210.0</v>
      </c>
      <c r="B260" s="150">
        <v>200.0</v>
      </c>
      <c r="C260" s="150">
        <v>115.0</v>
      </c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42">
        <v>0.13</v>
      </c>
      <c r="Y260" s="150">
        <v>1.0</v>
      </c>
      <c r="Z260" s="156"/>
      <c r="AA260" s="156"/>
      <c r="AB260" s="156"/>
      <c r="AC260" s="156"/>
      <c r="AD260" s="156"/>
      <c r="AE260" s="156"/>
      <c r="AF260" s="156"/>
      <c r="AG260" s="156"/>
      <c r="AH260" s="156"/>
      <c r="AI260" s="156"/>
      <c r="AJ260" s="156"/>
    </row>
    <row r="261" ht="14.25" customHeight="1">
      <c r="A261" s="150">
        <v>210.0</v>
      </c>
      <c r="B261" s="150">
        <v>75.0</v>
      </c>
      <c r="C261" s="150">
        <v>210.0</v>
      </c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42">
        <v>0.13</v>
      </c>
      <c r="Y261" s="150">
        <v>2.0</v>
      </c>
      <c r="Z261" s="156"/>
      <c r="AA261" s="156"/>
      <c r="AB261" s="156"/>
      <c r="AC261" s="156"/>
      <c r="AD261" s="156"/>
      <c r="AE261" s="156"/>
      <c r="AF261" s="156"/>
      <c r="AG261" s="156"/>
      <c r="AH261" s="156"/>
      <c r="AI261" s="156"/>
      <c r="AJ261" s="156"/>
    </row>
    <row r="262" ht="14.25" customHeight="1">
      <c r="A262" s="150">
        <v>210.0</v>
      </c>
      <c r="B262" s="150">
        <v>20.0</v>
      </c>
      <c r="C262" s="150">
        <v>400.0</v>
      </c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42">
        <v>0.13</v>
      </c>
      <c r="Y262" s="150">
        <v>3.0</v>
      </c>
      <c r="Z262" s="156"/>
      <c r="AA262" s="156"/>
      <c r="AB262" s="156"/>
      <c r="AC262" s="156"/>
      <c r="AD262" s="156"/>
      <c r="AE262" s="156"/>
      <c r="AF262" s="156"/>
      <c r="AG262" s="156"/>
      <c r="AH262" s="156"/>
      <c r="AI262" s="156"/>
      <c r="AJ262" s="156"/>
    </row>
    <row r="263" ht="14.25" customHeight="1">
      <c r="A263" s="150">
        <v>210.0</v>
      </c>
      <c r="B263" s="150">
        <v>5.0</v>
      </c>
      <c r="C263" s="150">
        <v>730.0</v>
      </c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42">
        <v>0.13</v>
      </c>
      <c r="Y263" s="150">
        <v>4.0</v>
      </c>
      <c r="Z263" s="156"/>
      <c r="AA263" s="156"/>
      <c r="AB263" s="156"/>
      <c r="AC263" s="156"/>
      <c r="AD263" s="156"/>
      <c r="AE263" s="156"/>
      <c r="AF263" s="156"/>
      <c r="AG263" s="156"/>
      <c r="AH263" s="156"/>
      <c r="AI263" s="156"/>
      <c r="AJ263" s="156"/>
    </row>
    <row r="264" ht="14.25" customHeight="1">
      <c r="A264" s="150">
        <v>210.0</v>
      </c>
      <c r="B264" s="150">
        <v>950.0</v>
      </c>
      <c r="C264" s="150"/>
      <c r="D264" s="150"/>
      <c r="E264" s="150"/>
      <c r="F264" s="150">
        <v>6.0</v>
      </c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42">
        <v>0.13</v>
      </c>
      <c r="Y264" s="150">
        <v>1.0</v>
      </c>
      <c r="Z264" s="156"/>
      <c r="AA264" s="156"/>
      <c r="AB264" s="156"/>
      <c r="AC264" s="156"/>
      <c r="AD264" s="156"/>
      <c r="AE264" s="156"/>
      <c r="AF264" s="156"/>
      <c r="AG264" s="156"/>
      <c r="AH264" s="156"/>
      <c r="AI264" s="156"/>
      <c r="AJ264" s="156"/>
    </row>
    <row r="265" ht="14.25" customHeight="1">
      <c r="A265" s="150">
        <v>210.0</v>
      </c>
      <c r="B265" s="150">
        <v>200.0</v>
      </c>
      <c r="C265" s="150"/>
      <c r="D265" s="150"/>
      <c r="E265" s="150"/>
      <c r="F265" s="150">
        <v>10.0</v>
      </c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42">
        <v>0.13</v>
      </c>
      <c r="Y265" s="150">
        <v>1.0</v>
      </c>
      <c r="Z265" s="156"/>
      <c r="AA265" s="156"/>
      <c r="AB265" s="156"/>
      <c r="AC265" s="156"/>
      <c r="AD265" s="156"/>
      <c r="AE265" s="156"/>
      <c r="AF265" s="156"/>
      <c r="AG265" s="156"/>
      <c r="AH265" s="156"/>
      <c r="AI265" s="156"/>
      <c r="AJ265" s="156"/>
    </row>
    <row r="266" ht="14.25" customHeight="1">
      <c r="A266" s="150">
        <v>210.0</v>
      </c>
      <c r="B266" s="150">
        <v>75.0</v>
      </c>
      <c r="C266" s="150"/>
      <c r="D266" s="150"/>
      <c r="E266" s="150"/>
      <c r="F266" s="150">
        <v>16.0</v>
      </c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42">
        <v>0.13</v>
      </c>
      <c r="Y266" s="150">
        <v>2.0</v>
      </c>
      <c r="Z266" s="156"/>
      <c r="AA266" s="156"/>
      <c r="AB266" s="156"/>
      <c r="AC266" s="156"/>
      <c r="AD266" s="156"/>
      <c r="AE266" s="156"/>
      <c r="AF266" s="156"/>
      <c r="AG266" s="156"/>
      <c r="AH266" s="156"/>
      <c r="AI266" s="156"/>
      <c r="AJ266" s="156"/>
    </row>
    <row r="267" ht="14.25" customHeight="1">
      <c r="A267" s="150">
        <v>210.0</v>
      </c>
      <c r="B267" s="150">
        <v>20.0</v>
      </c>
      <c r="C267" s="150"/>
      <c r="D267" s="150"/>
      <c r="E267" s="150"/>
      <c r="F267" s="150">
        <v>24.0</v>
      </c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42">
        <v>0.13</v>
      </c>
      <c r="Y267" s="150">
        <v>3.0</v>
      </c>
      <c r="Z267" s="156"/>
      <c r="AA267" s="156"/>
      <c r="AB267" s="156"/>
      <c r="AC267" s="156"/>
      <c r="AD267" s="156"/>
      <c r="AE267" s="156"/>
      <c r="AF267" s="156"/>
      <c r="AG267" s="156"/>
      <c r="AH267" s="156"/>
      <c r="AI267" s="156"/>
      <c r="AJ267" s="156"/>
    </row>
    <row r="268" ht="14.25" customHeight="1">
      <c r="A268" s="150">
        <v>210.0</v>
      </c>
      <c r="B268" s="150">
        <v>5.0</v>
      </c>
      <c r="C268" s="150"/>
      <c r="D268" s="150"/>
      <c r="E268" s="150"/>
      <c r="F268" s="150">
        <v>57.0</v>
      </c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42">
        <v>0.13</v>
      </c>
      <c r="Y268" s="150">
        <v>4.0</v>
      </c>
      <c r="Z268" s="156"/>
      <c r="AA268" s="156"/>
      <c r="AB268" s="156"/>
      <c r="AC268" s="156"/>
      <c r="AD268" s="156"/>
      <c r="AE268" s="156"/>
      <c r="AF268" s="156"/>
      <c r="AG268" s="156"/>
      <c r="AH268" s="156"/>
      <c r="AI268" s="156"/>
      <c r="AJ268" s="156"/>
    </row>
    <row r="269" ht="14.25" customHeight="1">
      <c r="A269" s="150">
        <v>210.0</v>
      </c>
      <c r="B269" s="150">
        <v>950.0</v>
      </c>
      <c r="C269" s="150"/>
      <c r="D269" s="150"/>
      <c r="E269" s="150"/>
      <c r="F269" s="150"/>
      <c r="G269" s="150">
        <v>9.0</v>
      </c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42">
        <v>0.13</v>
      </c>
      <c r="Y269" s="150">
        <v>1.0</v>
      </c>
      <c r="Z269" s="156"/>
      <c r="AA269" s="156"/>
      <c r="AB269" s="156"/>
      <c r="AC269" s="156"/>
      <c r="AD269" s="156"/>
      <c r="AE269" s="156"/>
      <c r="AF269" s="156"/>
      <c r="AG269" s="156"/>
      <c r="AH269" s="156"/>
      <c r="AI269" s="156"/>
      <c r="AJ269" s="156"/>
    </row>
    <row r="270" ht="14.25" customHeight="1">
      <c r="A270" s="150">
        <v>210.0</v>
      </c>
      <c r="B270" s="150">
        <v>200.0</v>
      </c>
      <c r="C270" s="150"/>
      <c r="D270" s="150"/>
      <c r="E270" s="150"/>
      <c r="F270" s="150"/>
      <c r="G270" s="150">
        <v>13.0</v>
      </c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42">
        <v>0.13</v>
      </c>
      <c r="Y270" s="150">
        <v>1.0</v>
      </c>
      <c r="Z270" s="156"/>
      <c r="AA270" s="156"/>
      <c r="AB270" s="156"/>
      <c r="AC270" s="156"/>
      <c r="AD270" s="156"/>
      <c r="AE270" s="156"/>
      <c r="AF270" s="156"/>
      <c r="AG270" s="156"/>
      <c r="AH270" s="156"/>
      <c r="AI270" s="156"/>
      <c r="AJ270" s="156"/>
    </row>
    <row r="271" ht="14.25" customHeight="1">
      <c r="A271" s="150">
        <v>210.0</v>
      </c>
      <c r="B271" s="150">
        <v>75.0</v>
      </c>
      <c r="C271" s="150"/>
      <c r="D271" s="150"/>
      <c r="E271" s="150"/>
      <c r="F271" s="150"/>
      <c r="G271" s="150">
        <v>22.0</v>
      </c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42">
        <v>0.13</v>
      </c>
      <c r="Y271" s="150">
        <v>2.0</v>
      </c>
      <c r="Z271" s="156"/>
      <c r="AA271" s="156"/>
      <c r="AB271" s="156"/>
      <c r="AC271" s="156"/>
      <c r="AD271" s="156"/>
      <c r="AE271" s="156"/>
      <c r="AF271" s="156"/>
      <c r="AG271" s="156"/>
      <c r="AH271" s="156"/>
      <c r="AI271" s="156"/>
      <c r="AJ271" s="156"/>
    </row>
    <row r="272" ht="14.25" customHeight="1">
      <c r="A272" s="150">
        <v>210.0</v>
      </c>
      <c r="B272" s="150">
        <v>20.0</v>
      </c>
      <c r="C272" s="150"/>
      <c r="D272" s="150"/>
      <c r="E272" s="150"/>
      <c r="F272" s="150"/>
      <c r="G272" s="150">
        <v>42.0</v>
      </c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42">
        <v>0.13</v>
      </c>
      <c r="Y272" s="150">
        <v>3.0</v>
      </c>
      <c r="Z272" s="156"/>
      <c r="AA272" s="156"/>
      <c r="AB272" s="156"/>
      <c r="AC272" s="156"/>
      <c r="AD272" s="156"/>
      <c r="AE272" s="156"/>
      <c r="AF272" s="156"/>
      <c r="AG272" s="156"/>
      <c r="AH272" s="156"/>
      <c r="AI272" s="156"/>
      <c r="AJ272" s="156"/>
    </row>
    <row r="273" ht="14.25" customHeight="1">
      <c r="A273" s="150">
        <v>210.0</v>
      </c>
      <c r="B273" s="150">
        <v>5.0</v>
      </c>
      <c r="C273" s="150"/>
      <c r="D273" s="150"/>
      <c r="E273" s="150"/>
      <c r="F273" s="150"/>
      <c r="G273" s="150">
        <v>72.0</v>
      </c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42">
        <v>0.13</v>
      </c>
      <c r="Y273" s="150">
        <v>4.0</v>
      </c>
      <c r="Z273" s="156"/>
      <c r="AA273" s="156"/>
      <c r="AB273" s="156"/>
      <c r="AC273" s="156"/>
      <c r="AD273" s="156"/>
      <c r="AE273" s="156"/>
      <c r="AF273" s="156"/>
      <c r="AG273" s="156"/>
      <c r="AH273" s="156"/>
      <c r="AI273" s="156"/>
      <c r="AJ273" s="156"/>
    </row>
    <row r="274" ht="14.25" customHeight="1">
      <c r="A274" s="150">
        <v>210.0</v>
      </c>
      <c r="B274" s="150">
        <v>950.0</v>
      </c>
      <c r="C274" s="150"/>
      <c r="D274" s="150">
        <v>4.0</v>
      </c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42">
        <v>0.13</v>
      </c>
      <c r="Y274" s="150">
        <v>1.0</v>
      </c>
      <c r="Z274" s="156"/>
      <c r="AA274" s="156"/>
      <c r="AB274" s="156"/>
      <c r="AC274" s="156"/>
      <c r="AD274" s="156"/>
      <c r="AE274" s="156"/>
      <c r="AF274" s="156"/>
      <c r="AG274" s="156"/>
      <c r="AH274" s="156"/>
      <c r="AI274" s="156"/>
      <c r="AJ274" s="156"/>
    </row>
    <row r="275" ht="14.25" customHeight="1">
      <c r="A275" s="150">
        <v>210.0</v>
      </c>
      <c r="B275" s="150">
        <v>200.0</v>
      </c>
      <c r="C275" s="150"/>
      <c r="D275" s="150">
        <v>8.0</v>
      </c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42">
        <v>0.13</v>
      </c>
      <c r="Y275" s="150">
        <v>1.0</v>
      </c>
      <c r="Z275" s="156"/>
      <c r="AA275" s="156"/>
      <c r="AB275" s="156"/>
      <c r="AC275" s="156"/>
      <c r="AD275" s="156"/>
      <c r="AE275" s="156"/>
      <c r="AF275" s="156"/>
      <c r="AG275" s="156"/>
      <c r="AH275" s="156"/>
      <c r="AI275" s="156"/>
      <c r="AJ275" s="156"/>
    </row>
    <row r="276" ht="14.25" customHeight="1">
      <c r="A276" s="150">
        <v>210.0</v>
      </c>
      <c r="B276" s="150">
        <v>75.0</v>
      </c>
      <c r="C276" s="150"/>
      <c r="D276" s="150">
        <v>11.0</v>
      </c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42">
        <v>0.13</v>
      </c>
      <c r="Y276" s="150">
        <v>2.0</v>
      </c>
      <c r="Z276" s="156"/>
      <c r="AA276" s="156"/>
      <c r="AB276" s="156"/>
      <c r="AC276" s="156"/>
      <c r="AD276" s="156"/>
      <c r="AE276" s="156"/>
      <c r="AF276" s="156"/>
      <c r="AG276" s="156"/>
      <c r="AH276" s="156"/>
      <c r="AI276" s="156"/>
      <c r="AJ276" s="156"/>
    </row>
    <row r="277" ht="14.25" customHeight="1">
      <c r="A277" s="150">
        <v>210.0</v>
      </c>
      <c r="B277" s="150">
        <v>20.0</v>
      </c>
      <c r="C277" s="150"/>
      <c r="D277" s="150">
        <v>17.0</v>
      </c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42">
        <v>0.13</v>
      </c>
      <c r="Y277" s="150">
        <v>3.0</v>
      </c>
      <c r="Z277" s="156"/>
      <c r="AA277" s="156"/>
      <c r="AB277" s="156"/>
      <c r="AC277" s="156"/>
      <c r="AD277" s="156"/>
      <c r="AE277" s="156"/>
      <c r="AF277" s="156"/>
      <c r="AG277" s="156"/>
      <c r="AH277" s="156"/>
      <c r="AI277" s="156"/>
      <c r="AJ277" s="156"/>
    </row>
    <row r="278" ht="14.25" customHeight="1">
      <c r="A278" s="150">
        <v>210.0</v>
      </c>
      <c r="B278" s="150">
        <v>5.0</v>
      </c>
      <c r="C278" s="150"/>
      <c r="D278" s="150">
        <v>40.0</v>
      </c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42">
        <v>0.13</v>
      </c>
      <c r="Y278" s="150">
        <v>4.0</v>
      </c>
      <c r="Z278" s="156"/>
      <c r="AA278" s="156"/>
      <c r="AB278" s="156"/>
      <c r="AC278" s="156"/>
      <c r="AD278" s="156"/>
      <c r="AE278" s="156"/>
      <c r="AF278" s="156"/>
      <c r="AG278" s="156"/>
      <c r="AH278" s="156"/>
      <c r="AI278" s="156"/>
      <c r="AJ278" s="156"/>
    </row>
    <row r="279" ht="14.25" customHeight="1">
      <c r="A279" s="150">
        <v>210.0</v>
      </c>
      <c r="B279" s="150">
        <v>500.0</v>
      </c>
      <c r="C279" s="150"/>
      <c r="D279" s="150"/>
      <c r="E279" s="150">
        <v>6.0</v>
      </c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42">
        <v>0.13</v>
      </c>
      <c r="Y279" s="150">
        <v>1.0</v>
      </c>
      <c r="Z279" s="156"/>
      <c r="AA279" s="156"/>
      <c r="AB279" s="156"/>
      <c r="AC279" s="156"/>
      <c r="AD279" s="156"/>
      <c r="AE279" s="156"/>
      <c r="AF279" s="156"/>
      <c r="AG279" s="156"/>
      <c r="AH279" s="156"/>
      <c r="AI279" s="156"/>
      <c r="AJ279" s="156"/>
    </row>
    <row r="280" ht="14.25" customHeight="1">
      <c r="A280" s="150">
        <v>210.0</v>
      </c>
      <c r="B280" s="150">
        <v>200.0</v>
      </c>
      <c r="C280" s="150"/>
      <c r="D280" s="150"/>
      <c r="E280" s="150">
        <v>10.0</v>
      </c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42">
        <v>0.13</v>
      </c>
      <c r="Y280" s="150">
        <v>1.0</v>
      </c>
      <c r="Z280" s="156"/>
      <c r="AA280" s="156"/>
      <c r="AB280" s="156"/>
      <c r="AC280" s="156"/>
      <c r="AD280" s="156"/>
      <c r="AE280" s="156"/>
      <c r="AF280" s="156"/>
      <c r="AG280" s="156"/>
      <c r="AH280" s="156"/>
      <c r="AI280" s="156"/>
      <c r="AJ280" s="156"/>
    </row>
    <row r="281" ht="14.25" customHeight="1">
      <c r="A281" s="150">
        <v>210.0</v>
      </c>
      <c r="B281" s="150">
        <v>75.0</v>
      </c>
      <c r="C281" s="150"/>
      <c r="D281" s="150"/>
      <c r="E281" s="150">
        <v>17.0</v>
      </c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42">
        <v>0.13</v>
      </c>
      <c r="Y281" s="150">
        <v>2.0</v>
      </c>
      <c r="Z281" s="156"/>
      <c r="AA281" s="156"/>
      <c r="AB281" s="156"/>
      <c r="AC281" s="156"/>
      <c r="AD281" s="156"/>
      <c r="AE281" s="156"/>
      <c r="AF281" s="156"/>
      <c r="AG281" s="156"/>
      <c r="AH281" s="156"/>
      <c r="AI281" s="156"/>
      <c r="AJ281" s="156"/>
    </row>
    <row r="282" ht="14.25" customHeight="1">
      <c r="A282" s="150">
        <v>210.0</v>
      </c>
      <c r="B282" s="150">
        <v>20.0</v>
      </c>
      <c r="C282" s="150"/>
      <c r="D282" s="150"/>
      <c r="E282" s="150">
        <v>30.0</v>
      </c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42">
        <v>0.13</v>
      </c>
      <c r="Y282" s="150">
        <v>3.0</v>
      </c>
      <c r="Z282" s="156"/>
      <c r="AA282" s="156"/>
      <c r="AB282" s="156"/>
      <c r="AC282" s="156"/>
      <c r="AD282" s="156"/>
      <c r="AE282" s="156"/>
      <c r="AF282" s="156"/>
      <c r="AG282" s="156"/>
      <c r="AH282" s="156"/>
      <c r="AI282" s="156"/>
      <c r="AJ282" s="156"/>
    </row>
    <row r="283" ht="14.25" customHeight="1">
      <c r="A283" s="150">
        <v>210.0</v>
      </c>
      <c r="B283" s="150">
        <v>5.0</v>
      </c>
      <c r="C283" s="150"/>
      <c r="D283" s="150"/>
      <c r="E283" s="150">
        <v>51.0</v>
      </c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42">
        <v>0.13</v>
      </c>
      <c r="Y283" s="150">
        <v>4.0</v>
      </c>
      <c r="Z283" s="156"/>
      <c r="AA283" s="156"/>
      <c r="AB283" s="156"/>
      <c r="AC283" s="156"/>
      <c r="AD283" s="156"/>
      <c r="AE283" s="156"/>
      <c r="AF283" s="156"/>
      <c r="AG283" s="156"/>
      <c r="AH283" s="156"/>
      <c r="AI283" s="156"/>
      <c r="AJ283" s="156"/>
    </row>
    <row r="284" ht="14.25" customHeight="1">
      <c r="A284" s="150">
        <v>210.0</v>
      </c>
      <c r="B284" s="150">
        <v>500.0</v>
      </c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>
        <v>0.01</v>
      </c>
      <c r="Q284" s="150"/>
      <c r="R284" s="150"/>
      <c r="S284" s="150"/>
      <c r="T284" s="150"/>
      <c r="U284" s="150"/>
      <c r="V284" s="150"/>
      <c r="W284" s="150"/>
      <c r="X284" s="42">
        <v>0.13</v>
      </c>
      <c r="Y284" s="150">
        <v>1.0</v>
      </c>
      <c r="Z284" s="156"/>
      <c r="AA284" s="156"/>
      <c r="AB284" s="156"/>
      <c r="AC284" s="156"/>
      <c r="AD284" s="156"/>
      <c r="AE284" s="156"/>
      <c r="AF284" s="156"/>
      <c r="AG284" s="156"/>
      <c r="AH284" s="156"/>
      <c r="AI284" s="156"/>
      <c r="AJ284" s="156"/>
    </row>
    <row r="285" ht="14.25" customHeight="1">
      <c r="A285" s="150">
        <v>210.0</v>
      </c>
      <c r="B285" s="150">
        <v>200.0</v>
      </c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>
        <v>0.02</v>
      </c>
      <c r="Q285" s="150"/>
      <c r="R285" s="150"/>
      <c r="S285" s="150"/>
      <c r="T285" s="150"/>
      <c r="U285" s="150"/>
      <c r="V285" s="150"/>
      <c r="W285" s="150"/>
      <c r="X285" s="42">
        <v>0.13</v>
      </c>
      <c r="Y285" s="150">
        <v>1.0</v>
      </c>
      <c r="Z285" s="156"/>
      <c r="AA285" s="156"/>
      <c r="AB285" s="156"/>
      <c r="AC285" s="156"/>
      <c r="AD285" s="156"/>
      <c r="AE285" s="156"/>
      <c r="AF285" s="156"/>
      <c r="AG285" s="156"/>
      <c r="AH285" s="156"/>
      <c r="AI285" s="156"/>
      <c r="AJ285" s="156"/>
    </row>
    <row r="286" ht="14.25" customHeight="1">
      <c r="A286" s="150">
        <v>210.0</v>
      </c>
      <c r="B286" s="150">
        <v>75.0</v>
      </c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>
        <v>0.04</v>
      </c>
      <c r="Q286" s="150"/>
      <c r="R286" s="150"/>
      <c r="S286" s="150"/>
      <c r="T286" s="150"/>
      <c r="U286" s="150"/>
      <c r="V286" s="150"/>
      <c r="W286" s="150"/>
      <c r="X286" s="42">
        <v>0.13</v>
      </c>
      <c r="Y286" s="150">
        <v>2.0</v>
      </c>
      <c r="Z286" s="156"/>
      <c r="AA286" s="156"/>
      <c r="AB286" s="156"/>
      <c r="AC286" s="156"/>
      <c r="AD286" s="156"/>
      <c r="AE286" s="156"/>
      <c r="AF286" s="156"/>
      <c r="AG286" s="156"/>
      <c r="AH286" s="156"/>
      <c r="AI286" s="156"/>
      <c r="AJ286" s="156"/>
    </row>
    <row r="287" ht="14.25" customHeight="1">
      <c r="A287" s="150">
        <v>210.0</v>
      </c>
      <c r="B287" s="150">
        <v>20.0</v>
      </c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>
        <v>0.07</v>
      </c>
      <c r="Q287" s="150"/>
      <c r="R287" s="150"/>
      <c r="S287" s="150"/>
      <c r="T287" s="150"/>
      <c r="U287" s="150"/>
      <c r="V287" s="150"/>
      <c r="W287" s="150"/>
      <c r="X287" s="42">
        <v>0.13</v>
      </c>
      <c r="Y287" s="150">
        <v>3.0</v>
      </c>
      <c r="Z287" s="156"/>
      <c r="AA287" s="156"/>
      <c r="AB287" s="156"/>
      <c r="AC287" s="156"/>
      <c r="AD287" s="156"/>
      <c r="AE287" s="156"/>
      <c r="AF287" s="156"/>
      <c r="AG287" s="156"/>
      <c r="AH287" s="156"/>
      <c r="AI287" s="156"/>
      <c r="AJ287" s="156"/>
    </row>
    <row r="288" ht="14.25" customHeight="1">
      <c r="A288" s="150">
        <v>210.0</v>
      </c>
      <c r="B288" s="150">
        <v>5.0</v>
      </c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>
        <v>0.1</v>
      </c>
      <c r="Q288" s="150"/>
      <c r="R288" s="150"/>
      <c r="S288" s="150"/>
      <c r="T288" s="150"/>
      <c r="U288" s="150"/>
      <c r="V288" s="150"/>
      <c r="W288" s="150"/>
      <c r="X288" s="42">
        <v>0.13</v>
      </c>
      <c r="Y288" s="150">
        <v>4.0</v>
      </c>
      <c r="Z288" s="156"/>
      <c r="AA288" s="156"/>
      <c r="AB288" s="156"/>
      <c r="AC288" s="156"/>
      <c r="AD288" s="156"/>
      <c r="AE288" s="156"/>
      <c r="AF288" s="156"/>
      <c r="AG288" s="156"/>
      <c r="AH288" s="156"/>
      <c r="AI288" s="156"/>
      <c r="AJ288" s="156"/>
    </row>
    <row r="289" ht="14.25" customHeight="1">
      <c r="A289" s="150">
        <v>210.0</v>
      </c>
      <c r="B289" s="150">
        <v>550.0</v>
      </c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>
        <v>0.02</v>
      </c>
      <c r="X289" s="42">
        <v>0.13</v>
      </c>
      <c r="Y289" s="150">
        <v>1.0</v>
      </c>
      <c r="Z289" s="156"/>
      <c r="AA289" s="156"/>
      <c r="AB289" s="156"/>
      <c r="AC289" s="156"/>
      <c r="AD289" s="156"/>
      <c r="AE289" s="156"/>
      <c r="AF289" s="156"/>
      <c r="AG289" s="156"/>
      <c r="AH289" s="156"/>
      <c r="AI289" s="156"/>
      <c r="AJ289" s="156"/>
    </row>
    <row r="290" ht="14.25" customHeight="1">
      <c r="A290" s="150">
        <v>210.0</v>
      </c>
      <c r="B290" s="150">
        <v>100.0</v>
      </c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>
        <v>0.04</v>
      </c>
      <c r="X290" s="42">
        <v>0.13</v>
      </c>
      <c r="Y290" s="150">
        <v>1.0</v>
      </c>
      <c r="Z290" s="156"/>
      <c r="AA290" s="156"/>
      <c r="AB290" s="156"/>
      <c r="AC290" s="156"/>
      <c r="AD290" s="156"/>
      <c r="AE290" s="156"/>
      <c r="AF290" s="156"/>
      <c r="AG290" s="156"/>
      <c r="AH290" s="156"/>
      <c r="AI290" s="156"/>
      <c r="AJ290" s="156"/>
    </row>
    <row r="291" ht="14.25" customHeight="1">
      <c r="A291" s="150">
        <v>210.0</v>
      </c>
      <c r="B291" s="150">
        <v>35.0</v>
      </c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>
        <v>0.08</v>
      </c>
      <c r="X291" s="42">
        <v>0.13</v>
      </c>
      <c r="Y291" s="150">
        <v>2.0</v>
      </c>
      <c r="Z291" s="156"/>
      <c r="AA291" s="156"/>
      <c r="AB291" s="156"/>
      <c r="AC291" s="156"/>
      <c r="AD291" s="156"/>
      <c r="AE291" s="156"/>
      <c r="AF291" s="156"/>
      <c r="AG291" s="156"/>
      <c r="AH291" s="156"/>
      <c r="AI291" s="156"/>
      <c r="AJ291" s="156"/>
    </row>
    <row r="292" ht="14.25" customHeight="1">
      <c r="A292" s="150">
        <v>210.0</v>
      </c>
      <c r="B292" s="150">
        <v>10.0</v>
      </c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>
        <v>0.013</v>
      </c>
      <c r="X292" s="42">
        <v>0.13</v>
      </c>
      <c r="Y292" s="150">
        <v>3.0</v>
      </c>
      <c r="Z292" s="156"/>
      <c r="AA292" s="156"/>
      <c r="AB292" s="156"/>
      <c r="AC292" s="156"/>
      <c r="AD292" s="156"/>
      <c r="AE292" s="156"/>
      <c r="AF292" s="156"/>
      <c r="AG292" s="156"/>
      <c r="AH292" s="156"/>
      <c r="AI292" s="156"/>
      <c r="AJ292" s="156"/>
    </row>
    <row r="293" ht="14.25" customHeight="1">
      <c r="A293" s="150">
        <v>210.0</v>
      </c>
      <c r="B293" s="150">
        <v>5.0</v>
      </c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>
        <v>0.2</v>
      </c>
      <c r="X293" s="42">
        <v>0.13</v>
      </c>
      <c r="Y293" s="150">
        <v>4.0</v>
      </c>
      <c r="Z293" s="156"/>
      <c r="AA293" s="156"/>
      <c r="AB293" s="156"/>
      <c r="AC293" s="156"/>
      <c r="AD293" s="156"/>
      <c r="AE293" s="156"/>
      <c r="AF293" s="156"/>
      <c r="AG293" s="156"/>
      <c r="AH293" s="156"/>
      <c r="AI293" s="156"/>
      <c r="AJ293" s="156"/>
    </row>
    <row r="294" ht="14.25" customHeight="1">
      <c r="A294" s="153">
        <v>211.0</v>
      </c>
      <c r="B294" s="153">
        <v>2000.0</v>
      </c>
      <c r="C294" s="158"/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58"/>
    </row>
    <row r="295" ht="14.25" customHeight="1">
      <c r="A295" s="153">
        <v>211.0</v>
      </c>
      <c r="B295" s="153">
        <v>950.0</v>
      </c>
      <c r="C295" s="153">
        <v>65.0</v>
      </c>
      <c r="D295" s="153"/>
      <c r="E295" s="153"/>
      <c r="F295" s="153"/>
      <c r="G295" s="153"/>
      <c r="H295" s="153"/>
      <c r="I295" s="153"/>
      <c r="J295" s="153"/>
      <c r="K295" s="153"/>
      <c r="L295" s="153"/>
      <c r="M295" s="153"/>
      <c r="N295" s="153"/>
      <c r="O295" s="153"/>
      <c r="P295" s="153"/>
      <c r="Q295" s="153"/>
      <c r="R295" s="153"/>
      <c r="S295" s="153"/>
      <c r="T295" s="153"/>
      <c r="U295" s="153"/>
      <c r="V295" s="153"/>
      <c r="W295" s="153"/>
      <c r="X295" s="152">
        <v>0.11</v>
      </c>
      <c r="Y295" s="153">
        <v>1.0</v>
      </c>
    </row>
    <row r="296" ht="14.25" customHeight="1">
      <c r="A296" s="153">
        <v>211.0</v>
      </c>
      <c r="B296" s="153">
        <v>200.0</v>
      </c>
      <c r="C296" s="153">
        <v>115.0</v>
      </c>
      <c r="D296" s="153"/>
      <c r="E296" s="153"/>
      <c r="F296" s="153"/>
      <c r="G296" s="153"/>
      <c r="H296" s="153"/>
      <c r="I296" s="153"/>
      <c r="J296" s="153"/>
      <c r="K296" s="153"/>
      <c r="L296" s="153"/>
      <c r="M296" s="153"/>
      <c r="N296" s="153"/>
      <c r="O296" s="153"/>
      <c r="P296" s="153"/>
      <c r="Q296" s="153"/>
      <c r="R296" s="153"/>
      <c r="S296" s="153"/>
      <c r="T296" s="153"/>
      <c r="U296" s="153"/>
      <c r="V296" s="153"/>
      <c r="W296" s="153"/>
      <c r="X296" s="152">
        <v>0.11</v>
      </c>
      <c r="Y296" s="153">
        <v>1.0</v>
      </c>
    </row>
    <row r="297" ht="14.25" customHeight="1">
      <c r="A297" s="153">
        <v>211.0</v>
      </c>
      <c r="B297" s="153">
        <v>75.0</v>
      </c>
      <c r="C297" s="153">
        <v>210.0</v>
      </c>
      <c r="D297" s="153"/>
      <c r="E297" s="153"/>
      <c r="F297" s="153"/>
      <c r="G297" s="153"/>
      <c r="H297" s="153"/>
      <c r="I297" s="153"/>
      <c r="J297" s="153"/>
      <c r="K297" s="153"/>
      <c r="L297" s="153"/>
      <c r="M297" s="153"/>
      <c r="N297" s="153"/>
      <c r="O297" s="153"/>
      <c r="P297" s="153"/>
      <c r="Q297" s="153"/>
      <c r="R297" s="153"/>
      <c r="S297" s="153"/>
      <c r="T297" s="153"/>
      <c r="U297" s="153"/>
      <c r="V297" s="153"/>
      <c r="W297" s="153"/>
      <c r="X297" s="152">
        <v>0.11</v>
      </c>
      <c r="Y297" s="153">
        <v>2.0</v>
      </c>
    </row>
    <row r="298" ht="14.25" customHeight="1">
      <c r="A298" s="153">
        <v>211.0</v>
      </c>
      <c r="B298" s="153">
        <v>20.0</v>
      </c>
      <c r="C298" s="153">
        <v>400.0</v>
      </c>
      <c r="D298" s="153"/>
      <c r="E298" s="153"/>
      <c r="F298" s="153"/>
      <c r="G298" s="153"/>
      <c r="H298" s="153"/>
      <c r="I298" s="153"/>
      <c r="J298" s="153"/>
      <c r="K298" s="153"/>
      <c r="L298" s="153"/>
      <c r="M298" s="153"/>
      <c r="N298" s="153"/>
      <c r="O298" s="153"/>
      <c r="P298" s="153"/>
      <c r="Q298" s="153"/>
      <c r="R298" s="153"/>
      <c r="S298" s="153"/>
      <c r="T298" s="153"/>
      <c r="U298" s="153"/>
      <c r="V298" s="153"/>
      <c r="W298" s="153"/>
      <c r="X298" s="152">
        <v>0.11</v>
      </c>
      <c r="Y298" s="153">
        <v>3.0</v>
      </c>
    </row>
    <row r="299" ht="14.25" customHeight="1">
      <c r="A299" s="153">
        <v>211.0</v>
      </c>
      <c r="B299" s="153">
        <v>5.0</v>
      </c>
      <c r="C299" s="153">
        <v>730.0</v>
      </c>
      <c r="D299" s="153"/>
      <c r="E299" s="153"/>
      <c r="F299" s="153"/>
      <c r="G299" s="153"/>
      <c r="H299" s="153"/>
      <c r="I299" s="153"/>
      <c r="J299" s="153"/>
      <c r="K299" s="153"/>
      <c r="L299" s="153"/>
      <c r="M299" s="153"/>
      <c r="N299" s="153"/>
      <c r="O299" s="153"/>
      <c r="P299" s="153"/>
      <c r="Q299" s="153"/>
      <c r="R299" s="153"/>
      <c r="S299" s="153"/>
      <c r="T299" s="153"/>
      <c r="U299" s="153"/>
      <c r="V299" s="153"/>
      <c r="W299" s="153"/>
      <c r="X299" s="152">
        <v>0.11</v>
      </c>
      <c r="Y299" s="153">
        <v>4.0</v>
      </c>
    </row>
    <row r="300" ht="14.25" customHeight="1">
      <c r="A300" s="153">
        <v>211.0</v>
      </c>
      <c r="B300" s="153">
        <v>950.0</v>
      </c>
      <c r="C300" s="153"/>
      <c r="D300" s="153"/>
      <c r="E300" s="153"/>
      <c r="F300" s="153">
        <v>6.0</v>
      </c>
      <c r="G300" s="153"/>
      <c r="H300" s="153"/>
      <c r="I300" s="153"/>
      <c r="J300" s="153"/>
      <c r="K300" s="153"/>
      <c r="L300" s="153"/>
      <c r="M300" s="153"/>
      <c r="N300" s="153"/>
      <c r="O300" s="153"/>
      <c r="P300" s="153"/>
      <c r="Q300" s="153"/>
      <c r="R300" s="153"/>
      <c r="S300" s="153"/>
      <c r="T300" s="153"/>
      <c r="U300" s="153"/>
      <c r="V300" s="153"/>
      <c r="W300" s="153"/>
      <c r="X300" s="152">
        <v>0.11</v>
      </c>
      <c r="Y300" s="153">
        <v>1.0</v>
      </c>
    </row>
    <row r="301" ht="14.25" customHeight="1">
      <c r="A301" s="153">
        <v>211.0</v>
      </c>
      <c r="B301" s="153">
        <v>200.0</v>
      </c>
      <c r="C301" s="153"/>
      <c r="D301" s="153"/>
      <c r="E301" s="153"/>
      <c r="F301" s="153">
        <v>10.0</v>
      </c>
      <c r="G301" s="153"/>
      <c r="H301" s="153"/>
      <c r="I301" s="153"/>
      <c r="J301" s="153"/>
      <c r="K301" s="153"/>
      <c r="L301" s="153"/>
      <c r="M301" s="153"/>
      <c r="N301" s="153"/>
      <c r="O301" s="153"/>
      <c r="P301" s="153"/>
      <c r="Q301" s="153"/>
      <c r="R301" s="153"/>
      <c r="S301" s="153"/>
      <c r="T301" s="153"/>
      <c r="U301" s="153"/>
      <c r="V301" s="153"/>
      <c r="W301" s="153"/>
      <c r="X301" s="152">
        <v>0.11</v>
      </c>
      <c r="Y301" s="153">
        <v>1.0</v>
      </c>
    </row>
    <row r="302" ht="14.25" customHeight="1">
      <c r="A302" s="153">
        <v>211.0</v>
      </c>
      <c r="B302" s="153">
        <v>75.0</v>
      </c>
      <c r="C302" s="153"/>
      <c r="D302" s="153"/>
      <c r="E302" s="153"/>
      <c r="F302" s="153">
        <v>16.0</v>
      </c>
      <c r="G302" s="153"/>
      <c r="H302" s="153"/>
      <c r="I302" s="153"/>
      <c r="J302" s="153"/>
      <c r="K302" s="153"/>
      <c r="L302" s="153"/>
      <c r="M302" s="153"/>
      <c r="N302" s="153"/>
      <c r="O302" s="153"/>
      <c r="P302" s="153"/>
      <c r="Q302" s="153"/>
      <c r="R302" s="153"/>
      <c r="S302" s="153"/>
      <c r="T302" s="153"/>
      <c r="U302" s="153"/>
      <c r="V302" s="153"/>
      <c r="W302" s="153"/>
      <c r="X302" s="152">
        <v>0.11</v>
      </c>
      <c r="Y302" s="153">
        <v>2.0</v>
      </c>
    </row>
    <row r="303" ht="14.25" customHeight="1">
      <c r="A303" s="153">
        <v>211.0</v>
      </c>
      <c r="B303" s="153">
        <v>20.0</v>
      </c>
      <c r="C303" s="153"/>
      <c r="D303" s="153"/>
      <c r="E303" s="153"/>
      <c r="F303" s="153">
        <v>24.0</v>
      </c>
      <c r="G303" s="153"/>
      <c r="H303" s="153"/>
      <c r="I303" s="153"/>
      <c r="J303" s="153"/>
      <c r="K303" s="153"/>
      <c r="L303" s="153"/>
      <c r="M303" s="153"/>
      <c r="N303" s="153"/>
      <c r="O303" s="153"/>
      <c r="P303" s="153"/>
      <c r="Q303" s="153"/>
      <c r="R303" s="153"/>
      <c r="S303" s="153"/>
      <c r="T303" s="153"/>
      <c r="U303" s="153"/>
      <c r="V303" s="153"/>
      <c r="W303" s="153"/>
      <c r="X303" s="152">
        <v>0.11</v>
      </c>
      <c r="Y303" s="153">
        <v>3.0</v>
      </c>
    </row>
    <row r="304" ht="14.25" customHeight="1">
      <c r="A304" s="153">
        <v>211.0</v>
      </c>
      <c r="B304" s="153">
        <v>5.0</v>
      </c>
      <c r="C304" s="153"/>
      <c r="D304" s="153"/>
      <c r="E304" s="153"/>
      <c r="F304" s="153">
        <v>57.0</v>
      </c>
      <c r="G304" s="153"/>
      <c r="H304" s="153"/>
      <c r="I304" s="153"/>
      <c r="J304" s="153"/>
      <c r="K304" s="153"/>
      <c r="L304" s="153"/>
      <c r="M304" s="153"/>
      <c r="N304" s="153"/>
      <c r="O304" s="153"/>
      <c r="P304" s="153"/>
      <c r="Q304" s="153"/>
      <c r="R304" s="153"/>
      <c r="S304" s="153"/>
      <c r="T304" s="153"/>
      <c r="U304" s="153"/>
      <c r="V304" s="153"/>
      <c r="W304" s="153"/>
      <c r="X304" s="152">
        <v>0.11</v>
      </c>
      <c r="Y304" s="153">
        <v>4.0</v>
      </c>
    </row>
    <row r="305" ht="14.25" customHeight="1">
      <c r="A305" s="153">
        <v>211.0</v>
      </c>
      <c r="B305" s="153">
        <v>950.0</v>
      </c>
      <c r="C305" s="153"/>
      <c r="D305" s="153"/>
      <c r="E305" s="153"/>
      <c r="F305" s="153"/>
      <c r="G305" s="153">
        <v>9.0</v>
      </c>
      <c r="H305" s="153"/>
      <c r="I305" s="153"/>
      <c r="J305" s="153"/>
      <c r="K305" s="153"/>
      <c r="L305" s="153"/>
      <c r="M305" s="153"/>
      <c r="N305" s="153"/>
      <c r="O305" s="153"/>
      <c r="P305" s="153"/>
      <c r="Q305" s="153"/>
      <c r="R305" s="153"/>
      <c r="S305" s="153"/>
      <c r="T305" s="153"/>
      <c r="U305" s="153"/>
      <c r="V305" s="153"/>
      <c r="W305" s="153"/>
      <c r="X305" s="152">
        <v>0.11</v>
      </c>
      <c r="Y305" s="153">
        <v>1.0</v>
      </c>
    </row>
    <row r="306" ht="14.25" customHeight="1">
      <c r="A306" s="153">
        <v>211.0</v>
      </c>
      <c r="B306" s="153">
        <v>200.0</v>
      </c>
      <c r="C306" s="153"/>
      <c r="D306" s="153"/>
      <c r="E306" s="153"/>
      <c r="F306" s="153"/>
      <c r="G306" s="153">
        <v>13.0</v>
      </c>
      <c r="H306" s="153"/>
      <c r="I306" s="153"/>
      <c r="J306" s="153"/>
      <c r="K306" s="153"/>
      <c r="L306" s="153"/>
      <c r="M306" s="153"/>
      <c r="N306" s="153"/>
      <c r="O306" s="153"/>
      <c r="P306" s="153"/>
      <c r="Q306" s="153"/>
      <c r="R306" s="153"/>
      <c r="S306" s="153"/>
      <c r="T306" s="153"/>
      <c r="U306" s="153"/>
      <c r="V306" s="153"/>
      <c r="W306" s="153"/>
      <c r="X306" s="152">
        <v>0.11</v>
      </c>
      <c r="Y306" s="153">
        <v>1.0</v>
      </c>
    </row>
    <row r="307" ht="14.25" customHeight="1">
      <c r="A307" s="153">
        <v>211.0</v>
      </c>
      <c r="B307" s="153">
        <v>75.0</v>
      </c>
      <c r="C307" s="153"/>
      <c r="D307" s="153"/>
      <c r="E307" s="153"/>
      <c r="F307" s="153"/>
      <c r="G307" s="153">
        <v>22.0</v>
      </c>
      <c r="H307" s="153"/>
      <c r="I307" s="153"/>
      <c r="J307" s="153"/>
      <c r="K307" s="153"/>
      <c r="L307" s="153"/>
      <c r="M307" s="153"/>
      <c r="N307" s="153"/>
      <c r="O307" s="153"/>
      <c r="P307" s="153"/>
      <c r="Q307" s="153"/>
      <c r="R307" s="153"/>
      <c r="S307" s="153"/>
      <c r="T307" s="153"/>
      <c r="U307" s="153"/>
      <c r="V307" s="153"/>
      <c r="W307" s="153"/>
      <c r="X307" s="152">
        <v>0.11</v>
      </c>
      <c r="Y307" s="153">
        <v>2.0</v>
      </c>
    </row>
    <row r="308" ht="14.25" customHeight="1">
      <c r="A308" s="153">
        <v>211.0</v>
      </c>
      <c r="B308" s="153">
        <v>20.0</v>
      </c>
      <c r="C308" s="153"/>
      <c r="D308" s="153"/>
      <c r="E308" s="153"/>
      <c r="F308" s="153"/>
      <c r="G308" s="153">
        <v>42.0</v>
      </c>
      <c r="H308" s="153"/>
      <c r="I308" s="153"/>
      <c r="J308" s="153"/>
      <c r="K308" s="153"/>
      <c r="L308" s="153"/>
      <c r="M308" s="153"/>
      <c r="N308" s="153"/>
      <c r="O308" s="153"/>
      <c r="P308" s="153"/>
      <c r="Q308" s="153"/>
      <c r="R308" s="153"/>
      <c r="S308" s="153"/>
      <c r="T308" s="153"/>
      <c r="U308" s="153"/>
      <c r="V308" s="153"/>
      <c r="W308" s="153"/>
      <c r="X308" s="152">
        <v>0.11</v>
      </c>
      <c r="Y308" s="153">
        <v>3.0</v>
      </c>
    </row>
    <row r="309" ht="14.25" customHeight="1">
      <c r="A309" s="153">
        <v>211.0</v>
      </c>
      <c r="B309" s="153">
        <v>5.0</v>
      </c>
      <c r="C309" s="153"/>
      <c r="D309" s="153"/>
      <c r="E309" s="153"/>
      <c r="F309" s="153"/>
      <c r="G309" s="153">
        <v>72.0</v>
      </c>
      <c r="H309" s="153"/>
      <c r="I309" s="153"/>
      <c r="J309" s="153"/>
      <c r="K309" s="153"/>
      <c r="L309" s="153"/>
      <c r="M309" s="153"/>
      <c r="N309" s="153"/>
      <c r="O309" s="153"/>
      <c r="P309" s="153"/>
      <c r="Q309" s="153"/>
      <c r="R309" s="153"/>
      <c r="S309" s="153"/>
      <c r="T309" s="153"/>
      <c r="U309" s="153"/>
      <c r="V309" s="153"/>
      <c r="W309" s="153"/>
      <c r="X309" s="152">
        <v>0.11</v>
      </c>
      <c r="Y309" s="153">
        <v>4.0</v>
      </c>
    </row>
    <row r="310" ht="14.25" customHeight="1">
      <c r="A310" s="153">
        <v>211.0</v>
      </c>
      <c r="B310" s="153">
        <v>950.0</v>
      </c>
      <c r="C310" s="153"/>
      <c r="D310" s="153">
        <v>4.0</v>
      </c>
      <c r="E310" s="153"/>
      <c r="F310" s="153"/>
      <c r="G310" s="153"/>
      <c r="H310" s="153"/>
      <c r="I310" s="153"/>
      <c r="J310" s="153"/>
      <c r="K310" s="153"/>
      <c r="L310" s="153"/>
      <c r="M310" s="153"/>
      <c r="N310" s="153"/>
      <c r="O310" s="153"/>
      <c r="P310" s="153"/>
      <c r="Q310" s="153"/>
      <c r="R310" s="153"/>
      <c r="S310" s="153"/>
      <c r="T310" s="153"/>
      <c r="U310" s="153"/>
      <c r="V310" s="153"/>
      <c r="W310" s="153"/>
      <c r="X310" s="152">
        <v>0.11</v>
      </c>
      <c r="Y310" s="153">
        <v>1.0</v>
      </c>
    </row>
    <row r="311" ht="14.25" customHeight="1">
      <c r="A311" s="153">
        <v>211.0</v>
      </c>
      <c r="B311" s="153">
        <v>200.0</v>
      </c>
      <c r="C311" s="153"/>
      <c r="D311" s="153">
        <v>8.0</v>
      </c>
      <c r="E311" s="153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2">
        <v>0.11</v>
      </c>
      <c r="Y311" s="153">
        <v>1.0</v>
      </c>
    </row>
    <row r="312" ht="14.25" customHeight="1">
      <c r="A312" s="153">
        <v>211.0</v>
      </c>
      <c r="B312" s="153">
        <v>75.0</v>
      </c>
      <c r="C312" s="153"/>
      <c r="D312" s="153">
        <v>11.0</v>
      </c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2">
        <v>0.11</v>
      </c>
      <c r="Y312" s="153">
        <v>2.0</v>
      </c>
    </row>
    <row r="313" ht="14.25" customHeight="1">
      <c r="A313" s="153">
        <v>211.0</v>
      </c>
      <c r="B313" s="153">
        <v>20.0</v>
      </c>
      <c r="C313" s="153"/>
      <c r="D313" s="153">
        <v>17.0</v>
      </c>
      <c r="E313" s="153"/>
      <c r="F313" s="153"/>
      <c r="G313" s="153"/>
      <c r="H313" s="153"/>
      <c r="I313" s="153"/>
      <c r="J313" s="153"/>
      <c r="K313" s="153"/>
      <c r="L313" s="153"/>
      <c r="M313" s="153"/>
      <c r="N313" s="153"/>
      <c r="O313" s="153"/>
      <c r="P313" s="153"/>
      <c r="Q313" s="153"/>
      <c r="R313" s="153"/>
      <c r="S313" s="153"/>
      <c r="T313" s="153"/>
      <c r="U313" s="153"/>
      <c r="V313" s="153"/>
      <c r="W313" s="153"/>
      <c r="X313" s="152">
        <v>0.11</v>
      </c>
      <c r="Y313" s="153">
        <v>3.0</v>
      </c>
    </row>
    <row r="314" ht="14.25" customHeight="1">
      <c r="A314" s="153">
        <v>211.0</v>
      </c>
      <c r="B314" s="153">
        <v>5.0</v>
      </c>
      <c r="C314" s="153"/>
      <c r="D314" s="153">
        <v>40.0</v>
      </c>
      <c r="E314" s="153"/>
      <c r="F314" s="153"/>
      <c r="G314" s="153"/>
      <c r="H314" s="153"/>
      <c r="I314" s="153"/>
      <c r="J314" s="153"/>
      <c r="K314" s="153"/>
      <c r="L314" s="153"/>
      <c r="M314" s="153"/>
      <c r="N314" s="153"/>
      <c r="O314" s="153"/>
      <c r="P314" s="153"/>
      <c r="Q314" s="153"/>
      <c r="R314" s="153"/>
      <c r="S314" s="153"/>
      <c r="T314" s="153"/>
      <c r="U314" s="153"/>
      <c r="V314" s="153"/>
      <c r="W314" s="153"/>
      <c r="X314" s="152">
        <v>0.11</v>
      </c>
      <c r="Y314" s="153">
        <v>4.0</v>
      </c>
    </row>
    <row r="315" ht="14.25" customHeight="1">
      <c r="A315" s="153">
        <v>211.0</v>
      </c>
      <c r="B315" s="153">
        <v>500.0</v>
      </c>
      <c r="C315" s="153"/>
      <c r="D315" s="153"/>
      <c r="E315" s="153">
        <v>6.0</v>
      </c>
      <c r="F315" s="153"/>
      <c r="G315" s="153"/>
      <c r="H315" s="153"/>
      <c r="I315" s="153"/>
      <c r="J315" s="153"/>
      <c r="K315" s="153"/>
      <c r="L315" s="153"/>
      <c r="M315" s="153"/>
      <c r="N315" s="153"/>
      <c r="O315" s="153"/>
      <c r="P315" s="153"/>
      <c r="Q315" s="153"/>
      <c r="R315" s="153"/>
      <c r="S315" s="153"/>
      <c r="T315" s="153"/>
      <c r="U315" s="153"/>
      <c r="V315" s="153"/>
      <c r="W315" s="153"/>
      <c r="X315" s="152">
        <v>0.11</v>
      </c>
      <c r="Y315" s="153">
        <v>1.0</v>
      </c>
    </row>
    <row r="316" ht="14.25" customHeight="1">
      <c r="A316" s="153">
        <v>211.0</v>
      </c>
      <c r="B316" s="153">
        <v>200.0</v>
      </c>
      <c r="C316" s="153"/>
      <c r="D316" s="153"/>
      <c r="E316" s="153">
        <v>10.0</v>
      </c>
      <c r="F316" s="153"/>
      <c r="G316" s="153"/>
      <c r="H316" s="153"/>
      <c r="I316" s="153"/>
      <c r="J316" s="153"/>
      <c r="K316" s="153"/>
      <c r="L316" s="153"/>
      <c r="M316" s="153"/>
      <c r="N316" s="153"/>
      <c r="O316" s="153"/>
      <c r="P316" s="153"/>
      <c r="Q316" s="153"/>
      <c r="R316" s="153"/>
      <c r="S316" s="153"/>
      <c r="T316" s="153"/>
      <c r="U316" s="153"/>
      <c r="V316" s="153"/>
      <c r="W316" s="153"/>
      <c r="X316" s="152">
        <v>0.11</v>
      </c>
      <c r="Y316" s="153">
        <v>1.0</v>
      </c>
    </row>
    <row r="317" ht="14.25" customHeight="1">
      <c r="A317" s="153">
        <v>211.0</v>
      </c>
      <c r="B317" s="153">
        <v>75.0</v>
      </c>
      <c r="C317" s="153"/>
      <c r="D317" s="153"/>
      <c r="E317" s="153">
        <v>17.0</v>
      </c>
      <c r="F317" s="153"/>
      <c r="G317" s="153"/>
      <c r="H317" s="153"/>
      <c r="I317" s="153"/>
      <c r="J317" s="153"/>
      <c r="K317" s="153"/>
      <c r="L317" s="153"/>
      <c r="M317" s="153"/>
      <c r="N317" s="153"/>
      <c r="O317" s="153"/>
      <c r="P317" s="153"/>
      <c r="Q317" s="153"/>
      <c r="R317" s="153"/>
      <c r="S317" s="153"/>
      <c r="T317" s="153"/>
      <c r="U317" s="153"/>
      <c r="V317" s="153"/>
      <c r="W317" s="153"/>
      <c r="X317" s="152">
        <v>0.11</v>
      </c>
      <c r="Y317" s="153">
        <v>2.0</v>
      </c>
    </row>
    <row r="318" ht="14.25" customHeight="1">
      <c r="A318" s="153">
        <v>211.0</v>
      </c>
      <c r="B318" s="153">
        <v>20.0</v>
      </c>
      <c r="C318" s="153"/>
      <c r="D318" s="153"/>
      <c r="E318" s="153">
        <v>30.0</v>
      </c>
      <c r="F318" s="153"/>
      <c r="G318" s="153"/>
      <c r="H318" s="153"/>
      <c r="I318" s="153"/>
      <c r="J318" s="153"/>
      <c r="K318" s="153"/>
      <c r="L318" s="153"/>
      <c r="M318" s="153"/>
      <c r="N318" s="153"/>
      <c r="O318" s="153"/>
      <c r="P318" s="153"/>
      <c r="Q318" s="153"/>
      <c r="R318" s="153"/>
      <c r="S318" s="153"/>
      <c r="T318" s="153"/>
      <c r="U318" s="153"/>
      <c r="V318" s="153"/>
      <c r="W318" s="153"/>
      <c r="X318" s="152">
        <v>0.11</v>
      </c>
      <c r="Y318" s="153">
        <v>3.0</v>
      </c>
    </row>
    <row r="319" ht="14.25" customHeight="1">
      <c r="A319" s="153">
        <v>211.0</v>
      </c>
      <c r="B319" s="153">
        <v>5.0</v>
      </c>
      <c r="C319" s="153"/>
      <c r="D319" s="153"/>
      <c r="E319" s="153">
        <v>51.0</v>
      </c>
      <c r="F319" s="153"/>
      <c r="G319" s="153"/>
      <c r="H319" s="153"/>
      <c r="I319" s="153"/>
      <c r="J319" s="153"/>
      <c r="K319" s="153"/>
      <c r="L319" s="153"/>
      <c r="M319" s="153"/>
      <c r="N319" s="153"/>
      <c r="O319" s="153"/>
      <c r="P319" s="153"/>
      <c r="Q319" s="153"/>
      <c r="R319" s="153"/>
      <c r="S319" s="153"/>
      <c r="T319" s="153"/>
      <c r="U319" s="153"/>
      <c r="V319" s="153"/>
      <c r="W319" s="153"/>
      <c r="X319" s="152">
        <v>0.11</v>
      </c>
      <c r="Y319" s="153">
        <v>4.0</v>
      </c>
    </row>
    <row r="320" ht="14.25" customHeight="1">
      <c r="A320" s="153">
        <v>211.0</v>
      </c>
      <c r="B320" s="153">
        <v>500.0</v>
      </c>
      <c r="C320" s="153"/>
      <c r="D320" s="153"/>
      <c r="E320" s="153"/>
      <c r="F320" s="153"/>
      <c r="G320" s="153"/>
      <c r="H320" s="153"/>
      <c r="I320" s="153"/>
      <c r="J320" s="153"/>
      <c r="K320" s="153"/>
      <c r="L320" s="153"/>
      <c r="M320" s="153"/>
      <c r="N320" s="153"/>
      <c r="O320" s="153"/>
      <c r="P320" s="153">
        <v>0.01</v>
      </c>
      <c r="Q320" s="153"/>
      <c r="R320" s="153"/>
      <c r="S320" s="153"/>
      <c r="T320" s="153"/>
      <c r="U320" s="153"/>
      <c r="V320" s="153"/>
      <c r="W320" s="153"/>
      <c r="X320" s="152">
        <v>0.11</v>
      </c>
      <c r="Y320" s="153">
        <v>1.0</v>
      </c>
    </row>
    <row r="321" ht="14.25" customHeight="1">
      <c r="A321" s="153">
        <v>211.0</v>
      </c>
      <c r="B321" s="153">
        <v>200.0</v>
      </c>
      <c r="C321" s="153"/>
      <c r="D321" s="153"/>
      <c r="E321" s="153"/>
      <c r="F321" s="153"/>
      <c r="G321" s="153"/>
      <c r="H321" s="153"/>
      <c r="I321" s="153"/>
      <c r="J321" s="153"/>
      <c r="K321" s="153"/>
      <c r="L321" s="153"/>
      <c r="M321" s="153"/>
      <c r="N321" s="153"/>
      <c r="O321" s="153"/>
      <c r="P321" s="153">
        <v>0.02</v>
      </c>
      <c r="Q321" s="153"/>
      <c r="R321" s="153"/>
      <c r="S321" s="153"/>
      <c r="T321" s="153"/>
      <c r="U321" s="153"/>
      <c r="V321" s="153"/>
      <c r="W321" s="153"/>
      <c r="X321" s="152">
        <v>0.11</v>
      </c>
      <c r="Y321" s="153">
        <v>1.0</v>
      </c>
    </row>
    <row r="322" ht="14.25" customHeight="1">
      <c r="A322" s="153">
        <v>211.0</v>
      </c>
      <c r="B322" s="153">
        <v>75.0</v>
      </c>
      <c r="C322" s="153"/>
      <c r="D322" s="153"/>
      <c r="E322" s="153"/>
      <c r="F322" s="153"/>
      <c r="G322" s="153"/>
      <c r="H322" s="153"/>
      <c r="I322" s="153"/>
      <c r="J322" s="153"/>
      <c r="K322" s="153"/>
      <c r="L322" s="153"/>
      <c r="M322" s="153"/>
      <c r="N322" s="153"/>
      <c r="O322" s="153"/>
      <c r="P322" s="153">
        <v>0.04</v>
      </c>
      <c r="Q322" s="153"/>
      <c r="R322" s="153"/>
      <c r="S322" s="153"/>
      <c r="T322" s="153"/>
      <c r="U322" s="153"/>
      <c r="V322" s="153"/>
      <c r="W322" s="153"/>
      <c r="X322" s="152">
        <v>0.11</v>
      </c>
      <c r="Y322" s="153">
        <v>2.0</v>
      </c>
    </row>
    <row r="323" ht="14.25" customHeight="1">
      <c r="A323" s="153">
        <v>211.0</v>
      </c>
      <c r="B323" s="153">
        <v>20.0</v>
      </c>
      <c r="C323" s="153"/>
      <c r="D323" s="153"/>
      <c r="E323" s="153"/>
      <c r="F323" s="153"/>
      <c r="G323" s="153"/>
      <c r="H323" s="153"/>
      <c r="I323" s="153"/>
      <c r="J323" s="153"/>
      <c r="K323" s="153"/>
      <c r="L323" s="153"/>
      <c r="M323" s="153"/>
      <c r="N323" s="153"/>
      <c r="O323" s="153"/>
      <c r="P323" s="153">
        <v>0.07</v>
      </c>
      <c r="Q323" s="153"/>
      <c r="R323" s="153"/>
      <c r="S323" s="153"/>
      <c r="T323" s="153"/>
      <c r="U323" s="153"/>
      <c r="V323" s="153"/>
      <c r="W323" s="153"/>
      <c r="X323" s="152">
        <v>0.11</v>
      </c>
      <c r="Y323" s="153">
        <v>3.0</v>
      </c>
    </row>
    <row r="324" ht="14.25" customHeight="1">
      <c r="A324" s="153">
        <v>211.0</v>
      </c>
      <c r="B324" s="153">
        <v>5.0</v>
      </c>
      <c r="C324" s="153"/>
      <c r="D324" s="153"/>
      <c r="E324" s="153"/>
      <c r="F324" s="153"/>
      <c r="G324" s="153"/>
      <c r="H324" s="153"/>
      <c r="I324" s="153"/>
      <c r="J324" s="153"/>
      <c r="K324" s="153"/>
      <c r="L324" s="153"/>
      <c r="M324" s="153"/>
      <c r="N324" s="153"/>
      <c r="O324" s="153"/>
      <c r="P324" s="153">
        <v>0.1</v>
      </c>
      <c r="Q324" s="153"/>
      <c r="R324" s="153"/>
      <c r="S324" s="153"/>
      <c r="T324" s="153"/>
      <c r="U324" s="153"/>
      <c r="V324" s="153"/>
      <c r="W324" s="153"/>
      <c r="X324" s="152">
        <v>0.11</v>
      </c>
      <c r="Y324" s="153">
        <v>4.0</v>
      </c>
    </row>
    <row r="325" ht="14.25" customHeight="1">
      <c r="A325" s="153">
        <v>211.0</v>
      </c>
      <c r="B325" s="153">
        <v>550.0</v>
      </c>
      <c r="C325" s="153"/>
      <c r="D325" s="153"/>
      <c r="E325" s="153"/>
      <c r="F325" s="153"/>
      <c r="G325" s="153"/>
      <c r="H325" s="153"/>
      <c r="I325" s="153"/>
      <c r="J325" s="153"/>
      <c r="K325" s="153"/>
      <c r="L325" s="153"/>
      <c r="M325" s="153"/>
      <c r="N325" s="153"/>
      <c r="O325" s="153"/>
      <c r="P325" s="153"/>
      <c r="Q325" s="153"/>
      <c r="R325" s="153"/>
      <c r="S325" s="153"/>
      <c r="T325" s="153"/>
      <c r="U325" s="153"/>
      <c r="V325" s="153"/>
      <c r="W325" s="153">
        <v>0.02</v>
      </c>
      <c r="X325" s="152">
        <v>0.11</v>
      </c>
      <c r="Y325" s="153">
        <v>1.0</v>
      </c>
    </row>
    <row r="326" ht="14.25" customHeight="1">
      <c r="A326" s="153">
        <v>211.0</v>
      </c>
      <c r="B326" s="153">
        <v>100.0</v>
      </c>
      <c r="C326" s="153"/>
      <c r="D326" s="153"/>
      <c r="E326" s="153"/>
      <c r="F326" s="153"/>
      <c r="G326" s="153"/>
      <c r="H326" s="153"/>
      <c r="I326" s="153"/>
      <c r="J326" s="153"/>
      <c r="K326" s="153"/>
      <c r="L326" s="153"/>
      <c r="M326" s="153"/>
      <c r="N326" s="153"/>
      <c r="O326" s="153"/>
      <c r="P326" s="153"/>
      <c r="Q326" s="153"/>
      <c r="R326" s="153"/>
      <c r="S326" s="153"/>
      <c r="T326" s="153"/>
      <c r="U326" s="153"/>
      <c r="V326" s="153"/>
      <c r="W326" s="153">
        <v>0.04</v>
      </c>
      <c r="X326" s="152">
        <v>0.11</v>
      </c>
      <c r="Y326" s="153">
        <v>1.0</v>
      </c>
    </row>
    <row r="327" ht="14.25" customHeight="1">
      <c r="A327" s="153">
        <v>211.0</v>
      </c>
      <c r="B327" s="153">
        <v>35.0</v>
      </c>
      <c r="C327" s="153"/>
      <c r="D327" s="153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153"/>
      <c r="Q327" s="153"/>
      <c r="R327" s="153"/>
      <c r="S327" s="153"/>
      <c r="T327" s="153"/>
      <c r="U327" s="153"/>
      <c r="V327" s="153"/>
      <c r="W327" s="153">
        <v>0.08</v>
      </c>
      <c r="X327" s="152">
        <v>0.11</v>
      </c>
      <c r="Y327" s="153">
        <v>2.0</v>
      </c>
    </row>
    <row r="328" ht="14.25" customHeight="1">
      <c r="A328" s="153">
        <v>211.0</v>
      </c>
      <c r="B328" s="153">
        <v>10.0</v>
      </c>
      <c r="C328" s="153"/>
      <c r="D328" s="153"/>
      <c r="E328" s="153"/>
      <c r="F328" s="153"/>
      <c r="G328" s="153"/>
      <c r="H328" s="153"/>
      <c r="I328" s="153"/>
      <c r="J328" s="153"/>
      <c r="K328" s="153"/>
      <c r="L328" s="153"/>
      <c r="M328" s="153"/>
      <c r="N328" s="153"/>
      <c r="O328" s="153"/>
      <c r="P328" s="153"/>
      <c r="Q328" s="153"/>
      <c r="R328" s="153"/>
      <c r="S328" s="153"/>
      <c r="T328" s="153"/>
      <c r="U328" s="153"/>
      <c r="V328" s="153"/>
      <c r="W328" s="153">
        <v>0.013</v>
      </c>
      <c r="X328" s="152">
        <v>0.11</v>
      </c>
      <c r="Y328" s="153">
        <v>3.0</v>
      </c>
    </row>
    <row r="329" ht="14.25" customHeight="1">
      <c r="A329" s="153">
        <v>211.0</v>
      </c>
      <c r="B329" s="153">
        <v>5.0</v>
      </c>
      <c r="C329" s="153"/>
      <c r="D329" s="153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153"/>
      <c r="Q329" s="153"/>
      <c r="R329" s="153"/>
      <c r="S329" s="153"/>
      <c r="T329" s="153"/>
      <c r="U329" s="153"/>
      <c r="V329" s="153"/>
      <c r="W329" s="153">
        <v>0.2</v>
      </c>
      <c r="X329" s="152">
        <v>0.11</v>
      </c>
      <c r="Y329" s="153">
        <v>4.0</v>
      </c>
    </row>
    <row r="330" ht="14.25" customHeight="1">
      <c r="A330" s="153">
        <v>211.0</v>
      </c>
      <c r="B330" s="153">
        <v>550.0</v>
      </c>
      <c r="C330" s="153"/>
      <c r="D330" s="153"/>
      <c r="E330" s="153"/>
      <c r="F330" s="153"/>
      <c r="G330" s="153"/>
      <c r="H330" s="153"/>
      <c r="I330" s="153"/>
      <c r="J330" s="153"/>
      <c r="K330" s="153"/>
      <c r="L330" s="153"/>
      <c r="M330" s="153"/>
      <c r="N330" s="153"/>
      <c r="O330" s="153"/>
      <c r="P330" s="153"/>
      <c r="Q330" s="153"/>
      <c r="R330" s="153"/>
      <c r="S330" s="153"/>
      <c r="T330" s="153"/>
      <c r="U330" s="153"/>
      <c r="V330" s="153">
        <v>0.01</v>
      </c>
      <c r="W330" s="153"/>
      <c r="X330" s="152">
        <v>0.11</v>
      </c>
      <c r="Y330" s="153">
        <v>1.0</v>
      </c>
    </row>
    <row r="331" ht="14.25" customHeight="1">
      <c r="A331" s="153">
        <v>211.0</v>
      </c>
      <c r="B331" s="153">
        <v>100.0</v>
      </c>
      <c r="C331" s="153"/>
      <c r="D331" s="153"/>
      <c r="E331" s="153"/>
      <c r="F331" s="153"/>
      <c r="G331" s="153"/>
      <c r="H331" s="153"/>
      <c r="I331" s="153"/>
      <c r="J331" s="153"/>
      <c r="K331" s="153"/>
      <c r="L331" s="153"/>
      <c r="M331" s="153"/>
      <c r="N331" s="153"/>
      <c r="O331" s="153"/>
      <c r="P331" s="153"/>
      <c r="Q331" s="153"/>
      <c r="R331" s="153"/>
      <c r="S331" s="153"/>
      <c r="T331" s="153"/>
      <c r="U331" s="153"/>
      <c r="V331" s="153">
        <v>0.03</v>
      </c>
      <c r="W331" s="153"/>
      <c r="X331" s="152">
        <v>0.11</v>
      </c>
      <c r="Y331" s="153">
        <v>1.0</v>
      </c>
    </row>
    <row r="332" ht="14.25" customHeight="1">
      <c r="A332" s="153">
        <v>211.0</v>
      </c>
      <c r="B332" s="153">
        <v>35.0</v>
      </c>
      <c r="C332" s="153"/>
      <c r="D332" s="153"/>
      <c r="E332" s="153"/>
      <c r="F332" s="153"/>
      <c r="G332" s="153"/>
      <c r="H332" s="153"/>
      <c r="I332" s="153"/>
      <c r="J332" s="153"/>
      <c r="K332" s="153"/>
      <c r="L332" s="153"/>
      <c r="M332" s="153"/>
      <c r="N332" s="153"/>
      <c r="O332" s="153"/>
      <c r="P332" s="153"/>
      <c r="Q332" s="153"/>
      <c r="R332" s="153"/>
      <c r="S332" s="153"/>
      <c r="T332" s="153"/>
      <c r="U332" s="153"/>
      <c r="V332" s="153">
        <v>0.06</v>
      </c>
      <c r="W332" s="153"/>
      <c r="X332" s="152">
        <v>0.11</v>
      </c>
      <c r="Y332" s="153">
        <v>2.0</v>
      </c>
    </row>
    <row r="333" ht="14.25" customHeight="1">
      <c r="A333" s="153">
        <v>211.0</v>
      </c>
      <c r="B333" s="153">
        <v>10.0</v>
      </c>
      <c r="C333" s="153"/>
      <c r="D333" s="153"/>
      <c r="E333" s="153"/>
      <c r="F333" s="153"/>
      <c r="G333" s="153"/>
      <c r="H333" s="153"/>
      <c r="I333" s="153"/>
      <c r="J333" s="153"/>
      <c r="K333" s="153"/>
      <c r="L333" s="153"/>
      <c r="M333" s="153"/>
      <c r="N333" s="153"/>
      <c r="O333" s="153"/>
      <c r="P333" s="153"/>
      <c r="Q333" s="153"/>
      <c r="R333" s="153"/>
      <c r="S333" s="153"/>
      <c r="T333" s="153"/>
      <c r="U333" s="153"/>
      <c r="V333" s="153">
        <v>0.1</v>
      </c>
      <c r="W333" s="153"/>
      <c r="X333" s="152">
        <v>0.11</v>
      </c>
      <c r="Y333" s="153">
        <v>3.0</v>
      </c>
    </row>
    <row r="334" ht="14.25" customHeight="1">
      <c r="A334" s="153">
        <v>211.0</v>
      </c>
      <c r="B334" s="153">
        <v>5.0</v>
      </c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>
        <v>0.15</v>
      </c>
      <c r="W334" s="153"/>
      <c r="X334" s="152">
        <v>0.11</v>
      </c>
      <c r="Y334" s="153">
        <v>4.0</v>
      </c>
    </row>
    <row r="335" ht="14.25" customHeight="1">
      <c r="A335" s="150">
        <v>212.0</v>
      </c>
      <c r="B335" s="150">
        <v>1900.0</v>
      </c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</row>
    <row r="336" ht="14.25" customHeight="1">
      <c r="A336" s="150">
        <v>212.0</v>
      </c>
      <c r="B336" s="150">
        <v>950.0</v>
      </c>
      <c r="C336" s="150">
        <v>65.0</v>
      </c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>
        <v>0.08</v>
      </c>
      <c r="Y336" s="150">
        <v>1.0</v>
      </c>
    </row>
    <row r="337" ht="14.25" customHeight="1">
      <c r="A337" s="150">
        <v>212.0</v>
      </c>
      <c r="B337" s="150">
        <v>200.0</v>
      </c>
      <c r="C337" s="150">
        <v>115.0</v>
      </c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>
        <v>0.08</v>
      </c>
      <c r="Y337" s="150">
        <v>1.0</v>
      </c>
    </row>
    <row r="338" ht="14.25" customHeight="1">
      <c r="A338" s="150">
        <v>212.0</v>
      </c>
      <c r="B338" s="150">
        <v>75.0</v>
      </c>
      <c r="C338" s="150">
        <v>210.0</v>
      </c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>
        <v>0.08</v>
      </c>
      <c r="Y338" s="150">
        <v>2.0</v>
      </c>
    </row>
    <row r="339" ht="14.25" customHeight="1">
      <c r="A339" s="150">
        <v>212.0</v>
      </c>
      <c r="B339" s="150">
        <v>20.0</v>
      </c>
      <c r="C339" s="150">
        <v>400.0</v>
      </c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>
        <v>0.08</v>
      </c>
      <c r="Y339" s="150">
        <v>3.0</v>
      </c>
    </row>
    <row r="340" ht="14.25" customHeight="1">
      <c r="A340" s="150">
        <v>212.0</v>
      </c>
      <c r="B340" s="150">
        <v>5.0</v>
      </c>
      <c r="C340" s="150">
        <v>730.0</v>
      </c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>
        <v>0.08</v>
      </c>
      <c r="Y340" s="150">
        <v>4.0</v>
      </c>
    </row>
    <row r="341" ht="14.25" customHeight="1">
      <c r="A341" s="150">
        <v>212.0</v>
      </c>
      <c r="B341" s="150">
        <v>750.0</v>
      </c>
      <c r="C341" s="150"/>
      <c r="D341" s="150"/>
      <c r="E341" s="150"/>
      <c r="F341" s="150">
        <v>6.0</v>
      </c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>
        <v>0.08</v>
      </c>
      <c r="Y341" s="150">
        <v>1.0</v>
      </c>
    </row>
    <row r="342" ht="14.25" customHeight="1">
      <c r="A342" s="150">
        <v>212.0</v>
      </c>
      <c r="B342" s="150">
        <v>200.0</v>
      </c>
      <c r="C342" s="150"/>
      <c r="D342" s="150"/>
      <c r="E342" s="150"/>
      <c r="F342" s="150">
        <v>10.0</v>
      </c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>
        <v>0.08</v>
      </c>
      <c r="Y342" s="150">
        <v>1.0</v>
      </c>
    </row>
    <row r="343" ht="14.25" customHeight="1">
      <c r="A343" s="150">
        <v>212.0</v>
      </c>
      <c r="B343" s="150">
        <v>75.0</v>
      </c>
      <c r="C343" s="150"/>
      <c r="D343" s="150"/>
      <c r="E343" s="150"/>
      <c r="F343" s="150">
        <v>16.0</v>
      </c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>
        <v>0.08</v>
      </c>
      <c r="Y343" s="150">
        <v>2.0</v>
      </c>
    </row>
    <row r="344" ht="14.25" customHeight="1">
      <c r="A344" s="150">
        <v>212.0</v>
      </c>
      <c r="B344" s="150">
        <v>20.0</v>
      </c>
      <c r="C344" s="150"/>
      <c r="D344" s="150"/>
      <c r="E344" s="150"/>
      <c r="F344" s="150">
        <v>24.0</v>
      </c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>
        <v>0.08</v>
      </c>
      <c r="Y344" s="150">
        <v>3.0</v>
      </c>
    </row>
    <row r="345" ht="14.25" customHeight="1">
      <c r="A345" s="150">
        <v>212.0</v>
      </c>
      <c r="B345" s="150">
        <v>5.0</v>
      </c>
      <c r="C345" s="150"/>
      <c r="D345" s="150"/>
      <c r="E345" s="150"/>
      <c r="F345" s="150">
        <v>57.0</v>
      </c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>
        <v>0.08</v>
      </c>
      <c r="Y345" s="150">
        <v>4.0</v>
      </c>
    </row>
    <row r="346" ht="14.25" customHeight="1">
      <c r="A346" s="150">
        <v>212.0</v>
      </c>
      <c r="B346" s="150">
        <v>750.0</v>
      </c>
      <c r="C346" s="150"/>
      <c r="D346" s="150"/>
      <c r="E346" s="150"/>
      <c r="F346" s="150"/>
      <c r="G346" s="150">
        <v>9.0</v>
      </c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>
        <v>0.08</v>
      </c>
      <c r="Y346" s="150">
        <v>1.0</v>
      </c>
    </row>
    <row r="347" ht="14.25" customHeight="1">
      <c r="A347" s="150">
        <v>212.0</v>
      </c>
      <c r="B347" s="150">
        <v>200.0</v>
      </c>
      <c r="C347" s="150"/>
      <c r="D347" s="150"/>
      <c r="E347" s="150"/>
      <c r="F347" s="150"/>
      <c r="G347" s="150">
        <v>13.0</v>
      </c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>
        <v>0.08</v>
      </c>
      <c r="Y347" s="150">
        <v>1.0</v>
      </c>
    </row>
    <row r="348" ht="14.25" customHeight="1">
      <c r="A348" s="150">
        <v>212.0</v>
      </c>
      <c r="B348" s="150">
        <v>75.0</v>
      </c>
      <c r="C348" s="150"/>
      <c r="D348" s="150"/>
      <c r="E348" s="150"/>
      <c r="F348" s="150"/>
      <c r="G348" s="150">
        <v>22.0</v>
      </c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>
        <v>0.08</v>
      </c>
      <c r="Y348" s="150">
        <v>2.0</v>
      </c>
    </row>
    <row r="349" ht="14.25" customHeight="1">
      <c r="A349" s="150">
        <v>212.0</v>
      </c>
      <c r="B349" s="150">
        <v>20.0</v>
      </c>
      <c r="C349" s="150"/>
      <c r="D349" s="150"/>
      <c r="E349" s="150"/>
      <c r="F349" s="150"/>
      <c r="G349" s="150">
        <v>42.0</v>
      </c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>
        <v>0.08</v>
      </c>
      <c r="Y349" s="150">
        <v>3.0</v>
      </c>
    </row>
    <row r="350" ht="14.25" customHeight="1">
      <c r="A350" s="150">
        <v>212.0</v>
      </c>
      <c r="B350" s="150">
        <v>5.0</v>
      </c>
      <c r="C350" s="150"/>
      <c r="D350" s="150"/>
      <c r="E350" s="150"/>
      <c r="F350" s="150"/>
      <c r="G350" s="150">
        <v>72.0</v>
      </c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>
        <v>0.08</v>
      </c>
      <c r="Y350" s="150">
        <v>4.0</v>
      </c>
    </row>
    <row r="351" ht="14.25" customHeight="1">
      <c r="A351" s="150">
        <v>212.0</v>
      </c>
      <c r="B351" s="150">
        <v>750.0</v>
      </c>
      <c r="C351" s="150"/>
      <c r="D351" s="150">
        <v>4.0</v>
      </c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>
        <v>0.08</v>
      </c>
      <c r="Y351" s="150">
        <v>1.0</v>
      </c>
    </row>
    <row r="352" ht="14.25" customHeight="1">
      <c r="A352" s="150">
        <v>212.0</v>
      </c>
      <c r="B352" s="150">
        <v>200.0</v>
      </c>
      <c r="C352" s="150"/>
      <c r="D352" s="150">
        <v>8.0</v>
      </c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>
        <v>0.08</v>
      </c>
      <c r="Y352" s="150">
        <v>1.0</v>
      </c>
    </row>
    <row r="353" ht="14.25" customHeight="1">
      <c r="A353" s="150">
        <v>212.0</v>
      </c>
      <c r="B353" s="150">
        <v>75.0</v>
      </c>
      <c r="C353" s="150"/>
      <c r="D353" s="150">
        <v>11.0</v>
      </c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>
        <v>0.08</v>
      </c>
      <c r="Y353" s="150">
        <v>2.0</v>
      </c>
    </row>
    <row r="354" ht="14.25" customHeight="1">
      <c r="A354" s="150">
        <v>212.0</v>
      </c>
      <c r="B354" s="150">
        <v>20.0</v>
      </c>
      <c r="C354" s="150"/>
      <c r="D354" s="150">
        <v>17.0</v>
      </c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>
        <v>0.08</v>
      </c>
      <c r="Y354" s="150">
        <v>3.0</v>
      </c>
    </row>
    <row r="355" ht="14.25" customHeight="1">
      <c r="A355" s="150">
        <v>212.0</v>
      </c>
      <c r="B355" s="150">
        <v>5.0</v>
      </c>
      <c r="C355" s="150"/>
      <c r="D355" s="150">
        <v>40.0</v>
      </c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>
        <v>0.08</v>
      </c>
      <c r="Y355" s="150">
        <v>4.0</v>
      </c>
    </row>
    <row r="356" ht="14.25" customHeight="1">
      <c r="A356" s="150">
        <v>212.0</v>
      </c>
      <c r="B356" s="150">
        <v>500.0</v>
      </c>
      <c r="C356" s="150"/>
      <c r="D356" s="150"/>
      <c r="E356" s="150">
        <v>6.0</v>
      </c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>
        <v>0.08</v>
      </c>
      <c r="Y356" s="150">
        <v>1.0</v>
      </c>
    </row>
    <row r="357" ht="14.25" customHeight="1">
      <c r="A357" s="150">
        <v>212.0</v>
      </c>
      <c r="B357" s="150">
        <v>200.0</v>
      </c>
      <c r="C357" s="150"/>
      <c r="D357" s="150"/>
      <c r="E357" s="150">
        <v>10.0</v>
      </c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>
        <v>0.08</v>
      </c>
      <c r="Y357" s="150">
        <v>1.0</v>
      </c>
    </row>
    <row r="358" ht="14.25" customHeight="1">
      <c r="A358" s="150">
        <v>212.0</v>
      </c>
      <c r="B358" s="150">
        <v>75.0</v>
      </c>
      <c r="C358" s="150"/>
      <c r="D358" s="150"/>
      <c r="E358" s="150">
        <v>17.0</v>
      </c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>
        <v>0.08</v>
      </c>
      <c r="Y358" s="150">
        <v>2.0</v>
      </c>
    </row>
    <row r="359" ht="14.25" customHeight="1">
      <c r="A359" s="150">
        <v>212.0</v>
      </c>
      <c r="B359" s="150">
        <v>20.0</v>
      </c>
      <c r="C359" s="150"/>
      <c r="D359" s="150"/>
      <c r="E359" s="150">
        <v>30.0</v>
      </c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>
        <v>0.08</v>
      </c>
      <c r="Y359" s="150">
        <v>3.0</v>
      </c>
    </row>
    <row r="360" ht="14.25" customHeight="1">
      <c r="A360" s="150">
        <v>212.0</v>
      </c>
      <c r="B360" s="150">
        <v>5.0</v>
      </c>
      <c r="C360" s="150"/>
      <c r="D360" s="150"/>
      <c r="E360" s="150">
        <v>51.0</v>
      </c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>
        <v>0.08</v>
      </c>
      <c r="Y360" s="150">
        <v>4.0</v>
      </c>
    </row>
    <row r="361" ht="14.25" customHeight="1">
      <c r="A361" s="150">
        <v>212.0</v>
      </c>
      <c r="B361" s="150">
        <v>500.0</v>
      </c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>
        <v>0.01</v>
      </c>
      <c r="Q361" s="150"/>
      <c r="R361" s="150"/>
      <c r="S361" s="150"/>
      <c r="T361" s="150"/>
      <c r="U361" s="150"/>
      <c r="V361" s="150"/>
      <c r="W361" s="150"/>
      <c r="X361" s="150">
        <v>0.08</v>
      </c>
      <c r="Y361" s="150">
        <v>1.0</v>
      </c>
    </row>
    <row r="362" ht="14.25" customHeight="1">
      <c r="A362" s="150">
        <v>212.0</v>
      </c>
      <c r="B362" s="150">
        <v>200.0</v>
      </c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>
        <v>0.02</v>
      </c>
      <c r="Q362" s="150"/>
      <c r="R362" s="150"/>
      <c r="S362" s="150"/>
      <c r="T362" s="150"/>
      <c r="U362" s="150"/>
      <c r="V362" s="150"/>
      <c r="W362" s="150"/>
      <c r="X362" s="150">
        <v>0.08</v>
      </c>
      <c r="Y362" s="150">
        <v>1.0</v>
      </c>
    </row>
    <row r="363" ht="14.25" customHeight="1">
      <c r="A363" s="150">
        <v>212.0</v>
      </c>
      <c r="B363" s="150">
        <v>75.0</v>
      </c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>
        <v>0.04</v>
      </c>
      <c r="Q363" s="150"/>
      <c r="R363" s="150"/>
      <c r="S363" s="150"/>
      <c r="T363" s="150"/>
      <c r="U363" s="150"/>
      <c r="V363" s="150"/>
      <c r="W363" s="150"/>
      <c r="X363" s="150">
        <v>0.08</v>
      </c>
      <c r="Y363" s="150">
        <v>2.0</v>
      </c>
    </row>
    <row r="364" ht="14.25" customHeight="1">
      <c r="A364" s="150">
        <v>212.0</v>
      </c>
      <c r="B364" s="150">
        <v>20.0</v>
      </c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>
        <v>0.07</v>
      </c>
      <c r="Q364" s="150"/>
      <c r="R364" s="150"/>
      <c r="S364" s="150"/>
      <c r="T364" s="150"/>
      <c r="U364" s="150"/>
      <c r="V364" s="150"/>
      <c r="W364" s="150"/>
      <c r="X364" s="150">
        <v>0.08</v>
      </c>
      <c r="Y364" s="150">
        <v>3.0</v>
      </c>
    </row>
    <row r="365" ht="14.25" customHeight="1">
      <c r="A365" s="150">
        <v>212.0</v>
      </c>
      <c r="B365" s="150">
        <v>5.0</v>
      </c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>
        <v>0.1</v>
      </c>
      <c r="Q365" s="150"/>
      <c r="R365" s="150"/>
      <c r="S365" s="150"/>
      <c r="T365" s="150"/>
      <c r="U365" s="150"/>
      <c r="V365" s="150"/>
      <c r="W365" s="150"/>
      <c r="X365" s="150">
        <v>0.08</v>
      </c>
      <c r="Y365" s="150">
        <v>4.0</v>
      </c>
    </row>
    <row r="366" ht="14.25" customHeight="1">
      <c r="A366" s="150">
        <v>212.0</v>
      </c>
      <c r="B366" s="150">
        <v>550.0</v>
      </c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>
        <v>0.02</v>
      </c>
      <c r="X366" s="150">
        <v>0.08</v>
      </c>
      <c r="Y366" s="150">
        <v>1.0</v>
      </c>
    </row>
    <row r="367" ht="14.25" customHeight="1">
      <c r="A367" s="150">
        <v>212.0</v>
      </c>
      <c r="B367" s="150">
        <v>100.0</v>
      </c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>
        <v>0.04</v>
      </c>
      <c r="X367" s="150">
        <v>0.08</v>
      </c>
      <c r="Y367" s="150">
        <v>1.0</v>
      </c>
    </row>
    <row r="368" ht="14.25" customHeight="1">
      <c r="A368" s="150">
        <v>212.0</v>
      </c>
      <c r="B368" s="150">
        <v>35.0</v>
      </c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>
        <v>0.08</v>
      </c>
      <c r="X368" s="150">
        <v>0.08</v>
      </c>
      <c r="Y368" s="150">
        <v>2.0</v>
      </c>
    </row>
    <row r="369" ht="14.25" customHeight="1">
      <c r="A369" s="150">
        <v>212.0</v>
      </c>
      <c r="B369" s="150">
        <v>10.0</v>
      </c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>
        <v>0.013</v>
      </c>
      <c r="X369" s="150">
        <v>0.08</v>
      </c>
      <c r="Y369" s="150">
        <v>3.0</v>
      </c>
    </row>
    <row r="370" ht="14.25" customHeight="1">
      <c r="A370" s="150">
        <v>212.0</v>
      </c>
      <c r="B370" s="150">
        <v>5.0</v>
      </c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>
        <v>0.2</v>
      </c>
      <c r="X370" s="150">
        <v>0.08</v>
      </c>
      <c r="Y370" s="150">
        <v>4.0</v>
      </c>
    </row>
    <row r="371" ht="14.25" customHeight="1">
      <c r="A371" s="150">
        <v>212.0</v>
      </c>
      <c r="B371" s="150">
        <v>550.0</v>
      </c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>
        <v>0.01</v>
      </c>
      <c r="W371" s="150"/>
      <c r="X371" s="150">
        <v>0.08</v>
      </c>
      <c r="Y371" s="150">
        <v>1.0</v>
      </c>
    </row>
    <row r="372" ht="14.25" customHeight="1">
      <c r="A372" s="150">
        <v>212.0</v>
      </c>
      <c r="B372" s="150">
        <v>100.0</v>
      </c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>
        <v>0.03</v>
      </c>
      <c r="W372" s="150"/>
      <c r="X372" s="150">
        <v>0.08</v>
      </c>
      <c r="Y372" s="150">
        <v>1.0</v>
      </c>
    </row>
    <row r="373" ht="14.25" customHeight="1">
      <c r="A373" s="150">
        <v>212.0</v>
      </c>
      <c r="B373" s="150">
        <v>35.0</v>
      </c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>
        <v>0.06</v>
      </c>
      <c r="W373" s="150"/>
      <c r="X373" s="150">
        <v>0.08</v>
      </c>
      <c r="Y373" s="150">
        <v>2.0</v>
      </c>
    </row>
    <row r="374" ht="14.25" customHeight="1">
      <c r="A374" s="150">
        <v>212.0</v>
      </c>
      <c r="B374" s="150">
        <v>10.0</v>
      </c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>
        <v>0.1</v>
      </c>
      <c r="W374" s="150"/>
      <c r="X374" s="150">
        <v>0.08</v>
      </c>
      <c r="Y374" s="150">
        <v>3.0</v>
      </c>
    </row>
    <row r="375" ht="14.25" customHeight="1">
      <c r="A375" s="150">
        <v>212.0</v>
      </c>
      <c r="B375" s="150">
        <v>5.0</v>
      </c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>
        <v>0.15</v>
      </c>
      <c r="W375" s="150"/>
      <c r="X375" s="150">
        <v>0.08</v>
      </c>
      <c r="Y375" s="150">
        <v>4.0</v>
      </c>
    </row>
    <row r="376" ht="14.25" customHeight="1">
      <c r="A376" s="150">
        <v>212.0</v>
      </c>
      <c r="B376" s="150">
        <v>550.0</v>
      </c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>
        <v>0.02</v>
      </c>
      <c r="T376" s="150"/>
      <c r="U376" s="150"/>
      <c r="V376" s="150"/>
      <c r="W376" s="150"/>
      <c r="X376" s="150">
        <v>0.08</v>
      </c>
      <c r="Y376" s="150">
        <v>1.0</v>
      </c>
    </row>
    <row r="377" ht="14.25" customHeight="1">
      <c r="A377" s="150">
        <v>212.0</v>
      </c>
      <c r="B377" s="150">
        <v>100.0</v>
      </c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>
        <v>0.04</v>
      </c>
      <c r="T377" s="150"/>
      <c r="U377" s="150"/>
      <c r="V377" s="150"/>
      <c r="W377" s="150"/>
      <c r="X377" s="150">
        <v>0.08</v>
      </c>
      <c r="Y377" s="150">
        <v>1.0</v>
      </c>
    </row>
    <row r="378" ht="14.25" customHeight="1">
      <c r="A378" s="150">
        <v>212.0</v>
      </c>
      <c r="B378" s="150">
        <v>35.0</v>
      </c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>
        <v>0.08</v>
      </c>
      <c r="T378" s="150"/>
      <c r="U378" s="150"/>
      <c r="V378" s="150"/>
      <c r="W378" s="150"/>
      <c r="X378" s="150">
        <v>0.08</v>
      </c>
      <c r="Y378" s="150">
        <v>2.0</v>
      </c>
    </row>
    <row r="379" ht="14.25" customHeight="1">
      <c r="A379" s="150">
        <v>212.0</v>
      </c>
      <c r="B379" s="150">
        <v>10.0</v>
      </c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>
        <v>0.013</v>
      </c>
      <c r="T379" s="150"/>
      <c r="U379" s="150"/>
      <c r="V379" s="150"/>
      <c r="W379" s="150"/>
      <c r="X379" s="150">
        <v>0.08</v>
      </c>
      <c r="Y379" s="150">
        <v>3.0</v>
      </c>
    </row>
    <row r="380" ht="14.25" customHeight="1">
      <c r="A380" s="150">
        <v>212.0</v>
      </c>
      <c r="B380" s="150">
        <v>5.0</v>
      </c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>
        <v>0.2</v>
      </c>
      <c r="T380" s="150"/>
      <c r="U380" s="150"/>
      <c r="V380" s="150"/>
      <c r="W380" s="150"/>
      <c r="X380" s="150">
        <v>0.08</v>
      </c>
      <c r="Y380" s="150">
        <v>4.0</v>
      </c>
    </row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4.25" customHeight="1">
      <c r="A1" s="42" t="s">
        <v>3083</v>
      </c>
      <c r="B1" s="42" t="s">
        <v>3410</v>
      </c>
    </row>
    <row r="2" ht="14.25" customHeight="1">
      <c r="A2" s="42">
        <v>1000.0</v>
      </c>
      <c r="B2" s="42">
        <v>9999.0</v>
      </c>
    </row>
    <row r="3" ht="14.25" customHeight="1">
      <c r="A3" s="42">
        <v>1001.0</v>
      </c>
      <c r="B3" s="42">
        <v>3000.0</v>
      </c>
    </row>
    <row r="4" ht="14.25" customHeight="1">
      <c r="A4" s="42">
        <v>8001.0</v>
      </c>
      <c r="B4" s="42">
        <v>9999.0</v>
      </c>
    </row>
    <row r="5" ht="14.25" customHeight="1">
      <c r="A5" s="42">
        <v>8002.0</v>
      </c>
      <c r="B5" s="42">
        <v>9999.0</v>
      </c>
    </row>
    <row r="6" ht="14.25" customHeight="1">
      <c r="A6" s="42">
        <v>8003.0</v>
      </c>
      <c r="B6" s="42">
        <v>9999.0</v>
      </c>
    </row>
    <row r="7" ht="14.25" customHeight="1">
      <c r="A7" s="42">
        <v>2000.0</v>
      </c>
      <c r="B7" s="42">
        <v>9999.0</v>
      </c>
    </row>
    <row r="8" ht="14.25" customHeight="1">
      <c r="A8" s="42">
        <v>2001.0</v>
      </c>
      <c r="B8" s="42">
        <v>9999.0</v>
      </c>
    </row>
    <row r="9" ht="14.25" customHeight="1">
      <c r="A9" s="42">
        <v>2002.0</v>
      </c>
      <c r="B9" s="42">
        <v>9999.0</v>
      </c>
    </row>
    <row r="10" ht="14.25" customHeight="1">
      <c r="A10" s="42">
        <v>2005.0</v>
      </c>
      <c r="B10" s="42">
        <v>100.0</v>
      </c>
    </row>
    <row r="11" ht="14.25" customHeight="1">
      <c r="A11" s="42">
        <v>2006.0</v>
      </c>
      <c r="B11" s="42">
        <v>100.0</v>
      </c>
    </row>
    <row r="12" ht="14.25" customHeight="1">
      <c r="A12" s="42"/>
      <c r="B12" s="42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6.63"/>
    <col customWidth="1" min="3" max="26" width="11.0"/>
  </cols>
  <sheetData>
    <row r="1" ht="14.25" customHeight="1">
      <c r="A1" s="40" t="s">
        <v>3083</v>
      </c>
      <c r="B1" s="50" t="s">
        <v>3464</v>
      </c>
      <c r="C1" s="40" t="s">
        <v>3465</v>
      </c>
    </row>
    <row r="2" ht="15.0" customHeight="1">
      <c r="A2" s="42">
        <v>8000.0</v>
      </c>
      <c r="B2" s="151" t="s">
        <v>22</v>
      </c>
      <c r="C2" s="42">
        <v>9999.0</v>
      </c>
    </row>
    <row r="3" ht="15.0" customHeight="1">
      <c r="A3" s="42">
        <v>8001.0</v>
      </c>
      <c r="B3" s="151" t="s">
        <v>76</v>
      </c>
      <c r="C3" s="42">
        <v>9999.0</v>
      </c>
    </row>
    <row r="4" ht="15.0" customHeight="1">
      <c r="A4" s="42">
        <v>8002.0</v>
      </c>
      <c r="B4" s="151" t="s">
        <v>3469</v>
      </c>
      <c r="C4" s="42">
        <v>9999.0</v>
      </c>
    </row>
    <row r="5" ht="15.0" customHeight="1">
      <c r="A5" s="42">
        <v>8003.0</v>
      </c>
      <c r="B5" s="151" t="s">
        <v>3470</v>
      </c>
      <c r="C5" s="42">
        <v>9999.0</v>
      </c>
    </row>
    <row r="6" ht="15.0" customHeight="1">
      <c r="A6" s="42">
        <v>8003.0</v>
      </c>
      <c r="B6" s="151" t="s">
        <v>3472</v>
      </c>
      <c r="C6" s="42">
        <v>9999.0</v>
      </c>
    </row>
    <row r="7" ht="15.0" customHeight="1">
      <c r="A7" s="42">
        <v>1000.0</v>
      </c>
      <c r="B7" s="151" t="s">
        <v>3474</v>
      </c>
      <c r="C7" s="42">
        <v>99.0</v>
      </c>
    </row>
    <row r="8" ht="15.0" customHeight="1">
      <c r="A8" s="42">
        <v>1001.0</v>
      </c>
      <c r="B8" s="151" t="s">
        <v>3475</v>
      </c>
      <c r="C8" s="42">
        <v>99.0</v>
      </c>
    </row>
    <row r="9" ht="15.0" customHeight="1">
      <c r="A9" s="42">
        <v>2000.0</v>
      </c>
      <c r="B9" s="151" t="s">
        <v>3476</v>
      </c>
      <c r="C9" s="42">
        <v>1.0</v>
      </c>
    </row>
    <row r="10" ht="15.0" customHeight="1">
      <c r="A10" s="42">
        <v>2001.0</v>
      </c>
      <c r="B10" s="151" t="s">
        <v>3477</v>
      </c>
      <c r="C10" s="42">
        <v>1.0</v>
      </c>
    </row>
    <row r="11" ht="15.0" customHeight="1">
      <c r="A11" s="42">
        <v>2002.0</v>
      </c>
      <c r="B11" s="151" t="s">
        <v>3480</v>
      </c>
      <c r="C11" s="42">
        <v>1.0</v>
      </c>
    </row>
    <row r="12" ht="15.0" customHeight="1">
      <c r="A12" s="42">
        <v>2003.0</v>
      </c>
      <c r="B12" s="151" t="s">
        <v>3481</v>
      </c>
      <c r="C12" s="42">
        <v>1.0</v>
      </c>
    </row>
    <row r="13" ht="15.0" customHeight="1">
      <c r="A13" s="42">
        <v>2004.0</v>
      </c>
      <c r="B13" s="151" t="s">
        <v>3482</v>
      </c>
      <c r="C13" s="42">
        <v>1.0</v>
      </c>
    </row>
    <row r="14" ht="15.0" customHeight="1">
      <c r="A14" s="42">
        <v>2005.0</v>
      </c>
      <c r="B14" s="151" t="s">
        <v>3483</v>
      </c>
      <c r="C14" s="42">
        <v>1.0</v>
      </c>
    </row>
    <row r="15" ht="15.0" customHeight="1">
      <c r="A15" s="42">
        <v>2006.0</v>
      </c>
      <c r="B15" s="151" t="s">
        <v>3486</v>
      </c>
      <c r="C15" s="42">
        <v>1.0</v>
      </c>
    </row>
    <row r="16" ht="15.0" customHeight="1">
      <c r="A16" s="42">
        <v>2007.0</v>
      </c>
      <c r="B16" s="151" t="s">
        <v>3488</v>
      </c>
      <c r="C16" s="42">
        <v>1.0</v>
      </c>
    </row>
    <row r="17" ht="15.0" customHeight="1">
      <c r="A17" s="42">
        <v>2008.0</v>
      </c>
      <c r="B17" s="151" t="s">
        <v>3489</v>
      </c>
      <c r="C17" s="42">
        <v>1.0</v>
      </c>
    </row>
    <row r="18" ht="15.0" customHeight="1">
      <c r="A18" s="42">
        <v>2009.0</v>
      </c>
      <c r="B18" s="151" t="s">
        <v>3490</v>
      </c>
      <c r="C18" s="42">
        <v>1.0</v>
      </c>
    </row>
    <row r="19" ht="15.0" customHeight="1">
      <c r="A19" s="42">
        <v>9000.0</v>
      </c>
      <c r="B19" s="151" t="s">
        <v>3492</v>
      </c>
      <c r="C19" s="42">
        <v>100.0</v>
      </c>
    </row>
    <row r="20" ht="15.0" customHeight="1">
      <c r="A20" s="42">
        <f>card!A3-900</f>
        <v>9101</v>
      </c>
      <c r="B20" s="151" t="s">
        <v>3497</v>
      </c>
      <c r="C20" s="42">
        <v>100.0</v>
      </c>
    </row>
    <row r="21" ht="15.0" customHeight="1">
      <c r="A21" s="42">
        <f>card!A4-900</f>
        <v>9102</v>
      </c>
      <c r="B21" s="151" t="s">
        <v>3501</v>
      </c>
      <c r="C21" s="42">
        <v>100.0</v>
      </c>
    </row>
    <row r="22" ht="15.0" customHeight="1">
      <c r="A22" s="42">
        <f>card!A5-900</f>
        <v>9103</v>
      </c>
      <c r="B22" s="151" t="s">
        <v>3504</v>
      </c>
      <c r="C22" s="42">
        <v>100.0</v>
      </c>
    </row>
    <row r="23" ht="15.0" customHeight="1">
      <c r="A23" s="42">
        <f>card!A6-900</f>
        <v>9104</v>
      </c>
      <c r="B23" s="151" t="s">
        <v>3505</v>
      </c>
      <c r="C23" s="42">
        <v>100.0</v>
      </c>
    </row>
    <row r="24" ht="15.0" customHeight="1">
      <c r="A24" s="42">
        <f>card!A7-900</f>
        <v>9105</v>
      </c>
      <c r="B24" s="151" t="s">
        <v>3508</v>
      </c>
      <c r="C24" s="42">
        <v>100.0</v>
      </c>
    </row>
    <row r="25" ht="15.0" customHeight="1">
      <c r="A25" s="42">
        <f>card!A8-900</f>
        <v>9106</v>
      </c>
      <c r="B25" s="151" t="s">
        <v>3512</v>
      </c>
      <c r="C25" s="42">
        <v>100.0</v>
      </c>
    </row>
    <row r="26" ht="15.0" customHeight="1">
      <c r="A26" s="42">
        <f>card!A9-900</f>
        <v>9107</v>
      </c>
      <c r="B26" s="151" t="s">
        <v>3513</v>
      </c>
      <c r="C26" s="42">
        <v>100.0</v>
      </c>
    </row>
    <row r="27" ht="15.0" customHeight="1">
      <c r="A27" s="42">
        <f>card!A10-900</f>
        <v>9108</v>
      </c>
      <c r="B27" s="151" t="s">
        <v>3516</v>
      </c>
      <c r="C27" s="42">
        <v>100.0</v>
      </c>
    </row>
    <row r="28" ht="15.0" customHeight="1">
      <c r="A28" s="42">
        <f>card!A11-900</f>
        <v>9109</v>
      </c>
      <c r="B28" s="151" t="s">
        <v>3519</v>
      </c>
      <c r="C28" s="42">
        <v>100.0</v>
      </c>
    </row>
    <row r="29" ht="15.0" customHeight="1">
      <c r="A29" s="42">
        <f>card!A12-900</f>
        <v>9110</v>
      </c>
      <c r="B29" s="151" t="s">
        <v>3521</v>
      </c>
      <c r="C29" s="42">
        <v>100.0</v>
      </c>
    </row>
    <row r="30" ht="15.0" customHeight="1">
      <c r="A30" s="42">
        <f>card!A13-900</f>
        <v>9111</v>
      </c>
      <c r="B30" s="151" t="s">
        <v>3525</v>
      </c>
      <c r="C30" s="42">
        <v>100.0</v>
      </c>
    </row>
    <row r="31" ht="15.0" customHeight="1">
      <c r="A31" s="42">
        <f>card!A14-900</f>
        <v>9112</v>
      </c>
      <c r="B31" s="151" t="s">
        <v>3529</v>
      </c>
      <c r="C31" s="42">
        <v>100.0</v>
      </c>
    </row>
    <row r="32" ht="15.0" customHeight="1">
      <c r="A32" s="42">
        <f>card!A15-900</f>
        <v>9113</v>
      </c>
      <c r="B32" s="151" t="s">
        <v>3532</v>
      </c>
      <c r="C32" s="42">
        <v>100.0</v>
      </c>
    </row>
    <row r="33" ht="15.0" customHeight="1">
      <c r="A33" s="42">
        <f>card!A16-900</f>
        <v>9114</v>
      </c>
      <c r="B33" s="151" t="s">
        <v>3533</v>
      </c>
      <c r="C33" s="42">
        <v>100.0</v>
      </c>
    </row>
    <row r="34" ht="15.0" customHeight="1">
      <c r="A34" s="42">
        <f>card!A17-900</f>
        <v>9115</v>
      </c>
      <c r="B34" s="151" t="s">
        <v>3536</v>
      </c>
      <c r="C34" s="42">
        <v>100.0</v>
      </c>
    </row>
    <row r="35" ht="15.0" customHeight="1">
      <c r="A35" s="42">
        <f>card!A18-900</f>
        <v>9116</v>
      </c>
      <c r="B35" s="151" t="s">
        <v>3538</v>
      </c>
      <c r="C35" s="42">
        <v>100.0</v>
      </c>
    </row>
    <row r="36" ht="15.0" customHeight="1">
      <c r="A36" s="42">
        <f>card!A19-900</f>
        <v>9117</v>
      </c>
      <c r="B36" s="151" t="s">
        <v>3540</v>
      </c>
      <c r="C36" s="42">
        <v>100.0</v>
      </c>
    </row>
    <row r="37" ht="15.0" customHeight="1">
      <c r="A37" s="42">
        <f>card!A20-900</f>
        <v>9118</v>
      </c>
      <c r="B37" s="151" t="s">
        <v>3543</v>
      </c>
      <c r="C37" s="42">
        <v>100.0</v>
      </c>
    </row>
    <row r="38" ht="15.0" customHeight="1">
      <c r="A38" s="42">
        <f>card!A21-900</f>
        <v>9119</v>
      </c>
      <c r="B38" s="151" t="s">
        <v>3546</v>
      </c>
      <c r="C38" s="42">
        <v>100.0</v>
      </c>
    </row>
    <row r="39" ht="15.0" customHeight="1">
      <c r="A39" s="42">
        <f>card!A22-900</f>
        <v>9120</v>
      </c>
      <c r="B39" s="151" t="s">
        <v>3547</v>
      </c>
      <c r="C39" s="42">
        <v>100.0</v>
      </c>
    </row>
    <row r="40" ht="15.0" customHeight="1">
      <c r="A40" s="42">
        <f>card!A23-900</f>
        <v>9121</v>
      </c>
      <c r="B40" s="151" t="s">
        <v>3551</v>
      </c>
      <c r="C40" s="42">
        <v>100.0</v>
      </c>
    </row>
    <row r="41" ht="15.0" customHeight="1">
      <c r="A41" s="42">
        <f>card!A24-900</f>
        <v>9122</v>
      </c>
      <c r="B41" s="151" t="s">
        <v>3554</v>
      </c>
      <c r="C41" s="42">
        <v>100.0</v>
      </c>
    </row>
    <row r="42" ht="15.0" customHeight="1">
      <c r="A42" s="42">
        <f>card!A25-900</f>
        <v>9123</v>
      </c>
      <c r="B42" s="151" t="s">
        <v>3557</v>
      </c>
      <c r="C42" s="42">
        <v>100.0</v>
      </c>
    </row>
    <row r="43" ht="15.0" customHeight="1">
      <c r="A43" s="42">
        <f>card!A26-900</f>
        <v>9124</v>
      </c>
      <c r="B43" s="151" t="s">
        <v>3558</v>
      </c>
      <c r="C43" s="42">
        <v>100.0</v>
      </c>
    </row>
    <row r="44" ht="15.0" customHeight="1">
      <c r="A44" s="42">
        <f>card!A27-900</f>
        <v>9125</v>
      </c>
      <c r="B44" s="151" t="s">
        <v>3562</v>
      </c>
      <c r="C44" s="42">
        <v>100.0</v>
      </c>
    </row>
    <row r="45" ht="15.0" customHeight="1">
      <c r="A45" s="42">
        <f>card!A28-900</f>
        <v>9126</v>
      </c>
      <c r="B45" s="151" t="s">
        <v>3564</v>
      </c>
      <c r="C45" s="42">
        <v>100.0</v>
      </c>
    </row>
    <row r="46" ht="15.0" customHeight="1">
      <c r="A46" s="42">
        <f>card!A29-900</f>
        <v>9127</v>
      </c>
      <c r="B46" s="151" t="s">
        <v>3569</v>
      </c>
      <c r="C46" s="42">
        <v>100.0</v>
      </c>
    </row>
    <row r="47" ht="15.0" customHeight="1">
      <c r="A47" s="42">
        <f>card!A30-900</f>
        <v>9128</v>
      </c>
      <c r="B47" s="151" t="s">
        <v>3570</v>
      </c>
      <c r="C47" s="42">
        <v>100.0</v>
      </c>
    </row>
    <row r="48" ht="15.0" customHeight="1">
      <c r="A48" s="42">
        <f>card!A31-900</f>
        <v>9129</v>
      </c>
      <c r="B48" s="151" t="s">
        <v>3574</v>
      </c>
      <c r="C48" s="42">
        <v>100.0</v>
      </c>
    </row>
    <row r="49" ht="15.0" customHeight="1">
      <c r="A49" s="42">
        <f>card!A32-900</f>
        <v>9130</v>
      </c>
      <c r="B49" s="151" t="s">
        <v>3577</v>
      </c>
      <c r="C49" s="42">
        <v>100.0</v>
      </c>
    </row>
    <row r="50" ht="14.25" customHeight="1">
      <c r="A50" s="42">
        <f>card!A33-900</f>
        <v>9131</v>
      </c>
      <c r="B50" s="17" t="s">
        <v>3580</v>
      </c>
      <c r="C50" s="42">
        <v>100.0</v>
      </c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38.38"/>
    <col customWidth="1" min="3" max="3" width="3.88"/>
    <col customWidth="1" min="4" max="4" width="20.88"/>
    <col customWidth="1" min="5" max="5" width="14.13"/>
    <col customWidth="1" min="6" max="6" width="11.75"/>
    <col customWidth="1" min="7" max="7" width="10.38"/>
    <col customWidth="1" min="8" max="8" width="14.13"/>
    <col customWidth="1" min="9" max="9" width="11.75"/>
    <col customWidth="1" min="10" max="27" width="11.0"/>
  </cols>
  <sheetData>
    <row r="1" ht="14.25" customHeight="1">
      <c r="A1" s="8" t="s">
        <v>1016</v>
      </c>
      <c r="B1" s="8" t="s">
        <v>3621</v>
      </c>
      <c r="C1" s="8" t="s">
        <v>207</v>
      </c>
      <c r="D1" s="8" t="s">
        <v>3622</v>
      </c>
      <c r="E1" s="8" t="s">
        <v>3624</v>
      </c>
      <c r="F1" s="8" t="s">
        <v>3625</v>
      </c>
      <c r="G1" s="8" t="s">
        <v>3628</v>
      </c>
      <c r="H1" s="8" t="s">
        <v>3629</v>
      </c>
      <c r="I1" s="8" t="s">
        <v>3630</v>
      </c>
      <c r="J1" s="8" t="s">
        <v>3631</v>
      </c>
      <c r="K1" s="8" t="s">
        <v>3632</v>
      </c>
      <c r="L1" s="8" t="s">
        <v>3633</v>
      </c>
      <c r="M1" s="8" t="s">
        <v>3634</v>
      </c>
      <c r="N1" s="8" t="s">
        <v>3635</v>
      </c>
      <c r="O1" s="8" t="s">
        <v>3636</v>
      </c>
      <c r="P1" s="86" t="s">
        <v>3637</v>
      </c>
      <c r="Q1" s="86" t="s">
        <v>3638</v>
      </c>
      <c r="R1" s="86" t="s">
        <v>3639</v>
      </c>
      <c r="S1" s="86" t="s">
        <v>3641</v>
      </c>
      <c r="T1" s="86" t="s">
        <v>3642</v>
      </c>
      <c r="U1" s="86" t="s">
        <v>3644</v>
      </c>
      <c r="V1" s="86" t="s">
        <v>3645</v>
      </c>
      <c r="W1" s="86" t="s">
        <v>3646</v>
      </c>
      <c r="X1" s="86" t="s">
        <v>3647</v>
      </c>
      <c r="Y1" s="86" t="s">
        <v>3649</v>
      </c>
      <c r="Z1" s="86" t="s">
        <v>3650</v>
      </c>
      <c r="AA1" s="86" t="s">
        <v>3651</v>
      </c>
    </row>
    <row r="2" ht="14.25" customHeight="1">
      <c r="A2" s="8">
        <v>1000.0</v>
      </c>
      <c r="B2" s="54" t="s">
        <v>3652</v>
      </c>
      <c r="C2" s="8">
        <v>1.0</v>
      </c>
      <c r="D2" s="8" t="s">
        <v>3654</v>
      </c>
      <c r="E2" s="8">
        <v>1.0</v>
      </c>
      <c r="F2" s="8">
        <v>0.05</v>
      </c>
      <c r="G2" s="42">
        <v>8001.0</v>
      </c>
      <c r="H2" s="8">
        <v>40.0</v>
      </c>
      <c r="I2" s="8">
        <v>1.0</v>
      </c>
      <c r="J2" s="42">
        <v>8000.0</v>
      </c>
      <c r="K2" s="8">
        <v>60.0</v>
      </c>
      <c r="L2" s="8">
        <v>1.0</v>
      </c>
      <c r="M2" s="42">
        <v>2007.0</v>
      </c>
      <c r="N2" s="8">
        <v>1.0</v>
      </c>
      <c r="O2" s="141">
        <v>0.25</v>
      </c>
      <c r="P2" s="86">
        <v>9000.0</v>
      </c>
      <c r="Q2" s="86">
        <v>10.0</v>
      </c>
      <c r="R2" s="86">
        <v>1.0</v>
      </c>
      <c r="S2" s="86" t="s">
        <v>3657</v>
      </c>
      <c r="T2" s="86">
        <v>2.0</v>
      </c>
      <c r="U2" s="86">
        <v>0.5</v>
      </c>
      <c r="V2" s="86">
        <v>1000.0</v>
      </c>
      <c r="W2" s="86">
        <v>625.0</v>
      </c>
      <c r="X2" s="86">
        <v>1.0</v>
      </c>
      <c r="Y2" s="86">
        <v>2006.0</v>
      </c>
      <c r="Z2" s="86">
        <v>1.0</v>
      </c>
      <c r="AA2" s="86">
        <v>0.03</v>
      </c>
    </row>
    <row r="3" ht="14.25" customHeight="1">
      <c r="A3" s="8">
        <v>1001.0</v>
      </c>
      <c r="B3" s="54" t="s">
        <v>3660</v>
      </c>
      <c r="C3" s="8">
        <v>1.0</v>
      </c>
      <c r="D3" s="8" t="s">
        <v>3654</v>
      </c>
      <c r="E3" s="8">
        <v>1.0</v>
      </c>
      <c r="F3" s="8">
        <v>0.05</v>
      </c>
      <c r="G3" s="42">
        <v>8001.0</v>
      </c>
      <c r="H3" s="8">
        <v>40.0</v>
      </c>
      <c r="I3" s="8">
        <v>1.0</v>
      </c>
      <c r="J3" s="42">
        <v>8000.0</v>
      </c>
      <c r="K3" s="8">
        <v>60.0</v>
      </c>
      <c r="L3" s="8">
        <v>1.0</v>
      </c>
      <c r="M3" s="42">
        <v>2007.0</v>
      </c>
      <c r="N3" s="8">
        <v>1.0</v>
      </c>
      <c r="O3" s="141">
        <v>0.25</v>
      </c>
      <c r="P3" s="86">
        <v>9000.0</v>
      </c>
      <c r="Q3" s="86">
        <v>10.0</v>
      </c>
      <c r="R3" s="86">
        <v>1.0</v>
      </c>
      <c r="S3" s="86" t="s">
        <v>3657</v>
      </c>
      <c r="T3" s="86">
        <v>2.0</v>
      </c>
      <c r="U3" s="86">
        <v>0.5</v>
      </c>
      <c r="V3" s="86">
        <v>1000.0</v>
      </c>
      <c r="W3" s="86">
        <v>625.0</v>
      </c>
      <c r="X3" s="86">
        <v>1.0</v>
      </c>
      <c r="Y3" s="86">
        <v>2006.0</v>
      </c>
      <c r="Z3" s="86">
        <v>1.0</v>
      </c>
      <c r="AA3" s="86">
        <v>0.03</v>
      </c>
    </row>
    <row r="4" ht="14.25" customHeight="1">
      <c r="A4" s="8">
        <v>1002.0</v>
      </c>
      <c r="B4" s="54" t="s">
        <v>3664</v>
      </c>
      <c r="C4" s="8">
        <v>2.0</v>
      </c>
      <c r="D4" s="8" t="s">
        <v>3654</v>
      </c>
      <c r="E4" s="8">
        <v>1.0</v>
      </c>
      <c r="F4" s="8">
        <v>0.05</v>
      </c>
      <c r="G4" s="42">
        <v>8001.0</v>
      </c>
      <c r="H4" s="8">
        <v>40.0</v>
      </c>
      <c r="I4" s="8">
        <v>1.0</v>
      </c>
      <c r="J4" s="42">
        <v>8000.0</v>
      </c>
      <c r="K4" s="8">
        <v>60.0</v>
      </c>
      <c r="L4" s="8">
        <v>1.0</v>
      </c>
      <c r="M4" s="42">
        <v>2007.0</v>
      </c>
      <c r="N4" s="8">
        <v>1.0</v>
      </c>
      <c r="O4" s="141">
        <v>0.25</v>
      </c>
      <c r="P4" s="86">
        <v>9000.0</v>
      </c>
      <c r="Q4" s="86">
        <v>10.0</v>
      </c>
      <c r="R4" s="86">
        <v>1.0</v>
      </c>
      <c r="S4" s="86" t="s">
        <v>3657</v>
      </c>
      <c r="T4" s="86">
        <v>2.0</v>
      </c>
      <c r="U4" s="86">
        <v>0.5</v>
      </c>
      <c r="V4" s="86">
        <v>1000.0</v>
      </c>
      <c r="W4" s="86">
        <v>625.0</v>
      </c>
      <c r="X4" s="86">
        <v>1.0</v>
      </c>
      <c r="Y4" s="86">
        <v>2006.0</v>
      </c>
      <c r="Z4" s="86">
        <v>1.0</v>
      </c>
      <c r="AA4" s="86">
        <v>0.03</v>
      </c>
    </row>
    <row r="5" ht="14.25" customHeight="1">
      <c r="A5" s="8">
        <v>1003.0</v>
      </c>
      <c r="B5" s="54" t="s">
        <v>3668</v>
      </c>
      <c r="C5" s="8">
        <v>2.0</v>
      </c>
      <c r="D5" s="8" t="s">
        <v>3654</v>
      </c>
      <c r="E5" s="8">
        <v>1.0</v>
      </c>
      <c r="F5" s="8">
        <v>0.05</v>
      </c>
      <c r="G5" s="42">
        <v>8001.0</v>
      </c>
      <c r="H5" s="8">
        <v>40.0</v>
      </c>
      <c r="I5" s="8">
        <v>1.0</v>
      </c>
      <c r="J5" s="42">
        <v>8000.0</v>
      </c>
      <c r="K5" s="8">
        <v>60.0</v>
      </c>
      <c r="L5" s="8">
        <v>1.0</v>
      </c>
      <c r="M5" s="42">
        <v>2007.0</v>
      </c>
      <c r="N5" s="8">
        <v>1.0</v>
      </c>
      <c r="O5" s="141">
        <v>0.25</v>
      </c>
      <c r="P5" s="86">
        <v>9000.0</v>
      </c>
      <c r="Q5" s="86">
        <v>10.0</v>
      </c>
      <c r="R5" s="86">
        <v>1.0</v>
      </c>
      <c r="S5" s="86" t="s">
        <v>3657</v>
      </c>
      <c r="T5" s="86">
        <v>2.0</v>
      </c>
      <c r="U5" s="86">
        <v>0.5</v>
      </c>
      <c r="V5" s="86">
        <v>1000.0</v>
      </c>
      <c r="W5" s="86">
        <v>625.0</v>
      </c>
      <c r="X5" s="86">
        <v>1.0</v>
      </c>
      <c r="Y5" s="86">
        <v>2006.0</v>
      </c>
      <c r="Z5" s="86">
        <v>1.0</v>
      </c>
      <c r="AA5" s="86">
        <v>0.03</v>
      </c>
    </row>
    <row r="6" ht="14.25" customHeight="1">
      <c r="A6" s="8">
        <v>1004.0</v>
      </c>
      <c r="B6" s="54" t="s">
        <v>3670</v>
      </c>
      <c r="C6" s="8">
        <v>3.0</v>
      </c>
      <c r="D6" s="8" t="s">
        <v>3654</v>
      </c>
      <c r="E6" s="8">
        <v>1.0</v>
      </c>
      <c r="F6" s="8">
        <v>0.05</v>
      </c>
      <c r="G6" s="42">
        <v>8001.0</v>
      </c>
      <c r="H6" s="8">
        <v>40.0</v>
      </c>
      <c r="I6" s="8">
        <v>1.0</v>
      </c>
      <c r="J6" s="42">
        <v>8000.0</v>
      </c>
      <c r="K6" s="8">
        <v>60.0</v>
      </c>
      <c r="L6" s="8">
        <v>1.0</v>
      </c>
      <c r="M6" s="42">
        <v>2007.0</v>
      </c>
      <c r="N6" s="8">
        <v>1.0</v>
      </c>
      <c r="O6" s="141">
        <v>0.25</v>
      </c>
      <c r="P6" s="86">
        <v>9000.0</v>
      </c>
      <c r="Q6" s="86">
        <v>10.0</v>
      </c>
      <c r="R6" s="86">
        <v>1.0</v>
      </c>
      <c r="S6" s="86" t="s">
        <v>3657</v>
      </c>
      <c r="T6" s="86">
        <v>2.0</v>
      </c>
      <c r="U6" s="86">
        <v>0.5</v>
      </c>
      <c r="V6" s="86">
        <v>1000.0</v>
      </c>
      <c r="W6" s="86">
        <v>625.0</v>
      </c>
      <c r="X6" s="86">
        <v>1.0</v>
      </c>
      <c r="Y6" s="86">
        <v>2006.0</v>
      </c>
      <c r="Z6" s="86">
        <v>1.0</v>
      </c>
      <c r="AA6" s="86">
        <v>0.03</v>
      </c>
    </row>
    <row r="7" ht="14.25" customHeight="1">
      <c r="A7" s="8">
        <v>1005.0</v>
      </c>
      <c r="B7" s="54" t="s">
        <v>3673</v>
      </c>
      <c r="C7" s="8">
        <v>3.0</v>
      </c>
      <c r="D7" s="8" t="s">
        <v>3654</v>
      </c>
      <c r="E7" s="8">
        <v>1.0</v>
      </c>
      <c r="F7" s="8">
        <v>0.05</v>
      </c>
      <c r="G7" s="42">
        <v>8001.0</v>
      </c>
      <c r="H7" s="8">
        <v>40.0</v>
      </c>
      <c r="I7" s="8">
        <v>1.0</v>
      </c>
      <c r="J7" s="42">
        <v>8000.0</v>
      </c>
      <c r="K7" s="8">
        <v>60.0</v>
      </c>
      <c r="L7" s="8">
        <v>1.0</v>
      </c>
      <c r="M7" s="42">
        <v>2007.0</v>
      </c>
      <c r="N7" s="8">
        <v>1.0</v>
      </c>
      <c r="O7" s="141">
        <v>0.25</v>
      </c>
      <c r="P7" s="86">
        <v>9000.0</v>
      </c>
      <c r="Q7" s="86">
        <v>10.0</v>
      </c>
      <c r="R7" s="86">
        <v>1.0</v>
      </c>
      <c r="S7" s="86" t="s">
        <v>3657</v>
      </c>
      <c r="T7" s="86">
        <v>2.0</v>
      </c>
      <c r="U7" s="86">
        <v>0.5</v>
      </c>
      <c r="V7" s="86">
        <v>1000.0</v>
      </c>
      <c r="W7" s="86">
        <v>625.0</v>
      </c>
      <c r="X7" s="86">
        <v>1.0</v>
      </c>
      <c r="Y7" s="86">
        <v>2006.0</v>
      </c>
      <c r="Z7" s="86">
        <v>1.0</v>
      </c>
      <c r="AA7" s="86">
        <v>0.03</v>
      </c>
    </row>
    <row r="8" ht="14.25" customHeight="1">
      <c r="A8" s="8">
        <v>1006.0</v>
      </c>
      <c r="B8" s="54" t="s">
        <v>3677</v>
      </c>
      <c r="C8" s="8">
        <v>4.0</v>
      </c>
      <c r="D8" s="8" t="s">
        <v>3654</v>
      </c>
      <c r="E8" s="8">
        <v>1.0</v>
      </c>
      <c r="F8" s="8">
        <v>0.05</v>
      </c>
      <c r="G8" s="42">
        <v>8001.0</v>
      </c>
      <c r="H8" s="8">
        <v>40.0</v>
      </c>
      <c r="I8" s="8">
        <v>1.0</v>
      </c>
      <c r="J8" s="42">
        <v>8000.0</v>
      </c>
      <c r="K8" s="8">
        <v>60.0</v>
      </c>
      <c r="L8" s="8">
        <v>1.0</v>
      </c>
      <c r="M8" s="42">
        <v>2007.0</v>
      </c>
      <c r="N8" s="8">
        <v>1.0</v>
      </c>
      <c r="O8" s="141">
        <v>0.25</v>
      </c>
      <c r="P8" s="86">
        <v>9000.0</v>
      </c>
      <c r="Q8" s="86">
        <v>10.0</v>
      </c>
      <c r="R8" s="86">
        <v>1.0</v>
      </c>
      <c r="S8" s="86" t="s">
        <v>3657</v>
      </c>
      <c r="T8" s="86">
        <v>2.0</v>
      </c>
      <c r="U8" s="86">
        <v>0.5</v>
      </c>
      <c r="V8" s="86">
        <v>1000.0</v>
      </c>
      <c r="W8" s="86">
        <v>625.0</v>
      </c>
      <c r="X8" s="86">
        <v>1.0</v>
      </c>
      <c r="Y8" s="86">
        <v>2006.0</v>
      </c>
      <c r="Z8" s="86">
        <v>1.0</v>
      </c>
      <c r="AA8" s="86">
        <v>0.03</v>
      </c>
    </row>
    <row r="9" ht="14.25" customHeight="1">
      <c r="A9" s="8">
        <v>1007.0</v>
      </c>
      <c r="B9" s="54" t="s">
        <v>3681</v>
      </c>
      <c r="C9" s="8">
        <v>4.0</v>
      </c>
      <c r="D9" s="8" t="s">
        <v>3654</v>
      </c>
      <c r="E9" s="8">
        <v>1.0</v>
      </c>
      <c r="F9" s="8">
        <v>0.05</v>
      </c>
      <c r="G9" s="42">
        <v>8001.0</v>
      </c>
      <c r="H9" s="8">
        <v>40.0</v>
      </c>
      <c r="I9" s="8">
        <v>1.0</v>
      </c>
      <c r="J9" s="42">
        <v>8000.0</v>
      </c>
      <c r="K9" s="8">
        <v>60.0</v>
      </c>
      <c r="L9" s="8">
        <v>1.0</v>
      </c>
      <c r="M9" s="42">
        <v>2007.0</v>
      </c>
      <c r="N9" s="8">
        <v>1.0</v>
      </c>
      <c r="O9" s="141">
        <v>0.25</v>
      </c>
      <c r="P9" s="86">
        <v>9000.0</v>
      </c>
      <c r="Q9" s="86">
        <v>10.0</v>
      </c>
      <c r="R9" s="86">
        <v>1.0</v>
      </c>
      <c r="S9" s="86" t="s">
        <v>3657</v>
      </c>
      <c r="T9" s="86">
        <v>2.0</v>
      </c>
      <c r="U9" s="86">
        <v>0.5</v>
      </c>
      <c r="V9" s="86">
        <v>1000.0</v>
      </c>
      <c r="W9" s="86">
        <v>625.0</v>
      </c>
      <c r="X9" s="86">
        <v>1.0</v>
      </c>
      <c r="Y9" s="86">
        <v>2006.0</v>
      </c>
      <c r="Z9" s="86">
        <v>1.0</v>
      </c>
      <c r="AA9" s="86">
        <v>0.03</v>
      </c>
    </row>
    <row r="10" ht="14.25" customHeight="1">
      <c r="A10" s="8">
        <v>1008.0</v>
      </c>
      <c r="B10" s="54" t="s">
        <v>3684</v>
      </c>
      <c r="C10" s="8">
        <v>5.0</v>
      </c>
      <c r="D10" s="8" t="s">
        <v>3654</v>
      </c>
      <c r="E10" s="8">
        <v>1.0</v>
      </c>
      <c r="F10" s="8">
        <v>0.05</v>
      </c>
      <c r="G10" s="42">
        <v>8001.0</v>
      </c>
      <c r="H10" s="8">
        <v>40.0</v>
      </c>
      <c r="I10" s="8">
        <v>1.0</v>
      </c>
      <c r="J10" s="42">
        <v>8000.0</v>
      </c>
      <c r="K10" s="8">
        <v>60.0</v>
      </c>
      <c r="L10" s="8">
        <v>1.0</v>
      </c>
      <c r="M10" s="42">
        <v>2007.0</v>
      </c>
      <c r="N10" s="8">
        <v>1.0</v>
      </c>
      <c r="O10" s="141">
        <v>0.25</v>
      </c>
      <c r="P10" s="86">
        <v>9000.0</v>
      </c>
      <c r="Q10" s="86">
        <v>10.0</v>
      </c>
      <c r="R10" s="86">
        <v>1.0</v>
      </c>
      <c r="S10" s="86" t="s">
        <v>3657</v>
      </c>
      <c r="T10" s="86">
        <v>2.0</v>
      </c>
      <c r="U10" s="86">
        <v>0.5</v>
      </c>
      <c r="V10" s="86">
        <v>1000.0</v>
      </c>
      <c r="W10" s="86">
        <v>630.0</v>
      </c>
      <c r="X10" s="86">
        <v>1.0</v>
      </c>
      <c r="Y10" s="86">
        <v>2006.0</v>
      </c>
      <c r="Z10" s="86">
        <v>1.0</v>
      </c>
      <c r="AA10" s="86">
        <v>0.03</v>
      </c>
    </row>
    <row r="11" ht="14.25" customHeight="1">
      <c r="A11" s="8">
        <v>1009.0</v>
      </c>
      <c r="B11" s="54" t="s">
        <v>3687</v>
      </c>
      <c r="C11" s="8">
        <v>5.0</v>
      </c>
      <c r="D11" s="8" t="s">
        <v>3654</v>
      </c>
      <c r="E11" s="8">
        <v>1.0</v>
      </c>
      <c r="F11" s="8">
        <v>0.05</v>
      </c>
      <c r="G11" s="42">
        <v>8001.0</v>
      </c>
      <c r="H11" s="8">
        <v>40.0</v>
      </c>
      <c r="I11" s="8">
        <v>1.0</v>
      </c>
      <c r="J11" s="42">
        <v>8000.0</v>
      </c>
      <c r="K11" s="8">
        <v>60.0</v>
      </c>
      <c r="L11" s="8">
        <v>1.0</v>
      </c>
      <c r="M11" s="42">
        <v>2007.0</v>
      </c>
      <c r="N11" s="8">
        <v>1.0</v>
      </c>
      <c r="O11" s="141">
        <v>0.25</v>
      </c>
      <c r="P11" s="86">
        <v>9000.0</v>
      </c>
      <c r="Q11" s="86">
        <v>10.0</v>
      </c>
      <c r="R11" s="86">
        <v>1.0</v>
      </c>
      <c r="S11" s="86" t="s">
        <v>3657</v>
      </c>
      <c r="T11" s="86">
        <v>2.0</v>
      </c>
      <c r="U11" s="86">
        <v>0.5</v>
      </c>
      <c r="V11" s="86">
        <v>1000.0</v>
      </c>
      <c r="W11" s="86">
        <v>630.0</v>
      </c>
      <c r="X11" s="86">
        <v>1.0</v>
      </c>
      <c r="Y11" s="86">
        <v>2006.0</v>
      </c>
      <c r="Z11" s="86">
        <v>1.0</v>
      </c>
      <c r="AA11" s="86">
        <v>0.03</v>
      </c>
    </row>
    <row r="12" ht="14.25" customHeight="1">
      <c r="A12" s="8">
        <v>1010.0</v>
      </c>
      <c r="B12" s="54" t="s">
        <v>3691</v>
      </c>
      <c r="C12" s="8">
        <v>6.0</v>
      </c>
      <c r="D12" s="8" t="s">
        <v>3654</v>
      </c>
      <c r="E12" s="8">
        <v>1.0</v>
      </c>
      <c r="F12" s="8">
        <v>0.05</v>
      </c>
      <c r="G12" s="42">
        <v>8001.0</v>
      </c>
      <c r="H12" s="8">
        <v>40.0</v>
      </c>
      <c r="I12" s="8">
        <v>1.0</v>
      </c>
      <c r="J12" s="42">
        <v>8000.0</v>
      </c>
      <c r="K12" s="8">
        <v>60.0</v>
      </c>
      <c r="L12" s="8">
        <v>1.0</v>
      </c>
      <c r="M12" s="42">
        <v>2007.0</v>
      </c>
      <c r="N12" s="8">
        <v>1.0</v>
      </c>
      <c r="O12" s="141">
        <v>0.25</v>
      </c>
      <c r="P12" s="86">
        <v>9000.0</v>
      </c>
      <c r="Q12" s="86">
        <v>10.0</v>
      </c>
      <c r="R12" s="86">
        <v>1.0</v>
      </c>
      <c r="S12" s="86" t="s">
        <v>3657</v>
      </c>
      <c r="T12" s="86">
        <v>2.0</v>
      </c>
      <c r="U12" s="86">
        <v>0.5</v>
      </c>
      <c r="V12" s="86">
        <v>1000.0</v>
      </c>
      <c r="W12" s="86">
        <v>630.0</v>
      </c>
      <c r="X12" s="86">
        <v>1.0</v>
      </c>
      <c r="Y12" s="86">
        <v>2006.0</v>
      </c>
      <c r="Z12" s="86">
        <v>1.0</v>
      </c>
      <c r="AA12" s="86">
        <v>0.03</v>
      </c>
    </row>
    <row r="13" ht="14.25" customHeight="1">
      <c r="A13" s="8">
        <v>1011.0</v>
      </c>
      <c r="B13" s="54" t="s">
        <v>3694</v>
      </c>
      <c r="C13" s="8">
        <v>6.0</v>
      </c>
      <c r="D13" s="8" t="s">
        <v>3654</v>
      </c>
      <c r="E13" s="8">
        <v>1.0</v>
      </c>
      <c r="F13" s="8">
        <v>0.05</v>
      </c>
      <c r="G13" s="42">
        <v>8001.0</v>
      </c>
      <c r="H13" s="8">
        <v>40.0</v>
      </c>
      <c r="I13" s="8">
        <v>1.0</v>
      </c>
      <c r="J13" s="42">
        <v>8000.0</v>
      </c>
      <c r="K13" s="8">
        <v>60.0</v>
      </c>
      <c r="L13" s="8">
        <v>1.0</v>
      </c>
      <c r="M13" s="42">
        <v>2007.0</v>
      </c>
      <c r="N13" s="8">
        <v>1.0</v>
      </c>
      <c r="O13" s="141">
        <v>0.25</v>
      </c>
      <c r="P13" s="86">
        <v>9000.0</v>
      </c>
      <c r="Q13" s="86">
        <v>10.0</v>
      </c>
      <c r="R13" s="86">
        <v>1.0</v>
      </c>
      <c r="S13" s="86" t="s">
        <v>3657</v>
      </c>
      <c r="T13" s="86">
        <v>2.0</v>
      </c>
      <c r="U13" s="86">
        <v>0.5</v>
      </c>
      <c r="V13" s="86">
        <v>1000.0</v>
      </c>
      <c r="W13" s="86">
        <v>630.0</v>
      </c>
      <c r="X13" s="86">
        <v>1.0</v>
      </c>
      <c r="Y13" s="86">
        <v>2006.0</v>
      </c>
      <c r="Z13" s="86">
        <v>1.0</v>
      </c>
      <c r="AA13" s="86">
        <v>0.03</v>
      </c>
    </row>
    <row r="14" ht="14.25" customHeight="1">
      <c r="A14" s="8">
        <v>1012.0</v>
      </c>
      <c r="B14" s="54" t="s">
        <v>3699</v>
      </c>
      <c r="C14" s="8">
        <v>7.0</v>
      </c>
      <c r="D14" s="8" t="s">
        <v>3654</v>
      </c>
      <c r="E14" s="8">
        <v>1.0</v>
      </c>
      <c r="F14" s="8">
        <v>0.05</v>
      </c>
      <c r="G14" s="42">
        <v>8001.0</v>
      </c>
      <c r="H14" s="8">
        <v>40.0</v>
      </c>
      <c r="I14" s="8">
        <v>1.0</v>
      </c>
      <c r="J14" s="42">
        <v>8000.0</v>
      </c>
      <c r="K14" s="8">
        <v>60.0</v>
      </c>
      <c r="L14" s="8">
        <v>1.0</v>
      </c>
      <c r="M14" s="42">
        <v>2007.0</v>
      </c>
      <c r="N14" s="8">
        <v>1.0</v>
      </c>
      <c r="O14" s="141">
        <v>0.25</v>
      </c>
      <c r="P14" s="86">
        <v>9000.0</v>
      </c>
      <c r="Q14" s="86">
        <v>10.0</v>
      </c>
      <c r="R14" s="86">
        <v>1.0</v>
      </c>
      <c r="S14" s="86" t="s">
        <v>3657</v>
      </c>
      <c r="T14" s="86">
        <v>2.0</v>
      </c>
      <c r="U14" s="86">
        <v>0.5</v>
      </c>
      <c r="V14" s="86">
        <v>1000.0</v>
      </c>
      <c r="W14" s="86">
        <v>630.0</v>
      </c>
      <c r="X14" s="86">
        <v>1.0</v>
      </c>
      <c r="Y14" s="86">
        <v>2006.0</v>
      </c>
      <c r="Z14" s="86">
        <v>1.0</v>
      </c>
      <c r="AA14" s="86">
        <v>0.03</v>
      </c>
    </row>
    <row r="15" ht="14.25" customHeight="1">
      <c r="A15" s="8">
        <v>1013.0</v>
      </c>
      <c r="B15" s="54" t="s">
        <v>3702</v>
      </c>
      <c r="C15" s="8">
        <v>7.0</v>
      </c>
      <c r="D15" s="8" t="s">
        <v>3654</v>
      </c>
      <c r="E15" s="8">
        <v>1.0</v>
      </c>
      <c r="F15" s="8">
        <v>0.05</v>
      </c>
      <c r="G15" s="42">
        <v>8001.0</v>
      </c>
      <c r="H15" s="8">
        <v>40.0</v>
      </c>
      <c r="I15" s="8">
        <v>1.0</v>
      </c>
      <c r="J15" s="42">
        <v>8000.0</v>
      </c>
      <c r="K15" s="8">
        <v>60.0</v>
      </c>
      <c r="L15" s="8">
        <v>1.0</v>
      </c>
      <c r="M15" s="42">
        <v>2007.0</v>
      </c>
      <c r="N15" s="8">
        <v>1.0</v>
      </c>
      <c r="O15" s="141">
        <v>0.25</v>
      </c>
      <c r="P15" s="86">
        <v>9000.0</v>
      </c>
      <c r="Q15" s="86">
        <v>10.0</v>
      </c>
      <c r="R15" s="86">
        <v>1.0</v>
      </c>
      <c r="S15" s="86" t="s">
        <v>3657</v>
      </c>
      <c r="T15" s="86">
        <v>2.0</v>
      </c>
      <c r="U15" s="86">
        <v>0.5</v>
      </c>
      <c r="V15" s="86">
        <v>1000.0</v>
      </c>
      <c r="W15" s="86">
        <v>635.0</v>
      </c>
      <c r="X15" s="86">
        <v>1.0</v>
      </c>
      <c r="Y15" s="86">
        <v>2006.0</v>
      </c>
      <c r="Z15" s="86">
        <v>1.0</v>
      </c>
      <c r="AA15" s="86">
        <v>0.03</v>
      </c>
    </row>
    <row r="16" ht="14.25" customHeight="1">
      <c r="A16" s="8">
        <v>1014.0</v>
      </c>
      <c r="B16" s="54" t="s">
        <v>3706</v>
      </c>
      <c r="C16" s="8">
        <v>8.0</v>
      </c>
      <c r="D16" s="8" t="s">
        <v>3654</v>
      </c>
      <c r="E16" s="8">
        <v>1.0</v>
      </c>
      <c r="F16" s="8">
        <v>0.05</v>
      </c>
      <c r="G16" s="42">
        <v>8001.0</v>
      </c>
      <c r="H16" s="8">
        <v>40.0</v>
      </c>
      <c r="I16" s="8">
        <v>1.0</v>
      </c>
      <c r="J16" s="42">
        <v>8000.0</v>
      </c>
      <c r="K16" s="8">
        <v>60.0</v>
      </c>
      <c r="L16" s="8">
        <v>1.0</v>
      </c>
      <c r="M16" s="42">
        <v>2007.0</v>
      </c>
      <c r="N16" s="8">
        <v>1.0</v>
      </c>
      <c r="O16" s="141">
        <v>0.25</v>
      </c>
      <c r="P16" s="86">
        <v>9000.0</v>
      </c>
      <c r="Q16" s="86">
        <v>10.0</v>
      </c>
      <c r="R16" s="86">
        <v>1.0</v>
      </c>
      <c r="S16" s="86" t="s">
        <v>3657</v>
      </c>
      <c r="T16" s="86">
        <v>2.0</v>
      </c>
      <c r="U16" s="86">
        <v>0.5</v>
      </c>
      <c r="V16" s="86">
        <v>1000.0</v>
      </c>
      <c r="W16" s="86">
        <v>635.0</v>
      </c>
      <c r="X16" s="86">
        <v>1.0</v>
      </c>
      <c r="Y16" s="86">
        <v>2006.0</v>
      </c>
      <c r="Z16" s="86">
        <v>1.0</v>
      </c>
      <c r="AA16" s="86">
        <v>0.03</v>
      </c>
    </row>
    <row r="17" ht="14.25" customHeight="1">
      <c r="A17" s="8">
        <v>1015.0</v>
      </c>
      <c r="B17" s="54" t="s">
        <v>3709</v>
      </c>
      <c r="C17" s="8">
        <v>8.0</v>
      </c>
      <c r="D17" s="8" t="s">
        <v>3654</v>
      </c>
      <c r="E17" s="8">
        <v>1.0</v>
      </c>
      <c r="F17" s="8">
        <v>0.05</v>
      </c>
      <c r="G17" s="42">
        <v>8001.0</v>
      </c>
      <c r="H17" s="8">
        <v>40.0</v>
      </c>
      <c r="I17" s="8">
        <v>1.0</v>
      </c>
      <c r="J17" s="42">
        <v>8000.0</v>
      </c>
      <c r="K17" s="8">
        <v>60.0</v>
      </c>
      <c r="L17" s="8">
        <v>1.0</v>
      </c>
      <c r="M17" s="42">
        <v>2007.0</v>
      </c>
      <c r="N17" s="8">
        <v>1.0</v>
      </c>
      <c r="O17" s="141">
        <v>0.25</v>
      </c>
      <c r="P17" s="86">
        <v>9000.0</v>
      </c>
      <c r="Q17" s="86">
        <v>10.0</v>
      </c>
      <c r="R17" s="86">
        <v>1.0</v>
      </c>
      <c r="S17" s="86" t="s">
        <v>3657</v>
      </c>
      <c r="T17" s="86">
        <v>2.0</v>
      </c>
      <c r="U17" s="86">
        <v>0.5</v>
      </c>
      <c r="V17" s="86">
        <v>1000.0</v>
      </c>
      <c r="W17" s="86">
        <v>635.0</v>
      </c>
      <c r="X17" s="86">
        <v>1.0</v>
      </c>
      <c r="Y17" s="86">
        <v>2006.0</v>
      </c>
      <c r="Z17" s="86">
        <v>1.0</v>
      </c>
      <c r="AA17" s="86">
        <v>0.03</v>
      </c>
    </row>
    <row r="18" ht="14.25" customHeight="1">
      <c r="A18" s="8">
        <v>1016.0</v>
      </c>
      <c r="B18" s="54" t="s">
        <v>3710</v>
      </c>
      <c r="C18" s="8">
        <v>9.0</v>
      </c>
      <c r="D18" s="8" t="s">
        <v>3654</v>
      </c>
      <c r="E18" s="8">
        <v>1.0</v>
      </c>
      <c r="F18" s="8">
        <v>0.05</v>
      </c>
      <c r="G18" s="42">
        <v>8001.0</v>
      </c>
      <c r="H18" s="8">
        <v>40.0</v>
      </c>
      <c r="I18" s="8">
        <v>1.0</v>
      </c>
      <c r="J18" s="42">
        <v>8000.0</v>
      </c>
      <c r="K18" s="8">
        <v>60.0</v>
      </c>
      <c r="L18" s="8">
        <v>1.0</v>
      </c>
      <c r="M18" s="42">
        <v>2007.0</v>
      </c>
      <c r="N18" s="8">
        <v>1.0</v>
      </c>
      <c r="O18" s="141">
        <v>0.25</v>
      </c>
      <c r="P18" s="86">
        <v>9000.0</v>
      </c>
      <c r="Q18" s="86">
        <v>10.0</v>
      </c>
      <c r="R18" s="86">
        <v>1.0</v>
      </c>
      <c r="S18" s="86" t="s">
        <v>3657</v>
      </c>
      <c r="T18" s="86">
        <v>2.0</v>
      </c>
      <c r="U18" s="86">
        <v>0.5</v>
      </c>
      <c r="V18" s="86">
        <v>1000.0</v>
      </c>
      <c r="W18" s="86">
        <v>635.0</v>
      </c>
      <c r="X18" s="86">
        <v>1.0</v>
      </c>
      <c r="Y18" s="86">
        <v>2006.0</v>
      </c>
      <c r="Z18" s="86">
        <v>1.0</v>
      </c>
      <c r="AA18" s="86">
        <v>0.03</v>
      </c>
    </row>
    <row r="19" ht="14.25" customHeight="1">
      <c r="A19" s="8">
        <v>1017.0</v>
      </c>
      <c r="B19" s="54" t="s">
        <v>3715</v>
      </c>
      <c r="C19" s="8">
        <v>9.0</v>
      </c>
      <c r="D19" s="8" t="s">
        <v>3654</v>
      </c>
      <c r="E19" s="8">
        <v>1.0</v>
      </c>
      <c r="F19" s="8">
        <v>0.05</v>
      </c>
      <c r="G19" s="42">
        <v>8001.0</v>
      </c>
      <c r="H19" s="8">
        <v>40.0</v>
      </c>
      <c r="I19" s="8">
        <v>1.0</v>
      </c>
      <c r="J19" s="42">
        <v>8000.0</v>
      </c>
      <c r="K19" s="8">
        <v>60.0</v>
      </c>
      <c r="L19" s="8">
        <v>1.0</v>
      </c>
      <c r="M19" s="42">
        <v>2007.0</v>
      </c>
      <c r="N19" s="8">
        <v>1.0</v>
      </c>
      <c r="O19" s="141">
        <v>0.25</v>
      </c>
      <c r="P19" s="86">
        <v>9000.0</v>
      </c>
      <c r="Q19" s="86">
        <v>10.0</v>
      </c>
      <c r="R19" s="86">
        <v>1.0</v>
      </c>
      <c r="S19" s="86" t="s">
        <v>3657</v>
      </c>
      <c r="T19" s="86">
        <v>2.0</v>
      </c>
      <c r="U19" s="86">
        <v>0.5</v>
      </c>
      <c r="V19" s="86">
        <v>1000.0</v>
      </c>
      <c r="W19" s="86">
        <v>640.0</v>
      </c>
      <c r="X19" s="86">
        <v>1.0</v>
      </c>
      <c r="Y19" s="86">
        <v>2006.0</v>
      </c>
      <c r="Z19" s="86">
        <v>1.0</v>
      </c>
      <c r="AA19" s="86">
        <v>0.03</v>
      </c>
    </row>
    <row r="20" ht="14.25" customHeight="1">
      <c r="A20" s="8">
        <v>1018.0</v>
      </c>
      <c r="B20" s="54" t="s">
        <v>3718</v>
      </c>
      <c r="C20" s="8">
        <v>10.0</v>
      </c>
      <c r="D20" s="8" t="s">
        <v>3654</v>
      </c>
      <c r="E20" s="8">
        <v>1.0</v>
      </c>
      <c r="F20" s="8">
        <v>0.05</v>
      </c>
      <c r="G20" s="42">
        <v>8001.0</v>
      </c>
      <c r="H20" s="8">
        <v>40.0</v>
      </c>
      <c r="I20" s="8">
        <v>1.0</v>
      </c>
      <c r="J20" s="42">
        <v>8000.0</v>
      </c>
      <c r="K20" s="8">
        <v>60.0</v>
      </c>
      <c r="L20" s="8">
        <v>1.0</v>
      </c>
      <c r="M20" s="42">
        <v>2007.0</v>
      </c>
      <c r="N20" s="8">
        <v>1.0</v>
      </c>
      <c r="O20" s="141">
        <v>0.25</v>
      </c>
      <c r="P20" s="86">
        <v>9000.0</v>
      </c>
      <c r="Q20" s="86">
        <v>10.0</v>
      </c>
      <c r="R20" s="86">
        <v>1.0</v>
      </c>
      <c r="S20" s="86" t="s">
        <v>3657</v>
      </c>
      <c r="T20" s="86">
        <v>2.0</v>
      </c>
      <c r="U20" s="86">
        <v>0.5</v>
      </c>
      <c r="V20" s="86">
        <v>1000.0</v>
      </c>
      <c r="W20" s="86">
        <v>640.0</v>
      </c>
      <c r="X20" s="86">
        <v>1.0</v>
      </c>
      <c r="Y20" s="86">
        <v>2006.0</v>
      </c>
      <c r="Z20" s="86">
        <v>1.0</v>
      </c>
      <c r="AA20" s="86">
        <v>0.03</v>
      </c>
    </row>
    <row r="21" ht="14.25" customHeight="1">
      <c r="A21" s="8">
        <v>1019.0</v>
      </c>
      <c r="B21" s="54" t="s">
        <v>3724</v>
      </c>
      <c r="C21" s="8">
        <v>10.0</v>
      </c>
      <c r="D21" s="8" t="s">
        <v>3654</v>
      </c>
      <c r="E21" s="8">
        <v>1.0</v>
      </c>
      <c r="F21" s="8">
        <v>0.05</v>
      </c>
      <c r="G21" s="42">
        <v>8001.0</v>
      </c>
      <c r="H21" s="8">
        <v>40.0</v>
      </c>
      <c r="I21" s="8">
        <v>1.0</v>
      </c>
      <c r="J21" s="42">
        <v>8000.0</v>
      </c>
      <c r="K21" s="8">
        <v>60.0</v>
      </c>
      <c r="L21" s="8">
        <v>1.0</v>
      </c>
      <c r="M21" s="42">
        <v>2007.0</v>
      </c>
      <c r="N21" s="8">
        <v>1.0</v>
      </c>
      <c r="O21" s="141">
        <v>0.25</v>
      </c>
      <c r="P21" s="86">
        <v>9000.0</v>
      </c>
      <c r="Q21" s="86">
        <v>10.0</v>
      </c>
      <c r="R21" s="86">
        <v>1.0</v>
      </c>
      <c r="S21" s="86" t="s">
        <v>3657</v>
      </c>
      <c r="T21" s="86">
        <v>2.0</v>
      </c>
      <c r="U21" s="86">
        <v>0.5</v>
      </c>
      <c r="V21" s="86">
        <v>1000.0</v>
      </c>
      <c r="W21" s="86">
        <v>640.0</v>
      </c>
      <c r="X21" s="86">
        <v>1.0</v>
      </c>
      <c r="Y21" s="86">
        <v>2006.0</v>
      </c>
      <c r="Z21" s="86">
        <v>1.0</v>
      </c>
      <c r="AA21" s="86">
        <v>0.03</v>
      </c>
    </row>
    <row r="22" ht="14.25" customHeight="1">
      <c r="A22" s="8">
        <v>1020.0</v>
      </c>
      <c r="B22" s="54" t="s">
        <v>3728</v>
      </c>
      <c r="C22" s="8">
        <v>11.0</v>
      </c>
      <c r="D22" s="8" t="s">
        <v>3654</v>
      </c>
      <c r="E22" s="8">
        <v>1.0</v>
      </c>
      <c r="F22" s="8">
        <v>0.05</v>
      </c>
      <c r="G22" s="42">
        <v>8001.0</v>
      </c>
      <c r="H22" s="8">
        <v>40.0</v>
      </c>
      <c r="I22" s="8">
        <v>1.0</v>
      </c>
      <c r="J22" s="42">
        <v>8000.0</v>
      </c>
      <c r="K22" s="8">
        <v>60.0</v>
      </c>
      <c r="L22" s="8">
        <v>1.0</v>
      </c>
      <c r="M22" s="42">
        <v>2007.0</v>
      </c>
      <c r="N22" s="8">
        <v>1.0</v>
      </c>
      <c r="O22" s="141">
        <v>0.25</v>
      </c>
      <c r="P22" s="86">
        <v>9000.0</v>
      </c>
      <c r="Q22" s="86">
        <v>10.0</v>
      </c>
      <c r="R22" s="86">
        <v>1.0</v>
      </c>
      <c r="S22" s="86" t="s">
        <v>3657</v>
      </c>
      <c r="T22" s="86">
        <v>2.0</v>
      </c>
      <c r="U22" s="86">
        <v>0.5</v>
      </c>
      <c r="V22" s="86">
        <v>1000.0</v>
      </c>
      <c r="W22" s="86">
        <v>645.0</v>
      </c>
      <c r="X22" s="86">
        <v>1.0</v>
      </c>
      <c r="Y22" s="86">
        <v>2006.0</v>
      </c>
      <c r="Z22" s="86">
        <v>1.0</v>
      </c>
      <c r="AA22" s="86">
        <v>0.03</v>
      </c>
    </row>
    <row r="23" ht="14.25" customHeight="1">
      <c r="A23" s="8">
        <v>1021.0</v>
      </c>
      <c r="B23" s="54" t="s">
        <v>3733</v>
      </c>
      <c r="C23" s="8">
        <v>11.0</v>
      </c>
      <c r="D23" s="8" t="s">
        <v>3654</v>
      </c>
      <c r="E23" s="8">
        <v>1.0</v>
      </c>
      <c r="F23" s="8">
        <v>0.05</v>
      </c>
      <c r="G23" s="42">
        <v>8001.0</v>
      </c>
      <c r="H23" s="8">
        <v>40.0</v>
      </c>
      <c r="I23" s="8">
        <v>1.0</v>
      </c>
      <c r="J23" s="42">
        <v>8000.0</v>
      </c>
      <c r="K23" s="8">
        <v>60.0</v>
      </c>
      <c r="L23" s="8">
        <v>1.0</v>
      </c>
      <c r="M23" s="42">
        <v>2007.0</v>
      </c>
      <c r="N23" s="8">
        <v>1.0</v>
      </c>
      <c r="O23" s="141">
        <v>0.25</v>
      </c>
      <c r="P23" s="86">
        <v>9000.0</v>
      </c>
      <c r="Q23" s="86">
        <v>11.0</v>
      </c>
      <c r="R23" s="86">
        <v>1.0</v>
      </c>
      <c r="S23" s="86" t="s">
        <v>3657</v>
      </c>
      <c r="T23" s="86">
        <v>2.0</v>
      </c>
      <c r="U23" s="86">
        <v>0.5</v>
      </c>
      <c r="V23" s="86">
        <v>1000.0</v>
      </c>
      <c r="W23" s="86">
        <v>645.0</v>
      </c>
      <c r="X23" s="86">
        <v>1.0</v>
      </c>
      <c r="Y23" s="86">
        <v>2006.0</v>
      </c>
      <c r="Z23" s="86">
        <v>1.0</v>
      </c>
      <c r="AA23" s="86">
        <v>0.03</v>
      </c>
    </row>
    <row r="24" ht="14.25" customHeight="1">
      <c r="A24" s="8">
        <v>1022.0</v>
      </c>
      <c r="B24" s="54" t="s">
        <v>3736</v>
      </c>
      <c r="C24" s="8">
        <v>12.0</v>
      </c>
      <c r="D24" s="8" t="s">
        <v>3654</v>
      </c>
      <c r="E24" s="8">
        <v>1.0</v>
      </c>
      <c r="F24" s="8">
        <v>0.05</v>
      </c>
      <c r="G24" s="42">
        <v>8001.0</v>
      </c>
      <c r="H24" s="8">
        <v>40.0</v>
      </c>
      <c r="I24" s="8">
        <v>1.0</v>
      </c>
      <c r="J24" s="42">
        <v>8000.0</v>
      </c>
      <c r="K24" s="8">
        <v>60.0</v>
      </c>
      <c r="L24" s="8">
        <v>1.0</v>
      </c>
      <c r="M24" s="42">
        <v>2007.0</v>
      </c>
      <c r="N24" s="8">
        <v>1.0</v>
      </c>
      <c r="O24" s="141">
        <v>0.25</v>
      </c>
      <c r="P24" s="86">
        <v>9000.0</v>
      </c>
      <c r="Q24" s="86">
        <v>11.0</v>
      </c>
      <c r="R24" s="86">
        <v>1.0</v>
      </c>
      <c r="S24" s="86" t="s">
        <v>3657</v>
      </c>
      <c r="T24" s="86">
        <v>2.0</v>
      </c>
      <c r="U24" s="86">
        <v>0.5</v>
      </c>
      <c r="V24" s="86">
        <v>1000.0</v>
      </c>
      <c r="W24" s="86">
        <v>645.0</v>
      </c>
      <c r="X24" s="86">
        <v>1.0</v>
      </c>
      <c r="Y24" s="86">
        <v>2006.0</v>
      </c>
      <c r="Z24" s="86">
        <v>1.0</v>
      </c>
      <c r="AA24" s="86">
        <v>0.03</v>
      </c>
    </row>
    <row r="25" ht="14.25" customHeight="1">
      <c r="A25" s="8">
        <v>1023.0</v>
      </c>
      <c r="B25" s="54" t="s">
        <v>3739</v>
      </c>
      <c r="C25" s="8">
        <v>12.0</v>
      </c>
      <c r="D25" s="8" t="s">
        <v>3654</v>
      </c>
      <c r="E25" s="8">
        <v>1.0</v>
      </c>
      <c r="F25" s="8">
        <v>0.05</v>
      </c>
      <c r="G25" s="42">
        <v>8001.0</v>
      </c>
      <c r="H25" s="8">
        <v>40.0</v>
      </c>
      <c r="I25" s="8">
        <v>1.0</v>
      </c>
      <c r="J25" s="42">
        <v>8000.0</v>
      </c>
      <c r="K25" s="8">
        <v>60.0</v>
      </c>
      <c r="L25" s="8">
        <v>1.0</v>
      </c>
      <c r="M25" s="42">
        <v>2007.0</v>
      </c>
      <c r="N25" s="8">
        <v>1.0</v>
      </c>
      <c r="O25" s="141">
        <v>0.25</v>
      </c>
      <c r="P25" s="86">
        <v>9000.0</v>
      </c>
      <c r="Q25" s="86">
        <v>11.0</v>
      </c>
      <c r="R25" s="86">
        <v>1.0</v>
      </c>
      <c r="S25" s="86" t="s">
        <v>3657</v>
      </c>
      <c r="T25" s="86">
        <v>2.0</v>
      </c>
      <c r="U25" s="86">
        <v>0.5</v>
      </c>
      <c r="V25" s="86">
        <v>1000.0</v>
      </c>
      <c r="W25" s="86">
        <v>650.0</v>
      </c>
      <c r="X25" s="86">
        <v>1.0</v>
      </c>
      <c r="Y25" s="86">
        <v>2006.0</v>
      </c>
      <c r="Z25" s="86">
        <v>1.0</v>
      </c>
      <c r="AA25" s="86">
        <v>0.03</v>
      </c>
    </row>
    <row r="26" ht="14.25" customHeight="1">
      <c r="A26" s="8">
        <v>1024.0</v>
      </c>
      <c r="B26" s="54" t="s">
        <v>3742</v>
      </c>
      <c r="C26" s="8">
        <v>13.0</v>
      </c>
      <c r="D26" s="8" t="s">
        <v>3654</v>
      </c>
      <c r="E26" s="8">
        <v>1.0</v>
      </c>
      <c r="F26" s="8">
        <v>0.05</v>
      </c>
      <c r="G26" s="42">
        <v>8001.0</v>
      </c>
      <c r="H26" s="8">
        <v>40.0</v>
      </c>
      <c r="I26" s="8">
        <v>1.0</v>
      </c>
      <c r="J26" s="42">
        <v>8000.0</v>
      </c>
      <c r="K26" s="8">
        <v>65.0</v>
      </c>
      <c r="L26" s="8">
        <v>1.0</v>
      </c>
      <c r="M26" s="42">
        <v>2007.0</v>
      </c>
      <c r="N26" s="8">
        <v>1.0</v>
      </c>
      <c r="O26" s="141">
        <v>0.25</v>
      </c>
      <c r="P26" s="86">
        <v>9000.0</v>
      </c>
      <c r="Q26" s="86">
        <v>11.0</v>
      </c>
      <c r="R26" s="86">
        <v>1.0</v>
      </c>
      <c r="S26" s="86" t="s">
        <v>3657</v>
      </c>
      <c r="T26" s="86">
        <v>2.0</v>
      </c>
      <c r="U26" s="86">
        <v>0.5</v>
      </c>
      <c r="V26" s="86">
        <v>1000.0</v>
      </c>
      <c r="W26" s="86">
        <v>650.0</v>
      </c>
      <c r="X26" s="86">
        <v>1.0</v>
      </c>
      <c r="Y26" s="86">
        <v>2006.0</v>
      </c>
      <c r="Z26" s="86">
        <v>1.0</v>
      </c>
      <c r="AA26" s="86">
        <v>0.03</v>
      </c>
    </row>
    <row r="27" ht="14.25" customHeight="1">
      <c r="A27" s="8">
        <v>1025.0</v>
      </c>
      <c r="B27" s="54" t="s">
        <v>3745</v>
      </c>
      <c r="C27" s="8">
        <v>13.0</v>
      </c>
      <c r="D27" s="8" t="s">
        <v>3654</v>
      </c>
      <c r="E27" s="8">
        <v>1.0</v>
      </c>
      <c r="F27" s="8">
        <v>0.051</v>
      </c>
      <c r="G27" s="42">
        <v>8001.0</v>
      </c>
      <c r="H27" s="8">
        <v>40.0</v>
      </c>
      <c r="I27" s="8">
        <v>1.0</v>
      </c>
      <c r="J27" s="42">
        <v>8000.0</v>
      </c>
      <c r="K27" s="8">
        <v>65.0</v>
      </c>
      <c r="L27" s="8">
        <v>1.0</v>
      </c>
      <c r="M27" s="42">
        <v>2007.0</v>
      </c>
      <c r="N27" s="8">
        <v>1.0</v>
      </c>
      <c r="O27" s="141">
        <v>0.25</v>
      </c>
      <c r="P27" s="86">
        <v>9000.0</v>
      </c>
      <c r="Q27" s="86">
        <v>11.0</v>
      </c>
      <c r="R27" s="86">
        <v>1.0</v>
      </c>
      <c r="S27" s="86" t="s">
        <v>3657</v>
      </c>
      <c r="T27" s="86">
        <v>2.0</v>
      </c>
      <c r="U27" s="86">
        <v>0.5</v>
      </c>
      <c r="V27" s="86">
        <v>1000.0</v>
      </c>
      <c r="W27" s="86">
        <v>655.0</v>
      </c>
      <c r="X27" s="86">
        <v>1.0</v>
      </c>
      <c r="Y27" s="86">
        <v>2006.0</v>
      </c>
      <c r="Z27" s="86">
        <v>1.0</v>
      </c>
      <c r="AA27" s="86">
        <v>0.03</v>
      </c>
    </row>
    <row r="28" ht="14.25" customHeight="1">
      <c r="A28" s="8">
        <v>1026.0</v>
      </c>
      <c r="B28" s="54" t="s">
        <v>3748</v>
      </c>
      <c r="C28" s="8">
        <v>14.0</v>
      </c>
      <c r="D28" s="8" t="s">
        <v>3654</v>
      </c>
      <c r="E28" s="8">
        <v>1.0</v>
      </c>
      <c r="F28" s="8">
        <v>0.051</v>
      </c>
      <c r="G28" s="42">
        <v>8001.0</v>
      </c>
      <c r="H28" s="8">
        <v>40.0</v>
      </c>
      <c r="I28" s="8">
        <v>1.0</v>
      </c>
      <c r="J28" s="42">
        <v>8000.0</v>
      </c>
      <c r="K28" s="8">
        <v>65.0</v>
      </c>
      <c r="L28" s="8">
        <v>1.0</v>
      </c>
      <c r="M28" s="42">
        <v>2007.0</v>
      </c>
      <c r="N28" s="8">
        <v>1.0</v>
      </c>
      <c r="O28" s="141">
        <v>0.25</v>
      </c>
      <c r="P28" s="86">
        <v>9000.0</v>
      </c>
      <c r="Q28" s="86">
        <v>11.0</v>
      </c>
      <c r="R28" s="86">
        <v>1.0</v>
      </c>
      <c r="S28" s="86" t="s">
        <v>3657</v>
      </c>
      <c r="T28" s="86">
        <v>2.0</v>
      </c>
      <c r="U28" s="86">
        <v>0.5</v>
      </c>
      <c r="V28" s="86">
        <v>1000.0</v>
      </c>
      <c r="W28" s="86">
        <v>655.0</v>
      </c>
      <c r="X28" s="86">
        <v>1.0</v>
      </c>
      <c r="Y28" s="86">
        <v>2006.0</v>
      </c>
      <c r="Z28" s="86">
        <v>1.0</v>
      </c>
      <c r="AA28" s="86">
        <v>0.03</v>
      </c>
    </row>
    <row r="29" ht="14.25" customHeight="1">
      <c r="A29" s="8">
        <v>1027.0</v>
      </c>
      <c r="B29" s="54" t="s">
        <v>3752</v>
      </c>
      <c r="C29" s="8">
        <v>14.0</v>
      </c>
      <c r="D29" s="8" t="s">
        <v>3654</v>
      </c>
      <c r="E29" s="8">
        <v>1.0</v>
      </c>
      <c r="F29" s="8">
        <v>0.051</v>
      </c>
      <c r="G29" s="42">
        <v>8001.0</v>
      </c>
      <c r="H29" s="8">
        <v>40.0</v>
      </c>
      <c r="I29" s="8">
        <v>1.0</v>
      </c>
      <c r="J29" s="42">
        <v>8000.0</v>
      </c>
      <c r="K29" s="8">
        <v>65.0</v>
      </c>
      <c r="L29" s="8">
        <v>1.0</v>
      </c>
      <c r="M29" s="42">
        <v>2007.0</v>
      </c>
      <c r="N29" s="8">
        <v>1.0</v>
      </c>
      <c r="O29" s="141">
        <v>0.25</v>
      </c>
      <c r="P29" s="86">
        <v>9000.0</v>
      </c>
      <c r="Q29" s="86">
        <v>11.0</v>
      </c>
      <c r="R29" s="86">
        <v>1.0</v>
      </c>
      <c r="S29" s="86" t="s">
        <v>3657</v>
      </c>
      <c r="T29" s="86">
        <v>2.0</v>
      </c>
      <c r="U29" s="86">
        <v>0.5</v>
      </c>
      <c r="V29" s="86">
        <v>1000.0</v>
      </c>
      <c r="W29" s="86">
        <v>660.0</v>
      </c>
      <c r="X29" s="86">
        <v>1.0</v>
      </c>
      <c r="Y29" s="86">
        <v>2006.0</v>
      </c>
      <c r="Z29" s="86">
        <v>1.0</v>
      </c>
      <c r="AA29" s="86">
        <v>0.03</v>
      </c>
    </row>
    <row r="30" ht="14.25" customHeight="1">
      <c r="A30" s="8">
        <v>1028.0</v>
      </c>
      <c r="B30" s="54" t="s">
        <v>3754</v>
      </c>
      <c r="C30" s="8">
        <v>15.0</v>
      </c>
      <c r="D30" s="8" t="s">
        <v>3654</v>
      </c>
      <c r="E30" s="8">
        <v>1.0</v>
      </c>
      <c r="F30" s="8">
        <v>0.051</v>
      </c>
      <c r="G30" s="42">
        <v>8001.0</v>
      </c>
      <c r="H30" s="8">
        <v>40.0</v>
      </c>
      <c r="I30" s="8">
        <v>1.0</v>
      </c>
      <c r="J30" s="42">
        <v>8000.0</v>
      </c>
      <c r="K30" s="8">
        <v>65.0</v>
      </c>
      <c r="L30" s="8">
        <v>1.0</v>
      </c>
      <c r="M30" s="42">
        <v>2007.0</v>
      </c>
      <c r="N30" s="8">
        <v>1.0</v>
      </c>
      <c r="O30" s="141">
        <v>0.25</v>
      </c>
      <c r="P30" s="86">
        <v>9000.0</v>
      </c>
      <c r="Q30" s="86">
        <v>11.0</v>
      </c>
      <c r="R30" s="86">
        <v>1.0</v>
      </c>
      <c r="S30" s="86" t="s">
        <v>3657</v>
      </c>
      <c r="T30" s="86">
        <v>2.0</v>
      </c>
      <c r="U30" s="86">
        <v>0.5</v>
      </c>
      <c r="V30" s="86">
        <v>1000.0</v>
      </c>
      <c r="W30" s="86">
        <v>660.0</v>
      </c>
      <c r="X30" s="86">
        <v>1.0</v>
      </c>
      <c r="Y30" s="86">
        <v>2006.0</v>
      </c>
      <c r="Z30" s="86">
        <v>1.0</v>
      </c>
      <c r="AA30" s="86">
        <v>0.03</v>
      </c>
    </row>
    <row r="31" ht="14.25" customHeight="1">
      <c r="A31" s="8">
        <v>1029.0</v>
      </c>
      <c r="B31" s="54" t="s">
        <v>3757</v>
      </c>
      <c r="C31" s="8">
        <v>15.0</v>
      </c>
      <c r="D31" s="8" t="s">
        <v>3654</v>
      </c>
      <c r="E31" s="8">
        <v>1.0</v>
      </c>
      <c r="F31" s="8">
        <v>0.051</v>
      </c>
      <c r="G31" s="42">
        <v>8001.0</v>
      </c>
      <c r="H31" s="8">
        <v>40.0</v>
      </c>
      <c r="I31" s="8">
        <v>1.0</v>
      </c>
      <c r="J31" s="42">
        <v>8000.0</v>
      </c>
      <c r="K31" s="8">
        <v>65.0</v>
      </c>
      <c r="L31" s="8">
        <v>1.0</v>
      </c>
      <c r="M31" s="42">
        <v>2007.0</v>
      </c>
      <c r="N31" s="8">
        <v>1.0</v>
      </c>
      <c r="O31" s="141">
        <v>0.25</v>
      </c>
      <c r="P31" s="86">
        <v>9000.0</v>
      </c>
      <c r="Q31" s="86">
        <v>11.0</v>
      </c>
      <c r="R31" s="86">
        <v>1.0</v>
      </c>
      <c r="S31" s="86" t="s">
        <v>3657</v>
      </c>
      <c r="T31" s="86">
        <v>2.0</v>
      </c>
      <c r="U31" s="86">
        <v>0.5</v>
      </c>
      <c r="V31" s="86">
        <v>1000.0</v>
      </c>
      <c r="W31" s="86">
        <v>665.0</v>
      </c>
      <c r="X31" s="86">
        <v>1.0</v>
      </c>
      <c r="Y31" s="86">
        <v>2006.0</v>
      </c>
      <c r="Z31" s="86">
        <v>1.0</v>
      </c>
      <c r="AA31" s="86">
        <v>0.03</v>
      </c>
    </row>
    <row r="32" ht="14.25" customHeight="1">
      <c r="A32" s="8">
        <v>1030.0</v>
      </c>
      <c r="B32" s="54" t="s">
        <v>3761</v>
      </c>
      <c r="C32" s="8">
        <v>16.0</v>
      </c>
      <c r="D32" s="8" t="s">
        <v>3654</v>
      </c>
      <c r="E32" s="8">
        <v>1.0</v>
      </c>
      <c r="F32" s="8">
        <v>0.051</v>
      </c>
      <c r="G32" s="42">
        <v>8001.0</v>
      </c>
      <c r="H32" s="8">
        <v>45.0</v>
      </c>
      <c r="I32" s="8">
        <v>1.0</v>
      </c>
      <c r="J32" s="42">
        <v>8000.0</v>
      </c>
      <c r="K32" s="8">
        <v>65.0</v>
      </c>
      <c r="L32" s="8">
        <v>1.0</v>
      </c>
      <c r="M32" s="42">
        <v>2007.0</v>
      </c>
      <c r="N32" s="8">
        <v>1.0</v>
      </c>
      <c r="O32" s="141">
        <v>0.25</v>
      </c>
      <c r="P32" s="86">
        <v>9000.0</v>
      </c>
      <c r="Q32" s="86">
        <v>11.0</v>
      </c>
      <c r="R32" s="86">
        <v>1.0</v>
      </c>
      <c r="S32" s="86" t="s">
        <v>3657</v>
      </c>
      <c r="T32" s="86">
        <v>2.0</v>
      </c>
      <c r="U32" s="86">
        <v>0.5</v>
      </c>
      <c r="V32" s="86">
        <v>1000.0</v>
      </c>
      <c r="W32" s="86">
        <v>665.0</v>
      </c>
      <c r="X32" s="86">
        <v>1.0</v>
      </c>
      <c r="Y32" s="86">
        <v>2006.0</v>
      </c>
      <c r="Z32" s="86">
        <v>1.0</v>
      </c>
      <c r="AA32" s="86">
        <v>0.03</v>
      </c>
    </row>
    <row r="33" ht="14.25" customHeight="1">
      <c r="A33" s="8">
        <v>1031.0</v>
      </c>
      <c r="B33" s="54" t="s">
        <v>3763</v>
      </c>
      <c r="C33" s="8">
        <v>16.0</v>
      </c>
      <c r="D33" s="8" t="s">
        <v>3654</v>
      </c>
      <c r="E33" s="8">
        <v>1.0</v>
      </c>
      <c r="F33" s="8">
        <v>0.051</v>
      </c>
      <c r="G33" s="42">
        <v>8001.0</v>
      </c>
      <c r="H33" s="8">
        <v>45.0</v>
      </c>
      <c r="I33" s="8">
        <v>1.0</v>
      </c>
      <c r="J33" s="42">
        <v>8000.0</v>
      </c>
      <c r="K33" s="8">
        <v>65.0</v>
      </c>
      <c r="L33" s="8">
        <v>1.0</v>
      </c>
      <c r="M33" s="42">
        <v>2007.0</v>
      </c>
      <c r="N33" s="8">
        <v>1.0</v>
      </c>
      <c r="O33" s="141">
        <v>0.25</v>
      </c>
      <c r="P33" s="86">
        <v>9000.0</v>
      </c>
      <c r="Q33" s="86">
        <v>11.0</v>
      </c>
      <c r="R33" s="86">
        <v>1.0</v>
      </c>
      <c r="S33" s="86" t="s">
        <v>3657</v>
      </c>
      <c r="T33" s="86">
        <v>2.0</v>
      </c>
      <c r="U33" s="86">
        <v>0.5</v>
      </c>
      <c r="V33" s="86">
        <v>1000.0</v>
      </c>
      <c r="W33" s="86">
        <v>670.0</v>
      </c>
      <c r="X33" s="86">
        <v>1.0</v>
      </c>
      <c r="Y33" s="86">
        <v>2006.0</v>
      </c>
      <c r="Z33" s="86">
        <v>1.0</v>
      </c>
      <c r="AA33" s="86">
        <v>0.03</v>
      </c>
    </row>
    <row r="34" ht="14.25" customHeight="1">
      <c r="A34" s="8">
        <v>1032.0</v>
      </c>
      <c r="B34" s="54" t="s">
        <v>3766</v>
      </c>
      <c r="C34" s="8">
        <v>17.0</v>
      </c>
      <c r="D34" s="8" t="s">
        <v>3654</v>
      </c>
      <c r="E34" s="8">
        <v>1.0</v>
      </c>
      <c r="F34" s="8">
        <v>0.051</v>
      </c>
      <c r="G34" s="42">
        <v>8001.0</v>
      </c>
      <c r="H34" s="8">
        <v>45.0</v>
      </c>
      <c r="I34" s="8">
        <v>1.0</v>
      </c>
      <c r="J34" s="42">
        <v>8000.0</v>
      </c>
      <c r="K34" s="8">
        <v>65.0</v>
      </c>
      <c r="L34" s="8">
        <v>1.0</v>
      </c>
      <c r="M34" s="42">
        <v>2007.0</v>
      </c>
      <c r="N34" s="8">
        <v>1.0</v>
      </c>
      <c r="O34" s="141">
        <v>0.25</v>
      </c>
      <c r="P34" s="86">
        <v>9000.0</v>
      </c>
      <c r="Q34" s="86">
        <v>11.0</v>
      </c>
      <c r="R34" s="86">
        <v>1.0</v>
      </c>
      <c r="S34" s="86" t="s">
        <v>3657</v>
      </c>
      <c r="T34" s="86">
        <v>2.0</v>
      </c>
      <c r="U34" s="86">
        <v>0.5</v>
      </c>
      <c r="V34" s="86">
        <v>1000.0</v>
      </c>
      <c r="W34" s="86">
        <v>670.0</v>
      </c>
      <c r="X34" s="86">
        <v>1.0</v>
      </c>
      <c r="Y34" s="86">
        <v>2006.0</v>
      </c>
      <c r="Z34" s="86">
        <v>1.0</v>
      </c>
      <c r="AA34" s="86">
        <v>0.03</v>
      </c>
    </row>
    <row r="35" ht="14.25" customHeight="1">
      <c r="A35" s="8">
        <v>1033.0</v>
      </c>
      <c r="B35" s="54" t="s">
        <v>3770</v>
      </c>
      <c r="C35" s="8">
        <v>17.0</v>
      </c>
      <c r="D35" s="8" t="s">
        <v>3654</v>
      </c>
      <c r="E35" s="8">
        <v>1.0</v>
      </c>
      <c r="F35" s="8">
        <v>0.051</v>
      </c>
      <c r="G35" s="42">
        <v>8001.0</v>
      </c>
      <c r="H35" s="8">
        <v>45.0</v>
      </c>
      <c r="I35" s="8">
        <v>1.0</v>
      </c>
      <c r="J35" s="42">
        <v>8000.0</v>
      </c>
      <c r="K35" s="8">
        <v>65.0</v>
      </c>
      <c r="L35" s="8">
        <v>1.0</v>
      </c>
      <c r="M35" s="42">
        <v>2007.0</v>
      </c>
      <c r="N35" s="8">
        <v>1.0</v>
      </c>
      <c r="O35" s="141">
        <v>0.25</v>
      </c>
      <c r="P35" s="86">
        <v>9000.0</v>
      </c>
      <c r="Q35" s="86">
        <v>11.0</v>
      </c>
      <c r="R35" s="86">
        <v>1.0</v>
      </c>
      <c r="S35" s="86" t="s">
        <v>3657</v>
      </c>
      <c r="T35" s="86">
        <v>2.0</v>
      </c>
      <c r="U35" s="86">
        <v>0.5</v>
      </c>
      <c r="V35" s="86">
        <v>1000.0</v>
      </c>
      <c r="W35" s="86">
        <v>675.0</v>
      </c>
      <c r="X35" s="86">
        <v>1.0</v>
      </c>
      <c r="Y35" s="86">
        <v>2006.0</v>
      </c>
      <c r="Z35" s="86">
        <v>1.0</v>
      </c>
      <c r="AA35" s="86">
        <v>0.03</v>
      </c>
    </row>
    <row r="36" ht="14.25" customHeight="1">
      <c r="A36" s="8">
        <v>1034.0</v>
      </c>
      <c r="B36" s="54" t="s">
        <v>3773</v>
      </c>
      <c r="C36" s="8">
        <v>18.0</v>
      </c>
      <c r="D36" s="8" t="s">
        <v>3654</v>
      </c>
      <c r="E36" s="8">
        <v>1.0</v>
      </c>
      <c r="F36" s="8">
        <v>0.051</v>
      </c>
      <c r="G36" s="42">
        <v>8001.0</v>
      </c>
      <c r="H36" s="8">
        <v>45.0</v>
      </c>
      <c r="I36" s="8">
        <v>1.0</v>
      </c>
      <c r="J36" s="42">
        <v>8000.0</v>
      </c>
      <c r="K36" s="8">
        <v>65.0</v>
      </c>
      <c r="L36" s="8">
        <v>1.0</v>
      </c>
      <c r="M36" s="42">
        <v>2007.0</v>
      </c>
      <c r="N36" s="8">
        <v>1.0</v>
      </c>
      <c r="O36" s="141">
        <v>0.25</v>
      </c>
      <c r="P36" s="86">
        <v>9000.0</v>
      </c>
      <c r="Q36" s="86">
        <v>11.0</v>
      </c>
      <c r="R36" s="86">
        <v>1.0</v>
      </c>
      <c r="S36" s="86" t="s">
        <v>3657</v>
      </c>
      <c r="T36" s="86">
        <v>2.0</v>
      </c>
      <c r="U36" s="86">
        <v>0.5</v>
      </c>
      <c r="V36" s="86">
        <v>1000.0</v>
      </c>
      <c r="W36" s="86">
        <v>675.0</v>
      </c>
      <c r="X36" s="86">
        <v>1.0</v>
      </c>
      <c r="Y36" s="86">
        <v>2006.0</v>
      </c>
      <c r="Z36" s="86">
        <v>1.0</v>
      </c>
      <c r="AA36" s="86">
        <v>0.03</v>
      </c>
    </row>
    <row r="37" ht="14.25" customHeight="1">
      <c r="A37" s="8">
        <v>1035.0</v>
      </c>
      <c r="B37" s="54" t="s">
        <v>3776</v>
      </c>
      <c r="C37" s="8">
        <v>18.0</v>
      </c>
      <c r="D37" s="8" t="s">
        <v>3654</v>
      </c>
      <c r="E37" s="8">
        <v>1.0</v>
      </c>
      <c r="F37" s="8">
        <v>0.051</v>
      </c>
      <c r="G37" s="42">
        <v>8001.0</v>
      </c>
      <c r="H37" s="8">
        <v>45.0</v>
      </c>
      <c r="I37" s="8">
        <v>1.0</v>
      </c>
      <c r="J37" s="42">
        <v>8000.0</v>
      </c>
      <c r="K37" s="8">
        <v>65.0</v>
      </c>
      <c r="L37" s="8">
        <v>1.0</v>
      </c>
      <c r="M37" s="42">
        <v>2007.0</v>
      </c>
      <c r="N37" s="8">
        <v>1.0</v>
      </c>
      <c r="O37" s="141">
        <v>0.25</v>
      </c>
      <c r="P37" s="86">
        <v>9000.0</v>
      </c>
      <c r="Q37" s="86">
        <v>11.0</v>
      </c>
      <c r="R37" s="86">
        <v>1.0</v>
      </c>
      <c r="S37" s="86" t="s">
        <v>3657</v>
      </c>
      <c r="T37" s="86">
        <v>2.0</v>
      </c>
      <c r="U37" s="86">
        <v>0.5</v>
      </c>
      <c r="V37" s="86">
        <v>1000.0</v>
      </c>
      <c r="W37" s="86">
        <v>680.0</v>
      </c>
      <c r="X37" s="86">
        <v>1.0</v>
      </c>
      <c r="Y37" s="86">
        <v>2006.0</v>
      </c>
      <c r="Z37" s="86">
        <v>1.0</v>
      </c>
      <c r="AA37" s="86">
        <v>0.03</v>
      </c>
    </row>
    <row r="38" ht="14.25" customHeight="1">
      <c r="A38" s="8">
        <v>1036.0</v>
      </c>
      <c r="B38" s="54" t="s">
        <v>3779</v>
      </c>
      <c r="C38" s="8">
        <v>19.0</v>
      </c>
      <c r="D38" s="8" t="s">
        <v>3654</v>
      </c>
      <c r="E38" s="8">
        <v>1.0</v>
      </c>
      <c r="F38" s="8">
        <v>0.051</v>
      </c>
      <c r="G38" s="42">
        <v>8001.0</v>
      </c>
      <c r="H38" s="8">
        <v>45.0</v>
      </c>
      <c r="I38" s="8">
        <v>1.0</v>
      </c>
      <c r="J38" s="42">
        <v>8000.0</v>
      </c>
      <c r="K38" s="8">
        <v>65.0</v>
      </c>
      <c r="L38" s="8">
        <v>1.0</v>
      </c>
      <c r="M38" s="42">
        <v>2007.0</v>
      </c>
      <c r="N38" s="8">
        <v>1.0</v>
      </c>
      <c r="O38" s="141">
        <v>0.25</v>
      </c>
      <c r="P38" s="86">
        <v>9000.0</v>
      </c>
      <c r="Q38" s="86">
        <v>11.0</v>
      </c>
      <c r="R38" s="86">
        <v>1.0</v>
      </c>
      <c r="S38" s="86" t="s">
        <v>3657</v>
      </c>
      <c r="T38" s="86">
        <v>2.0</v>
      </c>
      <c r="U38" s="86">
        <v>0.5</v>
      </c>
      <c r="V38" s="86">
        <v>1000.0</v>
      </c>
      <c r="W38" s="86">
        <v>685.0</v>
      </c>
      <c r="X38" s="86">
        <v>1.0</v>
      </c>
      <c r="Y38" s="86">
        <v>2006.0</v>
      </c>
      <c r="Z38" s="86">
        <v>1.0</v>
      </c>
      <c r="AA38" s="86">
        <v>0.03</v>
      </c>
    </row>
    <row r="39" ht="14.25" customHeight="1">
      <c r="A39" s="8">
        <v>1037.0</v>
      </c>
      <c r="B39" s="54" t="s">
        <v>3780</v>
      </c>
      <c r="C39" s="8">
        <v>19.0</v>
      </c>
      <c r="D39" s="8" t="s">
        <v>3654</v>
      </c>
      <c r="E39" s="8">
        <v>1.0</v>
      </c>
      <c r="F39" s="8">
        <v>0.051</v>
      </c>
      <c r="G39" s="42">
        <v>8001.0</v>
      </c>
      <c r="H39" s="8">
        <v>45.0</v>
      </c>
      <c r="I39" s="8">
        <v>1.0</v>
      </c>
      <c r="J39" s="42">
        <v>8000.0</v>
      </c>
      <c r="K39" s="8">
        <v>65.0</v>
      </c>
      <c r="L39" s="8">
        <v>1.0</v>
      </c>
      <c r="M39" s="42">
        <v>2007.0</v>
      </c>
      <c r="N39" s="8">
        <v>1.0</v>
      </c>
      <c r="O39" s="141">
        <v>0.25</v>
      </c>
      <c r="P39" s="86">
        <v>9000.0</v>
      </c>
      <c r="Q39" s="86">
        <v>12.0</v>
      </c>
      <c r="R39" s="86">
        <v>1.0</v>
      </c>
      <c r="S39" s="86" t="s">
        <v>3657</v>
      </c>
      <c r="T39" s="86">
        <v>2.0</v>
      </c>
      <c r="U39" s="86">
        <v>0.5</v>
      </c>
      <c r="V39" s="86">
        <v>1000.0</v>
      </c>
      <c r="W39" s="86">
        <v>685.0</v>
      </c>
      <c r="X39" s="86">
        <v>1.0</v>
      </c>
      <c r="Y39" s="86">
        <v>2006.0</v>
      </c>
      <c r="Z39" s="86">
        <v>1.0</v>
      </c>
      <c r="AA39" s="86">
        <v>0.03</v>
      </c>
    </row>
    <row r="40" ht="14.25" customHeight="1">
      <c r="A40" s="8">
        <v>1038.0</v>
      </c>
      <c r="B40" s="54" t="s">
        <v>3784</v>
      </c>
      <c r="C40" s="8">
        <v>20.0</v>
      </c>
      <c r="D40" s="8" t="s">
        <v>3654</v>
      </c>
      <c r="E40" s="8">
        <v>1.0</v>
      </c>
      <c r="F40" s="8">
        <v>0.051</v>
      </c>
      <c r="G40" s="42">
        <v>8001.0</v>
      </c>
      <c r="H40" s="8">
        <v>45.0</v>
      </c>
      <c r="I40" s="8">
        <v>1.0</v>
      </c>
      <c r="J40" s="42">
        <v>8000.0</v>
      </c>
      <c r="K40" s="8">
        <v>65.0</v>
      </c>
      <c r="L40" s="8">
        <v>1.0</v>
      </c>
      <c r="M40" s="42">
        <v>2007.0</v>
      </c>
      <c r="N40" s="8">
        <v>1.0</v>
      </c>
      <c r="O40" s="141">
        <v>0.25</v>
      </c>
      <c r="P40" s="86">
        <v>9000.0</v>
      </c>
      <c r="Q40" s="86">
        <v>12.0</v>
      </c>
      <c r="R40" s="86">
        <v>1.0</v>
      </c>
      <c r="S40" s="86" t="s">
        <v>3657</v>
      </c>
      <c r="T40" s="86">
        <v>2.0</v>
      </c>
      <c r="U40" s="86">
        <v>0.5</v>
      </c>
      <c r="V40" s="86">
        <v>1000.0</v>
      </c>
      <c r="W40" s="86">
        <v>690.0</v>
      </c>
      <c r="X40" s="86">
        <v>1.0</v>
      </c>
      <c r="Y40" s="86">
        <v>2006.0</v>
      </c>
      <c r="Z40" s="86">
        <v>1.0</v>
      </c>
      <c r="AA40" s="86">
        <v>0.03</v>
      </c>
    </row>
    <row r="41" ht="14.25" customHeight="1">
      <c r="A41" s="8">
        <v>1039.0</v>
      </c>
      <c r="B41" s="54" t="s">
        <v>3788</v>
      </c>
      <c r="C41" s="8">
        <v>20.0</v>
      </c>
      <c r="D41" s="8" t="s">
        <v>3654</v>
      </c>
      <c r="E41" s="8">
        <v>1.0</v>
      </c>
      <c r="F41" s="8">
        <v>0.051</v>
      </c>
      <c r="G41" s="42">
        <v>8001.0</v>
      </c>
      <c r="H41" s="8">
        <v>45.0</v>
      </c>
      <c r="I41" s="8">
        <v>1.0</v>
      </c>
      <c r="J41" s="42">
        <v>8000.0</v>
      </c>
      <c r="K41" s="8">
        <v>65.0</v>
      </c>
      <c r="L41" s="8">
        <v>1.0</v>
      </c>
      <c r="M41" s="42">
        <v>2007.0</v>
      </c>
      <c r="N41" s="8">
        <v>1.0</v>
      </c>
      <c r="O41" s="141">
        <v>0.25</v>
      </c>
      <c r="P41" s="86">
        <v>9000.0</v>
      </c>
      <c r="Q41" s="86">
        <v>12.0</v>
      </c>
      <c r="R41" s="86">
        <v>1.0</v>
      </c>
      <c r="S41" s="86" t="s">
        <v>3657</v>
      </c>
      <c r="T41" s="86">
        <v>2.0</v>
      </c>
      <c r="U41" s="86">
        <v>0.5</v>
      </c>
      <c r="V41" s="86">
        <v>1000.0</v>
      </c>
      <c r="W41" s="86">
        <v>695.0</v>
      </c>
      <c r="X41" s="86">
        <v>1.0</v>
      </c>
      <c r="Y41" s="86">
        <v>2006.0</v>
      </c>
      <c r="Z41" s="86">
        <v>1.0</v>
      </c>
      <c r="AA41" s="86">
        <v>0.03</v>
      </c>
    </row>
    <row r="42" ht="14.25" customHeight="1">
      <c r="A42" s="8">
        <v>1040.0</v>
      </c>
      <c r="B42" s="54" t="s">
        <v>3792</v>
      </c>
      <c r="C42" s="8">
        <v>21.0</v>
      </c>
      <c r="D42" s="8" t="s">
        <v>3654</v>
      </c>
      <c r="E42" s="8">
        <v>1.0</v>
      </c>
      <c r="F42" s="8">
        <v>0.051</v>
      </c>
      <c r="G42" s="42">
        <v>8001.0</v>
      </c>
      <c r="H42" s="8">
        <v>45.0</v>
      </c>
      <c r="I42" s="8">
        <v>1.0</v>
      </c>
      <c r="J42" s="42">
        <v>8000.0</v>
      </c>
      <c r="K42" s="8">
        <v>65.0</v>
      </c>
      <c r="L42" s="8">
        <v>1.0</v>
      </c>
      <c r="M42" s="42">
        <v>2007.0</v>
      </c>
      <c r="N42" s="8">
        <v>1.0</v>
      </c>
      <c r="O42" s="141">
        <v>0.25</v>
      </c>
      <c r="P42" s="86">
        <v>9000.0</v>
      </c>
      <c r="Q42" s="86">
        <v>12.0</v>
      </c>
      <c r="R42" s="86">
        <v>1.0</v>
      </c>
      <c r="S42" s="86" t="s">
        <v>3657</v>
      </c>
      <c r="T42" s="86">
        <v>2.0</v>
      </c>
      <c r="U42" s="86">
        <v>0.5</v>
      </c>
      <c r="V42" s="86">
        <v>1000.0</v>
      </c>
      <c r="W42" s="86">
        <v>695.0</v>
      </c>
      <c r="X42" s="86">
        <v>1.0</v>
      </c>
      <c r="Y42" s="86">
        <v>2006.0</v>
      </c>
      <c r="Z42" s="86">
        <v>1.0</v>
      </c>
      <c r="AA42" s="86">
        <v>0.03</v>
      </c>
    </row>
    <row r="43" ht="14.25" customHeight="1">
      <c r="A43" s="8">
        <v>1041.0</v>
      </c>
      <c r="B43" s="54" t="s">
        <v>3794</v>
      </c>
      <c r="C43" s="8">
        <v>21.0</v>
      </c>
      <c r="D43" s="8" t="s">
        <v>3654</v>
      </c>
      <c r="E43" s="8">
        <v>1.0</v>
      </c>
      <c r="F43" s="8">
        <v>0.051</v>
      </c>
      <c r="G43" s="42">
        <v>8001.0</v>
      </c>
      <c r="H43" s="8">
        <v>45.0</v>
      </c>
      <c r="I43" s="8">
        <v>1.0</v>
      </c>
      <c r="J43" s="42">
        <v>8000.0</v>
      </c>
      <c r="K43" s="8">
        <v>65.0</v>
      </c>
      <c r="L43" s="8">
        <v>1.0</v>
      </c>
      <c r="M43" s="42">
        <v>2007.0</v>
      </c>
      <c r="N43" s="8">
        <v>1.0</v>
      </c>
      <c r="O43" s="141">
        <v>0.25</v>
      </c>
      <c r="P43" s="86">
        <v>9000.0</v>
      </c>
      <c r="Q43" s="86">
        <v>12.0</v>
      </c>
      <c r="R43" s="86">
        <v>1.0</v>
      </c>
      <c r="S43" s="86" t="s">
        <v>3657</v>
      </c>
      <c r="T43" s="86">
        <v>2.0</v>
      </c>
      <c r="U43" s="86">
        <v>0.5</v>
      </c>
      <c r="V43" s="86">
        <v>1000.0</v>
      </c>
      <c r="W43" s="86">
        <v>700.0</v>
      </c>
      <c r="X43" s="86">
        <v>1.0</v>
      </c>
      <c r="Y43" s="86">
        <v>2006.0</v>
      </c>
      <c r="Z43" s="86">
        <v>1.0</v>
      </c>
      <c r="AA43" s="86">
        <v>0.03</v>
      </c>
    </row>
    <row r="44" ht="14.25" customHeight="1">
      <c r="A44" s="8">
        <v>1042.0</v>
      </c>
      <c r="B44" s="54" t="s">
        <v>3798</v>
      </c>
      <c r="C44" s="8">
        <v>22.0</v>
      </c>
      <c r="D44" s="8" t="s">
        <v>3654</v>
      </c>
      <c r="E44" s="8">
        <v>1.0</v>
      </c>
      <c r="F44" s="8">
        <v>0.051</v>
      </c>
      <c r="G44" s="42">
        <v>8001.0</v>
      </c>
      <c r="H44" s="8">
        <v>45.0</v>
      </c>
      <c r="I44" s="8">
        <v>1.0</v>
      </c>
      <c r="J44" s="42">
        <v>8000.0</v>
      </c>
      <c r="K44" s="8">
        <v>70.0</v>
      </c>
      <c r="L44" s="8">
        <v>1.0</v>
      </c>
      <c r="M44" s="42">
        <v>2007.0</v>
      </c>
      <c r="N44" s="8">
        <v>1.0</v>
      </c>
      <c r="O44" s="141">
        <v>0.25</v>
      </c>
      <c r="P44" s="86">
        <v>9000.0</v>
      </c>
      <c r="Q44" s="86">
        <v>12.0</v>
      </c>
      <c r="R44" s="86">
        <v>1.0</v>
      </c>
      <c r="S44" s="86" t="s">
        <v>3657</v>
      </c>
      <c r="T44" s="86">
        <v>2.0</v>
      </c>
      <c r="U44" s="86">
        <v>0.5</v>
      </c>
      <c r="V44" s="86">
        <v>1000.0</v>
      </c>
      <c r="W44" s="86">
        <v>705.0</v>
      </c>
      <c r="X44" s="86">
        <v>1.0</v>
      </c>
      <c r="Y44" s="86">
        <v>2006.0</v>
      </c>
      <c r="Z44" s="86">
        <v>1.0</v>
      </c>
      <c r="AA44" s="86">
        <v>0.03</v>
      </c>
    </row>
    <row r="45" ht="14.25" customHeight="1">
      <c r="A45" s="8">
        <v>1043.0</v>
      </c>
      <c r="B45" s="54" t="s">
        <v>3800</v>
      </c>
      <c r="C45" s="8">
        <v>22.0</v>
      </c>
      <c r="D45" s="8" t="s">
        <v>3654</v>
      </c>
      <c r="E45" s="8">
        <v>1.0</v>
      </c>
      <c r="F45" s="8">
        <v>0.051</v>
      </c>
      <c r="G45" s="42">
        <v>8001.0</v>
      </c>
      <c r="H45" s="8">
        <v>45.0</v>
      </c>
      <c r="I45" s="8">
        <v>1.0</v>
      </c>
      <c r="J45" s="42">
        <v>8000.0</v>
      </c>
      <c r="K45" s="8">
        <v>70.0</v>
      </c>
      <c r="L45" s="8">
        <v>1.0</v>
      </c>
      <c r="M45" s="42">
        <v>2007.0</v>
      </c>
      <c r="N45" s="8">
        <v>1.0</v>
      </c>
      <c r="O45" s="141">
        <v>0.25</v>
      </c>
      <c r="P45" s="86">
        <v>9000.0</v>
      </c>
      <c r="Q45" s="86">
        <v>12.0</v>
      </c>
      <c r="R45" s="86">
        <v>1.0</v>
      </c>
      <c r="S45" s="86" t="s">
        <v>3657</v>
      </c>
      <c r="T45" s="86">
        <v>2.0</v>
      </c>
      <c r="U45" s="86">
        <v>0.5</v>
      </c>
      <c r="V45" s="86">
        <v>1000.0</v>
      </c>
      <c r="W45" s="86">
        <v>710.0</v>
      </c>
      <c r="X45" s="86">
        <v>1.0</v>
      </c>
      <c r="Y45" s="86">
        <v>2006.0</v>
      </c>
      <c r="Z45" s="86">
        <v>1.0</v>
      </c>
      <c r="AA45" s="86">
        <v>0.03</v>
      </c>
    </row>
    <row r="46" ht="14.25" customHeight="1">
      <c r="A46" s="8">
        <v>1044.0</v>
      </c>
      <c r="B46" s="54" t="s">
        <v>3803</v>
      </c>
      <c r="C46" s="8">
        <v>23.0</v>
      </c>
      <c r="D46" s="8" t="s">
        <v>3654</v>
      </c>
      <c r="E46" s="8">
        <v>1.0</v>
      </c>
      <c r="F46" s="8">
        <v>0.052</v>
      </c>
      <c r="G46" s="42">
        <v>8001.0</v>
      </c>
      <c r="H46" s="8">
        <v>45.0</v>
      </c>
      <c r="I46" s="8">
        <v>1.0</v>
      </c>
      <c r="J46" s="42">
        <v>8000.0</v>
      </c>
      <c r="K46" s="8">
        <v>70.0</v>
      </c>
      <c r="L46" s="8">
        <v>1.0</v>
      </c>
      <c r="M46" s="42">
        <v>2007.0</v>
      </c>
      <c r="N46" s="8">
        <v>1.0</v>
      </c>
      <c r="O46" s="141">
        <v>0.25</v>
      </c>
      <c r="P46" s="86">
        <v>9000.0</v>
      </c>
      <c r="Q46" s="86">
        <v>12.0</v>
      </c>
      <c r="R46" s="86">
        <v>1.0</v>
      </c>
      <c r="S46" s="86" t="s">
        <v>3657</v>
      </c>
      <c r="T46" s="86">
        <v>2.0</v>
      </c>
      <c r="U46" s="86">
        <v>0.5</v>
      </c>
      <c r="V46" s="86">
        <v>1000.0</v>
      </c>
      <c r="W46" s="86">
        <v>710.0</v>
      </c>
      <c r="X46" s="86">
        <v>1.0</v>
      </c>
      <c r="Y46" s="86">
        <v>2006.0</v>
      </c>
      <c r="Z46" s="86">
        <v>1.0</v>
      </c>
      <c r="AA46" s="86">
        <v>0.03</v>
      </c>
    </row>
    <row r="47" ht="14.25" customHeight="1">
      <c r="A47" s="8">
        <v>1045.0</v>
      </c>
      <c r="B47" s="54" t="s">
        <v>3788</v>
      </c>
      <c r="C47" s="8">
        <v>23.0</v>
      </c>
      <c r="D47" s="8" t="s">
        <v>3654</v>
      </c>
      <c r="E47" s="8">
        <v>1.0</v>
      </c>
      <c r="F47" s="8">
        <v>0.052</v>
      </c>
      <c r="G47" s="42">
        <v>8001.0</v>
      </c>
      <c r="H47" s="8">
        <v>45.0</v>
      </c>
      <c r="I47" s="8">
        <v>1.0</v>
      </c>
      <c r="J47" s="42">
        <v>8000.0</v>
      </c>
      <c r="K47" s="8">
        <v>70.0</v>
      </c>
      <c r="L47" s="8">
        <v>1.0</v>
      </c>
      <c r="M47" s="42">
        <v>2007.0</v>
      </c>
      <c r="N47" s="8">
        <v>1.0</v>
      </c>
      <c r="O47" s="141">
        <v>0.25</v>
      </c>
      <c r="P47" s="86">
        <v>9000.0</v>
      </c>
      <c r="Q47" s="86">
        <v>12.0</v>
      </c>
      <c r="R47" s="86">
        <v>1.0</v>
      </c>
      <c r="S47" s="86" t="s">
        <v>3657</v>
      </c>
      <c r="T47" s="86">
        <v>2.0</v>
      </c>
      <c r="U47" s="86">
        <v>0.5</v>
      </c>
      <c r="V47" s="86">
        <v>1000.0</v>
      </c>
      <c r="W47" s="86">
        <v>715.0</v>
      </c>
      <c r="X47" s="86">
        <v>1.0</v>
      </c>
      <c r="Y47" s="86">
        <v>2006.0</v>
      </c>
      <c r="Z47" s="86">
        <v>1.0</v>
      </c>
      <c r="AA47" s="86">
        <v>0.03</v>
      </c>
    </row>
    <row r="48" ht="14.25" customHeight="1">
      <c r="A48" s="8">
        <v>1046.0</v>
      </c>
      <c r="B48" s="54" t="s">
        <v>3809</v>
      </c>
      <c r="C48" s="8">
        <v>24.0</v>
      </c>
      <c r="D48" s="8" t="s">
        <v>3654</v>
      </c>
      <c r="E48" s="8">
        <v>1.0</v>
      </c>
      <c r="F48" s="8">
        <v>0.052</v>
      </c>
      <c r="G48" s="42">
        <v>8001.0</v>
      </c>
      <c r="H48" s="8">
        <v>45.0</v>
      </c>
      <c r="I48" s="8">
        <v>1.0</v>
      </c>
      <c r="J48" s="42">
        <v>8000.0</v>
      </c>
      <c r="K48" s="8">
        <v>70.0</v>
      </c>
      <c r="L48" s="8">
        <v>1.0</v>
      </c>
      <c r="M48" s="42">
        <v>2007.0</v>
      </c>
      <c r="N48" s="8">
        <v>1.0</v>
      </c>
      <c r="O48" s="141">
        <v>0.25</v>
      </c>
      <c r="P48" s="86">
        <v>9000.0</v>
      </c>
      <c r="Q48" s="86">
        <v>12.0</v>
      </c>
      <c r="R48" s="86">
        <v>1.0</v>
      </c>
      <c r="S48" s="86" t="s">
        <v>3657</v>
      </c>
      <c r="T48" s="86">
        <v>2.0</v>
      </c>
      <c r="U48" s="86">
        <v>0.5</v>
      </c>
      <c r="V48" s="86">
        <v>1000.0</v>
      </c>
      <c r="W48" s="86">
        <v>720.0</v>
      </c>
      <c r="X48" s="86">
        <v>1.0</v>
      </c>
      <c r="Y48" s="86">
        <v>2006.0</v>
      </c>
      <c r="Z48" s="86">
        <v>1.0</v>
      </c>
      <c r="AA48" s="86">
        <v>0.03</v>
      </c>
    </row>
    <row r="49" ht="14.25" customHeight="1">
      <c r="A49" s="8">
        <v>1047.0</v>
      </c>
      <c r="B49" s="54" t="s">
        <v>3812</v>
      </c>
      <c r="C49" s="8">
        <v>24.0</v>
      </c>
      <c r="D49" s="8" t="s">
        <v>3654</v>
      </c>
      <c r="E49" s="8">
        <v>1.0</v>
      </c>
      <c r="F49" s="8">
        <v>0.052</v>
      </c>
      <c r="G49" s="42">
        <v>8001.0</v>
      </c>
      <c r="H49" s="8">
        <v>45.0</v>
      </c>
      <c r="I49" s="8">
        <v>1.0</v>
      </c>
      <c r="J49" s="42">
        <v>8000.0</v>
      </c>
      <c r="K49" s="8">
        <v>70.0</v>
      </c>
      <c r="L49" s="8">
        <v>1.0</v>
      </c>
      <c r="M49" s="42">
        <v>2007.0</v>
      </c>
      <c r="N49" s="8">
        <v>1.0</v>
      </c>
      <c r="O49" s="141">
        <v>0.25</v>
      </c>
      <c r="P49" s="86">
        <v>9000.0</v>
      </c>
      <c r="Q49" s="86">
        <v>12.0</v>
      </c>
      <c r="R49" s="86">
        <v>1.0</v>
      </c>
      <c r="S49" s="86" t="s">
        <v>3657</v>
      </c>
      <c r="T49" s="86">
        <v>2.0</v>
      </c>
      <c r="U49" s="86">
        <v>0.5</v>
      </c>
      <c r="V49" s="86">
        <v>1000.0</v>
      </c>
      <c r="W49" s="86">
        <v>725.0</v>
      </c>
      <c r="X49" s="86">
        <v>1.0</v>
      </c>
      <c r="Y49" s="86">
        <v>2006.0</v>
      </c>
      <c r="Z49" s="86">
        <v>1.0</v>
      </c>
      <c r="AA49" s="86">
        <v>0.03</v>
      </c>
    </row>
    <row r="50" ht="14.25" customHeight="1">
      <c r="A50" s="8">
        <v>1048.0</v>
      </c>
      <c r="B50" s="54" t="s">
        <v>3814</v>
      </c>
      <c r="C50" s="8">
        <v>25.0</v>
      </c>
      <c r="D50" s="8" t="s">
        <v>3654</v>
      </c>
      <c r="E50" s="8">
        <v>1.0</v>
      </c>
      <c r="F50" s="8">
        <v>0.052</v>
      </c>
      <c r="G50" s="42">
        <v>8001.0</v>
      </c>
      <c r="H50" s="8">
        <v>45.0</v>
      </c>
      <c r="I50" s="8">
        <v>1.0</v>
      </c>
      <c r="J50" s="42">
        <v>8000.0</v>
      </c>
      <c r="K50" s="8">
        <v>70.0</v>
      </c>
      <c r="L50" s="8">
        <v>1.0</v>
      </c>
      <c r="M50" s="42">
        <v>2007.0</v>
      </c>
      <c r="N50" s="8">
        <v>1.0</v>
      </c>
      <c r="O50" s="141">
        <v>0.25</v>
      </c>
      <c r="P50" s="86">
        <v>9000.0</v>
      </c>
      <c r="Q50" s="86">
        <v>13.0</v>
      </c>
      <c r="R50" s="86">
        <v>1.0</v>
      </c>
      <c r="S50" s="86" t="s">
        <v>3657</v>
      </c>
      <c r="T50" s="86">
        <v>2.0</v>
      </c>
      <c r="U50" s="86">
        <v>0.5</v>
      </c>
      <c r="V50" s="86">
        <v>1000.0</v>
      </c>
      <c r="W50" s="86">
        <v>730.0</v>
      </c>
      <c r="X50" s="86">
        <v>1.0</v>
      </c>
      <c r="Y50" s="86">
        <v>2006.0</v>
      </c>
      <c r="Z50" s="86">
        <v>1.0</v>
      </c>
      <c r="AA50" s="86">
        <v>0.03</v>
      </c>
    </row>
    <row r="51" ht="14.25" customHeight="1">
      <c r="A51" s="8">
        <v>1049.0</v>
      </c>
      <c r="B51" s="54" t="s">
        <v>3816</v>
      </c>
      <c r="C51" s="8">
        <v>25.0</v>
      </c>
      <c r="D51" s="8" t="s">
        <v>3654</v>
      </c>
      <c r="E51" s="8">
        <v>1.0</v>
      </c>
      <c r="F51" s="8">
        <v>0.052</v>
      </c>
      <c r="G51" s="42">
        <v>8001.0</v>
      </c>
      <c r="H51" s="8">
        <v>45.0</v>
      </c>
      <c r="I51" s="8">
        <v>1.0</v>
      </c>
      <c r="J51" s="42">
        <v>8000.0</v>
      </c>
      <c r="K51" s="8">
        <v>70.0</v>
      </c>
      <c r="L51" s="8">
        <v>1.0</v>
      </c>
      <c r="M51" s="42">
        <v>2007.0</v>
      </c>
      <c r="N51" s="8">
        <v>1.0</v>
      </c>
      <c r="O51" s="141">
        <v>0.25</v>
      </c>
      <c r="P51" s="86">
        <v>9000.0</v>
      </c>
      <c r="Q51" s="86">
        <v>13.0</v>
      </c>
      <c r="R51" s="86">
        <v>1.0</v>
      </c>
      <c r="S51" s="86" t="s">
        <v>3657</v>
      </c>
      <c r="T51" s="86">
        <v>2.0</v>
      </c>
      <c r="U51" s="86">
        <v>0.5</v>
      </c>
      <c r="V51" s="86">
        <v>1000.0</v>
      </c>
      <c r="W51" s="86">
        <v>730.0</v>
      </c>
      <c r="X51" s="86">
        <v>1.0</v>
      </c>
      <c r="Y51" s="86">
        <v>2006.0</v>
      </c>
      <c r="Z51" s="86">
        <v>1.0</v>
      </c>
      <c r="AA51" s="86">
        <v>0.03</v>
      </c>
    </row>
    <row r="52" ht="14.25" customHeight="1">
      <c r="A52" s="8">
        <v>1050.0</v>
      </c>
      <c r="B52" s="54" t="s">
        <v>3819</v>
      </c>
      <c r="C52" s="8">
        <v>26.0</v>
      </c>
      <c r="D52" s="8" t="s">
        <v>3654</v>
      </c>
      <c r="E52" s="8">
        <v>1.0</v>
      </c>
      <c r="F52" s="8">
        <v>0.052</v>
      </c>
      <c r="G52" s="42">
        <v>8001.0</v>
      </c>
      <c r="H52" s="8">
        <v>45.0</v>
      </c>
      <c r="I52" s="8">
        <v>1.0</v>
      </c>
      <c r="J52" s="42">
        <v>8000.0</v>
      </c>
      <c r="K52" s="8">
        <v>70.0</v>
      </c>
      <c r="L52" s="8">
        <v>1.0</v>
      </c>
      <c r="M52" s="42">
        <v>2007.0</v>
      </c>
      <c r="N52" s="8">
        <v>1.0</v>
      </c>
      <c r="O52" s="141">
        <v>0.25</v>
      </c>
      <c r="P52" s="86">
        <v>9000.0</v>
      </c>
      <c r="Q52" s="86">
        <v>13.0</v>
      </c>
      <c r="R52" s="86">
        <v>1.0</v>
      </c>
      <c r="S52" s="86" t="s">
        <v>3657</v>
      </c>
      <c r="T52" s="86">
        <v>2.0</v>
      </c>
      <c r="U52" s="86">
        <v>0.5</v>
      </c>
      <c r="V52" s="86">
        <v>1000.0</v>
      </c>
      <c r="W52" s="86">
        <v>735.0</v>
      </c>
      <c r="X52" s="86">
        <v>1.0</v>
      </c>
      <c r="Y52" s="86">
        <v>2006.0</v>
      </c>
      <c r="Z52" s="86">
        <v>1.0</v>
      </c>
      <c r="AA52" s="86">
        <v>0.03</v>
      </c>
    </row>
    <row r="53" ht="14.25" customHeight="1">
      <c r="A53" s="8">
        <v>1051.0</v>
      </c>
      <c r="B53" s="54" t="s">
        <v>3823</v>
      </c>
      <c r="C53" s="8">
        <v>26.0</v>
      </c>
      <c r="D53" s="8" t="s">
        <v>3654</v>
      </c>
      <c r="E53" s="8">
        <v>1.0</v>
      </c>
      <c r="F53" s="8">
        <v>0.052</v>
      </c>
      <c r="G53" s="42">
        <v>8001.0</v>
      </c>
      <c r="H53" s="8">
        <v>45.0</v>
      </c>
      <c r="I53" s="8">
        <v>1.0</v>
      </c>
      <c r="J53" s="42">
        <v>8000.0</v>
      </c>
      <c r="K53" s="8">
        <v>70.0</v>
      </c>
      <c r="L53" s="8">
        <v>1.0</v>
      </c>
      <c r="M53" s="42">
        <v>2007.0</v>
      </c>
      <c r="N53" s="8">
        <v>1.0</v>
      </c>
      <c r="O53" s="141">
        <v>0.25</v>
      </c>
      <c r="P53" s="86">
        <v>9000.0</v>
      </c>
      <c r="Q53" s="86">
        <v>13.0</v>
      </c>
      <c r="R53" s="86">
        <v>1.0</v>
      </c>
      <c r="S53" s="86" t="s">
        <v>3657</v>
      </c>
      <c r="T53" s="86">
        <v>2.0</v>
      </c>
      <c r="U53" s="86">
        <v>0.5</v>
      </c>
      <c r="V53" s="86">
        <v>1000.0</v>
      </c>
      <c r="W53" s="86">
        <v>740.0</v>
      </c>
      <c r="X53" s="86">
        <v>1.0</v>
      </c>
      <c r="Y53" s="86">
        <v>2006.0</v>
      </c>
      <c r="Z53" s="86">
        <v>1.0</v>
      </c>
      <c r="AA53" s="86">
        <v>0.03</v>
      </c>
    </row>
    <row r="54" ht="14.25" customHeight="1">
      <c r="A54" s="8">
        <v>1052.0</v>
      </c>
      <c r="B54" s="54" t="s">
        <v>3825</v>
      </c>
      <c r="C54" s="8">
        <v>27.0</v>
      </c>
      <c r="D54" s="8" t="s">
        <v>3654</v>
      </c>
      <c r="E54" s="8">
        <v>1.0</v>
      </c>
      <c r="F54" s="8">
        <v>0.052</v>
      </c>
      <c r="G54" s="42">
        <v>8001.0</v>
      </c>
      <c r="H54" s="8">
        <v>50.0</v>
      </c>
      <c r="I54" s="8">
        <v>1.0</v>
      </c>
      <c r="J54" s="42">
        <v>8000.0</v>
      </c>
      <c r="K54" s="8">
        <v>70.0</v>
      </c>
      <c r="L54" s="8">
        <v>1.0</v>
      </c>
      <c r="M54" s="42">
        <v>2007.0</v>
      </c>
      <c r="N54" s="8">
        <v>1.0</v>
      </c>
      <c r="O54" s="141">
        <v>0.25</v>
      </c>
      <c r="P54" s="86">
        <v>9000.0</v>
      </c>
      <c r="Q54" s="86">
        <v>13.0</v>
      </c>
      <c r="R54" s="86">
        <v>1.0</v>
      </c>
      <c r="S54" s="86" t="s">
        <v>3657</v>
      </c>
      <c r="T54" s="86">
        <v>2.0</v>
      </c>
      <c r="U54" s="86">
        <v>0.5</v>
      </c>
      <c r="V54" s="86">
        <v>1000.0</v>
      </c>
      <c r="W54" s="86">
        <v>745.0</v>
      </c>
      <c r="X54" s="86">
        <v>1.0</v>
      </c>
      <c r="Y54" s="86">
        <v>2006.0</v>
      </c>
      <c r="Z54" s="86">
        <v>1.0</v>
      </c>
      <c r="AA54" s="86">
        <v>0.03</v>
      </c>
    </row>
    <row r="55" ht="14.25" customHeight="1">
      <c r="A55" s="8">
        <v>1053.0</v>
      </c>
      <c r="B55" s="54" t="s">
        <v>3828</v>
      </c>
      <c r="C55" s="8">
        <v>27.0</v>
      </c>
      <c r="D55" s="8" t="s">
        <v>3654</v>
      </c>
      <c r="E55" s="8">
        <v>1.0</v>
      </c>
      <c r="F55" s="8">
        <v>0.052</v>
      </c>
      <c r="G55" s="42">
        <v>8001.0</v>
      </c>
      <c r="H55" s="8">
        <v>50.0</v>
      </c>
      <c r="I55" s="8">
        <v>1.0</v>
      </c>
      <c r="J55" s="42">
        <v>8000.0</v>
      </c>
      <c r="K55" s="8">
        <v>70.0</v>
      </c>
      <c r="L55" s="8">
        <v>1.0</v>
      </c>
      <c r="M55" s="42">
        <v>2007.0</v>
      </c>
      <c r="N55" s="8">
        <v>1.0</v>
      </c>
      <c r="O55" s="141">
        <v>0.25</v>
      </c>
      <c r="P55" s="86">
        <v>9000.0</v>
      </c>
      <c r="Q55" s="86">
        <v>13.0</v>
      </c>
      <c r="R55" s="86">
        <v>1.0</v>
      </c>
      <c r="S55" s="86" t="s">
        <v>3657</v>
      </c>
      <c r="T55" s="86">
        <v>2.0</v>
      </c>
      <c r="U55" s="86">
        <v>0.5</v>
      </c>
      <c r="V55" s="86">
        <v>1000.0</v>
      </c>
      <c r="W55" s="86">
        <v>750.0</v>
      </c>
      <c r="X55" s="86">
        <v>1.0</v>
      </c>
      <c r="Y55" s="86">
        <v>2006.0</v>
      </c>
      <c r="Z55" s="86">
        <v>1.0</v>
      </c>
      <c r="AA55" s="86">
        <v>0.03</v>
      </c>
    </row>
    <row r="56" ht="14.25" customHeight="1">
      <c r="A56" s="8">
        <v>1054.0</v>
      </c>
      <c r="B56" s="54" t="s">
        <v>3831</v>
      </c>
      <c r="C56" s="8">
        <v>28.0</v>
      </c>
      <c r="D56" s="8" t="s">
        <v>3654</v>
      </c>
      <c r="E56" s="8">
        <v>1.0</v>
      </c>
      <c r="F56" s="8">
        <v>0.052</v>
      </c>
      <c r="G56" s="42">
        <v>8001.0</v>
      </c>
      <c r="H56" s="8">
        <v>50.0</v>
      </c>
      <c r="I56" s="8">
        <v>1.0</v>
      </c>
      <c r="J56" s="42">
        <v>8000.0</v>
      </c>
      <c r="K56" s="8">
        <v>70.0</v>
      </c>
      <c r="L56" s="8">
        <v>1.0</v>
      </c>
      <c r="M56" s="42">
        <v>2007.0</v>
      </c>
      <c r="N56" s="8">
        <v>1.0</v>
      </c>
      <c r="O56" s="141">
        <v>0.25</v>
      </c>
      <c r="P56" s="86">
        <v>9000.0</v>
      </c>
      <c r="Q56" s="86">
        <v>13.0</v>
      </c>
      <c r="R56" s="86">
        <v>1.0</v>
      </c>
      <c r="S56" s="86" t="s">
        <v>3657</v>
      </c>
      <c r="T56" s="86">
        <v>2.0</v>
      </c>
      <c r="U56" s="86">
        <v>0.5</v>
      </c>
      <c r="V56" s="86">
        <v>1000.0</v>
      </c>
      <c r="W56" s="86">
        <v>755.0</v>
      </c>
      <c r="X56" s="86">
        <v>1.0</v>
      </c>
      <c r="Y56" s="86">
        <v>2006.0</v>
      </c>
      <c r="Z56" s="86">
        <v>1.0</v>
      </c>
      <c r="AA56" s="86">
        <v>0.03</v>
      </c>
    </row>
    <row r="57" ht="14.25" customHeight="1">
      <c r="A57" s="8">
        <v>1055.0</v>
      </c>
      <c r="B57" s="54" t="s">
        <v>3834</v>
      </c>
      <c r="C57" s="8">
        <v>28.0</v>
      </c>
      <c r="D57" s="8" t="s">
        <v>3654</v>
      </c>
      <c r="E57" s="8">
        <v>1.0</v>
      </c>
      <c r="F57" s="8">
        <v>0.052</v>
      </c>
      <c r="G57" s="42">
        <v>8001.0</v>
      </c>
      <c r="H57" s="8">
        <v>50.0</v>
      </c>
      <c r="I57" s="8">
        <v>1.0</v>
      </c>
      <c r="J57" s="42">
        <v>8000.0</v>
      </c>
      <c r="K57" s="8">
        <v>75.0</v>
      </c>
      <c r="L57" s="8">
        <v>1.0</v>
      </c>
      <c r="M57" s="42">
        <v>2007.0</v>
      </c>
      <c r="N57" s="8">
        <v>1.0</v>
      </c>
      <c r="O57" s="141">
        <v>0.25</v>
      </c>
      <c r="P57" s="86">
        <v>9000.0</v>
      </c>
      <c r="Q57" s="86">
        <v>13.0</v>
      </c>
      <c r="R57" s="86">
        <v>1.0</v>
      </c>
      <c r="S57" s="86" t="s">
        <v>3657</v>
      </c>
      <c r="T57" s="86">
        <v>2.0</v>
      </c>
      <c r="U57" s="86">
        <v>0.5</v>
      </c>
      <c r="V57" s="86">
        <v>1000.0</v>
      </c>
      <c r="W57" s="86">
        <v>760.0</v>
      </c>
      <c r="X57" s="86">
        <v>1.0</v>
      </c>
      <c r="Y57" s="86">
        <v>2006.0</v>
      </c>
      <c r="Z57" s="86">
        <v>1.0</v>
      </c>
      <c r="AA57" s="86">
        <v>0.03</v>
      </c>
    </row>
    <row r="58" ht="14.25" customHeight="1">
      <c r="A58" s="8">
        <v>1056.0</v>
      </c>
      <c r="B58" s="54" t="s">
        <v>3837</v>
      </c>
      <c r="C58" s="8">
        <v>29.0</v>
      </c>
      <c r="D58" s="8" t="s">
        <v>3654</v>
      </c>
      <c r="E58" s="8">
        <v>1.0</v>
      </c>
      <c r="F58" s="8">
        <v>0.052</v>
      </c>
      <c r="G58" s="42">
        <v>8001.0</v>
      </c>
      <c r="H58" s="8">
        <v>50.0</v>
      </c>
      <c r="I58" s="8">
        <v>1.0</v>
      </c>
      <c r="J58" s="42">
        <v>8000.0</v>
      </c>
      <c r="K58" s="8">
        <v>75.0</v>
      </c>
      <c r="L58" s="8">
        <v>1.0</v>
      </c>
      <c r="M58" s="42">
        <v>2007.0</v>
      </c>
      <c r="N58" s="8">
        <v>1.0</v>
      </c>
      <c r="O58" s="141">
        <v>0.25</v>
      </c>
      <c r="P58" s="86">
        <v>9000.0</v>
      </c>
      <c r="Q58" s="86">
        <v>13.0</v>
      </c>
      <c r="R58" s="86">
        <v>1.0</v>
      </c>
      <c r="S58" s="86" t="s">
        <v>3657</v>
      </c>
      <c r="T58" s="86">
        <v>2.0</v>
      </c>
      <c r="U58" s="86">
        <v>0.5</v>
      </c>
      <c r="V58" s="86">
        <v>1000.0</v>
      </c>
      <c r="W58" s="86">
        <v>765.0</v>
      </c>
      <c r="X58" s="86">
        <v>1.0</v>
      </c>
      <c r="Y58" s="86">
        <v>2006.0</v>
      </c>
      <c r="Z58" s="86">
        <v>1.0</v>
      </c>
      <c r="AA58" s="86">
        <v>0.03</v>
      </c>
    </row>
    <row r="59" ht="14.25" customHeight="1">
      <c r="A59" s="8">
        <v>1057.0</v>
      </c>
      <c r="B59" s="54" t="s">
        <v>3840</v>
      </c>
      <c r="C59" s="8">
        <v>29.0</v>
      </c>
      <c r="D59" s="8" t="s">
        <v>3654</v>
      </c>
      <c r="E59" s="8">
        <v>1.0</v>
      </c>
      <c r="F59" s="8">
        <v>0.053</v>
      </c>
      <c r="G59" s="42">
        <v>8001.0</v>
      </c>
      <c r="H59" s="8">
        <v>50.0</v>
      </c>
      <c r="I59" s="8">
        <v>1.0</v>
      </c>
      <c r="J59" s="42">
        <v>8000.0</v>
      </c>
      <c r="K59" s="8">
        <v>75.0</v>
      </c>
      <c r="L59" s="8">
        <v>1.0</v>
      </c>
      <c r="M59" s="42">
        <v>2007.0</v>
      </c>
      <c r="N59" s="8">
        <v>1.0</v>
      </c>
      <c r="O59" s="141">
        <v>0.25</v>
      </c>
      <c r="P59" s="86">
        <v>9000.0</v>
      </c>
      <c r="Q59" s="86">
        <v>14.0</v>
      </c>
      <c r="R59" s="86">
        <v>1.0</v>
      </c>
      <c r="S59" s="86" t="s">
        <v>3657</v>
      </c>
      <c r="T59" s="86">
        <v>2.0</v>
      </c>
      <c r="U59" s="86">
        <v>0.5</v>
      </c>
      <c r="V59" s="86">
        <v>1000.0</v>
      </c>
      <c r="W59" s="86">
        <v>770.0</v>
      </c>
      <c r="X59" s="86">
        <v>1.0</v>
      </c>
      <c r="Y59" s="86">
        <v>2006.0</v>
      </c>
      <c r="Z59" s="86">
        <v>1.0</v>
      </c>
      <c r="AA59" s="86">
        <v>0.03</v>
      </c>
    </row>
    <row r="60" ht="14.25" customHeight="1">
      <c r="A60" s="8">
        <v>1058.0</v>
      </c>
      <c r="B60" s="54" t="s">
        <v>3842</v>
      </c>
      <c r="C60" s="8">
        <v>30.0</v>
      </c>
      <c r="D60" s="8" t="s">
        <v>3654</v>
      </c>
      <c r="E60" s="8">
        <v>1.0</v>
      </c>
      <c r="F60" s="8">
        <v>0.053</v>
      </c>
      <c r="G60" s="42">
        <v>8001.0</v>
      </c>
      <c r="H60" s="8">
        <v>50.0</v>
      </c>
      <c r="I60" s="8">
        <v>1.0</v>
      </c>
      <c r="J60" s="42">
        <v>8000.0</v>
      </c>
      <c r="K60" s="8">
        <v>75.0</v>
      </c>
      <c r="L60" s="8">
        <v>1.0</v>
      </c>
      <c r="M60" s="42">
        <v>2007.0</v>
      </c>
      <c r="N60" s="8">
        <v>1.0</v>
      </c>
      <c r="O60" s="141">
        <v>0.25</v>
      </c>
      <c r="P60" s="86">
        <v>9000.0</v>
      </c>
      <c r="Q60" s="86">
        <v>14.0</v>
      </c>
      <c r="R60" s="86">
        <v>1.0</v>
      </c>
      <c r="S60" s="86" t="s">
        <v>3657</v>
      </c>
      <c r="T60" s="86">
        <v>2.0</v>
      </c>
      <c r="U60" s="86">
        <v>0.5</v>
      </c>
      <c r="V60" s="86">
        <v>1000.0</v>
      </c>
      <c r="W60" s="86">
        <v>775.0</v>
      </c>
      <c r="X60" s="86">
        <v>1.0</v>
      </c>
      <c r="Y60" s="86">
        <v>2006.0</v>
      </c>
      <c r="Z60" s="86">
        <v>1.0</v>
      </c>
      <c r="AA60" s="86">
        <v>0.03</v>
      </c>
    </row>
    <row r="61" ht="14.25" customHeight="1">
      <c r="A61" s="8">
        <v>1059.0</v>
      </c>
      <c r="B61" s="54" t="s">
        <v>3845</v>
      </c>
      <c r="C61" s="8">
        <v>30.0</v>
      </c>
      <c r="D61" s="8" t="s">
        <v>3654</v>
      </c>
      <c r="E61" s="8">
        <v>1.0</v>
      </c>
      <c r="F61" s="8">
        <v>0.053</v>
      </c>
      <c r="G61" s="42">
        <v>8001.0</v>
      </c>
      <c r="H61" s="8">
        <v>50.0</v>
      </c>
      <c r="I61" s="8">
        <v>1.0</v>
      </c>
      <c r="J61" s="42">
        <v>8000.0</v>
      </c>
      <c r="K61" s="8">
        <v>75.0</v>
      </c>
      <c r="L61" s="8">
        <v>1.0</v>
      </c>
      <c r="M61" s="42">
        <v>2007.0</v>
      </c>
      <c r="N61" s="8">
        <v>1.0</v>
      </c>
      <c r="O61" s="141">
        <v>0.25</v>
      </c>
      <c r="P61" s="86">
        <v>9000.0</v>
      </c>
      <c r="Q61" s="86">
        <v>14.0</v>
      </c>
      <c r="R61" s="86">
        <v>1.0</v>
      </c>
      <c r="S61" s="86" t="s">
        <v>3657</v>
      </c>
      <c r="T61" s="86">
        <v>2.0</v>
      </c>
      <c r="U61" s="86">
        <v>0.5</v>
      </c>
      <c r="V61" s="86">
        <v>1000.0</v>
      </c>
      <c r="W61" s="86">
        <v>780.0</v>
      </c>
      <c r="X61" s="86">
        <v>1.0</v>
      </c>
      <c r="Y61" s="86">
        <v>2006.0</v>
      </c>
      <c r="Z61" s="86">
        <v>1.0</v>
      </c>
      <c r="AA61" s="86">
        <v>0.03</v>
      </c>
    </row>
    <row r="62" ht="12.75" customHeight="1">
      <c r="A62" s="86">
        <v>1060.0</v>
      </c>
      <c r="B62" s="86" t="s">
        <v>3851</v>
      </c>
      <c r="C62" s="86">
        <v>31.0</v>
      </c>
      <c r="D62" s="86" t="s">
        <v>3654</v>
      </c>
      <c r="E62" s="86">
        <v>1.0</v>
      </c>
      <c r="F62" s="86">
        <v>0.053</v>
      </c>
      <c r="G62" s="86">
        <v>8001.0</v>
      </c>
      <c r="H62" s="86">
        <v>50.0</v>
      </c>
      <c r="I62" s="86">
        <v>1.0</v>
      </c>
      <c r="J62" s="86">
        <v>8000.0</v>
      </c>
      <c r="K62" s="86">
        <v>75.0</v>
      </c>
      <c r="L62" s="86">
        <v>1.0</v>
      </c>
      <c r="M62" s="86">
        <v>2007.0</v>
      </c>
      <c r="N62" s="86">
        <v>1.0</v>
      </c>
      <c r="O62" s="141">
        <v>0.25</v>
      </c>
      <c r="P62" s="86">
        <v>9000.0</v>
      </c>
      <c r="Q62" s="86">
        <v>14.0</v>
      </c>
      <c r="R62" s="86">
        <v>1.0</v>
      </c>
      <c r="S62" s="86" t="s">
        <v>3657</v>
      </c>
      <c r="T62" s="86">
        <v>3.0</v>
      </c>
      <c r="U62" s="86">
        <v>0.5</v>
      </c>
      <c r="V62" s="86">
        <v>1000.0</v>
      </c>
      <c r="W62" s="86">
        <v>785.0</v>
      </c>
      <c r="X62" s="86">
        <v>1.0</v>
      </c>
      <c r="Y62" s="86">
        <v>2006.0</v>
      </c>
      <c r="Z62" s="86">
        <v>1.0</v>
      </c>
      <c r="AA62" s="86">
        <v>0.03</v>
      </c>
    </row>
    <row r="63" ht="12.75" customHeight="1">
      <c r="A63" s="86">
        <v>1061.0</v>
      </c>
      <c r="B63" s="86" t="s">
        <v>3854</v>
      </c>
      <c r="C63" s="86">
        <v>31.0</v>
      </c>
      <c r="D63" s="86" t="s">
        <v>3654</v>
      </c>
      <c r="E63" s="86">
        <v>1.0</v>
      </c>
      <c r="F63" s="86">
        <v>0.053</v>
      </c>
      <c r="G63" s="86">
        <v>8001.0</v>
      </c>
      <c r="H63" s="86">
        <v>50.0</v>
      </c>
      <c r="I63" s="86">
        <v>1.0</v>
      </c>
      <c r="J63" s="86">
        <v>8000.0</v>
      </c>
      <c r="K63" s="86">
        <v>75.0</v>
      </c>
      <c r="L63" s="86">
        <v>1.0</v>
      </c>
      <c r="M63" s="86">
        <v>2007.0</v>
      </c>
      <c r="N63" s="86">
        <v>1.0</v>
      </c>
      <c r="O63" s="141">
        <v>0.25</v>
      </c>
      <c r="P63" s="86">
        <v>9000.0</v>
      </c>
      <c r="Q63" s="86">
        <v>14.0</v>
      </c>
      <c r="R63" s="86">
        <v>1.0</v>
      </c>
      <c r="S63" s="86" t="s">
        <v>3657</v>
      </c>
      <c r="T63" s="86">
        <v>3.0</v>
      </c>
      <c r="U63" s="86">
        <v>0.5</v>
      </c>
      <c r="V63" s="86">
        <v>1000.0</v>
      </c>
      <c r="W63" s="86">
        <v>790.0</v>
      </c>
      <c r="X63" s="86">
        <v>1.0</v>
      </c>
      <c r="Y63" s="86">
        <v>2006.0</v>
      </c>
      <c r="Z63" s="86">
        <v>1.0</v>
      </c>
      <c r="AA63" s="86">
        <v>0.03</v>
      </c>
    </row>
    <row r="64" ht="12.75" customHeight="1">
      <c r="A64" s="86">
        <v>1062.0</v>
      </c>
      <c r="B64" s="86" t="s">
        <v>3859</v>
      </c>
      <c r="C64" s="86">
        <v>32.0</v>
      </c>
      <c r="D64" s="86" t="s">
        <v>3654</v>
      </c>
      <c r="E64" s="86">
        <v>1.0</v>
      </c>
      <c r="F64" s="86">
        <v>0.053</v>
      </c>
      <c r="G64" s="86">
        <v>8001.0</v>
      </c>
      <c r="H64" s="86">
        <v>50.0</v>
      </c>
      <c r="I64" s="86">
        <v>1.0</v>
      </c>
      <c r="J64" s="86">
        <v>8000.0</v>
      </c>
      <c r="K64" s="86">
        <v>75.0</v>
      </c>
      <c r="L64" s="86">
        <v>1.0</v>
      </c>
      <c r="M64" s="86">
        <v>2007.0</v>
      </c>
      <c r="N64" s="86">
        <v>1.0</v>
      </c>
      <c r="O64" s="141">
        <v>0.25</v>
      </c>
      <c r="P64" s="86">
        <v>9000.0</v>
      </c>
      <c r="Q64" s="86">
        <v>14.0</v>
      </c>
      <c r="R64" s="86">
        <v>1.0</v>
      </c>
      <c r="S64" s="86" t="s">
        <v>3657</v>
      </c>
      <c r="T64" s="86">
        <v>3.0</v>
      </c>
      <c r="U64" s="86">
        <v>0.5</v>
      </c>
      <c r="V64" s="86">
        <v>1000.0</v>
      </c>
      <c r="W64" s="86">
        <v>795.0</v>
      </c>
      <c r="X64" s="86">
        <v>1.0</v>
      </c>
      <c r="Y64" s="86">
        <v>2006.0</v>
      </c>
      <c r="Z64" s="86">
        <v>1.0</v>
      </c>
      <c r="AA64" s="86">
        <v>0.03</v>
      </c>
    </row>
    <row r="65" ht="12.75" customHeight="1">
      <c r="A65" s="86">
        <v>1063.0</v>
      </c>
      <c r="B65" s="86" t="s">
        <v>3860</v>
      </c>
      <c r="C65" s="86">
        <v>32.0</v>
      </c>
      <c r="D65" s="86" t="s">
        <v>3654</v>
      </c>
      <c r="E65" s="86">
        <v>1.0</v>
      </c>
      <c r="F65" s="86">
        <v>0.053</v>
      </c>
      <c r="G65" s="86">
        <v>8001.0</v>
      </c>
      <c r="H65" s="86">
        <v>50.0</v>
      </c>
      <c r="I65" s="86">
        <v>1.0</v>
      </c>
      <c r="J65" s="86">
        <v>8000.0</v>
      </c>
      <c r="K65" s="86">
        <v>75.0</v>
      </c>
      <c r="L65" s="86">
        <v>1.0</v>
      </c>
      <c r="M65" s="86">
        <v>2007.0</v>
      </c>
      <c r="N65" s="86">
        <v>1.0</v>
      </c>
      <c r="O65" s="141">
        <v>0.25</v>
      </c>
      <c r="P65" s="86">
        <v>9000.0</v>
      </c>
      <c r="Q65" s="86">
        <v>14.0</v>
      </c>
      <c r="R65" s="86">
        <v>1.0</v>
      </c>
      <c r="S65" s="86" t="s">
        <v>3657</v>
      </c>
      <c r="T65" s="86">
        <v>3.0</v>
      </c>
      <c r="U65" s="86">
        <v>0.5</v>
      </c>
      <c r="V65" s="86">
        <v>1000.0</v>
      </c>
      <c r="W65" s="86">
        <v>800.0</v>
      </c>
      <c r="X65" s="86">
        <v>1.0</v>
      </c>
      <c r="Y65" s="86">
        <v>2006.0</v>
      </c>
      <c r="Z65" s="86">
        <v>1.0</v>
      </c>
      <c r="AA65" s="86">
        <v>0.03</v>
      </c>
    </row>
    <row r="66" ht="12.75" customHeight="1">
      <c r="A66" s="86">
        <v>1064.0</v>
      </c>
      <c r="B66" s="86" t="s">
        <v>3863</v>
      </c>
      <c r="C66" s="86">
        <v>33.0</v>
      </c>
      <c r="D66" s="86" t="s">
        <v>3654</v>
      </c>
      <c r="E66" s="86">
        <v>1.0</v>
      </c>
      <c r="F66" s="86">
        <v>0.053</v>
      </c>
      <c r="G66" s="86">
        <v>8001.0</v>
      </c>
      <c r="H66" s="86">
        <v>50.0</v>
      </c>
      <c r="I66" s="86">
        <v>1.0</v>
      </c>
      <c r="J66" s="86">
        <v>8000.0</v>
      </c>
      <c r="K66" s="86">
        <v>75.0</v>
      </c>
      <c r="L66" s="86">
        <v>1.0</v>
      </c>
      <c r="M66" s="86">
        <v>2007.0</v>
      </c>
      <c r="N66" s="86">
        <v>1.0</v>
      </c>
      <c r="O66" s="141">
        <v>0.25</v>
      </c>
      <c r="P66" s="86">
        <v>9000.0</v>
      </c>
      <c r="Q66" s="86">
        <v>14.0</v>
      </c>
      <c r="R66" s="86">
        <v>1.0</v>
      </c>
      <c r="S66" s="86" t="s">
        <v>3657</v>
      </c>
      <c r="T66" s="86">
        <v>3.0</v>
      </c>
      <c r="U66" s="86">
        <v>0.5</v>
      </c>
      <c r="V66" s="86">
        <v>1000.0</v>
      </c>
      <c r="W66" s="86">
        <v>805.0</v>
      </c>
      <c r="X66" s="86">
        <v>1.0</v>
      </c>
      <c r="Y66" s="86">
        <v>2006.0</v>
      </c>
      <c r="Z66" s="86">
        <v>1.0</v>
      </c>
      <c r="AA66" s="86">
        <v>0.03</v>
      </c>
    </row>
    <row r="67" ht="12.75" customHeight="1">
      <c r="A67" s="86">
        <v>1065.0</v>
      </c>
      <c r="B67" s="86" t="s">
        <v>3866</v>
      </c>
      <c r="C67" s="86">
        <v>33.0</v>
      </c>
      <c r="D67" s="86" t="s">
        <v>3654</v>
      </c>
      <c r="E67" s="86">
        <v>1.0</v>
      </c>
      <c r="F67" s="86">
        <v>0.053</v>
      </c>
      <c r="G67" s="86">
        <v>8001.0</v>
      </c>
      <c r="H67" s="86">
        <v>50.0</v>
      </c>
      <c r="I67" s="86">
        <v>1.0</v>
      </c>
      <c r="J67" s="86">
        <v>8000.0</v>
      </c>
      <c r="K67" s="86">
        <v>80.0</v>
      </c>
      <c r="L67" s="86">
        <v>1.0</v>
      </c>
      <c r="M67" s="86">
        <v>2007.0</v>
      </c>
      <c r="N67" s="86">
        <v>1.0</v>
      </c>
      <c r="O67" s="141">
        <v>0.25</v>
      </c>
      <c r="P67" s="86">
        <v>9000.0</v>
      </c>
      <c r="Q67" s="86">
        <v>15.0</v>
      </c>
      <c r="R67" s="86">
        <v>1.0</v>
      </c>
      <c r="S67" s="86" t="s">
        <v>3657</v>
      </c>
      <c r="T67" s="86">
        <v>3.0</v>
      </c>
      <c r="U67" s="86">
        <v>0.5</v>
      </c>
      <c r="V67" s="86">
        <v>1000.0</v>
      </c>
      <c r="W67" s="86">
        <v>810.0</v>
      </c>
      <c r="X67" s="86">
        <v>1.0</v>
      </c>
      <c r="Y67" s="86">
        <v>2006.0</v>
      </c>
      <c r="Z67" s="86">
        <v>1.0</v>
      </c>
      <c r="AA67" s="86">
        <v>0.03</v>
      </c>
    </row>
    <row r="68" ht="12.75" customHeight="1">
      <c r="A68" s="86">
        <v>1066.0</v>
      </c>
      <c r="B68" s="86" t="s">
        <v>3869</v>
      </c>
      <c r="C68" s="86">
        <v>34.0</v>
      </c>
      <c r="D68" s="86" t="s">
        <v>3654</v>
      </c>
      <c r="E68" s="86">
        <v>1.0</v>
      </c>
      <c r="F68" s="86">
        <v>0.053</v>
      </c>
      <c r="G68" s="86">
        <v>8001.0</v>
      </c>
      <c r="H68" s="86">
        <v>50.0</v>
      </c>
      <c r="I68" s="86">
        <v>1.0</v>
      </c>
      <c r="J68" s="86">
        <v>8000.0</v>
      </c>
      <c r="K68" s="86">
        <v>80.0</v>
      </c>
      <c r="L68" s="86">
        <v>1.0</v>
      </c>
      <c r="M68" s="86">
        <v>2007.0</v>
      </c>
      <c r="N68" s="86">
        <v>1.0</v>
      </c>
      <c r="O68" s="141">
        <v>0.25</v>
      </c>
      <c r="P68" s="86">
        <v>9000.0</v>
      </c>
      <c r="Q68" s="86">
        <v>15.0</v>
      </c>
      <c r="R68" s="86">
        <v>1.0</v>
      </c>
      <c r="S68" s="86" t="s">
        <v>3657</v>
      </c>
      <c r="T68" s="86">
        <v>3.0</v>
      </c>
      <c r="U68" s="86">
        <v>0.5</v>
      </c>
      <c r="V68" s="86">
        <v>1000.0</v>
      </c>
      <c r="W68" s="86">
        <v>815.0</v>
      </c>
      <c r="X68" s="86">
        <v>1.0</v>
      </c>
      <c r="Y68" s="86">
        <v>2006.0</v>
      </c>
      <c r="Z68" s="86">
        <v>1.0</v>
      </c>
      <c r="AA68" s="86">
        <v>0.03</v>
      </c>
    </row>
    <row r="69" ht="12.75" customHeight="1">
      <c r="A69" s="86">
        <v>1067.0</v>
      </c>
      <c r="B69" s="86" t="s">
        <v>3872</v>
      </c>
      <c r="C69" s="86">
        <v>34.0</v>
      </c>
      <c r="D69" s="86" t="s">
        <v>3654</v>
      </c>
      <c r="E69" s="86">
        <v>1.0</v>
      </c>
      <c r="F69" s="86">
        <v>0.053</v>
      </c>
      <c r="G69" s="86">
        <v>8001.0</v>
      </c>
      <c r="H69" s="86">
        <v>55.0</v>
      </c>
      <c r="I69" s="86">
        <v>1.0</v>
      </c>
      <c r="J69" s="86">
        <v>8000.0</v>
      </c>
      <c r="K69" s="86">
        <v>80.0</v>
      </c>
      <c r="L69" s="86">
        <v>1.0</v>
      </c>
      <c r="M69" s="86">
        <v>2007.0</v>
      </c>
      <c r="N69" s="86">
        <v>1.0</v>
      </c>
      <c r="O69" s="141">
        <v>0.25</v>
      </c>
      <c r="P69" s="86">
        <v>9000.0</v>
      </c>
      <c r="Q69" s="86">
        <v>15.0</v>
      </c>
      <c r="R69" s="86">
        <v>1.0</v>
      </c>
      <c r="S69" s="86" t="s">
        <v>3657</v>
      </c>
      <c r="T69" s="86">
        <v>3.0</v>
      </c>
      <c r="U69" s="86">
        <v>0.5</v>
      </c>
      <c r="V69" s="86">
        <v>1000.0</v>
      </c>
      <c r="W69" s="86">
        <v>820.0</v>
      </c>
      <c r="X69" s="86">
        <v>1.0</v>
      </c>
      <c r="Y69" s="86">
        <v>2006.0</v>
      </c>
      <c r="Z69" s="86">
        <v>1.0</v>
      </c>
      <c r="AA69" s="86">
        <v>0.03</v>
      </c>
    </row>
    <row r="70" ht="12.75" customHeight="1">
      <c r="A70" s="86">
        <v>1068.0</v>
      </c>
      <c r="B70" s="86" t="s">
        <v>3851</v>
      </c>
      <c r="C70" s="86">
        <v>35.0</v>
      </c>
      <c r="D70" s="86" t="s">
        <v>3654</v>
      </c>
      <c r="E70" s="86">
        <v>1.0</v>
      </c>
      <c r="F70" s="86">
        <v>0.054</v>
      </c>
      <c r="G70" s="86">
        <v>8001.0</v>
      </c>
      <c r="H70" s="86">
        <v>55.0</v>
      </c>
      <c r="I70" s="86">
        <v>1.0</v>
      </c>
      <c r="J70" s="86">
        <v>8000.0</v>
      </c>
      <c r="K70" s="86">
        <v>80.0</v>
      </c>
      <c r="L70" s="86">
        <v>1.0</v>
      </c>
      <c r="M70" s="86">
        <v>2007.0</v>
      </c>
      <c r="N70" s="86">
        <v>1.0</v>
      </c>
      <c r="O70" s="141">
        <v>0.25</v>
      </c>
      <c r="P70" s="86">
        <v>9000.0</v>
      </c>
      <c r="Q70" s="86">
        <v>15.0</v>
      </c>
      <c r="R70" s="86">
        <v>1.0</v>
      </c>
      <c r="S70" s="86" t="s">
        <v>3657</v>
      </c>
      <c r="T70" s="86">
        <v>3.0</v>
      </c>
      <c r="U70" s="86">
        <v>0.5</v>
      </c>
      <c r="V70" s="86">
        <v>1000.0</v>
      </c>
      <c r="W70" s="86">
        <v>825.0</v>
      </c>
      <c r="X70" s="86">
        <v>1.0</v>
      </c>
      <c r="Y70" s="86">
        <v>2006.0</v>
      </c>
      <c r="Z70" s="86">
        <v>1.0</v>
      </c>
      <c r="AA70" s="86">
        <v>0.03</v>
      </c>
    </row>
    <row r="71" ht="12.75" customHeight="1">
      <c r="A71" s="86">
        <v>1069.0</v>
      </c>
      <c r="B71" s="86" t="s">
        <v>3880</v>
      </c>
      <c r="C71" s="86">
        <v>35.0</v>
      </c>
      <c r="D71" s="86" t="s">
        <v>3654</v>
      </c>
      <c r="E71" s="86">
        <v>1.0</v>
      </c>
      <c r="F71" s="86">
        <v>0.054</v>
      </c>
      <c r="G71" s="86">
        <v>8001.0</v>
      </c>
      <c r="H71" s="86">
        <v>55.0</v>
      </c>
      <c r="I71" s="86">
        <v>1.0</v>
      </c>
      <c r="J71" s="86">
        <v>8000.0</v>
      </c>
      <c r="K71" s="86">
        <v>80.0</v>
      </c>
      <c r="L71" s="86">
        <v>1.0</v>
      </c>
      <c r="M71" s="86">
        <v>2007.0</v>
      </c>
      <c r="N71" s="86">
        <v>1.0</v>
      </c>
      <c r="O71" s="141">
        <v>0.25</v>
      </c>
      <c r="P71" s="86">
        <v>9000.0</v>
      </c>
      <c r="Q71" s="86">
        <v>15.0</v>
      </c>
      <c r="R71" s="86">
        <v>1.0</v>
      </c>
      <c r="S71" s="86" t="s">
        <v>3657</v>
      </c>
      <c r="T71" s="86">
        <v>3.0</v>
      </c>
      <c r="U71" s="86">
        <v>0.5</v>
      </c>
      <c r="V71" s="86">
        <v>1000.0</v>
      </c>
      <c r="W71" s="86">
        <v>830.0</v>
      </c>
      <c r="X71" s="86">
        <v>1.0</v>
      </c>
      <c r="Y71" s="86">
        <v>2006.0</v>
      </c>
      <c r="Z71" s="86">
        <v>1.0</v>
      </c>
      <c r="AA71" s="86">
        <v>0.03</v>
      </c>
    </row>
    <row r="72" ht="12.75" customHeight="1">
      <c r="A72" s="86">
        <v>1070.0</v>
      </c>
      <c r="B72" s="86" t="s">
        <v>3884</v>
      </c>
      <c r="C72" s="86">
        <v>36.0</v>
      </c>
      <c r="D72" s="86" t="s">
        <v>3654</v>
      </c>
      <c r="E72" s="86">
        <v>1.0</v>
      </c>
      <c r="F72" s="86">
        <v>0.054</v>
      </c>
      <c r="G72" s="86">
        <v>8001.0</v>
      </c>
      <c r="H72" s="86">
        <v>55.0</v>
      </c>
      <c r="I72" s="86">
        <v>1.0</v>
      </c>
      <c r="J72" s="86">
        <v>8000.0</v>
      </c>
      <c r="K72" s="86">
        <v>80.0</v>
      </c>
      <c r="L72" s="86">
        <v>1.0</v>
      </c>
      <c r="M72" s="86">
        <v>2007.0</v>
      </c>
      <c r="N72" s="86">
        <v>1.0</v>
      </c>
      <c r="O72" s="141">
        <v>0.25</v>
      </c>
      <c r="P72" s="86">
        <v>9000.0</v>
      </c>
      <c r="Q72" s="86">
        <v>15.0</v>
      </c>
      <c r="R72" s="86">
        <v>1.0</v>
      </c>
      <c r="S72" s="86" t="s">
        <v>3657</v>
      </c>
      <c r="T72" s="86">
        <v>3.0</v>
      </c>
      <c r="U72" s="86">
        <v>0.5</v>
      </c>
      <c r="V72" s="86">
        <v>1000.0</v>
      </c>
      <c r="W72" s="86">
        <v>840.0</v>
      </c>
      <c r="X72" s="86">
        <v>1.0</v>
      </c>
      <c r="Y72" s="86">
        <v>2006.0</v>
      </c>
      <c r="Z72" s="86">
        <v>1.0</v>
      </c>
      <c r="AA72" s="86">
        <v>0.03</v>
      </c>
    </row>
    <row r="73" ht="12.75" customHeight="1">
      <c r="A73" s="86">
        <v>1071.0</v>
      </c>
      <c r="B73" s="86" t="s">
        <v>3886</v>
      </c>
      <c r="C73" s="86">
        <v>36.0</v>
      </c>
      <c r="D73" s="86" t="s">
        <v>3654</v>
      </c>
      <c r="E73" s="86">
        <v>1.0</v>
      </c>
      <c r="F73" s="86">
        <v>0.054</v>
      </c>
      <c r="G73" s="86">
        <v>8001.0</v>
      </c>
      <c r="H73" s="86">
        <v>55.0</v>
      </c>
      <c r="I73" s="86">
        <v>1.0</v>
      </c>
      <c r="J73" s="86">
        <v>8000.0</v>
      </c>
      <c r="K73" s="86">
        <v>80.0</v>
      </c>
      <c r="L73" s="86">
        <v>1.0</v>
      </c>
      <c r="M73" s="86">
        <v>2007.0</v>
      </c>
      <c r="N73" s="86">
        <v>1.0</v>
      </c>
      <c r="O73" s="141">
        <v>0.25</v>
      </c>
      <c r="P73" s="86">
        <v>9000.0</v>
      </c>
      <c r="Q73" s="86">
        <v>15.0</v>
      </c>
      <c r="R73" s="86">
        <v>1.0</v>
      </c>
      <c r="S73" s="86" t="s">
        <v>3657</v>
      </c>
      <c r="T73" s="86">
        <v>3.0</v>
      </c>
      <c r="U73" s="86">
        <v>0.5</v>
      </c>
      <c r="V73" s="86">
        <v>1000.0</v>
      </c>
      <c r="W73" s="86">
        <v>845.0</v>
      </c>
      <c r="X73" s="86">
        <v>1.0</v>
      </c>
      <c r="Y73" s="86">
        <v>2006.0</v>
      </c>
      <c r="Z73" s="86">
        <v>1.0</v>
      </c>
      <c r="AA73" s="86">
        <v>0.03</v>
      </c>
    </row>
    <row r="74" ht="12.75" customHeight="1">
      <c r="A74" s="86">
        <v>1072.0</v>
      </c>
      <c r="B74" s="86" t="s">
        <v>3887</v>
      </c>
      <c r="C74" s="86">
        <v>37.0</v>
      </c>
      <c r="D74" s="86" t="s">
        <v>3654</v>
      </c>
      <c r="E74" s="86">
        <v>1.0</v>
      </c>
      <c r="F74" s="86">
        <v>0.054</v>
      </c>
      <c r="G74" s="86">
        <v>8001.0</v>
      </c>
      <c r="H74" s="86">
        <v>55.0</v>
      </c>
      <c r="I74" s="86">
        <v>1.0</v>
      </c>
      <c r="J74" s="86">
        <v>8000.0</v>
      </c>
      <c r="K74" s="86">
        <v>80.0</v>
      </c>
      <c r="L74" s="86">
        <v>1.0</v>
      </c>
      <c r="M74" s="86">
        <v>2007.0</v>
      </c>
      <c r="N74" s="86">
        <v>1.0</v>
      </c>
      <c r="O74" s="141">
        <v>0.25</v>
      </c>
      <c r="P74" s="86">
        <v>9000.0</v>
      </c>
      <c r="Q74" s="86">
        <v>16.0</v>
      </c>
      <c r="R74" s="86">
        <v>1.0</v>
      </c>
      <c r="S74" s="86" t="s">
        <v>3657</v>
      </c>
      <c r="T74" s="86">
        <v>3.0</v>
      </c>
      <c r="U74" s="86">
        <v>0.5</v>
      </c>
      <c r="V74" s="86">
        <v>1000.0</v>
      </c>
      <c r="W74" s="86">
        <v>850.0</v>
      </c>
      <c r="X74" s="86">
        <v>1.0</v>
      </c>
      <c r="Y74" s="86">
        <v>2006.0</v>
      </c>
      <c r="Z74" s="86">
        <v>1.0</v>
      </c>
      <c r="AA74" s="86">
        <v>0.03</v>
      </c>
    </row>
    <row r="75" ht="12.75" customHeight="1">
      <c r="A75" s="86">
        <v>1073.0</v>
      </c>
      <c r="B75" s="86" t="s">
        <v>3889</v>
      </c>
      <c r="C75" s="86">
        <v>37.0</v>
      </c>
      <c r="D75" s="86" t="s">
        <v>3654</v>
      </c>
      <c r="E75" s="86">
        <v>1.0</v>
      </c>
      <c r="F75" s="86">
        <v>0.054</v>
      </c>
      <c r="G75" s="86">
        <v>8001.0</v>
      </c>
      <c r="H75" s="86">
        <v>55.0</v>
      </c>
      <c r="I75" s="86">
        <v>1.0</v>
      </c>
      <c r="J75" s="86">
        <v>8000.0</v>
      </c>
      <c r="K75" s="86">
        <v>80.0</v>
      </c>
      <c r="L75" s="86">
        <v>1.0</v>
      </c>
      <c r="M75" s="86">
        <v>2007.0</v>
      </c>
      <c r="N75" s="86">
        <v>1.0</v>
      </c>
      <c r="O75" s="141">
        <v>0.25</v>
      </c>
      <c r="P75" s="86">
        <v>9000.0</v>
      </c>
      <c r="Q75" s="86">
        <v>16.0</v>
      </c>
      <c r="R75" s="86">
        <v>1.0</v>
      </c>
      <c r="S75" s="86" t="s">
        <v>3657</v>
      </c>
      <c r="T75" s="86">
        <v>3.0</v>
      </c>
      <c r="U75" s="86">
        <v>0.5</v>
      </c>
      <c r="V75" s="86">
        <v>1000.0</v>
      </c>
      <c r="W75" s="86">
        <v>855.0</v>
      </c>
      <c r="X75" s="86">
        <v>1.0</v>
      </c>
      <c r="Y75" s="86">
        <v>2006.0</v>
      </c>
      <c r="Z75" s="86">
        <v>1.0</v>
      </c>
      <c r="AA75" s="86">
        <v>0.03</v>
      </c>
    </row>
    <row r="76" ht="12.75" customHeight="1">
      <c r="A76" s="86">
        <v>1074.0</v>
      </c>
      <c r="B76" s="86" t="s">
        <v>3890</v>
      </c>
      <c r="C76" s="86">
        <v>38.0</v>
      </c>
      <c r="D76" s="86" t="s">
        <v>3654</v>
      </c>
      <c r="E76" s="86">
        <v>1.0</v>
      </c>
      <c r="F76" s="86">
        <v>0.054</v>
      </c>
      <c r="G76" s="86">
        <v>8001.0</v>
      </c>
      <c r="H76" s="86">
        <v>55.0</v>
      </c>
      <c r="I76" s="86">
        <v>1.0</v>
      </c>
      <c r="J76" s="86">
        <v>8000.0</v>
      </c>
      <c r="K76" s="86">
        <v>85.0</v>
      </c>
      <c r="L76" s="86">
        <v>1.0</v>
      </c>
      <c r="M76" s="86">
        <v>2007.0</v>
      </c>
      <c r="N76" s="86">
        <v>1.0</v>
      </c>
      <c r="O76" s="141">
        <v>0.25</v>
      </c>
      <c r="P76" s="86">
        <v>9000.0</v>
      </c>
      <c r="Q76" s="86">
        <v>16.0</v>
      </c>
      <c r="R76" s="86">
        <v>1.0</v>
      </c>
      <c r="S76" s="86" t="s">
        <v>3657</v>
      </c>
      <c r="T76" s="86">
        <v>3.0</v>
      </c>
      <c r="U76" s="86">
        <v>0.5</v>
      </c>
      <c r="V76" s="86">
        <v>1000.0</v>
      </c>
      <c r="W76" s="86">
        <v>860.0</v>
      </c>
      <c r="X76" s="86">
        <v>1.0</v>
      </c>
      <c r="Y76" s="86">
        <v>2006.0</v>
      </c>
      <c r="Z76" s="86">
        <v>1.0</v>
      </c>
      <c r="AA76" s="86">
        <v>0.03</v>
      </c>
    </row>
    <row r="77" ht="12.75" customHeight="1">
      <c r="A77" s="86">
        <v>1075.0</v>
      </c>
      <c r="B77" s="86" t="s">
        <v>3891</v>
      </c>
      <c r="C77" s="86">
        <v>38.0</v>
      </c>
      <c r="D77" s="86" t="s">
        <v>3654</v>
      </c>
      <c r="E77" s="86">
        <v>1.0</v>
      </c>
      <c r="F77" s="86">
        <v>0.054</v>
      </c>
      <c r="G77" s="86">
        <v>8001.0</v>
      </c>
      <c r="H77" s="86">
        <v>55.0</v>
      </c>
      <c r="I77" s="86">
        <v>1.0</v>
      </c>
      <c r="J77" s="86">
        <v>8000.0</v>
      </c>
      <c r="K77" s="86">
        <v>85.0</v>
      </c>
      <c r="L77" s="86">
        <v>1.0</v>
      </c>
      <c r="M77" s="86">
        <v>2007.0</v>
      </c>
      <c r="N77" s="86">
        <v>1.0</v>
      </c>
      <c r="O77" s="141">
        <v>0.25</v>
      </c>
      <c r="P77" s="86">
        <v>9000.0</v>
      </c>
      <c r="Q77" s="86">
        <v>16.0</v>
      </c>
      <c r="R77" s="86">
        <v>1.0</v>
      </c>
      <c r="S77" s="86" t="s">
        <v>3657</v>
      </c>
      <c r="T77" s="86">
        <v>3.0</v>
      </c>
      <c r="U77" s="86">
        <v>0.5</v>
      </c>
      <c r="V77" s="86">
        <v>1000.0</v>
      </c>
      <c r="W77" s="86">
        <v>865.0</v>
      </c>
      <c r="X77" s="86">
        <v>1.0</v>
      </c>
      <c r="Y77" s="86">
        <v>2006.0</v>
      </c>
      <c r="Z77" s="86">
        <v>1.0</v>
      </c>
      <c r="AA77" s="86">
        <v>0.03</v>
      </c>
    </row>
    <row r="78" ht="12.75" customHeight="1">
      <c r="A78" s="86">
        <v>1076.0</v>
      </c>
      <c r="B78" s="86" t="s">
        <v>3892</v>
      </c>
      <c r="C78" s="86">
        <v>39.0</v>
      </c>
      <c r="D78" s="86" t="s">
        <v>3654</v>
      </c>
      <c r="E78" s="86">
        <v>1.0</v>
      </c>
      <c r="F78" s="86">
        <v>0.054</v>
      </c>
      <c r="G78" s="86">
        <v>8001.0</v>
      </c>
      <c r="H78" s="86">
        <v>55.0</v>
      </c>
      <c r="I78" s="86">
        <v>1.0</v>
      </c>
      <c r="J78" s="86">
        <v>8000.0</v>
      </c>
      <c r="K78" s="86">
        <v>85.0</v>
      </c>
      <c r="L78" s="86">
        <v>1.0</v>
      </c>
      <c r="M78" s="86">
        <v>2007.0</v>
      </c>
      <c r="N78" s="86">
        <v>1.0</v>
      </c>
      <c r="O78" s="141">
        <v>0.25</v>
      </c>
      <c r="P78" s="86">
        <v>9000.0</v>
      </c>
      <c r="Q78" s="86">
        <v>16.0</v>
      </c>
      <c r="R78" s="86">
        <v>1.0</v>
      </c>
      <c r="S78" s="86" t="s">
        <v>3657</v>
      </c>
      <c r="T78" s="86">
        <v>3.0</v>
      </c>
      <c r="U78" s="86">
        <v>0.5</v>
      </c>
      <c r="V78" s="86">
        <v>1000.0</v>
      </c>
      <c r="W78" s="86">
        <v>875.0</v>
      </c>
      <c r="X78" s="86">
        <v>1.0</v>
      </c>
      <c r="Y78" s="86">
        <v>2006.0</v>
      </c>
      <c r="Z78" s="86">
        <v>1.0</v>
      </c>
      <c r="AA78" s="86">
        <v>0.03</v>
      </c>
    </row>
    <row r="79" ht="12.75" customHeight="1">
      <c r="A79" s="86">
        <v>1077.0</v>
      </c>
      <c r="B79" s="86" t="s">
        <v>3894</v>
      </c>
      <c r="C79" s="86">
        <v>39.0</v>
      </c>
      <c r="D79" s="86" t="s">
        <v>3654</v>
      </c>
      <c r="E79" s="86">
        <v>1.0</v>
      </c>
      <c r="F79" s="86">
        <v>0.055</v>
      </c>
      <c r="G79" s="86">
        <v>8001.0</v>
      </c>
      <c r="H79" s="86">
        <v>55.0</v>
      </c>
      <c r="I79" s="86">
        <v>1.0</v>
      </c>
      <c r="J79" s="86">
        <v>8000.0</v>
      </c>
      <c r="K79" s="86">
        <v>85.0</v>
      </c>
      <c r="L79" s="86">
        <v>1.0</v>
      </c>
      <c r="M79" s="86">
        <v>2007.0</v>
      </c>
      <c r="N79" s="86">
        <v>1.0</v>
      </c>
      <c r="O79" s="141">
        <v>0.25</v>
      </c>
      <c r="P79" s="86">
        <v>9000.0</v>
      </c>
      <c r="Q79" s="86">
        <v>16.0</v>
      </c>
      <c r="R79" s="86">
        <v>1.0</v>
      </c>
      <c r="S79" s="86" t="s">
        <v>3657</v>
      </c>
      <c r="T79" s="86">
        <v>3.0</v>
      </c>
      <c r="U79" s="86">
        <v>0.5</v>
      </c>
      <c r="V79" s="86">
        <v>1000.0</v>
      </c>
      <c r="W79" s="86">
        <v>880.0</v>
      </c>
      <c r="X79" s="86">
        <v>1.0</v>
      </c>
      <c r="Y79" s="86">
        <v>2006.0</v>
      </c>
      <c r="Z79" s="86">
        <v>1.0</v>
      </c>
      <c r="AA79" s="86">
        <v>0.03</v>
      </c>
    </row>
    <row r="80" ht="12.75" customHeight="1">
      <c r="A80" s="86">
        <v>1078.0</v>
      </c>
      <c r="B80" s="86" t="s">
        <v>3895</v>
      </c>
      <c r="C80" s="86">
        <v>40.0</v>
      </c>
      <c r="D80" s="86" t="s">
        <v>3654</v>
      </c>
      <c r="E80" s="86">
        <v>1.0</v>
      </c>
      <c r="F80" s="86">
        <v>0.055</v>
      </c>
      <c r="G80" s="86">
        <v>8001.0</v>
      </c>
      <c r="H80" s="86">
        <v>55.0</v>
      </c>
      <c r="I80" s="86">
        <v>1.0</v>
      </c>
      <c r="J80" s="86">
        <v>8000.0</v>
      </c>
      <c r="K80" s="86">
        <v>85.0</v>
      </c>
      <c r="L80" s="86">
        <v>1.0</v>
      </c>
      <c r="M80" s="86">
        <v>2007.0</v>
      </c>
      <c r="N80" s="86">
        <v>1.0</v>
      </c>
      <c r="O80" s="141">
        <v>0.25</v>
      </c>
      <c r="P80" s="86">
        <v>9000.0</v>
      </c>
      <c r="Q80" s="86">
        <v>17.0</v>
      </c>
      <c r="R80" s="86">
        <v>1.0</v>
      </c>
      <c r="S80" s="86" t="s">
        <v>3657</v>
      </c>
      <c r="T80" s="86">
        <v>3.0</v>
      </c>
      <c r="U80" s="86">
        <v>0.5</v>
      </c>
      <c r="V80" s="86">
        <v>1000.0</v>
      </c>
      <c r="W80" s="86">
        <v>885.0</v>
      </c>
      <c r="X80" s="86">
        <v>1.0</v>
      </c>
      <c r="Y80" s="86">
        <v>2006.0</v>
      </c>
      <c r="Z80" s="86">
        <v>1.0</v>
      </c>
      <c r="AA80" s="86">
        <v>0.03</v>
      </c>
    </row>
    <row r="81" ht="12.75" customHeight="1">
      <c r="A81" s="86">
        <v>1079.0</v>
      </c>
      <c r="B81" s="86" t="s">
        <v>3896</v>
      </c>
      <c r="C81" s="86">
        <v>40.0</v>
      </c>
      <c r="D81" s="86" t="s">
        <v>3654</v>
      </c>
      <c r="E81" s="86">
        <v>1.0</v>
      </c>
      <c r="F81" s="86">
        <v>0.055</v>
      </c>
      <c r="G81" s="86">
        <v>8001.0</v>
      </c>
      <c r="H81" s="86">
        <v>55.0</v>
      </c>
      <c r="I81" s="86">
        <v>1.0</v>
      </c>
      <c r="J81" s="86">
        <v>8000.0</v>
      </c>
      <c r="K81" s="86">
        <v>85.0</v>
      </c>
      <c r="L81" s="86">
        <v>1.0</v>
      </c>
      <c r="M81" s="86">
        <v>2007.0</v>
      </c>
      <c r="N81" s="86">
        <v>1.0</v>
      </c>
      <c r="O81" s="141">
        <v>0.25</v>
      </c>
      <c r="P81" s="86">
        <v>9000.0</v>
      </c>
      <c r="Q81" s="86">
        <v>17.0</v>
      </c>
      <c r="R81" s="86">
        <v>1.0</v>
      </c>
      <c r="S81" s="86" t="s">
        <v>3657</v>
      </c>
      <c r="T81" s="86">
        <v>3.0</v>
      </c>
      <c r="U81" s="86">
        <v>0.5</v>
      </c>
      <c r="V81" s="86">
        <v>1000.0</v>
      </c>
      <c r="W81" s="86">
        <v>895.0</v>
      </c>
      <c r="X81" s="86">
        <v>1.0</v>
      </c>
      <c r="Y81" s="86">
        <v>2006.0</v>
      </c>
      <c r="Z81" s="86">
        <v>1.0</v>
      </c>
      <c r="AA81" s="86">
        <v>0.03</v>
      </c>
    </row>
    <row r="82" ht="12.75" customHeight="1">
      <c r="A82" s="86">
        <v>1080.0</v>
      </c>
      <c r="B82" s="86" t="s">
        <v>3898</v>
      </c>
      <c r="C82" s="86">
        <v>41.0</v>
      </c>
      <c r="D82" s="86" t="s">
        <v>3654</v>
      </c>
      <c r="E82" s="86">
        <v>1.0</v>
      </c>
      <c r="F82" s="86">
        <v>0.055</v>
      </c>
      <c r="G82" s="86">
        <v>8001.0</v>
      </c>
      <c r="H82" s="86">
        <v>60.0</v>
      </c>
      <c r="I82" s="86">
        <v>1.0</v>
      </c>
      <c r="J82" s="86">
        <v>8000.0</v>
      </c>
      <c r="K82" s="86">
        <v>85.0</v>
      </c>
      <c r="L82" s="86">
        <v>1.0</v>
      </c>
      <c r="M82" s="86">
        <v>2007.0</v>
      </c>
      <c r="N82" s="86">
        <v>1.0</v>
      </c>
      <c r="O82" s="141">
        <v>0.25</v>
      </c>
      <c r="P82" s="86">
        <v>9000.0</v>
      </c>
      <c r="Q82" s="86">
        <v>17.0</v>
      </c>
      <c r="R82" s="86">
        <v>1.0</v>
      </c>
      <c r="S82" s="86" t="s">
        <v>3657</v>
      </c>
      <c r="T82" s="86">
        <v>3.0</v>
      </c>
      <c r="U82" s="86">
        <v>0.5</v>
      </c>
      <c r="V82" s="86">
        <v>1000.0</v>
      </c>
      <c r="W82" s="86">
        <v>900.0</v>
      </c>
      <c r="X82" s="86">
        <v>1.0</v>
      </c>
      <c r="Y82" s="86">
        <v>2006.0</v>
      </c>
      <c r="Z82" s="86">
        <v>1.0</v>
      </c>
      <c r="AA82" s="86">
        <v>0.03</v>
      </c>
    </row>
    <row r="83" ht="12.75" customHeight="1">
      <c r="A83" s="86">
        <v>1081.0</v>
      </c>
      <c r="B83" s="86" t="s">
        <v>3899</v>
      </c>
      <c r="C83" s="86">
        <v>41.0</v>
      </c>
      <c r="D83" s="86" t="s">
        <v>3654</v>
      </c>
      <c r="E83" s="86">
        <v>1.0</v>
      </c>
      <c r="F83" s="86">
        <v>0.055</v>
      </c>
      <c r="G83" s="86">
        <v>8001.0</v>
      </c>
      <c r="H83" s="86">
        <v>60.0</v>
      </c>
      <c r="I83" s="86">
        <v>1.0</v>
      </c>
      <c r="J83" s="86">
        <v>8000.0</v>
      </c>
      <c r="K83" s="86">
        <v>85.0</v>
      </c>
      <c r="L83" s="86">
        <v>1.0</v>
      </c>
      <c r="M83" s="86">
        <v>2007.0</v>
      </c>
      <c r="N83" s="86">
        <v>1.0</v>
      </c>
      <c r="O83" s="141">
        <v>0.25</v>
      </c>
      <c r="P83" s="86">
        <v>9000.0</v>
      </c>
      <c r="Q83" s="86">
        <v>17.0</v>
      </c>
      <c r="R83" s="86">
        <v>1.0</v>
      </c>
      <c r="S83" s="86" t="s">
        <v>3657</v>
      </c>
      <c r="T83" s="86">
        <v>3.0</v>
      </c>
      <c r="U83" s="86">
        <v>0.5</v>
      </c>
      <c r="V83" s="86">
        <v>1000.0</v>
      </c>
      <c r="W83" s="86">
        <v>905.0</v>
      </c>
      <c r="X83" s="86">
        <v>1.0</v>
      </c>
      <c r="Y83" s="86">
        <v>2006.0</v>
      </c>
      <c r="Z83" s="86">
        <v>1.0</v>
      </c>
      <c r="AA83" s="86">
        <v>0.03</v>
      </c>
    </row>
    <row r="84" ht="12.75" customHeight="1">
      <c r="A84" s="86">
        <v>1082.0</v>
      </c>
      <c r="B84" s="86" t="s">
        <v>3901</v>
      </c>
      <c r="C84" s="86">
        <v>42.0</v>
      </c>
      <c r="D84" s="86" t="s">
        <v>3654</v>
      </c>
      <c r="E84" s="86">
        <v>1.0</v>
      </c>
      <c r="F84" s="86">
        <v>0.055</v>
      </c>
      <c r="G84" s="86">
        <v>8001.0</v>
      </c>
      <c r="H84" s="86">
        <v>60.0</v>
      </c>
      <c r="I84" s="86">
        <v>1.0</v>
      </c>
      <c r="J84" s="86">
        <v>8000.0</v>
      </c>
      <c r="K84" s="86">
        <v>90.0</v>
      </c>
      <c r="L84" s="86">
        <v>1.0</v>
      </c>
      <c r="M84" s="86">
        <v>2007.0</v>
      </c>
      <c r="N84" s="86">
        <v>1.0</v>
      </c>
      <c r="O84" s="141">
        <v>0.25</v>
      </c>
      <c r="P84" s="86">
        <v>9000.0</v>
      </c>
      <c r="Q84" s="86">
        <v>17.0</v>
      </c>
      <c r="R84" s="86">
        <v>1.0</v>
      </c>
      <c r="S84" s="86" t="s">
        <v>3657</v>
      </c>
      <c r="T84" s="86">
        <v>3.0</v>
      </c>
      <c r="U84" s="86">
        <v>0.5</v>
      </c>
      <c r="V84" s="86">
        <v>1000.0</v>
      </c>
      <c r="W84" s="86">
        <v>910.0</v>
      </c>
      <c r="X84" s="86">
        <v>1.0</v>
      </c>
      <c r="Y84" s="86">
        <v>2006.0</v>
      </c>
      <c r="Z84" s="86">
        <v>1.0</v>
      </c>
      <c r="AA84" s="86">
        <v>0.03</v>
      </c>
    </row>
    <row r="85" ht="12.75" customHeight="1">
      <c r="A85" s="86">
        <v>1083.0</v>
      </c>
      <c r="B85" s="86" t="s">
        <v>3902</v>
      </c>
      <c r="C85" s="86">
        <v>42.0</v>
      </c>
      <c r="D85" s="86" t="s">
        <v>3654</v>
      </c>
      <c r="E85" s="86">
        <v>1.0</v>
      </c>
      <c r="F85" s="86">
        <v>0.055</v>
      </c>
      <c r="G85" s="86">
        <v>8001.0</v>
      </c>
      <c r="H85" s="86">
        <v>60.0</v>
      </c>
      <c r="I85" s="86">
        <v>1.0</v>
      </c>
      <c r="J85" s="86">
        <v>8000.0</v>
      </c>
      <c r="K85" s="86">
        <v>90.0</v>
      </c>
      <c r="L85" s="86">
        <v>1.0</v>
      </c>
      <c r="M85" s="86">
        <v>2007.0</v>
      </c>
      <c r="N85" s="86">
        <v>1.0</v>
      </c>
      <c r="O85" s="141">
        <v>0.25</v>
      </c>
      <c r="P85" s="86">
        <v>9000.0</v>
      </c>
      <c r="Q85" s="86">
        <v>17.0</v>
      </c>
      <c r="R85" s="86">
        <v>1.0</v>
      </c>
      <c r="S85" s="86" t="s">
        <v>3657</v>
      </c>
      <c r="T85" s="86">
        <v>3.0</v>
      </c>
      <c r="U85" s="86">
        <v>0.5</v>
      </c>
      <c r="V85" s="86">
        <v>1000.0</v>
      </c>
      <c r="W85" s="86">
        <v>920.0</v>
      </c>
      <c r="X85" s="86">
        <v>1.0</v>
      </c>
      <c r="Y85" s="86">
        <v>2006.0</v>
      </c>
      <c r="Z85" s="86">
        <v>1.0</v>
      </c>
      <c r="AA85" s="86">
        <v>0.03</v>
      </c>
    </row>
    <row r="86" ht="12.75" customHeight="1">
      <c r="A86" s="86">
        <v>1084.0</v>
      </c>
      <c r="B86" s="86" t="s">
        <v>3903</v>
      </c>
      <c r="C86" s="86">
        <v>43.0</v>
      </c>
      <c r="D86" s="86" t="s">
        <v>3654</v>
      </c>
      <c r="E86" s="86">
        <v>1.0</v>
      </c>
      <c r="F86" s="86">
        <v>0.055</v>
      </c>
      <c r="G86" s="86">
        <v>8001.0</v>
      </c>
      <c r="H86" s="86">
        <v>60.0</v>
      </c>
      <c r="I86" s="86">
        <v>1.0</v>
      </c>
      <c r="J86" s="86">
        <v>8000.0</v>
      </c>
      <c r="K86" s="86">
        <v>90.0</v>
      </c>
      <c r="L86" s="86">
        <v>1.0</v>
      </c>
      <c r="M86" s="86">
        <v>2007.0</v>
      </c>
      <c r="N86" s="86">
        <v>1.0</v>
      </c>
      <c r="O86" s="141">
        <v>0.25</v>
      </c>
      <c r="P86" s="86">
        <v>9000.0</v>
      </c>
      <c r="Q86" s="86">
        <v>17.0</v>
      </c>
      <c r="R86" s="86">
        <v>1.0</v>
      </c>
      <c r="S86" s="86" t="s">
        <v>3657</v>
      </c>
      <c r="T86" s="86">
        <v>3.0</v>
      </c>
      <c r="U86" s="86">
        <v>0.5</v>
      </c>
      <c r="V86" s="86">
        <v>1000.0</v>
      </c>
      <c r="W86" s="86">
        <v>925.0</v>
      </c>
      <c r="X86" s="86">
        <v>1.0</v>
      </c>
      <c r="Y86" s="86">
        <v>2006.0</v>
      </c>
      <c r="Z86" s="86">
        <v>1.0</v>
      </c>
      <c r="AA86" s="86">
        <v>0.03</v>
      </c>
    </row>
    <row r="87" ht="12.75" customHeight="1">
      <c r="A87" s="86">
        <v>1085.0</v>
      </c>
      <c r="B87" s="86" t="s">
        <v>3906</v>
      </c>
      <c r="C87" s="86">
        <v>43.0</v>
      </c>
      <c r="D87" s="86" t="s">
        <v>3654</v>
      </c>
      <c r="E87" s="86">
        <v>1.0</v>
      </c>
      <c r="F87" s="86">
        <v>0.055</v>
      </c>
      <c r="G87" s="86">
        <v>8001.0</v>
      </c>
      <c r="H87" s="86">
        <v>60.0</v>
      </c>
      <c r="I87" s="86">
        <v>1.0</v>
      </c>
      <c r="J87" s="86">
        <v>8000.0</v>
      </c>
      <c r="K87" s="86">
        <v>90.0</v>
      </c>
      <c r="L87" s="86">
        <v>1.0</v>
      </c>
      <c r="M87" s="86">
        <v>2007.0</v>
      </c>
      <c r="N87" s="86">
        <v>1.0</v>
      </c>
      <c r="O87" s="141">
        <v>0.25</v>
      </c>
      <c r="P87" s="86">
        <v>9000.0</v>
      </c>
      <c r="Q87" s="86">
        <v>18.0</v>
      </c>
      <c r="R87" s="86">
        <v>1.0</v>
      </c>
      <c r="S87" s="86" t="s">
        <v>3657</v>
      </c>
      <c r="T87" s="86">
        <v>3.0</v>
      </c>
      <c r="U87" s="86">
        <v>0.5</v>
      </c>
      <c r="V87" s="86">
        <v>1000.0</v>
      </c>
      <c r="W87" s="86">
        <v>935.0</v>
      </c>
      <c r="X87" s="86">
        <v>1.0</v>
      </c>
      <c r="Y87" s="86">
        <v>2006.0</v>
      </c>
      <c r="Z87" s="86">
        <v>1.0</v>
      </c>
      <c r="AA87" s="86">
        <v>0.03</v>
      </c>
    </row>
    <row r="88" ht="12.75" customHeight="1">
      <c r="A88" s="86">
        <v>1086.0</v>
      </c>
      <c r="B88" s="86" t="s">
        <v>3866</v>
      </c>
      <c r="C88" s="86">
        <v>44.0</v>
      </c>
      <c r="D88" s="86" t="s">
        <v>3654</v>
      </c>
      <c r="E88" s="86">
        <v>1.0</v>
      </c>
      <c r="F88" s="86">
        <v>0.056</v>
      </c>
      <c r="G88" s="86">
        <v>8001.0</v>
      </c>
      <c r="H88" s="86">
        <v>60.0</v>
      </c>
      <c r="I88" s="86">
        <v>1.0</v>
      </c>
      <c r="J88" s="86">
        <v>8000.0</v>
      </c>
      <c r="K88" s="86">
        <v>90.0</v>
      </c>
      <c r="L88" s="86">
        <v>1.0</v>
      </c>
      <c r="M88" s="86">
        <v>2007.0</v>
      </c>
      <c r="N88" s="86">
        <v>1.0</v>
      </c>
      <c r="O88" s="141">
        <v>0.25</v>
      </c>
      <c r="P88" s="86">
        <v>9000.0</v>
      </c>
      <c r="Q88" s="86">
        <v>18.0</v>
      </c>
      <c r="R88" s="86">
        <v>1.0</v>
      </c>
      <c r="S88" s="86" t="s">
        <v>3657</v>
      </c>
      <c r="T88" s="86">
        <v>3.0</v>
      </c>
      <c r="U88" s="86">
        <v>0.5</v>
      </c>
      <c r="V88" s="86">
        <v>1000.0</v>
      </c>
      <c r="W88" s="86">
        <v>940.0</v>
      </c>
      <c r="X88" s="86">
        <v>1.0</v>
      </c>
      <c r="Y88" s="86">
        <v>2006.0</v>
      </c>
      <c r="Z88" s="86">
        <v>1.0</v>
      </c>
      <c r="AA88" s="86">
        <v>0.03</v>
      </c>
    </row>
    <row r="89" ht="12.75" customHeight="1">
      <c r="A89" s="86">
        <v>1087.0</v>
      </c>
      <c r="B89" s="86" t="s">
        <v>3908</v>
      </c>
      <c r="C89" s="86">
        <v>44.0</v>
      </c>
      <c r="D89" s="86" t="s">
        <v>3654</v>
      </c>
      <c r="E89" s="86">
        <v>1.0</v>
      </c>
      <c r="F89" s="86">
        <v>0.056</v>
      </c>
      <c r="G89" s="86">
        <v>8001.0</v>
      </c>
      <c r="H89" s="86">
        <v>60.0</v>
      </c>
      <c r="I89" s="86">
        <v>1.0</v>
      </c>
      <c r="J89" s="86">
        <v>8000.0</v>
      </c>
      <c r="K89" s="86">
        <v>90.0</v>
      </c>
      <c r="L89" s="86">
        <v>1.0</v>
      </c>
      <c r="M89" s="86">
        <v>2007.0</v>
      </c>
      <c r="N89" s="86">
        <v>1.0</v>
      </c>
      <c r="O89" s="141">
        <v>0.25</v>
      </c>
      <c r="P89" s="86">
        <v>9000.0</v>
      </c>
      <c r="Q89" s="86">
        <v>18.0</v>
      </c>
      <c r="R89" s="86">
        <v>1.0</v>
      </c>
      <c r="S89" s="86" t="s">
        <v>3657</v>
      </c>
      <c r="T89" s="86">
        <v>3.0</v>
      </c>
      <c r="U89" s="86">
        <v>0.5</v>
      </c>
      <c r="V89" s="86">
        <v>1000.0</v>
      </c>
      <c r="W89" s="86">
        <v>945.0</v>
      </c>
      <c r="X89" s="86">
        <v>1.0</v>
      </c>
      <c r="Y89" s="86">
        <v>2006.0</v>
      </c>
      <c r="Z89" s="86">
        <v>1.0</v>
      </c>
      <c r="AA89" s="86">
        <v>0.03</v>
      </c>
    </row>
    <row r="90" ht="12.75" customHeight="1">
      <c r="A90" s="86">
        <v>1088.0</v>
      </c>
      <c r="B90" s="86" t="s">
        <v>3894</v>
      </c>
      <c r="C90" s="86">
        <v>45.0</v>
      </c>
      <c r="D90" s="86" t="s">
        <v>3654</v>
      </c>
      <c r="E90" s="86">
        <v>1.0</v>
      </c>
      <c r="F90" s="86">
        <v>0.056</v>
      </c>
      <c r="G90" s="86">
        <v>8001.0</v>
      </c>
      <c r="H90" s="86">
        <v>60.0</v>
      </c>
      <c r="I90" s="86">
        <v>1.0</v>
      </c>
      <c r="J90" s="86">
        <v>8000.0</v>
      </c>
      <c r="K90" s="86">
        <v>90.0</v>
      </c>
      <c r="L90" s="86">
        <v>1.0</v>
      </c>
      <c r="M90" s="86">
        <v>2007.0</v>
      </c>
      <c r="N90" s="86">
        <v>1.0</v>
      </c>
      <c r="O90" s="141">
        <v>0.25</v>
      </c>
      <c r="P90" s="86">
        <v>9000.0</v>
      </c>
      <c r="Q90" s="86">
        <v>18.0</v>
      </c>
      <c r="R90" s="86">
        <v>1.0</v>
      </c>
      <c r="S90" s="86" t="s">
        <v>3657</v>
      </c>
      <c r="T90" s="86">
        <v>3.0</v>
      </c>
      <c r="U90" s="86">
        <v>0.5</v>
      </c>
      <c r="V90" s="86">
        <v>1000.0</v>
      </c>
      <c r="W90" s="86">
        <v>955.0</v>
      </c>
      <c r="X90" s="86">
        <v>1.0</v>
      </c>
      <c r="Y90" s="86">
        <v>2006.0</v>
      </c>
      <c r="Z90" s="86">
        <v>1.0</v>
      </c>
      <c r="AA90" s="86">
        <v>0.03</v>
      </c>
    </row>
    <row r="91" ht="12.75" customHeight="1">
      <c r="A91" s="86">
        <v>1089.0</v>
      </c>
      <c r="B91" s="86" t="s">
        <v>3912</v>
      </c>
      <c r="C91" s="86">
        <v>45.0</v>
      </c>
      <c r="D91" s="86" t="s">
        <v>3654</v>
      </c>
      <c r="E91" s="86">
        <v>1.0</v>
      </c>
      <c r="F91" s="86">
        <v>0.056</v>
      </c>
      <c r="G91" s="86">
        <v>8001.0</v>
      </c>
      <c r="H91" s="86">
        <v>60.0</v>
      </c>
      <c r="I91" s="86">
        <v>1.0</v>
      </c>
      <c r="J91" s="86">
        <v>8000.0</v>
      </c>
      <c r="K91" s="86">
        <v>90.0</v>
      </c>
      <c r="L91" s="86">
        <v>1.0</v>
      </c>
      <c r="M91" s="86">
        <v>2007.0</v>
      </c>
      <c r="N91" s="86">
        <v>1.0</v>
      </c>
      <c r="O91" s="141">
        <v>0.25</v>
      </c>
      <c r="P91" s="86">
        <v>9000.0</v>
      </c>
      <c r="Q91" s="86">
        <v>18.0</v>
      </c>
      <c r="R91" s="86">
        <v>1.0</v>
      </c>
      <c r="S91" s="86" t="s">
        <v>3657</v>
      </c>
      <c r="T91" s="86">
        <v>3.0</v>
      </c>
      <c r="U91" s="86">
        <v>0.5</v>
      </c>
      <c r="V91" s="86">
        <v>1000.0</v>
      </c>
      <c r="W91" s="86">
        <v>960.0</v>
      </c>
      <c r="X91" s="86">
        <v>1.0</v>
      </c>
      <c r="Y91" s="86">
        <v>2006.0</v>
      </c>
      <c r="Z91" s="86">
        <v>1.0</v>
      </c>
      <c r="AA91" s="86">
        <v>0.03</v>
      </c>
    </row>
    <row r="92" ht="12.75" customHeight="1">
      <c r="A92" s="86">
        <v>1090.0</v>
      </c>
      <c r="B92" s="86" t="s">
        <v>3916</v>
      </c>
      <c r="C92" s="86">
        <v>46.0</v>
      </c>
      <c r="D92" s="86" t="s">
        <v>3654</v>
      </c>
      <c r="E92" s="86">
        <v>1.0</v>
      </c>
      <c r="F92" s="86">
        <v>0.056</v>
      </c>
      <c r="G92" s="86">
        <v>8001.0</v>
      </c>
      <c r="H92" s="86">
        <v>60.0</v>
      </c>
      <c r="I92" s="86">
        <v>1.0</v>
      </c>
      <c r="J92" s="86">
        <v>8000.0</v>
      </c>
      <c r="K92" s="86">
        <v>95.0</v>
      </c>
      <c r="L92" s="86">
        <v>1.0</v>
      </c>
      <c r="M92" s="86">
        <v>2007.0</v>
      </c>
      <c r="N92" s="86">
        <v>1.0</v>
      </c>
      <c r="O92" s="141">
        <v>0.25</v>
      </c>
      <c r="P92" s="86">
        <v>9000.0</v>
      </c>
      <c r="Q92" s="86">
        <v>19.0</v>
      </c>
      <c r="R92" s="86">
        <v>1.0</v>
      </c>
      <c r="S92" s="86" t="s">
        <v>3657</v>
      </c>
      <c r="T92" s="86">
        <v>3.0</v>
      </c>
      <c r="U92" s="86">
        <v>0.5</v>
      </c>
      <c r="V92" s="86">
        <v>1000.0</v>
      </c>
      <c r="W92" s="86">
        <v>970.0</v>
      </c>
      <c r="X92" s="86">
        <v>1.0</v>
      </c>
      <c r="Y92" s="86">
        <v>2006.0</v>
      </c>
      <c r="Z92" s="86">
        <v>1.0</v>
      </c>
      <c r="AA92" s="86">
        <v>0.03</v>
      </c>
    </row>
    <row r="93" ht="12.75" customHeight="1">
      <c r="A93" s="86">
        <v>1091.0</v>
      </c>
      <c r="B93" s="86" t="s">
        <v>3918</v>
      </c>
      <c r="C93" s="86">
        <v>46.0</v>
      </c>
      <c r="D93" s="86" t="s">
        <v>3654</v>
      </c>
      <c r="E93" s="86">
        <v>1.0</v>
      </c>
      <c r="F93" s="86">
        <v>0.056</v>
      </c>
      <c r="G93" s="86">
        <v>8001.0</v>
      </c>
      <c r="H93" s="86">
        <v>60.0</v>
      </c>
      <c r="I93" s="86">
        <v>1.0</v>
      </c>
      <c r="J93" s="86">
        <v>8000.0</v>
      </c>
      <c r="K93" s="86">
        <v>95.0</v>
      </c>
      <c r="L93" s="86">
        <v>1.0</v>
      </c>
      <c r="M93" s="86">
        <v>2007.0</v>
      </c>
      <c r="N93" s="86">
        <v>1.0</v>
      </c>
      <c r="O93" s="141">
        <v>0.25</v>
      </c>
      <c r="P93" s="86">
        <v>9000.0</v>
      </c>
      <c r="Q93" s="86">
        <v>19.0</v>
      </c>
      <c r="R93" s="86">
        <v>1.0</v>
      </c>
      <c r="S93" s="86" t="s">
        <v>3657</v>
      </c>
      <c r="T93" s="86">
        <v>3.0</v>
      </c>
      <c r="U93" s="86">
        <v>0.5</v>
      </c>
      <c r="V93" s="86">
        <v>1000.0</v>
      </c>
      <c r="W93" s="86">
        <v>975.0</v>
      </c>
      <c r="X93" s="86">
        <v>1.0</v>
      </c>
      <c r="Y93" s="86">
        <v>2006.0</v>
      </c>
      <c r="Z93" s="86">
        <v>1.0</v>
      </c>
      <c r="AA93" s="86">
        <v>0.03</v>
      </c>
    </row>
    <row r="94" ht="12.75" customHeight="1">
      <c r="A94" s="86">
        <v>1092.0</v>
      </c>
      <c r="B94" s="86" t="s">
        <v>3919</v>
      </c>
      <c r="C94" s="86">
        <v>47.0</v>
      </c>
      <c r="D94" s="86" t="s">
        <v>3654</v>
      </c>
      <c r="E94" s="86">
        <v>1.0</v>
      </c>
      <c r="F94" s="86">
        <v>0.056</v>
      </c>
      <c r="G94" s="86">
        <v>8001.0</v>
      </c>
      <c r="H94" s="86">
        <v>65.0</v>
      </c>
      <c r="I94" s="86">
        <v>1.0</v>
      </c>
      <c r="J94" s="86">
        <v>8000.0</v>
      </c>
      <c r="K94" s="86">
        <v>95.0</v>
      </c>
      <c r="L94" s="86">
        <v>1.0</v>
      </c>
      <c r="M94" s="86">
        <v>2007.0</v>
      </c>
      <c r="N94" s="86">
        <v>1.0</v>
      </c>
      <c r="O94" s="141">
        <v>0.25</v>
      </c>
      <c r="P94" s="86">
        <v>9000.0</v>
      </c>
      <c r="Q94" s="86">
        <v>19.0</v>
      </c>
      <c r="R94" s="86">
        <v>1.0</v>
      </c>
      <c r="S94" s="86" t="s">
        <v>3657</v>
      </c>
      <c r="T94" s="86">
        <v>3.0</v>
      </c>
      <c r="U94" s="86">
        <v>0.5</v>
      </c>
      <c r="V94" s="86">
        <v>1000.0</v>
      </c>
      <c r="W94" s="86">
        <v>980.0</v>
      </c>
      <c r="X94" s="86">
        <v>1.0</v>
      </c>
      <c r="Y94" s="86">
        <v>2006.0</v>
      </c>
      <c r="Z94" s="86">
        <v>1.0</v>
      </c>
      <c r="AA94" s="86">
        <v>0.03</v>
      </c>
    </row>
    <row r="95" ht="12.75" customHeight="1">
      <c r="A95" s="86">
        <v>1093.0</v>
      </c>
      <c r="B95" s="86" t="s">
        <v>3922</v>
      </c>
      <c r="C95" s="86">
        <v>47.0</v>
      </c>
      <c r="D95" s="86" t="s">
        <v>3654</v>
      </c>
      <c r="E95" s="86">
        <v>1.0</v>
      </c>
      <c r="F95" s="86">
        <v>0.056</v>
      </c>
      <c r="G95" s="86">
        <v>8001.0</v>
      </c>
      <c r="H95" s="86">
        <v>65.0</v>
      </c>
      <c r="I95" s="86">
        <v>1.0</v>
      </c>
      <c r="J95" s="86">
        <v>8000.0</v>
      </c>
      <c r="K95" s="86">
        <v>95.0</v>
      </c>
      <c r="L95" s="86">
        <v>1.0</v>
      </c>
      <c r="M95" s="86">
        <v>2007.0</v>
      </c>
      <c r="N95" s="86">
        <v>1.0</v>
      </c>
      <c r="O95" s="141">
        <v>0.25</v>
      </c>
      <c r="P95" s="86">
        <v>9000.0</v>
      </c>
      <c r="Q95" s="86">
        <v>19.0</v>
      </c>
      <c r="R95" s="86">
        <v>1.0</v>
      </c>
      <c r="S95" s="86" t="s">
        <v>3657</v>
      </c>
      <c r="T95" s="86">
        <v>3.0</v>
      </c>
      <c r="U95" s="86">
        <v>0.5</v>
      </c>
      <c r="V95" s="86">
        <v>1000.0</v>
      </c>
      <c r="W95" s="86">
        <v>990.0</v>
      </c>
      <c r="X95" s="86">
        <v>1.0</v>
      </c>
      <c r="Y95" s="86">
        <v>2006.0</v>
      </c>
      <c r="Z95" s="86">
        <v>1.0</v>
      </c>
      <c r="AA95" s="86">
        <v>0.03</v>
      </c>
    </row>
    <row r="96" ht="12.75" customHeight="1">
      <c r="A96" s="86">
        <v>1094.0</v>
      </c>
      <c r="B96" s="86" t="s">
        <v>3925</v>
      </c>
      <c r="C96" s="86">
        <v>48.0</v>
      </c>
      <c r="D96" s="86" t="s">
        <v>3654</v>
      </c>
      <c r="E96" s="86">
        <v>1.0</v>
      </c>
      <c r="F96" s="86">
        <v>0.057</v>
      </c>
      <c r="G96" s="86">
        <v>8001.0</v>
      </c>
      <c r="H96" s="86">
        <v>65.0</v>
      </c>
      <c r="I96" s="86">
        <v>1.0</v>
      </c>
      <c r="J96" s="86">
        <v>8000.0</v>
      </c>
      <c r="K96" s="86">
        <v>95.0</v>
      </c>
      <c r="L96" s="86">
        <v>1.0</v>
      </c>
      <c r="M96" s="86">
        <v>2007.0</v>
      </c>
      <c r="N96" s="86">
        <v>1.0</v>
      </c>
      <c r="O96" s="141">
        <v>0.25</v>
      </c>
      <c r="P96" s="86">
        <v>9000.0</v>
      </c>
      <c r="Q96" s="86">
        <v>19.0</v>
      </c>
      <c r="R96" s="86">
        <v>1.0</v>
      </c>
      <c r="S96" s="86" t="s">
        <v>3657</v>
      </c>
      <c r="T96" s="86">
        <v>3.0</v>
      </c>
      <c r="U96" s="86">
        <v>0.5</v>
      </c>
      <c r="V96" s="86">
        <v>1000.0</v>
      </c>
      <c r="W96" s="86">
        <v>995.0</v>
      </c>
      <c r="X96" s="86">
        <v>1.0</v>
      </c>
      <c r="Y96" s="86">
        <v>2006.0</v>
      </c>
      <c r="Z96" s="86">
        <v>1.0</v>
      </c>
      <c r="AA96" s="86">
        <v>0.03</v>
      </c>
    </row>
    <row r="97" ht="12.75" customHeight="1">
      <c r="A97" s="86">
        <v>1095.0</v>
      </c>
      <c r="B97" s="86" t="s">
        <v>3927</v>
      </c>
      <c r="C97" s="86">
        <v>48.0</v>
      </c>
      <c r="D97" s="86" t="s">
        <v>3654</v>
      </c>
      <c r="E97" s="86">
        <v>1.0</v>
      </c>
      <c r="F97" s="86">
        <v>0.057</v>
      </c>
      <c r="G97" s="86">
        <v>8001.0</v>
      </c>
      <c r="H97" s="86">
        <v>65.0</v>
      </c>
      <c r="I97" s="86">
        <v>1.0</v>
      </c>
      <c r="J97" s="86">
        <v>8000.0</v>
      </c>
      <c r="K97" s="86">
        <v>95.0</v>
      </c>
      <c r="L97" s="86">
        <v>1.0</v>
      </c>
      <c r="M97" s="86">
        <v>2007.0</v>
      </c>
      <c r="N97" s="86">
        <v>1.0</v>
      </c>
      <c r="O97" s="141">
        <v>0.25</v>
      </c>
      <c r="P97" s="86">
        <v>9000.0</v>
      </c>
      <c r="Q97" s="86">
        <v>19.0</v>
      </c>
      <c r="R97" s="86">
        <v>1.0</v>
      </c>
      <c r="S97" s="86" t="s">
        <v>3657</v>
      </c>
      <c r="T97" s="86">
        <v>3.0</v>
      </c>
      <c r="U97" s="86">
        <v>0.5</v>
      </c>
      <c r="V97" s="86">
        <v>1000.0</v>
      </c>
      <c r="W97" s="86">
        <v>1005.0</v>
      </c>
      <c r="X97" s="86">
        <v>1.0</v>
      </c>
      <c r="Y97" s="86">
        <v>2006.0</v>
      </c>
      <c r="Z97" s="86">
        <v>1.0</v>
      </c>
      <c r="AA97" s="86">
        <v>0.03</v>
      </c>
    </row>
    <row r="98" ht="12.75" customHeight="1">
      <c r="A98" s="86">
        <v>1096.0</v>
      </c>
      <c r="B98" s="86" t="s">
        <v>3925</v>
      </c>
      <c r="C98" s="86">
        <v>49.0</v>
      </c>
      <c r="D98" s="86" t="s">
        <v>3654</v>
      </c>
      <c r="E98" s="86">
        <v>1.0</v>
      </c>
      <c r="F98" s="86">
        <v>0.057</v>
      </c>
      <c r="G98" s="86">
        <v>8001.0</v>
      </c>
      <c r="H98" s="86">
        <v>65.0</v>
      </c>
      <c r="I98" s="86">
        <v>1.0</v>
      </c>
      <c r="J98" s="86">
        <v>8000.0</v>
      </c>
      <c r="K98" s="86">
        <v>95.0</v>
      </c>
      <c r="L98" s="86">
        <v>1.0</v>
      </c>
      <c r="M98" s="86">
        <v>2007.0</v>
      </c>
      <c r="N98" s="86">
        <v>1.0</v>
      </c>
      <c r="O98" s="141">
        <v>0.25</v>
      </c>
      <c r="P98" s="86">
        <v>9000.0</v>
      </c>
      <c r="Q98" s="86">
        <v>20.0</v>
      </c>
      <c r="R98" s="86">
        <v>1.0</v>
      </c>
      <c r="S98" s="86" t="s">
        <v>3657</v>
      </c>
      <c r="T98" s="86">
        <v>3.0</v>
      </c>
      <c r="U98" s="86">
        <v>0.5</v>
      </c>
      <c r="V98" s="86">
        <v>1000.0</v>
      </c>
      <c r="W98" s="86">
        <v>1010.0</v>
      </c>
      <c r="X98" s="86">
        <v>1.0</v>
      </c>
      <c r="Y98" s="86">
        <v>2006.0</v>
      </c>
      <c r="Z98" s="86">
        <v>1.0</v>
      </c>
      <c r="AA98" s="86">
        <v>0.03</v>
      </c>
    </row>
    <row r="99" ht="12.75" customHeight="1">
      <c r="A99" s="86">
        <v>1097.0</v>
      </c>
      <c r="B99" s="86" t="s">
        <v>3930</v>
      </c>
      <c r="C99" s="86">
        <v>49.0</v>
      </c>
      <c r="D99" s="86" t="s">
        <v>3654</v>
      </c>
      <c r="E99" s="86">
        <v>1.0</v>
      </c>
      <c r="F99" s="86">
        <v>0.057</v>
      </c>
      <c r="G99" s="86">
        <v>8001.0</v>
      </c>
      <c r="H99" s="86">
        <v>65.0</v>
      </c>
      <c r="I99" s="86">
        <v>1.0</v>
      </c>
      <c r="J99" s="86">
        <v>8000.0</v>
      </c>
      <c r="K99" s="86">
        <v>100.0</v>
      </c>
      <c r="L99" s="86">
        <v>1.0</v>
      </c>
      <c r="M99" s="86">
        <v>2007.0</v>
      </c>
      <c r="N99" s="86">
        <v>1.0</v>
      </c>
      <c r="O99" s="141">
        <v>0.25</v>
      </c>
      <c r="P99" s="86">
        <v>9000.0</v>
      </c>
      <c r="Q99" s="86">
        <v>20.0</v>
      </c>
      <c r="R99" s="86">
        <v>1.0</v>
      </c>
      <c r="S99" s="86" t="s">
        <v>3657</v>
      </c>
      <c r="T99" s="86">
        <v>3.0</v>
      </c>
      <c r="U99" s="86">
        <v>0.5</v>
      </c>
      <c r="V99" s="86">
        <v>1000.0</v>
      </c>
      <c r="W99" s="86">
        <v>1020.0</v>
      </c>
      <c r="X99" s="86">
        <v>1.0</v>
      </c>
      <c r="Y99" s="86">
        <v>2006.0</v>
      </c>
      <c r="Z99" s="86">
        <v>1.0</v>
      </c>
      <c r="AA99" s="86">
        <v>0.03</v>
      </c>
    </row>
    <row r="100" ht="12.75" customHeight="1">
      <c r="A100" s="86">
        <v>1098.0</v>
      </c>
      <c r="B100" s="86" t="s">
        <v>3933</v>
      </c>
      <c r="C100" s="86">
        <v>50.0</v>
      </c>
      <c r="D100" s="86" t="s">
        <v>3654</v>
      </c>
      <c r="E100" s="86">
        <v>1.0</v>
      </c>
      <c r="F100" s="86">
        <v>0.057</v>
      </c>
      <c r="G100" s="86">
        <v>8001.0</v>
      </c>
      <c r="H100" s="86">
        <v>65.0</v>
      </c>
      <c r="I100" s="86">
        <v>1.0</v>
      </c>
      <c r="J100" s="86">
        <v>8000.0</v>
      </c>
      <c r="K100" s="86">
        <v>100.0</v>
      </c>
      <c r="L100" s="86">
        <v>1.0</v>
      </c>
      <c r="M100" s="86">
        <v>2007.0</v>
      </c>
      <c r="N100" s="86">
        <v>1.0</v>
      </c>
      <c r="O100" s="141">
        <v>0.25</v>
      </c>
      <c r="P100" s="86">
        <v>9000.0</v>
      </c>
      <c r="Q100" s="86">
        <v>20.0</v>
      </c>
      <c r="R100" s="86">
        <v>1.0</v>
      </c>
      <c r="S100" s="86" t="s">
        <v>3657</v>
      </c>
      <c r="T100" s="86">
        <v>3.0</v>
      </c>
      <c r="U100" s="86">
        <v>0.5</v>
      </c>
      <c r="V100" s="86">
        <v>1000.0</v>
      </c>
      <c r="W100" s="86">
        <v>1025.0</v>
      </c>
      <c r="X100" s="86">
        <v>1.0</v>
      </c>
      <c r="Y100" s="86">
        <v>2006.0</v>
      </c>
      <c r="Z100" s="86">
        <v>1.0</v>
      </c>
      <c r="AA100" s="86">
        <v>0.03</v>
      </c>
    </row>
    <row r="101" ht="12.75" customHeight="1">
      <c r="A101" s="86">
        <v>1099.0</v>
      </c>
      <c r="B101" s="86" t="s">
        <v>3935</v>
      </c>
      <c r="C101" s="86">
        <v>50.0</v>
      </c>
      <c r="D101" s="86" t="s">
        <v>3654</v>
      </c>
      <c r="E101" s="86">
        <v>1.0</v>
      </c>
      <c r="F101" s="86">
        <v>0.057</v>
      </c>
      <c r="G101" s="86">
        <v>8001.0</v>
      </c>
      <c r="H101" s="86">
        <v>65.0</v>
      </c>
      <c r="I101" s="86">
        <v>1.0</v>
      </c>
      <c r="J101" s="86">
        <v>8000.0</v>
      </c>
      <c r="K101" s="86">
        <v>100.0</v>
      </c>
      <c r="L101" s="86">
        <v>1.0</v>
      </c>
      <c r="M101" s="86">
        <v>2007.0</v>
      </c>
      <c r="N101" s="86">
        <v>1.0</v>
      </c>
      <c r="O101" s="141">
        <v>0.25</v>
      </c>
      <c r="P101" s="86">
        <v>9000.0</v>
      </c>
      <c r="Q101" s="86">
        <v>20.0</v>
      </c>
      <c r="R101" s="86">
        <v>1.0</v>
      </c>
      <c r="S101" s="86" t="s">
        <v>3657</v>
      </c>
      <c r="T101" s="86">
        <v>3.0</v>
      </c>
      <c r="U101" s="86">
        <v>0.5</v>
      </c>
      <c r="V101" s="86">
        <v>1000.0</v>
      </c>
      <c r="W101" s="86">
        <v>1035.0</v>
      </c>
      <c r="X101" s="86">
        <v>1.0</v>
      </c>
      <c r="Y101" s="86">
        <v>2006.0</v>
      </c>
      <c r="Z101" s="86">
        <v>1.0</v>
      </c>
      <c r="AA101" s="86">
        <v>0.03</v>
      </c>
    </row>
    <row r="102" ht="12.75" customHeight="1">
      <c r="A102" s="86">
        <v>1100.0</v>
      </c>
      <c r="B102" s="86" t="s">
        <v>3937</v>
      </c>
      <c r="C102" s="86">
        <v>51.0</v>
      </c>
      <c r="D102" s="86" t="s">
        <v>3654</v>
      </c>
      <c r="E102" s="86">
        <v>1.0</v>
      </c>
      <c r="F102" s="86">
        <v>0.057</v>
      </c>
      <c r="G102" s="86">
        <v>8001.0</v>
      </c>
      <c r="H102" s="86">
        <v>65.0</v>
      </c>
      <c r="I102" s="86">
        <v>1.0</v>
      </c>
      <c r="J102" s="86">
        <v>8000.0</v>
      </c>
      <c r="K102" s="86">
        <v>100.0</v>
      </c>
      <c r="L102" s="86">
        <v>1.0</v>
      </c>
      <c r="M102" s="86">
        <v>2007.0</v>
      </c>
      <c r="N102" s="86">
        <v>1.0</v>
      </c>
      <c r="O102" s="141">
        <v>0.25</v>
      </c>
      <c r="P102" s="86">
        <v>9000.0</v>
      </c>
      <c r="Q102" s="86">
        <v>20.0</v>
      </c>
      <c r="R102" s="86">
        <v>1.0</v>
      </c>
      <c r="S102" s="86" t="s">
        <v>3657</v>
      </c>
      <c r="T102" s="86">
        <v>3.0</v>
      </c>
      <c r="U102" s="86">
        <v>0.5</v>
      </c>
      <c r="V102" s="86">
        <v>1000.0</v>
      </c>
      <c r="W102" s="86">
        <v>1045.0</v>
      </c>
      <c r="X102" s="86">
        <v>1.0</v>
      </c>
      <c r="Y102" s="86">
        <v>2006.0</v>
      </c>
      <c r="Z102" s="86">
        <v>1.0</v>
      </c>
      <c r="AA102" s="86">
        <v>0.03</v>
      </c>
    </row>
    <row r="103" ht="12.75" customHeight="1">
      <c r="A103" s="86">
        <v>1101.0</v>
      </c>
      <c r="B103" s="86" t="s">
        <v>3940</v>
      </c>
      <c r="C103" s="86">
        <v>51.0</v>
      </c>
      <c r="D103" s="86" t="s">
        <v>3654</v>
      </c>
      <c r="E103" s="86">
        <v>1.0</v>
      </c>
      <c r="F103" s="86">
        <v>0.058</v>
      </c>
      <c r="G103" s="86">
        <v>8001.0</v>
      </c>
      <c r="H103" s="86">
        <v>65.0</v>
      </c>
      <c r="I103" s="86">
        <v>1.0</v>
      </c>
      <c r="J103" s="86">
        <v>8000.0</v>
      </c>
      <c r="K103" s="86">
        <v>100.0</v>
      </c>
      <c r="L103" s="86">
        <v>1.0</v>
      </c>
      <c r="M103" s="86">
        <v>2007.0</v>
      </c>
      <c r="N103" s="86">
        <v>1.0</v>
      </c>
      <c r="O103" s="141">
        <v>0.25</v>
      </c>
      <c r="P103" s="86">
        <v>9000.0</v>
      </c>
      <c r="Q103" s="86">
        <v>21.0</v>
      </c>
      <c r="R103" s="86">
        <v>1.0</v>
      </c>
      <c r="S103" s="86" t="s">
        <v>3657</v>
      </c>
      <c r="T103" s="86">
        <v>3.0</v>
      </c>
      <c r="U103" s="86">
        <v>0.5</v>
      </c>
      <c r="V103" s="86">
        <v>1000.0</v>
      </c>
      <c r="W103" s="86">
        <v>1050.0</v>
      </c>
      <c r="X103" s="86">
        <v>1.0</v>
      </c>
      <c r="Y103" s="86">
        <v>2006.0</v>
      </c>
      <c r="Z103" s="86">
        <v>1.0</v>
      </c>
      <c r="AA103" s="86">
        <v>0.03</v>
      </c>
    </row>
    <row r="104" ht="12.75" customHeight="1">
      <c r="A104" s="86">
        <v>1102.0</v>
      </c>
      <c r="B104" s="86" t="s">
        <v>3943</v>
      </c>
      <c r="C104" s="86">
        <v>52.0</v>
      </c>
      <c r="D104" s="86" t="s">
        <v>3654</v>
      </c>
      <c r="E104" s="86">
        <v>1.0</v>
      </c>
      <c r="F104" s="86">
        <v>0.058</v>
      </c>
      <c r="G104" s="86">
        <v>8001.0</v>
      </c>
      <c r="H104" s="86">
        <v>70.0</v>
      </c>
      <c r="I104" s="86">
        <v>1.0</v>
      </c>
      <c r="J104" s="86">
        <v>8000.0</v>
      </c>
      <c r="K104" s="86">
        <v>100.0</v>
      </c>
      <c r="L104" s="86">
        <v>1.0</v>
      </c>
      <c r="M104" s="86">
        <v>2007.0</v>
      </c>
      <c r="N104" s="86">
        <v>1.0</v>
      </c>
      <c r="O104" s="141">
        <v>0.25</v>
      </c>
      <c r="P104" s="86">
        <v>9000.0</v>
      </c>
      <c r="Q104" s="86">
        <v>21.0</v>
      </c>
      <c r="R104" s="86">
        <v>1.0</v>
      </c>
      <c r="S104" s="86" t="s">
        <v>3657</v>
      </c>
      <c r="T104" s="86">
        <v>3.0</v>
      </c>
      <c r="U104" s="86">
        <v>0.5</v>
      </c>
      <c r="V104" s="86">
        <v>1000.0</v>
      </c>
      <c r="W104" s="86">
        <v>1060.0</v>
      </c>
      <c r="X104" s="86">
        <v>1.0</v>
      </c>
      <c r="Y104" s="86">
        <v>2006.0</v>
      </c>
      <c r="Z104" s="86">
        <v>1.0</v>
      </c>
      <c r="AA104" s="86">
        <v>0.03</v>
      </c>
    </row>
    <row r="105" ht="12.75" customHeight="1">
      <c r="A105" s="86">
        <v>1103.0</v>
      </c>
      <c r="B105" s="86" t="s">
        <v>3945</v>
      </c>
      <c r="C105" s="86">
        <v>52.0</v>
      </c>
      <c r="D105" s="86" t="s">
        <v>3654</v>
      </c>
      <c r="E105" s="86">
        <v>1.0</v>
      </c>
      <c r="F105" s="86">
        <v>0.058</v>
      </c>
      <c r="G105" s="86">
        <v>8001.0</v>
      </c>
      <c r="H105" s="86">
        <v>70.0</v>
      </c>
      <c r="I105" s="86">
        <v>1.0</v>
      </c>
      <c r="J105" s="86">
        <v>8000.0</v>
      </c>
      <c r="K105" s="86">
        <v>100.0</v>
      </c>
      <c r="L105" s="86">
        <v>1.0</v>
      </c>
      <c r="M105" s="86">
        <v>2007.0</v>
      </c>
      <c r="N105" s="86">
        <v>1.0</v>
      </c>
      <c r="O105" s="141">
        <v>0.25</v>
      </c>
      <c r="P105" s="86">
        <v>9000.0</v>
      </c>
      <c r="Q105" s="86">
        <v>21.0</v>
      </c>
      <c r="R105" s="86">
        <v>1.0</v>
      </c>
      <c r="S105" s="86" t="s">
        <v>3657</v>
      </c>
      <c r="T105" s="86">
        <v>3.0</v>
      </c>
      <c r="U105" s="86">
        <v>0.5</v>
      </c>
      <c r="V105" s="86">
        <v>1000.0</v>
      </c>
      <c r="W105" s="86">
        <v>1065.0</v>
      </c>
      <c r="X105" s="86">
        <v>1.0</v>
      </c>
      <c r="Y105" s="86">
        <v>2006.0</v>
      </c>
      <c r="Z105" s="86">
        <v>1.0</v>
      </c>
      <c r="AA105" s="86">
        <v>0.03</v>
      </c>
    </row>
    <row r="106" ht="12.75" customHeight="1">
      <c r="A106" s="86">
        <v>1104.0</v>
      </c>
      <c r="B106" s="86" t="s">
        <v>3948</v>
      </c>
      <c r="C106" s="86">
        <v>53.0</v>
      </c>
      <c r="D106" s="86" t="s">
        <v>3654</v>
      </c>
      <c r="E106" s="86">
        <v>1.0</v>
      </c>
      <c r="F106" s="86">
        <v>0.058</v>
      </c>
      <c r="G106" s="86">
        <v>8001.0</v>
      </c>
      <c r="H106" s="86">
        <v>70.0</v>
      </c>
      <c r="I106" s="86">
        <v>1.0</v>
      </c>
      <c r="J106" s="86">
        <v>8000.0</v>
      </c>
      <c r="K106" s="86">
        <v>105.0</v>
      </c>
      <c r="L106" s="86">
        <v>1.0</v>
      </c>
      <c r="M106" s="86">
        <v>2007.0</v>
      </c>
      <c r="N106" s="86">
        <v>1.0</v>
      </c>
      <c r="O106" s="141">
        <v>0.25</v>
      </c>
      <c r="P106" s="86">
        <v>9000.0</v>
      </c>
      <c r="Q106" s="86">
        <v>21.0</v>
      </c>
      <c r="R106" s="86">
        <v>1.0</v>
      </c>
      <c r="S106" s="86" t="s">
        <v>3657</v>
      </c>
      <c r="T106" s="86">
        <v>3.0</v>
      </c>
      <c r="U106" s="86">
        <v>0.5</v>
      </c>
      <c r="V106" s="86">
        <v>1000.0</v>
      </c>
      <c r="W106" s="86">
        <v>1075.0</v>
      </c>
      <c r="X106" s="86">
        <v>1.0</v>
      </c>
      <c r="Y106" s="86">
        <v>2006.0</v>
      </c>
      <c r="Z106" s="86">
        <v>1.0</v>
      </c>
      <c r="AA106" s="86">
        <v>0.03</v>
      </c>
    </row>
    <row r="107" ht="12.75" customHeight="1">
      <c r="A107" s="86">
        <v>1105.0</v>
      </c>
      <c r="B107" s="86" t="s">
        <v>3949</v>
      </c>
      <c r="C107" s="86">
        <v>53.0</v>
      </c>
      <c r="D107" s="86" t="s">
        <v>3654</v>
      </c>
      <c r="E107" s="86">
        <v>1.0</v>
      </c>
      <c r="F107" s="86">
        <v>0.058</v>
      </c>
      <c r="G107" s="86">
        <v>8001.0</v>
      </c>
      <c r="H107" s="86">
        <v>70.0</v>
      </c>
      <c r="I107" s="86">
        <v>1.0</v>
      </c>
      <c r="J107" s="86">
        <v>8000.0</v>
      </c>
      <c r="K107" s="86">
        <v>105.0</v>
      </c>
      <c r="L107" s="86">
        <v>1.0</v>
      </c>
      <c r="M107" s="86">
        <v>2007.0</v>
      </c>
      <c r="N107" s="86">
        <v>1.0</v>
      </c>
      <c r="O107" s="141">
        <v>0.25</v>
      </c>
      <c r="P107" s="86">
        <v>9000.0</v>
      </c>
      <c r="Q107" s="86">
        <v>21.0</v>
      </c>
      <c r="R107" s="86">
        <v>1.0</v>
      </c>
      <c r="S107" s="86" t="s">
        <v>3657</v>
      </c>
      <c r="T107" s="86">
        <v>3.0</v>
      </c>
      <c r="U107" s="86">
        <v>0.5</v>
      </c>
      <c r="V107" s="86">
        <v>1000.0</v>
      </c>
      <c r="W107" s="86">
        <v>1085.0</v>
      </c>
      <c r="X107" s="86">
        <v>1.0</v>
      </c>
      <c r="Y107" s="86">
        <v>2006.0</v>
      </c>
      <c r="Z107" s="86">
        <v>1.0</v>
      </c>
      <c r="AA107" s="86">
        <v>0.03</v>
      </c>
    </row>
    <row r="108" ht="12.75" customHeight="1">
      <c r="A108" s="86">
        <v>1106.0</v>
      </c>
      <c r="B108" s="86" t="s">
        <v>3950</v>
      </c>
      <c r="C108" s="86">
        <v>54.0</v>
      </c>
      <c r="D108" s="86" t="s">
        <v>3654</v>
      </c>
      <c r="E108" s="86">
        <v>1.0</v>
      </c>
      <c r="F108" s="86">
        <v>0.058</v>
      </c>
      <c r="G108" s="86">
        <v>8001.0</v>
      </c>
      <c r="H108" s="86">
        <v>70.0</v>
      </c>
      <c r="I108" s="86">
        <v>1.0</v>
      </c>
      <c r="J108" s="86">
        <v>8000.0</v>
      </c>
      <c r="K108" s="86">
        <v>105.0</v>
      </c>
      <c r="L108" s="86">
        <v>1.0</v>
      </c>
      <c r="M108" s="86">
        <v>2007.0</v>
      </c>
      <c r="N108" s="86">
        <v>1.0</v>
      </c>
      <c r="O108" s="141">
        <v>0.25</v>
      </c>
      <c r="P108" s="86">
        <v>9000.0</v>
      </c>
      <c r="Q108" s="86">
        <v>22.0</v>
      </c>
      <c r="R108" s="86">
        <v>1.0</v>
      </c>
      <c r="S108" s="86" t="s">
        <v>3657</v>
      </c>
      <c r="T108" s="86">
        <v>3.0</v>
      </c>
      <c r="U108" s="86">
        <v>0.5</v>
      </c>
      <c r="V108" s="86">
        <v>1000.0</v>
      </c>
      <c r="W108" s="86">
        <v>1090.0</v>
      </c>
      <c r="X108" s="86">
        <v>1.0</v>
      </c>
      <c r="Y108" s="86">
        <v>2006.0</v>
      </c>
      <c r="Z108" s="86">
        <v>1.0</v>
      </c>
      <c r="AA108" s="86">
        <v>0.03</v>
      </c>
    </row>
    <row r="109" ht="12.75" customHeight="1">
      <c r="A109" s="86">
        <v>1107.0</v>
      </c>
      <c r="B109" s="86" t="s">
        <v>3951</v>
      </c>
      <c r="C109" s="86">
        <v>54.0</v>
      </c>
      <c r="D109" s="86" t="s">
        <v>3654</v>
      </c>
      <c r="E109" s="86">
        <v>1.0</v>
      </c>
      <c r="F109" s="86">
        <v>0.058</v>
      </c>
      <c r="G109" s="86">
        <v>8001.0</v>
      </c>
      <c r="H109" s="86">
        <v>70.0</v>
      </c>
      <c r="I109" s="86">
        <v>1.0</v>
      </c>
      <c r="J109" s="86">
        <v>8000.0</v>
      </c>
      <c r="K109" s="86">
        <v>105.0</v>
      </c>
      <c r="L109" s="86">
        <v>1.0</v>
      </c>
      <c r="M109" s="86">
        <v>2007.0</v>
      </c>
      <c r="N109" s="86">
        <v>1.0</v>
      </c>
      <c r="O109" s="141">
        <v>0.25</v>
      </c>
      <c r="P109" s="86">
        <v>9000.0</v>
      </c>
      <c r="Q109" s="86">
        <v>22.0</v>
      </c>
      <c r="R109" s="86">
        <v>1.0</v>
      </c>
      <c r="S109" s="86" t="s">
        <v>3657</v>
      </c>
      <c r="T109" s="86">
        <v>4.0</v>
      </c>
      <c r="U109" s="86">
        <v>0.5</v>
      </c>
      <c r="V109" s="86">
        <v>1000.0</v>
      </c>
      <c r="W109" s="86">
        <v>1100.0</v>
      </c>
      <c r="X109" s="86">
        <v>1.0</v>
      </c>
      <c r="Y109" s="86">
        <v>2006.0</v>
      </c>
      <c r="Z109" s="86">
        <v>1.0</v>
      </c>
      <c r="AA109" s="86">
        <v>0.03</v>
      </c>
    </row>
    <row r="110" ht="12.75" customHeight="1">
      <c r="A110" s="86">
        <v>1108.0</v>
      </c>
      <c r="B110" s="86" t="s">
        <v>3953</v>
      </c>
      <c r="C110" s="86">
        <v>55.0</v>
      </c>
      <c r="D110" s="86" t="s">
        <v>3654</v>
      </c>
      <c r="E110" s="86">
        <v>1.0</v>
      </c>
      <c r="F110" s="86">
        <v>0.059</v>
      </c>
      <c r="G110" s="86">
        <v>8001.0</v>
      </c>
      <c r="H110" s="86">
        <v>70.0</v>
      </c>
      <c r="I110" s="86">
        <v>1.0</v>
      </c>
      <c r="J110" s="86">
        <v>8000.0</v>
      </c>
      <c r="K110" s="86">
        <v>105.0</v>
      </c>
      <c r="L110" s="86">
        <v>1.0</v>
      </c>
      <c r="M110" s="86">
        <v>2007.0</v>
      </c>
      <c r="N110" s="86">
        <v>1.0</v>
      </c>
      <c r="O110" s="141">
        <v>0.25</v>
      </c>
      <c r="P110" s="86">
        <v>9000.0</v>
      </c>
      <c r="Q110" s="86">
        <v>22.0</v>
      </c>
      <c r="R110" s="86">
        <v>1.0</v>
      </c>
      <c r="S110" s="86" t="s">
        <v>3657</v>
      </c>
      <c r="T110" s="86">
        <v>4.0</v>
      </c>
      <c r="U110" s="86">
        <v>0.5</v>
      </c>
      <c r="V110" s="86">
        <v>1000.0</v>
      </c>
      <c r="W110" s="86">
        <v>1110.0</v>
      </c>
      <c r="X110" s="86">
        <v>1.0</v>
      </c>
      <c r="Y110" s="86">
        <v>2006.0</v>
      </c>
      <c r="Z110" s="86">
        <v>1.0</v>
      </c>
      <c r="AA110" s="86">
        <v>0.03</v>
      </c>
    </row>
    <row r="111" ht="12.75" customHeight="1">
      <c r="A111" s="86">
        <v>1109.0</v>
      </c>
      <c r="B111" s="86" t="s">
        <v>3954</v>
      </c>
      <c r="C111" s="86">
        <v>55.0</v>
      </c>
      <c r="D111" s="86" t="s">
        <v>3654</v>
      </c>
      <c r="E111" s="86">
        <v>1.0</v>
      </c>
      <c r="F111" s="86">
        <v>0.059</v>
      </c>
      <c r="G111" s="86">
        <v>8001.0</v>
      </c>
      <c r="H111" s="86">
        <v>70.0</v>
      </c>
      <c r="I111" s="86">
        <v>1.0</v>
      </c>
      <c r="J111" s="86">
        <v>8000.0</v>
      </c>
      <c r="K111" s="86">
        <v>105.0</v>
      </c>
      <c r="L111" s="86">
        <v>1.0</v>
      </c>
      <c r="M111" s="86">
        <v>2007.0</v>
      </c>
      <c r="N111" s="86">
        <v>1.0</v>
      </c>
      <c r="O111" s="141">
        <v>0.25</v>
      </c>
      <c r="P111" s="86">
        <v>9000.0</v>
      </c>
      <c r="Q111" s="86">
        <v>22.0</v>
      </c>
      <c r="R111" s="86">
        <v>1.0</v>
      </c>
      <c r="S111" s="86" t="s">
        <v>3657</v>
      </c>
      <c r="T111" s="86">
        <v>4.0</v>
      </c>
      <c r="U111" s="86">
        <v>0.5</v>
      </c>
      <c r="V111" s="86">
        <v>1000.0</v>
      </c>
      <c r="W111" s="86">
        <v>1115.0</v>
      </c>
      <c r="X111" s="86">
        <v>1.0</v>
      </c>
      <c r="Y111" s="86">
        <v>2006.0</v>
      </c>
      <c r="Z111" s="86">
        <v>1.0</v>
      </c>
      <c r="AA111" s="86">
        <v>0.03</v>
      </c>
    </row>
    <row r="112" ht="12.75" customHeight="1">
      <c r="A112" s="86">
        <v>1110.0</v>
      </c>
      <c r="B112" s="86" t="s">
        <v>3956</v>
      </c>
      <c r="C112" s="86">
        <v>56.0</v>
      </c>
      <c r="D112" s="86" t="s">
        <v>3654</v>
      </c>
      <c r="E112" s="86">
        <v>1.0</v>
      </c>
      <c r="F112" s="86">
        <v>0.059</v>
      </c>
      <c r="G112" s="86">
        <v>8001.0</v>
      </c>
      <c r="H112" s="86">
        <v>70.0</v>
      </c>
      <c r="I112" s="86">
        <v>1.0</v>
      </c>
      <c r="J112" s="86">
        <v>8000.0</v>
      </c>
      <c r="K112" s="86">
        <v>110.0</v>
      </c>
      <c r="L112" s="86">
        <v>1.0</v>
      </c>
      <c r="M112" s="86">
        <v>2007.0</v>
      </c>
      <c r="N112" s="86">
        <v>1.0</v>
      </c>
      <c r="O112" s="141">
        <v>0.25</v>
      </c>
      <c r="P112" s="86">
        <v>9000.0</v>
      </c>
      <c r="Q112" s="86">
        <v>22.0</v>
      </c>
      <c r="R112" s="86">
        <v>1.0</v>
      </c>
      <c r="S112" s="86" t="s">
        <v>3657</v>
      </c>
      <c r="T112" s="86">
        <v>4.0</v>
      </c>
      <c r="U112" s="86">
        <v>0.5</v>
      </c>
      <c r="V112" s="86">
        <v>1000.0</v>
      </c>
      <c r="W112" s="86">
        <v>1125.0</v>
      </c>
      <c r="X112" s="86">
        <v>1.0</v>
      </c>
      <c r="Y112" s="86">
        <v>2006.0</v>
      </c>
      <c r="Z112" s="86">
        <v>1.0</v>
      </c>
      <c r="AA112" s="86">
        <v>0.03</v>
      </c>
    </row>
    <row r="113" ht="12.75" customHeight="1">
      <c r="A113" s="86">
        <v>1111.0</v>
      </c>
      <c r="B113" s="86" t="s">
        <v>3958</v>
      </c>
      <c r="C113" s="86">
        <v>56.0</v>
      </c>
      <c r="D113" s="86" t="s">
        <v>3654</v>
      </c>
      <c r="E113" s="86">
        <v>1.0</v>
      </c>
      <c r="F113" s="86">
        <v>0.059</v>
      </c>
      <c r="G113" s="86">
        <v>8001.0</v>
      </c>
      <c r="H113" s="86">
        <v>75.0</v>
      </c>
      <c r="I113" s="86">
        <v>1.0</v>
      </c>
      <c r="J113" s="86">
        <v>8000.0</v>
      </c>
      <c r="K113" s="86">
        <v>110.0</v>
      </c>
      <c r="L113" s="86">
        <v>1.0</v>
      </c>
      <c r="M113" s="86">
        <v>2007.0</v>
      </c>
      <c r="N113" s="86">
        <v>1.0</v>
      </c>
      <c r="O113" s="141">
        <v>0.25</v>
      </c>
      <c r="P113" s="86">
        <v>9000.0</v>
      </c>
      <c r="Q113" s="86">
        <v>23.0</v>
      </c>
      <c r="R113" s="86">
        <v>1.0</v>
      </c>
      <c r="S113" s="86" t="s">
        <v>3657</v>
      </c>
      <c r="T113" s="86">
        <v>4.0</v>
      </c>
      <c r="U113" s="86">
        <v>0.5</v>
      </c>
      <c r="V113" s="86">
        <v>1000.0</v>
      </c>
      <c r="W113" s="86">
        <v>1135.0</v>
      </c>
      <c r="X113" s="86">
        <v>1.0</v>
      </c>
      <c r="Y113" s="86">
        <v>2006.0</v>
      </c>
      <c r="Z113" s="86">
        <v>1.0</v>
      </c>
      <c r="AA113" s="86">
        <v>0.03</v>
      </c>
    </row>
    <row r="114" ht="12.75" customHeight="1">
      <c r="A114" s="86">
        <v>1112.0</v>
      </c>
      <c r="B114" s="86" t="s">
        <v>3959</v>
      </c>
      <c r="C114" s="86">
        <v>57.0</v>
      </c>
      <c r="D114" s="86" t="s">
        <v>3654</v>
      </c>
      <c r="E114" s="86">
        <v>1.0</v>
      </c>
      <c r="F114" s="86">
        <v>0.059</v>
      </c>
      <c r="G114" s="86">
        <v>8001.0</v>
      </c>
      <c r="H114" s="86">
        <v>75.0</v>
      </c>
      <c r="I114" s="86">
        <v>1.0</v>
      </c>
      <c r="J114" s="86">
        <v>8000.0</v>
      </c>
      <c r="K114" s="86">
        <v>110.0</v>
      </c>
      <c r="L114" s="86">
        <v>1.0</v>
      </c>
      <c r="M114" s="86">
        <v>2007.0</v>
      </c>
      <c r="N114" s="86">
        <v>1.0</v>
      </c>
      <c r="O114" s="141">
        <v>0.25</v>
      </c>
      <c r="P114" s="86">
        <v>9000.0</v>
      </c>
      <c r="Q114" s="86">
        <v>23.0</v>
      </c>
      <c r="R114" s="86">
        <v>1.0</v>
      </c>
      <c r="S114" s="86" t="s">
        <v>3657</v>
      </c>
      <c r="T114" s="86">
        <v>4.0</v>
      </c>
      <c r="U114" s="86">
        <v>0.5</v>
      </c>
      <c r="V114" s="86">
        <v>1000.0</v>
      </c>
      <c r="W114" s="86">
        <v>1140.0</v>
      </c>
      <c r="X114" s="86">
        <v>1.0</v>
      </c>
      <c r="Y114" s="86">
        <v>2006.0</v>
      </c>
      <c r="Z114" s="86">
        <v>1.0</v>
      </c>
      <c r="AA114" s="86">
        <v>0.03</v>
      </c>
    </row>
    <row r="115" ht="12.75" customHeight="1">
      <c r="A115" s="86">
        <v>1113.0</v>
      </c>
      <c r="B115" s="86" t="s">
        <v>3960</v>
      </c>
      <c r="C115" s="86">
        <v>57.0</v>
      </c>
      <c r="D115" s="86" t="s">
        <v>3654</v>
      </c>
      <c r="E115" s="86">
        <v>1.0</v>
      </c>
      <c r="F115" s="86">
        <v>0.059</v>
      </c>
      <c r="G115" s="86">
        <v>8001.0</v>
      </c>
      <c r="H115" s="86">
        <v>75.0</v>
      </c>
      <c r="I115" s="86">
        <v>1.0</v>
      </c>
      <c r="J115" s="86">
        <v>8000.0</v>
      </c>
      <c r="K115" s="86">
        <v>110.0</v>
      </c>
      <c r="L115" s="86">
        <v>1.0</v>
      </c>
      <c r="M115" s="86">
        <v>2007.0</v>
      </c>
      <c r="N115" s="86">
        <v>1.0</v>
      </c>
      <c r="O115" s="141">
        <v>0.25</v>
      </c>
      <c r="P115" s="86">
        <v>9000.0</v>
      </c>
      <c r="Q115" s="86">
        <v>23.0</v>
      </c>
      <c r="R115" s="86">
        <v>1.0</v>
      </c>
      <c r="S115" s="86" t="s">
        <v>3657</v>
      </c>
      <c r="T115" s="86">
        <v>4.0</v>
      </c>
      <c r="U115" s="86">
        <v>0.5</v>
      </c>
      <c r="V115" s="86">
        <v>1000.0</v>
      </c>
      <c r="W115" s="86">
        <v>1150.0</v>
      </c>
      <c r="X115" s="86">
        <v>1.0</v>
      </c>
      <c r="Y115" s="86">
        <v>2006.0</v>
      </c>
      <c r="Z115" s="86">
        <v>1.0</v>
      </c>
      <c r="AA115" s="86">
        <v>0.03</v>
      </c>
    </row>
    <row r="116" ht="12.75" customHeight="1">
      <c r="A116" s="86">
        <v>1114.0</v>
      </c>
      <c r="B116" s="86" t="s">
        <v>3933</v>
      </c>
      <c r="C116" s="86">
        <v>58.0</v>
      </c>
      <c r="D116" s="86" t="s">
        <v>3654</v>
      </c>
      <c r="E116" s="86">
        <v>1.0</v>
      </c>
      <c r="F116" s="86">
        <v>0.059</v>
      </c>
      <c r="G116" s="86">
        <v>8001.0</v>
      </c>
      <c r="H116" s="86">
        <v>75.0</v>
      </c>
      <c r="I116" s="86">
        <v>1.0</v>
      </c>
      <c r="J116" s="86">
        <v>8000.0</v>
      </c>
      <c r="K116" s="86">
        <v>110.0</v>
      </c>
      <c r="L116" s="86">
        <v>1.0</v>
      </c>
      <c r="M116" s="86">
        <v>2007.0</v>
      </c>
      <c r="N116" s="86">
        <v>1.0</v>
      </c>
      <c r="O116" s="141">
        <v>0.25</v>
      </c>
      <c r="P116" s="86">
        <v>9000.0</v>
      </c>
      <c r="Q116" s="86">
        <v>23.0</v>
      </c>
      <c r="R116" s="86">
        <v>1.0</v>
      </c>
      <c r="S116" s="86" t="s">
        <v>3657</v>
      </c>
      <c r="T116" s="86">
        <v>4.0</v>
      </c>
      <c r="U116" s="86">
        <v>0.5</v>
      </c>
      <c r="V116" s="86">
        <v>1000.0</v>
      </c>
      <c r="W116" s="86">
        <v>1160.0</v>
      </c>
      <c r="X116" s="86">
        <v>1.0</v>
      </c>
      <c r="Y116" s="86">
        <v>2006.0</v>
      </c>
      <c r="Z116" s="86">
        <v>1.0</v>
      </c>
      <c r="AA116" s="86">
        <v>0.03</v>
      </c>
    </row>
    <row r="117" ht="12.75" customHeight="1">
      <c r="A117" s="86">
        <v>1115.0</v>
      </c>
      <c r="B117" s="86" t="s">
        <v>3963</v>
      </c>
      <c r="C117" s="86">
        <v>58.0</v>
      </c>
      <c r="D117" s="86" t="s">
        <v>3654</v>
      </c>
      <c r="E117" s="86">
        <v>1.0</v>
      </c>
      <c r="F117" s="86">
        <v>0.06</v>
      </c>
      <c r="G117" s="86">
        <v>8001.0</v>
      </c>
      <c r="H117" s="86">
        <v>75.0</v>
      </c>
      <c r="I117" s="86">
        <v>1.0</v>
      </c>
      <c r="J117" s="86">
        <v>8000.0</v>
      </c>
      <c r="K117" s="86">
        <v>110.0</v>
      </c>
      <c r="L117" s="86">
        <v>1.0</v>
      </c>
      <c r="M117" s="86">
        <v>2007.0</v>
      </c>
      <c r="N117" s="86">
        <v>1.0</v>
      </c>
      <c r="O117" s="141">
        <v>0.25</v>
      </c>
      <c r="P117" s="86">
        <v>9000.0</v>
      </c>
      <c r="Q117" s="86">
        <v>23.0</v>
      </c>
      <c r="R117" s="86">
        <v>1.0</v>
      </c>
      <c r="S117" s="86" t="s">
        <v>3657</v>
      </c>
      <c r="T117" s="86">
        <v>4.0</v>
      </c>
      <c r="U117" s="86">
        <v>0.5</v>
      </c>
      <c r="V117" s="86">
        <v>1000.0</v>
      </c>
      <c r="W117" s="86">
        <v>1165.0</v>
      </c>
      <c r="X117" s="86">
        <v>1.0</v>
      </c>
      <c r="Y117" s="86">
        <v>2006.0</v>
      </c>
      <c r="Z117" s="86">
        <v>1.0</v>
      </c>
      <c r="AA117" s="86">
        <v>0.03</v>
      </c>
    </row>
    <row r="118" ht="12.75" customHeight="1">
      <c r="A118" s="86">
        <v>1116.0</v>
      </c>
      <c r="B118" s="86" t="s">
        <v>3965</v>
      </c>
      <c r="C118" s="86">
        <v>59.0</v>
      </c>
      <c r="D118" s="86" t="s">
        <v>3654</v>
      </c>
      <c r="E118" s="86">
        <v>1.0</v>
      </c>
      <c r="F118" s="86">
        <v>0.06</v>
      </c>
      <c r="G118" s="86">
        <v>8001.0</v>
      </c>
      <c r="H118" s="86">
        <v>75.0</v>
      </c>
      <c r="I118" s="86">
        <v>1.0</v>
      </c>
      <c r="J118" s="86">
        <v>8000.0</v>
      </c>
      <c r="K118" s="86">
        <v>115.0</v>
      </c>
      <c r="L118" s="86">
        <v>1.0</v>
      </c>
      <c r="M118" s="86">
        <v>2007.0</v>
      </c>
      <c r="N118" s="86">
        <v>1.0</v>
      </c>
      <c r="O118" s="141">
        <v>0.25</v>
      </c>
      <c r="P118" s="86">
        <v>9000.0</v>
      </c>
      <c r="Q118" s="86">
        <v>24.0</v>
      </c>
      <c r="R118" s="86">
        <v>1.0</v>
      </c>
      <c r="S118" s="86" t="s">
        <v>3657</v>
      </c>
      <c r="T118" s="86">
        <v>4.0</v>
      </c>
      <c r="U118" s="86">
        <v>0.5</v>
      </c>
      <c r="V118" s="86">
        <v>1000.0</v>
      </c>
      <c r="W118" s="86">
        <v>1175.0</v>
      </c>
      <c r="X118" s="86">
        <v>1.0</v>
      </c>
      <c r="Y118" s="86">
        <v>2006.0</v>
      </c>
      <c r="Z118" s="86">
        <v>1.0</v>
      </c>
      <c r="AA118" s="86">
        <v>0.03</v>
      </c>
    </row>
    <row r="119" ht="12.75" customHeight="1">
      <c r="A119" s="86">
        <v>1117.0</v>
      </c>
      <c r="B119" s="86" t="s">
        <v>3930</v>
      </c>
      <c r="C119" s="86">
        <v>59.0</v>
      </c>
      <c r="D119" s="86" t="s">
        <v>3654</v>
      </c>
      <c r="E119" s="86">
        <v>1.0</v>
      </c>
      <c r="F119" s="86">
        <v>0.06</v>
      </c>
      <c r="G119" s="86">
        <v>8001.0</v>
      </c>
      <c r="H119" s="86">
        <v>75.0</v>
      </c>
      <c r="I119" s="86">
        <v>1.0</v>
      </c>
      <c r="J119" s="86">
        <v>8000.0</v>
      </c>
      <c r="K119" s="86">
        <v>115.0</v>
      </c>
      <c r="L119" s="86">
        <v>1.0</v>
      </c>
      <c r="M119" s="86">
        <v>2007.0</v>
      </c>
      <c r="N119" s="86">
        <v>1.0</v>
      </c>
      <c r="O119" s="141">
        <v>0.25</v>
      </c>
      <c r="P119" s="86">
        <v>9000.0</v>
      </c>
      <c r="Q119" s="86">
        <v>24.0</v>
      </c>
      <c r="R119" s="86">
        <v>1.0</v>
      </c>
      <c r="S119" s="86" t="s">
        <v>3657</v>
      </c>
      <c r="T119" s="86">
        <v>4.0</v>
      </c>
      <c r="U119" s="86">
        <v>0.5</v>
      </c>
      <c r="V119" s="86">
        <v>1000.0</v>
      </c>
      <c r="W119" s="86">
        <v>1185.0</v>
      </c>
      <c r="X119" s="86">
        <v>1.0</v>
      </c>
      <c r="Y119" s="86">
        <v>2006.0</v>
      </c>
      <c r="Z119" s="86">
        <v>1.0</v>
      </c>
      <c r="AA119" s="86">
        <v>0.03</v>
      </c>
    </row>
    <row r="120" ht="12.75" customHeight="1">
      <c r="A120" s="86">
        <v>1118.0</v>
      </c>
      <c r="B120" s="86" t="s">
        <v>3969</v>
      </c>
      <c r="C120" s="86">
        <v>60.0</v>
      </c>
      <c r="D120" s="86" t="s">
        <v>3654</v>
      </c>
      <c r="E120" s="86">
        <v>1.0</v>
      </c>
      <c r="F120" s="86">
        <v>0.06</v>
      </c>
      <c r="G120" s="86">
        <v>8001.0</v>
      </c>
      <c r="H120" s="86">
        <v>75.0</v>
      </c>
      <c r="I120" s="86">
        <v>1.0</v>
      </c>
      <c r="J120" s="86">
        <v>8000.0</v>
      </c>
      <c r="K120" s="86">
        <v>115.0</v>
      </c>
      <c r="L120" s="86">
        <v>1.0</v>
      </c>
      <c r="M120" s="86">
        <v>2007.0</v>
      </c>
      <c r="N120" s="86">
        <v>1.0</v>
      </c>
      <c r="O120" s="141">
        <v>0.25</v>
      </c>
      <c r="P120" s="86">
        <v>9000.0</v>
      </c>
      <c r="Q120" s="86">
        <v>24.0</v>
      </c>
      <c r="R120" s="86">
        <v>1.0</v>
      </c>
      <c r="S120" s="86" t="s">
        <v>3657</v>
      </c>
      <c r="T120" s="86">
        <v>4.0</v>
      </c>
      <c r="U120" s="86">
        <v>0.5</v>
      </c>
      <c r="V120" s="86">
        <v>1000.0</v>
      </c>
      <c r="W120" s="86">
        <v>1195.0</v>
      </c>
      <c r="X120" s="86">
        <v>1.0</v>
      </c>
      <c r="Y120" s="86">
        <v>2006.0</v>
      </c>
      <c r="Z120" s="86">
        <v>1.0</v>
      </c>
      <c r="AA120" s="86">
        <v>0.03</v>
      </c>
    </row>
    <row r="121" ht="12.75" customHeight="1">
      <c r="A121" s="86">
        <v>1119.0</v>
      </c>
      <c r="B121" s="86" t="s">
        <v>3971</v>
      </c>
      <c r="C121" s="86">
        <v>60.0</v>
      </c>
      <c r="D121" s="86" t="s">
        <v>3654</v>
      </c>
      <c r="E121" s="86">
        <v>1.0</v>
      </c>
      <c r="F121" s="86">
        <v>0.06</v>
      </c>
      <c r="G121" s="86">
        <v>8001.0</v>
      </c>
      <c r="H121" s="86">
        <v>75.0</v>
      </c>
      <c r="I121" s="86">
        <v>1.0</v>
      </c>
      <c r="J121" s="86">
        <v>8000.0</v>
      </c>
      <c r="K121" s="86">
        <v>115.0</v>
      </c>
      <c r="L121" s="86">
        <v>1.0</v>
      </c>
      <c r="M121" s="86">
        <v>2007.0</v>
      </c>
      <c r="N121" s="86">
        <v>1.0</v>
      </c>
      <c r="O121" s="141">
        <v>0.25</v>
      </c>
      <c r="P121" s="86">
        <v>9000.0</v>
      </c>
      <c r="Q121" s="86">
        <v>24.0</v>
      </c>
      <c r="R121" s="86">
        <v>1.0</v>
      </c>
      <c r="S121" s="86" t="s">
        <v>3657</v>
      </c>
      <c r="T121" s="86">
        <v>4.0</v>
      </c>
      <c r="U121" s="86">
        <v>0.5</v>
      </c>
      <c r="V121" s="86">
        <v>1000.0</v>
      </c>
      <c r="W121" s="86">
        <v>1205.0</v>
      </c>
      <c r="X121" s="86">
        <v>1.0</v>
      </c>
      <c r="Y121" s="86">
        <v>2006.0</v>
      </c>
      <c r="Z121" s="86">
        <v>1.0</v>
      </c>
      <c r="AA121" s="86">
        <v>0.03</v>
      </c>
    </row>
    <row r="122" ht="12.75" customHeight="1">
      <c r="A122" s="86">
        <v>1120.0</v>
      </c>
      <c r="B122" s="86" t="s">
        <v>3973</v>
      </c>
      <c r="C122" s="86">
        <v>61.0</v>
      </c>
      <c r="D122" s="86" t="s">
        <v>3654</v>
      </c>
      <c r="E122" s="86">
        <v>1.0</v>
      </c>
      <c r="F122" s="86">
        <v>0.06</v>
      </c>
      <c r="G122" s="86">
        <v>8001.0</v>
      </c>
      <c r="H122" s="86">
        <v>80.0</v>
      </c>
      <c r="I122" s="86">
        <v>1.0</v>
      </c>
      <c r="J122" s="86">
        <v>8000.0</v>
      </c>
      <c r="K122" s="86">
        <v>115.0</v>
      </c>
      <c r="L122" s="86">
        <v>1.0</v>
      </c>
      <c r="M122" s="86">
        <v>2007.0</v>
      </c>
      <c r="N122" s="86">
        <v>1.0</v>
      </c>
      <c r="O122" s="141">
        <v>0.25</v>
      </c>
      <c r="P122" s="86">
        <v>9000.0</v>
      </c>
      <c r="Q122" s="86">
        <v>25.0</v>
      </c>
      <c r="R122" s="86">
        <v>1.0</v>
      </c>
      <c r="S122" s="86" t="s">
        <v>3657</v>
      </c>
      <c r="T122" s="86">
        <v>4.0</v>
      </c>
      <c r="U122" s="86">
        <v>0.5</v>
      </c>
      <c r="V122" s="86">
        <v>1000.0</v>
      </c>
      <c r="W122" s="86">
        <v>1210.0</v>
      </c>
      <c r="X122" s="86">
        <v>1.0</v>
      </c>
      <c r="Y122" s="86">
        <v>2006.0</v>
      </c>
      <c r="Z122" s="86">
        <v>1.0</v>
      </c>
      <c r="AA122" s="86">
        <v>0.03</v>
      </c>
    </row>
    <row r="123" ht="12.75" customHeight="1">
      <c r="A123" s="86">
        <v>1121.0</v>
      </c>
      <c r="B123" s="86" t="s">
        <v>3976</v>
      </c>
      <c r="C123" s="86">
        <v>61.0</v>
      </c>
      <c r="D123" s="86" t="s">
        <v>3654</v>
      </c>
      <c r="E123" s="86">
        <v>1.0</v>
      </c>
      <c r="F123" s="86">
        <v>0.061</v>
      </c>
      <c r="G123" s="86">
        <v>8001.0</v>
      </c>
      <c r="H123" s="86">
        <v>80.0</v>
      </c>
      <c r="I123" s="86">
        <v>1.0</v>
      </c>
      <c r="J123" s="86">
        <v>8000.0</v>
      </c>
      <c r="K123" s="86">
        <v>115.0</v>
      </c>
      <c r="L123" s="86">
        <v>1.0</v>
      </c>
      <c r="M123" s="86">
        <v>2007.0</v>
      </c>
      <c r="N123" s="86">
        <v>1.0</v>
      </c>
      <c r="O123" s="141">
        <v>0.25</v>
      </c>
      <c r="P123" s="86">
        <v>9000.0</v>
      </c>
      <c r="Q123" s="86">
        <v>25.0</v>
      </c>
      <c r="R123" s="86">
        <v>1.0</v>
      </c>
      <c r="S123" s="86" t="s">
        <v>3657</v>
      </c>
      <c r="T123" s="86">
        <v>4.0</v>
      </c>
      <c r="U123" s="86">
        <v>0.5</v>
      </c>
      <c r="V123" s="86">
        <v>1000.0</v>
      </c>
      <c r="W123" s="86">
        <v>1220.0</v>
      </c>
      <c r="X123" s="86">
        <v>1.0</v>
      </c>
      <c r="Y123" s="86">
        <v>2006.0</v>
      </c>
      <c r="Z123" s="86">
        <v>1.0</v>
      </c>
      <c r="AA123" s="86">
        <v>0.03</v>
      </c>
    </row>
    <row r="124" ht="12.75" customHeight="1">
      <c r="A124" s="86">
        <v>1122.0</v>
      </c>
      <c r="B124" s="86" t="s">
        <v>3977</v>
      </c>
      <c r="C124" s="86">
        <v>62.0</v>
      </c>
      <c r="D124" s="86" t="s">
        <v>3654</v>
      </c>
      <c r="E124" s="86">
        <v>1.0</v>
      </c>
      <c r="F124" s="86">
        <v>0.061</v>
      </c>
      <c r="G124" s="86">
        <v>8001.0</v>
      </c>
      <c r="H124" s="86">
        <v>80.0</v>
      </c>
      <c r="I124" s="86">
        <v>1.0</v>
      </c>
      <c r="J124" s="86">
        <v>8000.0</v>
      </c>
      <c r="K124" s="86">
        <v>120.0</v>
      </c>
      <c r="L124" s="86">
        <v>1.0</v>
      </c>
      <c r="M124" s="86">
        <v>2007.0</v>
      </c>
      <c r="N124" s="86">
        <v>1.0</v>
      </c>
      <c r="O124" s="141">
        <v>0.25</v>
      </c>
      <c r="P124" s="86">
        <v>9000.0</v>
      </c>
      <c r="Q124" s="86">
        <v>25.0</v>
      </c>
      <c r="R124" s="86">
        <v>1.0</v>
      </c>
      <c r="S124" s="86" t="s">
        <v>3657</v>
      </c>
      <c r="T124" s="86">
        <v>4.0</v>
      </c>
      <c r="U124" s="86">
        <v>0.5</v>
      </c>
      <c r="V124" s="86">
        <v>1000.0</v>
      </c>
      <c r="W124" s="86">
        <v>1230.0</v>
      </c>
      <c r="X124" s="86">
        <v>1.0</v>
      </c>
      <c r="Y124" s="86">
        <v>2006.0</v>
      </c>
      <c r="Z124" s="86">
        <v>1.0</v>
      </c>
      <c r="AA124" s="86">
        <v>0.03</v>
      </c>
    </row>
    <row r="125" ht="12.75" customHeight="1">
      <c r="A125" s="86">
        <v>1123.0</v>
      </c>
      <c r="B125" s="86" t="s">
        <v>3978</v>
      </c>
      <c r="C125" s="86">
        <v>62.0</v>
      </c>
      <c r="D125" s="86" t="s">
        <v>3654</v>
      </c>
      <c r="E125" s="86">
        <v>1.0</v>
      </c>
      <c r="F125" s="86">
        <v>0.061</v>
      </c>
      <c r="G125" s="86">
        <v>8001.0</v>
      </c>
      <c r="H125" s="86">
        <v>80.0</v>
      </c>
      <c r="I125" s="86">
        <v>1.0</v>
      </c>
      <c r="J125" s="86">
        <v>8000.0</v>
      </c>
      <c r="K125" s="86">
        <v>120.0</v>
      </c>
      <c r="L125" s="86">
        <v>1.0</v>
      </c>
      <c r="M125" s="86">
        <v>2007.0</v>
      </c>
      <c r="N125" s="86">
        <v>1.0</v>
      </c>
      <c r="O125" s="141">
        <v>0.25</v>
      </c>
      <c r="P125" s="86">
        <v>9000.0</v>
      </c>
      <c r="Q125" s="86">
        <v>25.0</v>
      </c>
      <c r="R125" s="86">
        <v>1.0</v>
      </c>
      <c r="S125" s="86" t="s">
        <v>3657</v>
      </c>
      <c r="T125" s="86">
        <v>4.0</v>
      </c>
      <c r="U125" s="86">
        <v>0.5</v>
      </c>
      <c r="V125" s="86">
        <v>1000.0</v>
      </c>
      <c r="W125" s="86">
        <v>1240.0</v>
      </c>
      <c r="X125" s="86">
        <v>1.0</v>
      </c>
      <c r="Y125" s="86">
        <v>2006.0</v>
      </c>
      <c r="Z125" s="86">
        <v>1.0</v>
      </c>
      <c r="AA125" s="86">
        <v>0.03</v>
      </c>
    </row>
    <row r="126" ht="12.75" customHeight="1">
      <c r="A126" s="86">
        <v>1124.0</v>
      </c>
      <c r="B126" s="86" t="s">
        <v>3980</v>
      </c>
      <c r="C126" s="86">
        <v>63.0</v>
      </c>
      <c r="D126" s="86" t="s">
        <v>3654</v>
      </c>
      <c r="E126" s="86">
        <v>1.0</v>
      </c>
      <c r="F126" s="86">
        <v>0.061</v>
      </c>
      <c r="G126" s="86">
        <v>8001.0</v>
      </c>
      <c r="H126" s="86">
        <v>80.0</v>
      </c>
      <c r="I126" s="86">
        <v>1.0</v>
      </c>
      <c r="J126" s="86">
        <v>8000.0</v>
      </c>
      <c r="K126" s="86">
        <v>120.0</v>
      </c>
      <c r="L126" s="86">
        <v>1.0</v>
      </c>
      <c r="M126" s="86">
        <v>2007.0</v>
      </c>
      <c r="N126" s="86">
        <v>1.0</v>
      </c>
      <c r="O126" s="141">
        <v>0.25</v>
      </c>
      <c r="P126" s="86">
        <v>9000.0</v>
      </c>
      <c r="Q126" s="86">
        <v>26.0</v>
      </c>
      <c r="R126" s="86">
        <v>1.0</v>
      </c>
      <c r="S126" s="86" t="s">
        <v>3657</v>
      </c>
      <c r="T126" s="86">
        <v>4.0</v>
      </c>
      <c r="U126" s="86">
        <v>0.5</v>
      </c>
      <c r="V126" s="86">
        <v>1000.0</v>
      </c>
      <c r="W126" s="86">
        <v>1250.0</v>
      </c>
      <c r="X126" s="86">
        <v>1.0</v>
      </c>
      <c r="Y126" s="86">
        <v>2006.0</v>
      </c>
      <c r="Z126" s="86">
        <v>1.0</v>
      </c>
      <c r="AA126" s="86">
        <v>0.03</v>
      </c>
    </row>
    <row r="127" ht="12.75" customHeight="1">
      <c r="A127" s="86">
        <v>1125.0</v>
      </c>
      <c r="B127" s="86" t="s">
        <v>3982</v>
      </c>
      <c r="C127" s="86">
        <v>63.0</v>
      </c>
      <c r="D127" s="86" t="s">
        <v>3654</v>
      </c>
      <c r="E127" s="86">
        <v>1.0</v>
      </c>
      <c r="F127" s="86">
        <v>0.061</v>
      </c>
      <c r="G127" s="86">
        <v>8001.0</v>
      </c>
      <c r="H127" s="86">
        <v>80.0</v>
      </c>
      <c r="I127" s="86">
        <v>1.0</v>
      </c>
      <c r="J127" s="86">
        <v>8000.0</v>
      </c>
      <c r="K127" s="86">
        <v>120.0</v>
      </c>
      <c r="L127" s="86">
        <v>1.0</v>
      </c>
      <c r="M127" s="86">
        <v>2007.0</v>
      </c>
      <c r="N127" s="86">
        <v>1.0</v>
      </c>
      <c r="O127" s="141">
        <v>0.25</v>
      </c>
      <c r="P127" s="86">
        <v>9000.0</v>
      </c>
      <c r="Q127" s="86">
        <v>26.0</v>
      </c>
      <c r="R127" s="86">
        <v>1.0</v>
      </c>
      <c r="S127" s="86" t="s">
        <v>3657</v>
      </c>
      <c r="T127" s="86">
        <v>4.0</v>
      </c>
      <c r="U127" s="86">
        <v>0.5</v>
      </c>
      <c r="V127" s="86">
        <v>1000.0</v>
      </c>
      <c r="W127" s="86">
        <v>1260.0</v>
      </c>
      <c r="X127" s="86">
        <v>1.0</v>
      </c>
      <c r="Y127" s="86">
        <v>2006.0</v>
      </c>
      <c r="Z127" s="86">
        <v>1.0</v>
      </c>
      <c r="AA127" s="86">
        <v>0.03</v>
      </c>
    </row>
    <row r="128" ht="12.75" customHeight="1">
      <c r="A128" s="86">
        <v>1126.0</v>
      </c>
      <c r="B128" s="86" t="s">
        <v>3983</v>
      </c>
      <c r="C128" s="86">
        <v>64.0</v>
      </c>
      <c r="D128" s="86" t="s">
        <v>3654</v>
      </c>
      <c r="E128" s="86">
        <v>1.0</v>
      </c>
      <c r="F128" s="86">
        <v>0.061</v>
      </c>
      <c r="G128" s="86">
        <v>8001.0</v>
      </c>
      <c r="H128" s="86">
        <v>80.0</v>
      </c>
      <c r="I128" s="86">
        <v>1.0</v>
      </c>
      <c r="J128" s="86">
        <v>8000.0</v>
      </c>
      <c r="K128" s="86">
        <v>120.0</v>
      </c>
      <c r="L128" s="86">
        <v>1.0</v>
      </c>
      <c r="M128" s="86">
        <v>2007.0</v>
      </c>
      <c r="N128" s="86">
        <v>1.0</v>
      </c>
      <c r="O128" s="141">
        <v>0.25</v>
      </c>
      <c r="P128" s="86">
        <v>9000.0</v>
      </c>
      <c r="Q128" s="86">
        <v>26.0</v>
      </c>
      <c r="R128" s="86">
        <v>1.0</v>
      </c>
      <c r="S128" s="86" t="s">
        <v>3657</v>
      </c>
      <c r="T128" s="86">
        <v>4.0</v>
      </c>
      <c r="U128" s="86">
        <v>0.5</v>
      </c>
      <c r="V128" s="86">
        <v>1000.0</v>
      </c>
      <c r="W128" s="86">
        <v>1265.0</v>
      </c>
      <c r="X128" s="86">
        <v>1.0</v>
      </c>
      <c r="Y128" s="86">
        <v>2006.0</v>
      </c>
      <c r="Z128" s="86">
        <v>1.0</v>
      </c>
      <c r="AA128" s="86">
        <v>0.03</v>
      </c>
    </row>
    <row r="129" ht="12.75" customHeight="1">
      <c r="A129" s="86">
        <v>1127.0</v>
      </c>
      <c r="B129" s="86" t="s">
        <v>3984</v>
      </c>
      <c r="C129" s="86">
        <v>64.0</v>
      </c>
      <c r="D129" s="86" t="s">
        <v>3654</v>
      </c>
      <c r="E129" s="86">
        <v>1.0</v>
      </c>
      <c r="F129" s="86">
        <v>0.062</v>
      </c>
      <c r="G129" s="86">
        <v>8001.0</v>
      </c>
      <c r="H129" s="86">
        <v>80.0</v>
      </c>
      <c r="I129" s="86">
        <v>1.0</v>
      </c>
      <c r="J129" s="86">
        <v>8000.0</v>
      </c>
      <c r="K129" s="86">
        <v>125.0</v>
      </c>
      <c r="L129" s="86">
        <v>1.0</v>
      </c>
      <c r="M129" s="86">
        <v>2007.0</v>
      </c>
      <c r="N129" s="86">
        <v>1.0</v>
      </c>
      <c r="O129" s="141">
        <v>0.25</v>
      </c>
      <c r="P129" s="86">
        <v>9000.0</v>
      </c>
      <c r="Q129" s="86">
        <v>26.0</v>
      </c>
      <c r="R129" s="86">
        <v>1.0</v>
      </c>
      <c r="S129" s="86" t="s">
        <v>3657</v>
      </c>
      <c r="T129" s="86">
        <v>4.0</v>
      </c>
      <c r="U129" s="86">
        <v>0.5</v>
      </c>
      <c r="V129" s="86">
        <v>1000.0</v>
      </c>
      <c r="W129" s="86">
        <v>1275.0</v>
      </c>
      <c r="X129" s="86">
        <v>1.0</v>
      </c>
      <c r="Y129" s="86">
        <v>2006.0</v>
      </c>
      <c r="Z129" s="86">
        <v>1.0</v>
      </c>
      <c r="AA129" s="86">
        <v>0.03</v>
      </c>
    </row>
    <row r="130" ht="12.75" customHeight="1">
      <c r="A130" s="86">
        <v>1128.0</v>
      </c>
      <c r="B130" s="86" t="s">
        <v>3986</v>
      </c>
      <c r="C130" s="86">
        <v>65.0</v>
      </c>
      <c r="D130" s="86" t="s">
        <v>3654</v>
      </c>
      <c r="E130" s="86">
        <v>1.0</v>
      </c>
      <c r="F130" s="86">
        <v>0.062</v>
      </c>
      <c r="G130" s="86">
        <v>8001.0</v>
      </c>
      <c r="H130" s="86">
        <v>80.0</v>
      </c>
      <c r="I130" s="86">
        <v>1.0</v>
      </c>
      <c r="J130" s="86">
        <v>8000.0</v>
      </c>
      <c r="K130" s="86">
        <v>125.0</v>
      </c>
      <c r="L130" s="86">
        <v>1.0</v>
      </c>
      <c r="M130" s="86">
        <v>2007.0</v>
      </c>
      <c r="N130" s="86">
        <v>1.0</v>
      </c>
      <c r="O130" s="141">
        <v>0.25</v>
      </c>
      <c r="P130" s="86">
        <v>9000.0</v>
      </c>
      <c r="Q130" s="86">
        <v>26.0</v>
      </c>
      <c r="R130" s="86">
        <v>1.0</v>
      </c>
      <c r="S130" s="86" t="s">
        <v>3657</v>
      </c>
      <c r="T130" s="86">
        <v>4.0</v>
      </c>
      <c r="U130" s="86">
        <v>0.5</v>
      </c>
      <c r="V130" s="86">
        <v>1000.0</v>
      </c>
      <c r="W130" s="86">
        <v>1285.0</v>
      </c>
      <c r="X130" s="86">
        <v>1.0</v>
      </c>
      <c r="Y130" s="86">
        <v>2006.0</v>
      </c>
      <c r="Z130" s="86">
        <v>1.0</v>
      </c>
      <c r="AA130" s="86">
        <v>0.03</v>
      </c>
    </row>
    <row r="131" ht="12.75" customHeight="1">
      <c r="A131" s="86">
        <v>1129.0</v>
      </c>
      <c r="B131" s="86" t="s">
        <v>3987</v>
      </c>
      <c r="C131" s="86">
        <v>65.0</v>
      </c>
      <c r="D131" s="86" t="s">
        <v>3654</v>
      </c>
      <c r="E131" s="86">
        <v>1.0</v>
      </c>
      <c r="F131" s="86">
        <v>0.062</v>
      </c>
      <c r="G131" s="86">
        <v>8001.0</v>
      </c>
      <c r="H131" s="86">
        <v>85.0</v>
      </c>
      <c r="I131" s="86">
        <v>1.0</v>
      </c>
      <c r="J131" s="86">
        <v>8000.0</v>
      </c>
      <c r="K131" s="86">
        <v>125.0</v>
      </c>
      <c r="L131" s="86">
        <v>1.0</v>
      </c>
      <c r="M131" s="86">
        <v>2007.0</v>
      </c>
      <c r="N131" s="86">
        <v>1.0</v>
      </c>
      <c r="O131" s="141">
        <v>0.25</v>
      </c>
      <c r="P131" s="86">
        <v>9000.0</v>
      </c>
      <c r="Q131" s="86">
        <v>27.0</v>
      </c>
      <c r="R131" s="86">
        <v>1.0</v>
      </c>
      <c r="S131" s="86" t="s">
        <v>3657</v>
      </c>
      <c r="T131" s="86">
        <v>4.0</v>
      </c>
      <c r="U131" s="86">
        <v>0.5</v>
      </c>
      <c r="V131" s="86">
        <v>1000.0</v>
      </c>
      <c r="W131" s="86">
        <v>1295.0</v>
      </c>
      <c r="X131" s="86">
        <v>1.0</v>
      </c>
      <c r="Y131" s="86">
        <v>2006.0</v>
      </c>
      <c r="Z131" s="86">
        <v>1.0</v>
      </c>
      <c r="AA131" s="86">
        <v>0.03</v>
      </c>
    </row>
    <row r="132" ht="12.75" customHeight="1">
      <c r="A132" s="86">
        <v>1130.0</v>
      </c>
      <c r="B132" s="86" t="s">
        <v>3988</v>
      </c>
      <c r="C132" s="86">
        <v>66.0</v>
      </c>
      <c r="D132" s="86" t="s">
        <v>3654</v>
      </c>
      <c r="E132" s="86">
        <v>1.0</v>
      </c>
      <c r="F132" s="86">
        <v>0.062</v>
      </c>
      <c r="G132" s="86">
        <v>8001.0</v>
      </c>
      <c r="H132" s="86">
        <v>85.0</v>
      </c>
      <c r="I132" s="86">
        <v>1.0</v>
      </c>
      <c r="J132" s="86">
        <v>8000.0</v>
      </c>
      <c r="K132" s="86">
        <v>125.0</v>
      </c>
      <c r="L132" s="86">
        <v>1.0</v>
      </c>
      <c r="M132" s="86">
        <v>2007.0</v>
      </c>
      <c r="N132" s="86">
        <v>1.0</v>
      </c>
      <c r="O132" s="141">
        <v>0.25</v>
      </c>
      <c r="P132" s="86">
        <v>9000.0</v>
      </c>
      <c r="Q132" s="86">
        <v>27.0</v>
      </c>
      <c r="R132" s="86">
        <v>1.0</v>
      </c>
      <c r="S132" s="86" t="s">
        <v>3657</v>
      </c>
      <c r="T132" s="86">
        <v>4.0</v>
      </c>
      <c r="U132" s="86">
        <v>0.5</v>
      </c>
      <c r="V132" s="86">
        <v>1000.0</v>
      </c>
      <c r="W132" s="86">
        <v>1305.0</v>
      </c>
      <c r="X132" s="86">
        <v>1.0</v>
      </c>
      <c r="Y132" s="86">
        <v>2006.0</v>
      </c>
      <c r="Z132" s="86">
        <v>1.0</v>
      </c>
      <c r="AA132" s="86">
        <v>0.03</v>
      </c>
    </row>
    <row r="133" ht="12.75" customHeight="1">
      <c r="A133" s="86">
        <v>1131.0</v>
      </c>
      <c r="B133" s="86" t="s">
        <v>3990</v>
      </c>
      <c r="C133" s="86">
        <v>66.0</v>
      </c>
      <c r="D133" s="86" t="s">
        <v>3654</v>
      </c>
      <c r="E133" s="86">
        <v>1.0</v>
      </c>
      <c r="F133" s="86">
        <v>0.062</v>
      </c>
      <c r="G133" s="86">
        <v>8001.0</v>
      </c>
      <c r="H133" s="86">
        <v>85.0</v>
      </c>
      <c r="I133" s="86">
        <v>1.0</v>
      </c>
      <c r="J133" s="86">
        <v>8000.0</v>
      </c>
      <c r="K133" s="86">
        <v>125.0</v>
      </c>
      <c r="L133" s="86">
        <v>1.0</v>
      </c>
      <c r="M133" s="86">
        <v>2007.0</v>
      </c>
      <c r="N133" s="86">
        <v>1.0</v>
      </c>
      <c r="O133" s="141">
        <v>0.25</v>
      </c>
      <c r="P133" s="86">
        <v>9000.0</v>
      </c>
      <c r="Q133" s="86">
        <v>27.0</v>
      </c>
      <c r="R133" s="86">
        <v>1.0</v>
      </c>
      <c r="S133" s="86" t="s">
        <v>3657</v>
      </c>
      <c r="T133" s="86">
        <v>4.0</v>
      </c>
      <c r="U133" s="86">
        <v>0.5</v>
      </c>
      <c r="V133" s="86">
        <v>1000.0</v>
      </c>
      <c r="W133" s="86">
        <v>1315.0</v>
      </c>
      <c r="X133" s="86">
        <v>1.0</v>
      </c>
      <c r="Y133" s="86">
        <v>2006.0</v>
      </c>
      <c r="Z133" s="86">
        <v>1.0</v>
      </c>
      <c r="AA133" s="86">
        <v>0.03</v>
      </c>
    </row>
    <row r="134" ht="12.75" customHeight="1">
      <c r="A134" s="86">
        <v>1132.0</v>
      </c>
      <c r="B134" s="86" t="s">
        <v>3991</v>
      </c>
      <c r="C134" s="86">
        <v>67.0</v>
      </c>
      <c r="D134" s="86" t="s">
        <v>3654</v>
      </c>
      <c r="E134" s="86">
        <v>1.0</v>
      </c>
      <c r="F134" s="86">
        <v>0.062</v>
      </c>
      <c r="G134" s="86">
        <v>8001.0</v>
      </c>
      <c r="H134" s="86">
        <v>85.0</v>
      </c>
      <c r="I134" s="86">
        <v>1.0</v>
      </c>
      <c r="J134" s="86">
        <v>8000.0</v>
      </c>
      <c r="K134" s="86">
        <v>125.0</v>
      </c>
      <c r="L134" s="86">
        <v>1.0</v>
      </c>
      <c r="M134" s="86">
        <v>2007.0</v>
      </c>
      <c r="N134" s="86">
        <v>1.0</v>
      </c>
      <c r="O134" s="141">
        <v>0.25</v>
      </c>
      <c r="P134" s="86">
        <v>9000.0</v>
      </c>
      <c r="Q134" s="86">
        <v>27.0</v>
      </c>
      <c r="R134" s="86">
        <v>1.0</v>
      </c>
      <c r="S134" s="86" t="s">
        <v>3657</v>
      </c>
      <c r="T134" s="86">
        <v>4.0</v>
      </c>
      <c r="U134" s="86">
        <v>0.5</v>
      </c>
      <c r="V134" s="86">
        <v>1000.0</v>
      </c>
      <c r="W134" s="86">
        <v>1325.0</v>
      </c>
      <c r="X134" s="86">
        <v>1.0</v>
      </c>
      <c r="Y134" s="86">
        <v>2006.0</v>
      </c>
      <c r="Z134" s="86">
        <v>1.0</v>
      </c>
      <c r="AA134" s="86">
        <v>0.03</v>
      </c>
    </row>
    <row r="135" ht="12.75" customHeight="1">
      <c r="A135" s="86">
        <v>1133.0</v>
      </c>
      <c r="B135" s="86" t="s">
        <v>3993</v>
      </c>
      <c r="C135" s="86">
        <v>67.0</v>
      </c>
      <c r="D135" s="86" t="s">
        <v>3654</v>
      </c>
      <c r="E135" s="86">
        <v>1.0</v>
      </c>
      <c r="F135" s="86">
        <v>0.063</v>
      </c>
      <c r="G135" s="86">
        <v>8001.0</v>
      </c>
      <c r="H135" s="86">
        <v>85.0</v>
      </c>
      <c r="I135" s="86">
        <v>1.0</v>
      </c>
      <c r="J135" s="86">
        <v>8000.0</v>
      </c>
      <c r="K135" s="86">
        <v>130.0</v>
      </c>
      <c r="L135" s="86">
        <v>1.0</v>
      </c>
      <c r="M135" s="86">
        <v>2007.0</v>
      </c>
      <c r="N135" s="86">
        <v>1.0</v>
      </c>
      <c r="O135" s="141">
        <v>0.25</v>
      </c>
      <c r="P135" s="86">
        <v>9000.0</v>
      </c>
      <c r="Q135" s="86">
        <v>28.0</v>
      </c>
      <c r="R135" s="86">
        <v>1.0</v>
      </c>
      <c r="S135" s="86" t="s">
        <v>3657</v>
      </c>
      <c r="T135" s="86">
        <v>4.0</v>
      </c>
      <c r="U135" s="86">
        <v>0.5</v>
      </c>
      <c r="V135" s="86">
        <v>1000.0</v>
      </c>
      <c r="W135" s="86">
        <v>1335.0</v>
      </c>
      <c r="X135" s="86">
        <v>1.0</v>
      </c>
      <c r="Y135" s="86">
        <v>2006.0</v>
      </c>
      <c r="Z135" s="86">
        <v>1.0</v>
      </c>
      <c r="AA135" s="86">
        <v>0.03</v>
      </c>
    </row>
    <row r="136" ht="12.75" customHeight="1">
      <c r="A136" s="86">
        <v>1134.0</v>
      </c>
      <c r="B136" s="86" t="s">
        <v>3994</v>
      </c>
      <c r="C136" s="86">
        <v>68.0</v>
      </c>
      <c r="D136" s="86" t="s">
        <v>3654</v>
      </c>
      <c r="E136" s="86">
        <v>1.0</v>
      </c>
      <c r="F136" s="86">
        <v>0.063</v>
      </c>
      <c r="G136" s="86">
        <v>8001.0</v>
      </c>
      <c r="H136" s="86">
        <v>85.0</v>
      </c>
      <c r="I136" s="86">
        <v>1.0</v>
      </c>
      <c r="J136" s="86">
        <v>8000.0</v>
      </c>
      <c r="K136" s="86">
        <v>130.0</v>
      </c>
      <c r="L136" s="86">
        <v>1.0</v>
      </c>
      <c r="M136" s="86">
        <v>2007.0</v>
      </c>
      <c r="N136" s="86">
        <v>1.0</v>
      </c>
      <c r="O136" s="141">
        <v>0.25</v>
      </c>
      <c r="P136" s="86">
        <v>9000.0</v>
      </c>
      <c r="Q136" s="86">
        <v>28.0</v>
      </c>
      <c r="R136" s="86">
        <v>1.0</v>
      </c>
      <c r="S136" s="86" t="s">
        <v>3657</v>
      </c>
      <c r="T136" s="86">
        <v>4.0</v>
      </c>
      <c r="U136" s="86">
        <v>0.5</v>
      </c>
      <c r="V136" s="86">
        <v>1000.0</v>
      </c>
      <c r="W136" s="86">
        <v>1345.0</v>
      </c>
      <c r="X136" s="86">
        <v>1.0</v>
      </c>
      <c r="Y136" s="86">
        <v>2006.0</v>
      </c>
      <c r="Z136" s="86">
        <v>1.0</v>
      </c>
      <c r="AA136" s="86">
        <v>0.03</v>
      </c>
    </row>
    <row r="137" ht="12.75" customHeight="1">
      <c r="A137" s="86">
        <v>1135.0</v>
      </c>
      <c r="B137" s="86" t="s">
        <v>3996</v>
      </c>
      <c r="C137" s="86">
        <v>68.0</v>
      </c>
      <c r="D137" s="86" t="s">
        <v>3654</v>
      </c>
      <c r="E137" s="86">
        <v>1.0</v>
      </c>
      <c r="F137" s="86">
        <v>0.063</v>
      </c>
      <c r="G137" s="86">
        <v>8001.0</v>
      </c>
      <c r="H137" s="86">
        <v>85.0</v>
      </c>
      <c r="I137" s="86">
        <v>1.0</v>
      </c>
      <c r="J137" s="86">
        <v>8000.0</v>
      </c>
      <c r="K137" s="86">
        <v>130.0</v>
      </c>
      <c r="L137" s="86">
        <v>1.0</v>
      </c>
      <c r="M137" s="86">
        <v>2007.0</v>
      </c>
      <c r="N137" s="86">
        <v>1.0</v>
      </c>
      <c r="O137" s="141">
        <v>0.25</v>
      </c>
      <c r="P137" s="86">
        <v>9000.0</v>
      </c>
      <c r="Q137" s="86">
        <v>28.0</v>
      </c>
      <c r="R137" s="86">
        <v>1.0</v>
      </c>
      <c r="S137" s="86" t="s">
        <v>3657</v>
      </c>
      <c r="T137" s="86">
        <v>4.0</v>
      </c>
      <c r="U137" s="86">
        <v>0.5</v>
      </c>
      <c r="V137" s="86">
        <v>1000.0</v>
      </c>
      <c r="W137" s="86">
        <v>1355.0</v>
      </c>
      <c r="X137" s="86">
        <v>1.0</v>
      </c>
      <c r="Y137" s="86">
        <v>2006.0</v>
      </c>
      <c r="Z137" s="86">
        <v>1.0</v>
      </c>
      <c r="AA137" s="86">
        <v>0.03</v>
      </c>
    </row>
    <row r="138" ht="12.75" customHeight="1">
      <c r="A138" s="86">
        <v>1136.0</v>
      </c>
      <c r="B138" s="86" t="s">
        <v>3997</v>
      </c>
      <c r="C138" s="86">
        <v>69.0</v>
      </c>
      <c r="D138" s="86" t="s">
        <v>3654</v>
      </c>
      <c r="E138" s="86">
        <v>1.0</v>
      </c>
      <c r="F138" s="86">
        <v>0.063</v>
      </c>
      <c r="G138" s="86">
        <v>8001.0</v>
      </c>
      <c r="H138" s="86">
        <v>85.0</v>
      </c>
      <c r="I138" s="86">
        <v>1.0</v>
      </c>
      <c r="J138" s="86">
        <v>8000.0</v>
      </c>
      <c r="K138" s="86">
        <v>130.0</v>
      </c>
      <c r="L138" s="86">
        <v>1.0</v>
      </c>
      <c r="M138" s="86">
        <v>2007.0</v>
      </c>
      <c r="N138" s="86">
        <v>1.0</v>
      </c>
      <c r="O138" s="141">
        <v>0.25</v>
      </c>
      <c r="P138" s="86">
        <v>9000.0</v>
      </c>
      <c r="Q138" s="86">
        <v>28.0</v>
      </c>
      <c r="R138" s="86">
        <v>1.0</v>
      </c>
      <c r="S138" s="86" t="s">
        <v>3657</v>
      </c>
      <c r="T138" s="86">
        <v>4.0</v>
      </c>
      <c r="U138" s="86">
        <v>0.5</v>
      </c>
      <c r="V138" s="86">
        <v>1000.0</v>
      </c>
      <c r="W138" s="86">
        <v>1365.0</v>
      </c>
      <c r="X138" s="86">
        <v>1.0</v>
      </c>
      <c r="Y138" s="86">
        <v>2006.0</v>
      </c>
      <c r="Z138" s="86">
        <v>1.0</v>
      </c>
      <c r="AA138" s="86">
        <v>0.03</v>
      </c>
    </row>
    <row r="139" ht="12.75" customHeight="1">
      <c r="A139" s="86">
        <v>1137.0</v>
      </c>
      <c r="B139" s="86" t="s">
        <v>3999</v>
      </c>
      <c r="C139" s="86">
        <v>69.0</v>
      </c>
      <c r="D139" s="86" t="s">
        <v>3654</v>
      </c>
      <c r="E139" s="86">
        <v>1.0</v>
      </c>
      <c r="F139" s="86">
        <v>0.063</v>
      </c>
      <c r="G139" s="86">
        <v>8001.0</v>
      </c>
      <c r="H139" s="86">
        <v>90.0</v>
      </c>
      <c r="I139" s="86">
        <v>1.0</v>
      </c>
      <c r="J139" s="86">
        <v>8000.0</v>
      </c>
      <c r="K139" s="86">
        <v>130.0</v>
      </c>
      <c r="L139" s="86">
        <v>1.0</v>
      </c>
      <c r="M139" s="86">
        <v>2007.0</v>
      </c>
      <c r="N139" s="86">
        <v>1.0</v>
      </c>
      <c r="O139" s="141">
        <v>0.25</v>
      </c>
      <c r="P139" s="86">
        <v>9000.0</v>
      </c>
      <c r="Q139" s="86">
        <v>29.0</v>
      </c>
      <c r="R139" s="86">
        <v>1.0</v>
      </c>
      <c r="S139" s="86" t="s">
        <v>3657</v>
      </c>
      <c r="T139" s="86">
        <v>4.0</v>
      </c>
      <c r="U139" s="86">
        <v>0.5</v>
      </c>
      <c r="V139" s="86">
        <v>1000.0</v>
      </c>
      <c r="W139" s="86">
        <v>1375.0</v>
      </c>
      <c r="X139" s="86">
        <v>1.0</v>
      </c>
      <c r="Y139" s="86">
        <v>2006.0</v>
      </c>
      <c r="Z139" s="86">
        <v>1.0</v>
      </c>
      <c r="AA139" s="86">
        <v>0.03</v>
      </c>
    </row>
    <row r="140" ht="12.75" customHeight="1">
      <c r="A140" s="86">
        <v>1138.0</v>
      </c>
      <c r="B140" s="86" t="s">
        <v>3997</v>
      </c>
      <c r="C140" s="86">
        <v>70.0</v>
      </c>
      <c r="D140" s="86" t="s">
        <v>3654</v>
      </c>
      <c r="E140" s="86">
        <v>1.0</v>
      </c>
      <c r="F140" s="86">
        <v>0.063</v>
      </c>
      <c r="G140" s="86">
        <v>8001.0</v>
      </c>
      <c r="H140" s="86">
        <v>90.0</v>
      </c>
      <c r="I140" s="86">
        <v>1.0</v>
      </c>
      <c r="J140" s="86">
        <v>8000.0</v>
      </c>
      <c r="K140" s="86">
        <v>135.0</v>
      </c>
      <c r="L140" s="86">
        <v>1.0</v>
      </c>
      <c r="M140" s="86">
        <v>2007.0</v>
      </c>
      <c r="N140" s="86">
        <v>1.0</v>
      </c>
      <c r="O140" s="141">
        <v>0.25</v>
      </c>
      <c r="P140" s="86">
        <v>9000.0</v>
      </c>
      <c r="Q140" s="86">
        <v>29.0</v>
      </c>
      <c r="R140" s="86">
        <v>1.0</v>
      </c>
      <c r="S140" s="86" t="s">
        <v>3657</v>
      </c>
      <c r="T140" s="86">
        <v>4.0</v>
      </c>
      <c r="U140" s="86">
        <v>0.5</v>
      </c>
      <c r="V140" s="86">
        <v>1000.0</v>
      </c>
      <c r="W140" s="86">
        <v>1385.0</v>
      </c>
      <c r="X140" s="86">
        <v>1.0</v>
      </c>
      <c r="Y140" s="86">
        <v>2006.0</v>
      </c>
      <c r="Z140" s="86">
        <v>1.0</v>
      </c>
      <c r="AA140" s="86">
        <v>0.03</v>
      </c>
    </row>
    <row r="141" ht="12.75" customHeight="1">
      <c r="A141" s="86">
        <v>1139.0</v>
      </c>
      <c r="B141" s="86" t="s">
        <v>3990</v>
      </c>
      <c r="C141" s="86">
        <v>70.0</v>
      </c>
      <c r="D141" s="86" t="s">
        <v>3654</v>
      </c>
      <c r="E141" s="86">
        <v>1.0</v>
      </c>
      <c r="F141" s="86">
        <v>0.064</v>
      </c>
      <c r="G141" s="86">
        <v>8001.0</v>
      </c>
      <c r="H141" s="86">
        <v>90.0</v>
      </c>
      <c r="I141" s="86">
        <v>1.0</v>
      </c>
      <c r="J141" s="86">
        <v>8000.0</v>
      </c>
      <c r="K141" s="86">
        <v>135.0</v>
      </c>
      <c r="L141" s="86">
        <v>1.0</v>
      </c>
      <c r="M141" s="86">
        <v>2007.0</v>
      </c>
      <c r="N141" s="86">
        <v>1.0</v>
      </c>
      <c r="O141" s="141">
        <v>0.25</v>
      </c>
      <c r="P141" s="86">
        <v>9000.0</v>
      </c>
      <c r="Q141" s="86">
        <v>29.0</v>
      </c>
      <c r="R141" s="86">
        <v>1.0</v>
      </c>
      <c r="S141" s="86" t="s">
        <v>3657</v>
      </c>
      <c r="T141" s="86">
        <v>4.0</v>
      </c>
      <c r="U141" s="86">
        <v>0.5</v>
      </c>
      <c r="V141" s="86">
        <v>1000.0</v>
      </c>
      <c r="W141" s="86">
        <v>1395.0</v>
      </c>
      <c r="X141" s="86">
        <v>1.0</v>
      </c>
      <c r="Y141" s="86">
        <v>2006.0</v>
      </c>
      <c r="Z141" s="86">
        <v>1.0</v>
      </c>
      <c r="AA141" s="86">
        <v>0.03</v>
      </c>
    </row>
    <row r="142" ht="12.75" customHeight="1">
      <c r="A142" s="86">
        <v>1140.0</v>
      </c>
      <c r="B142" s="86" t="s">
        <v>4001</v>
      </c>
      <c r="C142" s="86">
        <v>71.0</v>
      </c>
      <c r="D142" s="86" t="s">
        <v>3654</v>
      </c>
      <c r="E142" s="86">
        <v>1.0</v>
      </c>
      <c r="F142" s="86">
        <v>0.064</v>
      </c>
      <c r="G142" s="86">
        <v>8001.0</v>
      </c>
      <c r="H142" s="86">
        <v>90.0</v>
      </c>
      <c r="I142" s="86">
        <v>1.0</v>
      </c>
      <c r="J142" s="86">
        <v>8000.0</v>
      </c>
      <c r="K142" s="86">
        <v>135.0</v>
      </c>
      <c r="L142" s="86">
        <v>1.0</v>
      </c>
      <c r="M142" s="86">
        <v>2007.0</v>
      </c>
      <c r="N142" s="86">
        <v>1.0</v>
      </c>
      <c r="O142" s="141">
        <v>0.25</v>
      </c>
      <c r="P142" s="86">
        <v>9000.0</v>
      </c>
      <c r="Q142" s="86">
        <v>29.0</v>
      </c>
      <c r="R142" s="86">
        <v>1.0</v>
      </c>
      <c r="S142" s="86" t="s">
        <v>3657</v>
      </c>
      <c r="T142" s="86">
        <v>4.0</v>
      </c>
      <c r="U142" s="86">
        <v>0.5</v>
      </c>
      <c r="V142" s="86">
        <v>1000.0</v>
      </c>
      <c r="W142" s="86">
        <v>1405.0</v>
      </c>
      <c r="X142" s="86">
        <v>1.0</v>
      </c>
      <c r="Y142" s="86">
        <v>2006.0</v>
      </c>
      <c r="Z142" s="86">
        <v>1.0</v>
      </c>
      <c r="AA142" s="86">
        <v>0.03</v>
      </c>
    </row>
    <row r="143" ht="12.75" customHeight="1">
      <c r="A143" s="86">
        <v>1141.0</v>
      </c>
      <c r="B143" s="86" t="s">
        <v>3990</v>
      </c>
      <c r="C143" s="86">
        <v>71.0</v>
      </c>
      <c r="D143" s="86" t="s">
        <v>3654</v>
      </c>
      <c r="E143" s="86">
        <v>1.0</v>
      </c>
      <c r="F143" s="86">
        <v>0.064</v>
      </c>
      <c r="G143" s="86">
        <v>8001.0</v>
      </c>
      <c r="H143" s="86">
        <v>90.0</v>
      </c>
      <c r="I143" s="86">
        <v>1.0</v>
      </c>
      <c r="J143" s="86">
        <v>8000.0</v>
      </c>
      <c r="K143" s="86">
        <v>135.0</v>
      </c>
      <c r="L143" s="86">
        <v>1.0</v>
      </c>
      <c r="M143" s="86">
        <v>2007.0</v>
      </c>
      <c r="N143" s="86">
        <v>1.0</v>
      </c>
      <c r="O143" s="141">
        <v>0.25</v>
      </c>
      <c r="P143" s="86">
        <v>9000.0</v>
      </c>
      <c r="Q143" s="86">
        <v>30.0</v>
      </c>
      <c r="R143" s="86">
        <v>1.0</v>
      </c>
      <c r="S143" s="86" t="s">
        <v>3657</v>
      </c>
      <c r="T143" s="86">
        <v>5.0</v>
      </c>
      <c r="U143" s="86">
        <v>0.5</v>
      </c>
      <c r="V143" s="86">
        <v>1000.0</v>
      </c>
      <c r="W143" s="86">
        <v>1415.0</v>
      </c>
      <c r="X143" s="86">
        <v>1.0</v>
      </c>
      <c r="Y143" s="86">
        <v>2006.0</v>
      </c>
      <c r="Z143" s="86">
        <v>1.0</v>
      </c>
      <c r="AA143" s="86">
        <v>0.03</v>
      </c>
    </row>
    <row r="144" ht="12.75" customHeight="1">
      <c r="A144" s="86">
        <v>1142.0</v>
      </c>
      <c r="B144" s="86" t="s">
        <v>4003</v>
      </c>
      <c r="C144" s="86">
        <v>72.0</v>
      </c>
      <c r="D144" s="86" t="s">
        <v>3654</v>
      </c>
      <c r="E144" s="86">
        <v>1.0</v>
      </c>
      <c r="F144" s="86">
        <v>0.064</v>
      </c>
      <c r="G144" s="86">
        <v>8001.0</v>
      </c>
      <c r="H144" s="86">
        <v>90.0</v>
      </c>
      <c r="I144" s="86">
        <v>1.0</v>
      </c>
      <c r="J144" s="86">
        <v>8000.0</v>
      </c>
      <c r="K144" s="86">
        <v>135.0</v>
      </c>
      <c r="L144" s="86">
        <v>1.0</v>
      </c>
      <c r="M144" s="86">
        <v>2007.0</v>
      </c>
      <c r="N144" s="86">
        <v>1.0</v>
      </c>
      <c r="O144" s="141">
        <v>0.25</v>
      </c>
      <c r="P144" s="86">
        <v>9000.0</v>
      </c>
      <c r="Q144" s="86">
        <v>30.0</v>
      </c>
      <c r="R144" s="86">
        <v>1.0</v>
      </c>
      <c r="S144" s="86" t="s">
        <v>3657</v>
      </c>
      <c r="T144" s="86">
        <v>5.0</v>
      </c>
      <c r="U144" s="86">
        <v>0.5</v>
      </c>
      <c r="V144" s="86">
        <v>1000.0</v>
      </c>
      <c r="W144" s="86">
        <v>1425.0</v>
      </c>
      <c r="X144" s="86">
        <v>1.0</v>
      </c>
      <c r="Y144" s="86">
        <v>2006.0</v>
      </c>
      <c r="Z144" s="86">
        <v>1.0</v>
      </c>
      <c r="AA144" s="86">
        <v>0.03</v>
      </c>
    </row>
    <row r="145" ht="12.75" customHeight="1">
      <c r="A145" s="86">
        <v>1143.0</v>
      </c>
      <c r="B145" s="86" t="s">
        <v>4005</v>
      </c>
      <c r="C145" s="86">
        <v>72.0</v>
      </c>
      <c r="D145" s="86" t="s">
        <v>3654</v>
      </c>
      <c r="E145" s="86">
        <v>1.0</v>
      </c>
      <c r="F145" s="86">
        <v>0.064</v>
      </c>
      <c r="G145" s="86">
        <v>8001.0</v>
      </c>
      <c r="H145" s="86">
        <v>90.0</v>
      </c>
      <c r="I145" s="86">
        <v>1.0</v>
      </c>
      <c r="J145" s="86">
        <v>8000.0</v>
      </c>
      <c r="K145" s="86">
        <v>140.0</v>
      </c>
      <c r="L145" s="86">
        <v>1.0</v>
      </c>
      <c r="M145" s="86">
        <v>2007.0</v>
      </c>
      <c r="N145" s="86">
        <v>1.0</v>
      </c>
      <c r="O145" s="141">
        <v>0.25</v>
      </c>
      <c r="P145" s="86">
        <v>9000.0</v>
      </c>
      <c r="Q145" s="86">
        <v>30.0</v>
      </c>
      <c r="R145" s="86">
        <v>1.0</v>
      </c>
      <c r="S145" s="86" t="s">
        <v>3657</v>
      </c>
      <c r="T145" s="86">
        <v>5.0</v>
      </c>
      <c r="U145" s="86">
        <v>0.5</v>
      </c>
      <c r="V145" s="86">
        <v>1000.0</v>
      </c>
      <c r="W145" s="86">
        <v>1435.0</v>
      </c>
      <c r="X145" s="86">
        <v>1.0</v>
      </c>
      <c r="Y145" s="86">
        <v>2006.0</v>
      </c>
      <c r="Z145" s="86">
        <v>1.0</v>
      </c>
      <c r="AA145" s="86">
        <v>0.03</v>
      </c>
    </row>
    <row r="146" ht="12.75" customHeight="1">
      <c r="A146" s="86">
        <v>1144.0</v>
      </c>
      <c r="B146" s="86" t="s">
        <v>4006</v>
      </c>
      <c r="C146" s="86">
        <v>73.0</v>
      </c>
      <c r="D146" s="86" t="s">
        <v>3654</v>
      </c>
      <c r="E146" s="86">
        <v>1.0</v>
      </c>
      <c r="F146" s="86">
        <v>0.065</v>
      </c>
      <c r="G146" s="86">
        <v>8001.0</v>
      </c>
      <c r="H146" s="86">
        <v>90.0</v>
      </c>
      <c r="I146" s="86">
        <v>1.0</v>
      </c>
      <c r="J146" s="86">
        <v>8000.0</v>
      </c>
      <c r="K146" s="86">
        <v>140.0</v>
      </c>
      <c r="L146" s="86">
        <v>1.0</v>
      </c>
      <c r="M146" s="86">
        <v>2007.0</v>
      </c>
      <c r="N146" s="86">
        <v>1.0</v>
      </c>
      <c r="O146" s="141">
        <v>0.25</v>
      </c>
      <c r="P146" s="86">
        <v>9000.0</v>
      </c>
      <c r="Q146" s="86">
        <v>30.0</v>
      </c>
      <c r="R146" s="86">
        <v>1.0</v>
      </c>
      <c r="S146" s="86" t="s">
        <v>3657</v>
      </c>
      <c r="T146" s="86">
        <v>5.0</v>
      </c>
      <c r="U146" s="86">
        <v>0.5</v>
      </c>
      <c r="V146" s="86">
        <v>1000.0</v>
      </c>
      <c r="W146" s="86">
        <v>1445.0</v>
      </c>
      <c r="X146" s="86">
        <v>1.0</v>
      </c>
      <c r="Y146" s="86">
        <v>2006.0</v>
      </c>
      <c r="Z146" s="86">
        <v>1.0</v>
      </c>
      <c r="AA146" s="86">
        <v>0.03</v>
      </c>
    </row>
    <row r="147" ht="12.75" customHeight="1">
      <c r="A147" s="86">
        <v>1145.0</v>
      </c>
      <c r="B147" s="86" t="s">
        <v>4008</v>
      </c>
      <c r="C147" s="86">
        <v>73.0</v>
      </c>
      <c r="D147" s="86" t="s">
        <v>3654</v>
      </c>
      <c r="E147" s="86">
        <v>1.0</v>
      </c>
      <c r="F147" s="86">
        <v>0.065</v>
      </c>
      <c r="G147" s="86">
        <v>8001.0</v>
      </c>
      <c r="H147" s="86">
        <v>95.0</v>
      </c>
      <c r="I147" s="86">
        <v>1.0</v>
      </c>
      <c r="J147" s="86">
        <v>8000.0</v>
      </c>
      <c r="K147" s="86">
        <v>140.0</v>
      </c>
      <c r="L147" s="86">
        <v>1.0</v>
      </c>
      <c r="M147" s="86">
        <v>2007.0</v>
      </c>
      <c r="N147" s="86">
        <v>1.0</v>
      </c>
      <c r="O147" s="141">
        <v>0.25</v>
      </c>
      <c r="P147" s="86">
        <v>9000.0</v>
      </c>
      <c r="Q147" s="86">
        <v>31.0</v>
      </c>
      <c r="R147" s="86">
        <v>1.0</v>
      </c>
      <c r="S147" s="86" t="s">
        <v>3657</v>
      </c>
      <c r="T147" s="86">
        <v>5.0</v>
      </c>
      <c r="U147" s="86">
        <v>0.5</v>
      </c>
      <c r="V147" s="86">
        <v>1000.0</v>
      </c>
      <c r="W147" s="86">
        <v>1455.0</v>
      </c>
      <c r="X147" s="86">
        <v>1.0</v>
      </c>
      <c r="Y147" s="86">
        <v>2006.0</v>
      </c>
      <c r="Z147" s="86">
        <v>1.0</v>
      </c>
      <c r="AA147" s="86">
        <v>0.03</v>
      </c>
    </row>
    <row r="148" ht="12.75" customHeight="1">
      <c r="A148" s="86">
        <v>1146.0</v>
      </c>
      <c r="B148" s="86" t="s">
        <v>4001</v>
      </c>
      <c r="C148" s="86">
        <v>74.0</v>
      </c>
      <c r="D148" s="86" t="s">
        <v>3654</v>
      </c>
      <c r="E148" s="86">
        <v>1.0</v>
      </c>
      <c r="F148" s="86">
        <v>0.065</v>
      </c>
      <c r="G148" s="86">
        <v>8001.0</v>
      </c>
      <c r="H148" s="86">
        <v>95.0</v>
      </c>
      <c r="I148" s="86">
        <v>1.0</v>
      </c>
      <c r="J148" s="86">
        <v>8000.0</v>
      </c>
      <c r="K148" s="86">
        <v>140.0</v>
      </c>
      <c r="L148" s="86">
        <v>1.0</v>
      </c>
      <c r="M148" s="86">
        <v>2007.0</v>
      </c>
      <c r="N148" s="86">
        <v>1.0</v>
      </c>
      <c r="O148" s="141">
        <v>0.25</v>
      </c>
      <c r="P148" s="86">
        <v>9000.0</v>
      </c>
      <c r="Q148" s="86">
        <v>31.0</v>
      </c>
      <c r="R148" s="86">
        <v>1.0</v>
      </c>
      <c r="S148" s="86" t="s">
        <v>3657</v>
      </c>
      <c r="T148" s="86">
        <v>5.0</v>
      </c>
      <c r="U148" s="86">
        <v>0.5</v>
      </c>
      <c r="V148" s="86">
        <v>1000.0</v>
      </c>
      <c r="W148" s="86">
        <v>1465.0</v>
      </c>
      <c r="X148" s="86">
        <v>1.0</v>
      </c>
      <c r="Y148" s="86">
        <v>2006.0</v>
      </c>
      <c r="Z148" s="86">
        <v>1.0</v>
      </c>
      <c r="AA148" s="86">
        <v>0.03</v>
      </c>
    </row>
    <row r="149" ht="12.75" customHeight="1">
      <c r="A149" s="86">
        <v>1147.0</v>
      </c>
      <c r="B149" s="86" t="s">
        <v>4011</v>
      </c>
      <c r="C149" s="86">
        <v>74.0</v>
      </c>
      <c r="D149" s="86" t="s">
        <v>3654</v>
      </c>
      <c r="E149" s="86">
        <v>1.0</v>
      </c>
      <c r="F149" s="86">
        <v>0.065</v>
      </c>
      <c r="G149" s="86">
        <v>8001.0</v>
      </c>
      <c r="H149" s="86">
        <v>95.0</v>
      </c>
      <c r="I149" s="86">
        <v>1.0</v>
      </c>
      <c r="J149" s="86">
        <v>8000.0</v>
      </c>
      <c r="K149" s="86">
        <v>140.0</v>
      </c>
      <c r="L149" s="86">
        <v>1.0</v>
      </c>
      <c r="M149" s="86">
        <v>2007.0</v>
      </c>
      <c r="N149" s="86">
        <v>1.0</v>
      </c>
      <c r="O149" s="141">
        <v>0.25</v>
      </c>
      <c r="P149" s="86">
        <v>9000.0</v>
      </c>
      <c r="Q149" s="86">
        <v>31.0</v>
      </c>
      <c r="R149" s="86">
        <v>1.0</v>
      </c>
      <c r="S149" s="86" t="s">
        <v>3657</v>
      </c>
      <c r="T149" s="86">
        <v>5.0</v>
      </c>
      <c r="U149" s="86">
        <v>0.5</v>
      </c>
      <c r="V149" s="86">
        <v>1000.0</v>
      </c>
      <c r="W149" s="86">
        <v>1475.0</v>
      </c>
      <c r="X149" s="86">
        <v>1.0</v>
      </c>
      <c r="Y149" s="86">
        <v>2006.0</v>
      </c>
      <c r="Z149" s="86">
        <v>1.0</v>
      </c>
      <c r="AA149" s="86">
        <v>0.03</v>
      </c>
    </row>
    <row r="150" ht="12.75" customHeight="1">
      <c r="A150" s="86">
        <v>1148.0</v>
      </c>
      <c r="B150" s="86" t="s">
        <v>4013</v>
      </c>
      <c r="C150" s="86">
        <v>75.0</v>
      </c>
      <c r="D150" s="86" t="s">
        <v>3654</v>
      </c>
      <c r="E150" s="86">
        <v>1.0</v>
      </c>
      <c r="F150" s="86">
        <v>0.065</v>
      </c>
      <c r="G150" s="86">
        <v>8001.0</v>
      </c>
      <c r="H150" s="86">
        <v>95.0</v>
      </c>
      <c r="I150" s="86">
        <v>1.0</v>
      </c>
      <c r="J150" s="86">
        <v>8000.0</v>
      </c>
      <c r="K150" s="86">
        <v>145.0</v>
      </c>
      <c r="L150" s="86">
        <v>1.0</v>
      </c>
      <c r="M150" s="86">
        <v>2007.0</v>
      </c>
      <c r="N150" s="86">
        <v>1.0</v>
      </c>
      <c r="O150" s="141">
        <v>0.25</v>
      </c>
      <c r="P150" s="86">
        <v>9000.0</v>
      </c>
      <c r="Q150" s="86">
        <v>31.0</v>
      </c>
      <c r="R150" s="86">
        <v>1.0</v>
      </c>
      <c r="S150" s="86" t="s">
        <v>3657</v>
      </c>
      <c r="T150" s="86">
        <v>5.0</v>
      </c>
      <c r="U150" s="86">
        <v>0.5</v>
      </c>
      <c r="V150" s="86">
        <v>1000.0</v>
      </c>
      <c r="W150" s="86">
        <v>1485.0</v>
      </c>
      <c r="X150" s="86">
        <v>1.0</v>
      </c>
      <c r="Y150" s="86">
        <v>2006.0</v>
      </c>
      <c r="Z150" s="86">
        <v>1.0</v>
      </c>
      <c r="AA150" s="86">
        <v>0.03</v>
      </c>
    </row>
    <row r="151" ht="12.75" customHeight="1">
      <c r="A151" s="86">
        <v>1149.0</v>
      </c>
      <c r="B151" s="86" t="s">
        <v>4015</v>
      </c>
      <c r="C151" s="86">
        <v>75.0</v>
      </c>
      <c r="D151" s="86" t="s">
        <v>3654</v>
      </c>
      <c r="E151" s="86">
        <v>1.0</v>
      </c>
      <c r="F151" s="86">
        <v>0.065</v>
      </c>
      <c r="G151" s="86">
        <v>8001.0</v>
      </c>
      <c r="H151" s="86">
        <v>95.0</v>
      </c>
      <c r="I151" s="86">
        <v>1.0</v>
      </c>
      <c r="J151" s="86">
        <v>8000.0</v>
      </c>
      <c r="K151" s="86">
        <v>145.0</v>
      </c>
      <c r="L151" s="86">
        <v>1.0</v>
      </c>
      <c r="M151" s="86">
        <v>2007.0</v>
      </c>
      <c r="N151" s="86">
        <v>1.0</v>
      </c>
      <c r="O151" s="141">
        <v>0.25</v>
      </c>
      <c r="P151" s="86">
        <v>9000.0</v>
      </c>
      <c r="Q151" s="86">
        <v>32.0</v>
      </c>
      <c r="R151" s="86">
        <v>1.0</v>
      </c>
      <c r="S151" s="86" t="s">
        <v>3657</v>
      </c>
      <c r="T151" s="86">
        <v>5.0</v>
      </c>
      <c r="U151" s="86">
        <v>0.5</v>
      </c>
      <c r="V151" s="86">
        <v>1000.0</v>
      </c>
      <c r="W151" s="86">
        <v>1495.0</v>
      </c>
      <c r="X151" s="86">
        <v>1.0</v>
      </c>
      <c r="Y151" s="86">
        <v>2006.0</v>
      </c>
      <c r="Z151" s="86">
        <v>1.0</v>
      </c>
      <c r="AA151" s="86">
        <v>0.03</v>
      </c>
    </row>
    <row r="152" ht="12.75" customHeight="1">
      <c r="A152" s="86">
        <v>1150.0</v>
      </c>
      <c r="B152" s="86" t="s">
        <v>4018</v>
      </c>
      <c r="C152" s="86">
        <v>76.0</v>
      </c>
      <c r="D152" s="86" t="s">
        <v>3654</v>
      </c>
      <c r="E152" s="86">
        <v>1.0</v>
      </c>
      <c r="F152" s="86">
        <v>0.066</v>
      </c>
      <c r="G152" s="86">
        <v>8001.0</v>
      </c>
      <c r="H152" s="86">
        <v>95.0</v>
      </c>
      <c r="I152" s="86">
        <v>1.0</v>
      </c>
      <c r="J152" s="86">
        <v>8000.0</v>
      </c>
      <c r="K152" s="86">
        <v>145.0</v>
      </c>
      <c r="L152" s="86">
        <v>1.0</v>
      </c>
      <c r="M152" s="86">
        <v>2007.0</v>
      </c>
      <c r="N152" s="86">
        <v>1.0</v>
      </c>
      <c r="O152" s="141">
        <v>0.25</v>
      </c>
      <c r="P152" s="86">
        <v>9000.0</v>
      </c>
      <c r="Q152" s="86">
        <v>32.0</v>
      </c>
      <c r="R152" s="86">
        <v>1.0</v>
      </c>
      <c r="S152" s="86" t="s">
        <v>3657</v>
      </c>
      <c r="T152" s="86">
        <v>5.0</v>
      </c>
      <c r="U152" s="86">
        <v>0.5</v>
      </c>
      <c r="V152" s="86">
        <v>1000.0</v>
      </c>
      <c r="W152" s="86">
        <v>1505.0</v>
      </c>
      <c r="X152" s="86">
        <v>1.0</v>
      </c>
      <c r="Y152" s="86">
        <v>2006.0</v>
      </c>
      <c r="Z152" s="86">
        <v>1.0</v>
      </c>
      <c r="AA152" s="86">
        <v>0.03</v>
      </c>
    </row>
    <row r="153" ht="12.75" customHeight="1">
      <c r="A153" s="86">
        <v>1151.0</v>
      </c>
      <c r="B153" s="86" t="s">
        <v>4019</v>
      </c>
      <c r="C153" s="86">
        <v>76.0</v>
      </c>
      <c r="D153" s="86" t="s">
        <v>3654</v>
      </c>
      <c r="E153" s="86">
        <v>1.0</v>
      </c>
      <c r="F153" s="86">
        <v>0.066</v>
      </c>
      <c r="G153" s="86">
        <v>8001.0</v>
      </c>
      <c r="H153" s="86">
        <v>95.0</v>
      </c>
      <c r="I153" s="86">
        <v>1.0</v>
      </c>
      <c r="J153" s="86">
        <v>8000.0</v>
      </c>
      <c r="K153" s="86">
        <v>145.0</v>
      </c>
      <c r="L153" s="86">
        <v>1.0</v>
      </c>
      <c r="M153" s="86">
        <v>2007.0</v>
      </c>
      <c r="N153" s="86">
        <v>1.0</v>
      </c>
      <c r="O153" s="141">
        <v>0.25</v>
      </c>
      <c r="P153" s="86">
        <v>9000.0</v>
      </c>
      <c r="Q153" s="86">
        <v>32.0</v>
      </c>
      <c r="R153" s="86">
        <v>1.0</v>
      </c>
      <c r="S153" s="86" t="s">
        <v>3657</v>
      </c>
      <c r="T153" s="86">
        <v>5.0</v>
      </c>
      <c r="U153" s="86">
        <v>0.5</v>
      </c>
      <c r="V153" s="86">
        <v>1000.0</v>
      </c>
      <c r="W153" s="86">
        <v>1515.0</v>
      </c>
      <c r="X153" s="86">
        <v>1.0</v>
      </c>
      <c r="Y153" s="86">
        <v>2006.0</v>
      </c>
      <c r="Z153" s="86">
        <v>1.0</v>
      </c>
      <c r="AA153" s="86">
        <v>0.03</v>
      </c>
    </row>
    <row r="154" ht="12.75" customHeight="1">
      <c r="A154" s="86">
        <v>1152.0</v>
      </c>
      <c r="B154" s="86" t="s">
        <v>4021</v>
      </c>
      <c r="C154" s="86">
        <v>77.0</v>
      </c>
      <c r="D154" s="86" t="s">
        <v>3654</v>
      </c>
      <c r="E154" s="86">
        <v>1.0</v>
      </c>
      <c r="F154" s="86">
        <v>0.066</v>
      </c>
      <c r="G154" s="86">
        <v>8001.0</v>
      </c>
      <c r="H154" s="86">
        <v>100.0</v>
      </c>
      <c r="I154" s="86">
        <v>1.0</v>
      </c>
      <c r="J154" s="86">
        <v>8000.0</v>
      </c>
      <c r="K154" s="86">
        <v>145.0</v>
      </c>
      <c r="L154" s="86">
        <v>1.0</v>
      </c>
      <c r="M154" s="86">
        <v>2007.0</v>
      </c>
      <c r="N154" s="86">
        <v>1.0</v>
      </c>
      <c r="O154" s="141">
        <v>0.25</v>
      </c>
      <c r="P154" s="86">
        <v>9000.0</v>
      </c>
      <c r="Q154" s="86">
        <v>32.0</v>
      </c>
      <c r="R154" s="86">
        <v>1.0</v>
      </c>
      <c r="S154" s="86" t="s">
        <v>3657</v>
      </c>
      <c r="T154" s="86">
        <v>5.0</v>
      </c>
      <c r="U154" s="86">
        <v>0.5</v>
      </c>
      <c r="V154" s="86">
        <v>1000.0</v>
      </c>
      <c r="W154" s="86">
        <v>1530.0</v>
      </c>
      <c r="X154" s="86">
        <v>1.0</v>
      </c>
      <c r="Y154" s="86">
        <v>2006.0</v>
      </c>
      <c r="Z154" s="86">
        <v>1.0</v>
      </c>
      <c r="AA154" s="86">
        <v>0.03</v>
      </c>
    </row>
    <row r="155" ht="12.75" customHeight="1">
      <c r="A155" s="86">
        <v>1153.0</v>
      </c>
      <c r="B155" s="86" t="s">
        <v>4022</v>
      </c>
      <c r="C155" s="86">
        <v>77.0</v>
      </c>
      <c r="D155" s="86" t="s">
        <v>3654</v>
      </c>
      <c r="E155" s="86">
        <v>1.0</v>
      </c>
      <c r="F155" s="86">
        <v>0.066</v>
      </c>
      <c r="G155" s="86">
        <v>8001.0</v>
      </c>
      <c r="H155" s="86">
        <v>100.0</v>
      </c>
      <c r="I155" s="86">
        <v>1.0</v>
      </c>
      <c r="J155" s="86">
        <v>8000.0</v>
      </c>
      <c r="K155" s="86">
        <v>150.0</v>
      </c>
      <c r="L155" s="86">
        <v>1.0</v>
      </c>
      <c r="M155" s="86">
        <v>2007.0</v>
      </c>
      <c r="N155" s="86">
        <v>1.0</v>
      </c>
      <c r="O155" s="141">
        <v>0.25</v>
      </c>
      <c r="P155" s="86">
        <v>9000.0</v>
      </c>
      <c r="Q155" s="86">
        <v>33.0</v>
      </c>
      <c r="R155" s="86">
        <v>1.0</v>
      </c>
      <c r="S155" s="86" t="s">
        <v>3657</v>
      </c>
      <c r="T155" s="86">
        <v>5.0</v>
      </c>
      <c r="U155" s="86">
        <v>0.5</v>
      </c>
      <c r="V155" s="86">
        <v>1000.0</v>
      </c>
      <c r="W155" s="86">
        <v>1540.0</v>
      </c>
      <c r="X155" s="86">
        <v>1.0</v>
      </c>
      <c r="Y155" s="86">
        <v>2006.0</v>
      </c>
      <c r="Z155" s="86">
        <v>1.0</v>
      </c>
      <c r="AA155" s="86">
        <v>0.03</v>
      </c>
    </row>
    <row r="156" ht="12.75" customHeight="1">
      <c r="A156" s="86">
        <v>1154.0</v>
      </c>
      <c r="B156" s="86" t="s">
        <v>4024</v>
      </c>
      <c r="C156" s="86">
        <v>78.0</v>
      </c>
      <c r="D156" s="86" t="s">
        <v>3654</v>
      </c>
      <c r="E156" s="86">
        <v>1.0</v>
      </c>
      <c r="F156" s="86">
        <v>0.066</v>
      </c>
      <c r="G156" s="86">
        <v>8001.0</v>
      </c>
      <c r="H156" s="86">
        <v>100.0</v>
      </c>
      <c r="I156" s="86">
        <v>1.0</v>
      </c>
      <c r="J156" s="86">
        <v>8000.0</v>
      </c>
      <c r="K156" s="86">
        <v>150.0</v>
      </c>
      <c r="L156" s="86">
        <v>1.0</v>
      </c>
      <c r="M156" s="86">
        <v>2007.0</v>
      </c>
      <c r="N156" s="86">
        <v>1.0</v>
      </c>
      <c r="O156" s="141">
        <v>0.25</v>
      </c>
      <c r="P156" s="86">
        <v>9000.0</v>
      </c>
      <c r="Q156" s="86">
        <v>33.0</v>
      </c>
      <c r="R156" s="86">
        <v>1.0</v>
      </c>
      <c r="S156" s="86" t="s">
        <v>3657</v>
      </c>
      <c r="T156" s="86">
        <v>5.0</v>
      </c>
      <c r="U156" s="86">
        <v>0.5</v>
      </c>
      <c r="V156" s="86">
        <v>1000.0</v>
      </c>
      <c r="W156" s="86">
        <v>1550.0</v>
      </c>
      <c r="X156" s="86">
        <v>1.0</v>
      </c>
      <c r="Y156" s="86">
        <v>2006.0</v>
      </c>
      <c r="Z156" s="86">
        <v>1.0</v>
      </c>
      <c r="AA156" s="86">
        <v>0.03</v>
      </c>
    </row>
    <row r="157" ht="12.75" customHeight="1">
      <c r="A157" s="86">
        <v>1155.0</v>
      </c>
      <c r="B157" s="86" t="s">
        <v>4025</v>
      </c>
      <c r="C157" s="86">
        <v>78.0</v>
      </c>
      <c r="D157" s="86" t="s">
        <v>3654</v>
      </c>
      <c r="E157" s="86">
        <v>1.0</v>
      </c>
      <c r="F157" s="86">
        <v>0.067</v>
      </c>
      <c r="G157" s="86">
        <v>8001.0</v>
      </c>
      <c r="H157" s="86">
        <v>100.0</v>
      </c>
      <c r="I157" s="86">
        <v>1.0</v>
      </c>
      <c r="J157" s="86">
        <v>8000.0</v>
      </c>
      <c r="K157" s="86">
        <v>150.0</v>
      </c>
      <c r="L157" s="86">
        <v>1.0</v>
      </c>
      <c r="M157" s="86">
        <v>2007.0</v>
      </c>
      <c r="N157" s="86">
        <v>1.0</v>
      </c>
      <c r="O157" s="141">
        <v>0.25</v>
      </c>
      <c r="P157" s="86">
        <v>9000.0</v>
      </c>
      <c r="Q157" s="86">
        <v>33.0</v>
      </c>
      <c r="R157" s="86">
        <v>1.0</v>
      </c>
      <c r="S157" s="86" t="s">
        <v>3657</v>
      </c>
      <c r="T157" s="86">
        <v>5.0</v>
      </c>
      <c r="U157" s="86">
        <v>0.5</v>
      </c>
      <c r="V157" s="86">
        <v>1000.0</v>
      </c>
      <c r="W157" s="86">
        <v>1560.0</v>
      </c>
      <c r="X157" s="86">
        <v>1.0</v>
      </c>
      <c r="Y157" s="86">
        <v>2006.0</v>
      </c>
      <c r="Z157" s="86">
        <v>1.0</v>
      </c>
      <c r="AA157" s="86">
        <v>0.03</v>
      </c>
    </row>
    <row r="158" ht="12.75" customHeight="1">
      <c r="A158" s="86">
        <v>1156.0</v>
      </c>
      <c r="B158" s="86" t="s">
        <v>4027</v>
      </c>
      <c r="C158" s="86">
        <v>79.0</v>
      </c>
      <c r="D158" s="86" t="s">
        <v>3654</v>
      </c>
      <c r="E158" s="86">
        <v>1.0</v>
      </c>
      <c r="F158" s="86">
        <v>0.067</v>
      </c>
      <c r="G158" s="86">
        <v>8001.0</v>
      </c>
      <c r="H158" s="86">
        <v>100.0</v>
      </c>
      <c r="I158" s="86">
        <v>1.0</v>
      </c>
      <c r="J158" s="86">
        <v>8000.0</v>
      </c>
      <c r="K158" s="86">
        <v>150.0</v>
      </c>
      <c r="L158" s="86">
        <v>1.0</v>
      </c>
      <c r="M158" s="86">
        <v>2007.0</v>
      </c>
      <c r="N158" s="86">
        <v>1.0</v>
      </c>
      <c r="O158" s="141">
        <v>0.25</v>
      </c>
      <c r="P158" s="86">
        <v>9000.0</v>
      </c>
      <c r="Q158" s="86">
        <v>34.0</v>
      </c>
      <c r="R158" s="86">
        <v>1.0</v>
      </c>
      <c r="S158" s="86" t="s">
        <v>3657</v>
      </c>
      <c r="T158" s="86">
        <v>5.0</v>
      </c>
      <c r="U158" s="86">
        <v>0.5</v>
      </c>
      <c r="V158" s="86">
        <v>1000.0</v>
      </c>
      <c r="W158" s="86">
        <v>1570.0</v>
      </c>
      <c r="X158" s="86">
        <v>1.0</v>
      </c>
      <c r="Y158" s="86">
        <v>2006.0</v>
      </c>
      <c r="Z158" s="86">
        <v>1.0</v>
      </c>
      <c r="AA158" s="86">
        <v>0.03</v>
      </c>
    </row>
    <row r="159" ht="12.75" customHeight="1">
      <c r="A159" s="86">
        <v>1157.0</v>
      </c>
      <c r="B159" s="86" t="s">
        <v>4028</v>
      </c>
      <c r="C159" s="86">
        <v>79.0</v>
      </c>
      <c r="D159" s="86" t="s">
        <v>3654</v>
      </c>
      <c r="E159" s="86">
        <v>1.0</v>
      </c>
      <c r="F159" s="86">
        <v>0.067</v>
      </c>
      <c r="G159" s="86">
        <v>8001.0</v>
      </c>
      <c r="H159" s="86">
        <v>100.0</v>
      </c>
      <c r="I159" s="86">
        <v>1.0</v>
      </c>
      <c r="J159" s="86">
        <v>8000.0</v>
      </c>
      <c r="K159" s="86">
        <v>150.0</v>
      </c>
      <c r="L159" s="86">
        <v>1.0</v>
      </c>
      <c r="M159" s="86">
        <v>2007.0</v>
      </c>
      <c r="N159" s="86">
        <v>1.0</v>
      </c>
      <c r="O159" s="141">
        <v>0.25</v>
      </c>
      <c r="P159" s="86">
        <v>9000.0</v>
      </c>
      <c r="Q159" s="86">
        <v>34.0</v>
      </c>
      <c r="R159" s="86">
        <v>1.0</v>
      </c>
      <c r="S159" s="86" t="s">
        <v>3657</v>
      </c>
      <c r="T159" s="86">
        <v>5.0</v>
      </c>
      <c r="U159" s="86">
        <v>0.5</v>
      </c>
      <c r="V159" s="86">
        <v>1000.0</v>
      </c>
      <c r="W159" s="86">
        <v>1580.0</v>
      </c>
      <c r="X159" s="86">
        <v>1.0</v>
      </c>
      <c r="Y159" s="86">
        <v>2006.0</v>
      </c>
      <c r="Z159" s="86">
        <v>1.0</v>
      </c>
      <c r="AA159" s="86">
        <v>0.03</v>
      </c>
    </row>
    <row r="160" ht="12.75" customHeight="1">
      <c r="A160" s="86">
        <v>1158.0</v>
      </c>
      <c r="B160" s="86" t="s">
        <v>4030</v>
      </c>
      <c r="C160" s="86">
        <v>80.0</v>
      </c>
      <c r="D160" s="86" t="s">
        <v>3654</v>
      </c>
      <c r="E160" s="86">
        <v>1.0</v>
      </c>
      <c r="F160" s="86">
        <v>0.067</v>
      </c>
      <c r="G160" s="86">
        <v>8001.0</v>
      </c>
      <c r="H160" s="86">
        <v>100.0</v>
      </c>
      <c r="I160" s="86">
        <v>1.0</v>
      </c>
      <c r="J160" s="86">
        <v>8000.0</v>
      </c>
      <c r="K160" s="86">
        <v>155.0</v>
      </c>
      <c r="L160" s="86">
        <v>1.0</v>
      </c>
      <c r="M160" s="86">
        <v>2007.0</v>
      </c>
      <c r="N160" s="86">
        <v>1.0</v>
      </c>
      <c r="O160" s="141">
        <v>0.25</v>
      </c>
      <c r="P160" s="86">
        <v>9000.0</v>
      </c>
      <c r="Q160" s="86">
        <v>34.0</v>
      </c>
      <c r="R160" s="86">
        <v>1.0</v>
      </c>
      <c r="S160" s="86" t="s">
        <v>3657</v>
      </c>
      <c r="T160" s="86">
        <v>5.0</v>
      </c>
      <c r="U160" s="86">
        <v>0.5</v>
      </c>
      <c r="V160" s="86">
        <v>1000.0</v>
      </c>
      <c r="W160" s="86">
        <v>1595.0</v>
      </c>
      <c r="X160" s="86">
        <v>1.0</v>
      </c>
      <c r="Y160" s="86">
        <v>2006.0</v>
      </c>
      <c r="Z160" s="86">
        <v>1.0</v>
      </c>
      <c r="AA160" s="86">
        <v>0.03</v>
      </c>
    </row>
    <row r="161" ht="12.75" customHeight="1">
      <c r="A161" s="86">
        <v>1159.0</v>
      </c>
      <c r="B161" s="86" t="s">
        <v>4031</v>
      </c>
      <c r="C161" s="86">
        <v>80.0</v>
      </c>
      <c r="D161" s="86" t="s">
        <v>3654</v>
      </c>
      <c r="E161" s="86">
        <v>1.0</v>
      </c>
      <c r="F161" s="86">
        <v>0.067</v>
      </c>
      <c r="G161" s="86">
        <v>8001.0</v>
      </c>
      <c r="H161" s="86">
        <v>105.0</v>
      </c>
      <c r="I161" s="86">
        <v>1.0</v>
      </c>
      <c r="J161" s="86">
        <v>8000.0</v>
      </c>
      <c r="K161" s="86">
        <v>155.0</v>
      </c>
      <c r="L161" s="86">
        <v>1.0</v>
      </c>
      <c r="M161" s="86">
        <v>2007.0</v>
      </c>
      <c r="N161" s="86">
        <v>1.0</v>
      </c>
      <c r="O161" s="141">
        <v>0.25</v>
      </c>
      <c r="P161" s="86">
        <v>9000.0</v>
      </c>
      <c r="Q161" s="86">
        <v>34.0</v>
      </c>
      <c r="R161" s="86">
        <v>1.0</v>
      </c>
      <c r="S161" s="86" t="s">
        <v>3657</v>
      </c>
      <c r="T161" s="86">
        <v>5.0</v>
      </c>
      <c r="U161" s="86">
        <v>0.5</v>
      </c>
      <c r="V161" s="86">
        <v>1000.0</v>
      </c>
      <c r="W161" s="86">
        <v>1605.0</v>
      </c>
      <c r="X161" s="86">
        <v>1.0</v>
      </c>
      <c r="Y161" s="86">
        <v>2006.0</v>
      </c>
      <c r="Z161" s="86">
        <v>1.0</v>
      </c>
      <c r="AA161" s="86">
        <v>0.03</v>
      </c>
    </row>
    <row r="162" ht="12.75" customHeight="1">
      <c r="A162" s="86">
        <v>1160.0</v>
      </c>
      <c r="B162" s="86" t="s">
        <v>4033</v>
      </c>
      <c r="C162" s="86">
        <v>81.0</v>
      </c>
      <c r="D162" s="86" t="s">
        <v>3654</v>
      </c>
      <c r="E162" s="86">
        <v>1.0</v>
      </c>
      <c r="F162" s="86">
        <v>0.068</v>
      </c>
      <c r="G162" s="86">
        <v>8001.0</v>
      </c>
      <c r="H162" s="86">
        <v>105.0</v>
      </c>
      <c r="I162" s="86">
        <v>1.0</v>
      </c>
      <c r="J162" s="86">
        <v>8000.0</v>
      </c>
      <c r="K162" s="86">
        <v>155.0</v>
      </c>
      <c r="L162" s="86">
        <v>1.0</v>
      </c>
      <c r="M162" s="86">
        <v>2007.0</v>
      </c>
      <c r="N162" s="86">
        <v>1.0</v>
      </c>
      <c r="O162" s="141">
        <v>0.25</v>
      </c>
      <c r="P162" s="86">
        <v>9000.0</v>
      </c>
      <c r="Q162" s="86">
        <v>35.0</v>
      </c>
      <c r="R162" s="86">
        <v>1.0</v>
      </c>
      <c r="S162" s="86" t="s">
        <v>3657</v>
      </c>
      <c r="T162" s="86">
        <v>5.0</v>
      </c>
      <c r="U162" s="86">
        <v>0.5</v>
      </c>
      <c r="V162" s="86">
        <v>1000.0</v>
      </c>
      <c r="W162" s="86">
        <v>1615.0</v>
      </c>
      <c r="X162" s="86">
        <v>1.0</v>
      </c>
      <c r="Y162" s="86">
        <v>2006.0</v>
      </c>
      <c r="Z162" s="86">
        <v>1.0</v>
      </c>
      <c r="AA162" s="86">
        <v>0.03</v>
      </c>
    </row>
    <row r="163" ht="12.75" customHeight="1">
      <c r="A163" s="86">
        <v>1161.0</v>
      </c>
      <c r="B163" s="86" t="s">
        <v>4034</v>
      </c>
      <c r="C163" s="86">
        <v>81.0</v>
      </c>
      <c r="D163" s="86" t="s">
        <v>3654</v>
      </c>
      <c r="E163" s="86">
        <v>1.0</v>
      </c>
      <c r="F163" s="86">
        <v>0.068</v>
      </c>
      <c r="G163" s="86">
        <v>8001.0</v>
      </c>
      <c r="H163" s="86">
        <v>105.0</v>
      </c>
      <c r="I163" s="86">
        <v>1.0</v>
      </c>
      <c r="J163" s="86">
        <v>8000.0</v>
      </c>
      <c r="K163" s="86">
        <v>155.0</v>
      </c>
      <c r="L163" s="86">
        <v>1.0</v>
      </c>
      <c r="M163" s="86">
        <v>2007.0</v>
      </c>
      <c r="N163" s="86">
        <v>1.0</v>
      </c>
      <c r="O163" s="141">
        <v>0.25</v>
      </c>
      <c r="P163" s="86">
        <v>9000.0</v>
      </c>
      <c r="Q163" s="86">
        <v>35.0</v>
      </c>
      <c r="R163" s="86">
        <v>1.0</v>
      </c>
      <c r="S163" s="86" t="s">
        <v>3657</v>
      </c>
      <c r="T163" s="86">
        <v>5.0</v>
      </c>
      <c r="U163" s="86">
        <v>0.5</v>
      </c>
      <c r="V163" s="86">
        <v>1000.0</v>
      </c>
      <c r="W163" s="86">
        <v>1625.0</v>
      </c>
      <c r="X163" s="86">
        <v>1.0</v>
      </c>
      <c r="Y163" s="86">
        <v>2006.0</v>
      </c>
      <c r="Z163" s="86">
        <v>1.0</v>
      </c>
      <c r="AA163" s="86">
        <v>0.03</v>
      </c>
    </row>
    <row r="164" ht="12.75" customHeight="1">
      <c r="A164" s="86">
        <v>1162.0</v>
      </c>
      <c r="B164" s="86" t="s">
        <v>4036</v>
      </c>
      <c r="C164" s="86">
        <v>82.0</v>
      </c>
      <c r="D164" s="86" t="s">
        <v>3654</v>
      </c>
      <c r="E164" s="86">
        <v>1.0</v>
      </c>
      <c r="F164" s="86">
        <v>0.068</v>
      </c>
      <c r="G164" s="86">
        <v>8001.0</v>
      </c>
      <c r="H164" s="86">
        <v>105.0</v>
      </c>
      <c r="I164" s="86">
        <v>1.0</v>
      </c>
      <c r="J164" s="86">
        <v>8000.0</v>
      </c>
      <c r="K164" s="86">
        <v>155.0</v>
      </c>
      <c r="L164" s="86">
        <v>1.0</v>
      </c>
      <c r="M164" s="86">
        <v>2007.0</v>
      </c>
      <c r="N164" s="86">
        <v>1.0</v>
      </c>
      <c r="O164" s="141">
        <v>0.25</v>
      </c>
      <c r="P164" s="86">
        <v>9000.0</v>
      </c>
      <c r="Q164" s="86">
        <v>35.0</v>
      </c>
      <c r="R164" s="86">
        <v>1.0</v>
      </c>
      <c r="S164" s="86" t="s">
        <v>3657</v>
      </c>
      <c r="T164" s="86">
        <v>5.0</v>
      </c>
      <c r="U164" s="86">
        <v>0.5</v>
      </c>
      <c r="V164" s="86">
        <v>1000.0</v>
      </c>
      <c r="W164" s="86">
        <v>1635.0</v>
      </c>
      <c r="X164" s="86">
        <v>1.0</v>
      </c>
      <c r="Y164" s="86">
        <v>2006.0</v>
      </c>
      <c r="Z164" s="86">
        <v>1.0</v>
      </c>
      <c r="AA164" s="86">
        <v>0.03</v>
      </c>
    </row>
    <row r="165" ht="12.75" customHeight="1">
      <c r="A165" s="86">
        <v>1163.0</v>
      </c>
      <c r="B165" s="86" t="s">
        <v>4037</v>
      </c>
      <c r="C165" s="86">
        <v>82.0</v>
      </c>
      <c r="D165" s="86" t="s">
        <v>3654</v>
      </c>
      <c r="E165" s="86">
        <v>1.0</v>
      </c>
      <c r="F165" s="86">
        <v>0.068</v>
      </c>
      <c r="G165" s="86">
        <v>8001.0</v>
      </c>
      <c r="H165" s="86">
        <v>105.0</v>
      </c>
      <c r="I165" s="86">
        <v>1.0</v>
      </c>
      <c r="J165" s="86">
        <v>8000.0</v>
      </c>
      <c r="K165" s="86">
        <v>160.0</v>
      </c>
      <c r="L165" s="86">
        <v>1.0</v>
      </c>
      <c r="M165" s="86">
        <v>2007.0</v>
      </c>
      <c r="N165" s="86">
        <v>1.0</v>
      </c>
      <c r="O165" s="141">
        <v>0.25</v>
      </c>
      <c r="P165" s="86">
        <v>9000.0</v>
      </c>
      <c r="Q165" s="86">
        <v>35.0</v>
      </c>
      <c r="R165" s="86">
        <v>1.0</v>
      </c>
      <c r="S165" s="86" t="s">
        <v>3657</v>
      </c>
      <c r="T165" s="86">
        <v>5.0</v>
      </c>
      <c r="U165" s="86">
        <v>0.5</v>
      </c>
      <c r="V165" s="86">
        <v>1000.0</v>
      </c>
      <c r="W165" s="86">
        <v>1650.0</v>
      </c>
      <c r="X165" s="86">
        <v>1.0</v>
      </c>
      <c r="Y165" s="86">
        <v>2006.0</v>
      </c>
      <c r="Z165" s="86">
        <v>1.0</v>
      </c>
      <c r="AA165" s="86">
        <v>0.03</v>
      </c>
    </row>
    <row r="166" ht="12.75" customHeight="1">
      <c r="A166" s="86">
        <v>1164.0</v>
      </c>
      <c r="B166" s="86" t="s">
        <v>4039</v>
      </c>
      <c r="C166" s="86">
        <v>83.0</v>
      </c>
      <c r="D166" s="86" t="s">
        <v>3654</v>
      </c>
      <c r="E166" s="86">
        <v>1.0</v>
      </c>
      <c r="F166" s="86">
        <v>0.068</v>
      </c>
      <c r="G166" s="86">
        <v>8001.0</v>
      </c>
      <c r="H166" s="86">
        <v>105.0</v>
      </c>
      <c r="I166" s="86">
        <v>1.0</v>
      </c>
      <c r="J166" s="86">
        <v>8000.0</v>
      </c>
      <c r="K166" s="86">
        <v>160.0</v>
      </c>
      <c r="L166" s="86">
        <v>1.0</v>
      </c>
      <c r="M166" s="86">
        <v>2007.0</v>
      </c>
      <c r="N166" s="86">
        <v>1.0</v>
      </c>
      <c r="O166" s="141">
        <v>0.25</v>
      </c>
      <c r="P166" s="86">
        <v>9000.0</v>
      </c>
      <c r="Q166" s="86">
        <v>36.0</v>
      </c>
      <c r="R166" s="86">
        <v>1.0</v>
      </c>
      <c r="S166" s="86" t="s">
        <v>3657</v>
      </c>
      <c r="T166" s="86">
        <v>5.0</v>
      </c>
      <c r="U166" s="86">
        <v>0.5</v>
      </c>
      <c r="V166" s="86">
        <v>1000.0</v>
      </c>
      <c r="W166" s="86">
        <v>1660.0</v>
      </c>
      <c r="X166" s="86">
        <v>1.0</v>
      </c>
      <c r="Y166" s="86">
        <v>2006.0</v>
      </c>
      <c r="Z166" s="86">
        <v>1.0</v>
      </c>
      <c r="AA166" s="86">
        <v>0.03</v>
      </c>
    </row>
    <row r="167" ht="12.75" customHeight="1">
      <c r="A167" s="86">
        <v>1165.0</v>
      </c>
      <c r="B167" s="86" t="s">
        <v>4040</v>
      </c>
      <c r="C167" s="86">
        <v>83.0</v>
      </c>
      <c r="D167" s="86" t="s">
        <v>3654</v>
      </c>
      <c r="E167" s="86">
        <v>1.0</v>
      </c>
      <c r="F167" s="86">
        <v>0.069</v>
      </c>
      <c r="G167" s="86">
        <v>8001.0</v>
      </c>
      <c r="H167" s="86">
        <v>105.0</v>
      </c>
      <c r="I167" s="86">
        <v>1.0</v>
      </c>
      <c r="J167" s="86">
        <v>8000.0</v>
      </c>
      <c r="K167" s="86">
        <v>160.0</v>
      </c>
      <c r="L167" s="86">
        <v>1.0</v>
      </c>
      <c r="M167" s="86">
        <v>2007.0</v>
      </c>
      <c r="N167" s="86">
        <v>1.0</v>
      </c>
      <c r="O167" s="141">
        <v>0.25</v>
      </c>
      <c r="P167" s="86">
        <v>9000.0</v>
      </c>
      <c r="Q167" s="86">
        <v>36.0</v>
      </c>
      <c r="R167" s="86">
        <v>1.0</v>
      </c>
      <c r="S167" s="86" t="s">
        <v>3657</v>
      </c>
      <c r="T167" s="86">
        <v>5.0</v>
      </c>
      <c r="U167" s="86">
        <v>0.5</v>
      </c>
      <c r="V167" s="86">
        <v>1000.0</v>
      </c>
      <c r="W167" s="86">
        <v>1670.0</v>
      </c>
      <c r="X167" s="86">
        <v>1.0</v>
      </c>
      <c r="Y167" s="86">
        <v>2006.0</v>
      </c>
      <c r="Z167" s="86">
        <v>1.0</v>
      </c>
      <c r="AA167" s="86">
        <v>0.03</v>
      </c>
    </row>
    <row r="168" ht="12.75" customHeight="1">
      <c r="A168" s="86">
        <v>1166.0</v>
      </c>
      <c r="B168" s="86" t="s">
        <v>4041</v>
      </c>
      <c r="C168" s="86">
        <v>84.0</v>
      </c>
      <c r="D168" s="86" t="s">
        <v>3654</v>
      </c>
      <c r="E168" s="86">
        <v>1.0</v>
      </c>
      <c r="F168" s="86">
        <v>0.069</v>
      </c>
      <c r="G168" s="86">
        <v>8001.0</v>
      </c>
      <c r="H168" s="86">
        <v>110.0</v>
      </c>
      <c r="I168" s="86">
        <v>1.0</v>
      </c>
      <c r="J168" s="86">
        <v>8000.0</v>
      </c>
      <c r="K168" s="86">
        <v>160.0</v>
      </c>
      <c r="L168" s="86">
        <v>1.0</v>
      </c>
      <c r="M168" s="86">
        <v>2007.0</v>
      </c>
      <c r="N168" s="86">
        <v>1.0</v>
      </c>
      <c r="O168" s="141">
        <v>0.25</v>
      </c>
      <c r="P168" s="86">
        <v>9000.0</v>
      </c>
      <c r="Q168" s="86">
        <v>36.0</v>
      </c>
      <c r="R168" s="86">
        <v>1.0</v>
      </c>
      <c r="S168" s="86" t="s">
        <v>3657</v>
      </c>
      <c r="T168" s="86">
        <v>5.0</v>
      </c>
      <c r="U168" s="86">
        <v>0.5</v>
      </c>
      <c r="V168" s="86">
        <v>1000.0</v>
      </c>
      <c r="W168" s="86">
        <v>1680.0</v>
      </c>
      <c r="X168" s="86">
        <v>1.0</v>
      </c>
      <c r="Y168" s="86">
        <v>2006.0</v>
      </c>
      <c r="Z168" s="86">
        <v>1.0</v>
      </c>
      <c r="AA168" s="86">
        <v>0.03</v>
      </c>
    </row>
    <row r="169" ht="12.75" customHeight="1">
      <c r="A169" s="86">
        <v>1167.0</v>
      </c>
      <c r="B169" s="86" t="s">
        <v>4043</v>
      </c>
      <c r="C169" s="86">
        <v>84.0</v>
      </c>
      <c r="D169" s="86" t="s">
        <v>3654</v>
      </c>
      <c r="E169" s="86">
        <v>1.0</v>
      </c>
      <c r="F169" s="86">
        <v>0.069</v>
      </c>
      <c r="G169" s="86">
        <v>8001.0</v>
      </c>
      <c r="H169" s="86">
        <v>110.0</v>
      </c>
      <c r="I169" s="86">
        <v>1.0</v>
      </c>
      <c r="J169" s="86">
        <v>8000.0</v>
      </c>
      <c r="K169" s="86">
        <v>165.0</v>
      </c>
      <c r="L169" s="86">
        <v>1.0</v>
      </c>
      <c r="M169" s="86">
        <v>2007.0</v>
      </c>
      <c r="N169" s="86">
        <v>1.0</v>
      </c>
      <c r="O169" s="141">
        <v>0.25</v>
      </c>
      <c r="P169" s="86">
        <v>9000.0</v>
      </c>
      <c r="Q169" s="86">
        <v>37.0</v>
      </c>
      <c r="R169" s="86">
        <v>1.0</v>
      </c>
      <c r="S169" s="86" t="s">
        <v>3657</v>
      </c>
      <c r="T169" s="86">
        <v>5.0</v>
      </c>
      <c r="U169" s="86">
        <v>0.5</v>
      </c>
      <c r="V169" s="86">
        <v>1000.0</v>
      </c>
      <c r="W169" s="86">
        <v>1695.0</v>
      </c>
      <c r="X169" s="86">
        <v>1.0</v>
      </c>
      <c r="Y169" s="86">
        <v>2006.0</v>
      </c>
      <c r="Z169" s="86">
        <v>1.0</v>
      </c>
      <c r="AA169" s="86">
        <v>0.03</v>
      </c>
    </row>
    <row r="170" ht="12.75" customHeight="1">
      <c r="A170" s="86">
        <v>1168.0</v>
      </c>
      <c r="B170" s="86" t="s">
        <v>4044</v>
      </c>
      <c r="C170" s="86">
        <v>85.0</v>
      </c>
      <c r="D170" s="86" t="s">
        <v>3654</v>
      </c>
      <c r="E170" s="86">
        <v>1.0</v>
      </c>
      <c r="F170" s="86">
        <v>0.069</v>
      </c>
      <c r="G170" s="86">
        <v>8001.0</v>
      </c>
      <c r="H170" s="86">
        <v>110.0</v>
      </c>
      <c r="I170" s="86">
        <v>1.0</v>
      </c>
      <c r="J170" s="86">
        <v>8000.0</v>
      </c>
      <c r="K170" s="86">
        <v>165.0</v>
      </c>
      <c r="L170" s="86">
        <v>1.0</v>
      </c>
      <c r="M170" s="86">
        <v>2007.0</v>
      </c>
      <c r="N170" s="86">
        <v>1.0</v>
      </c>
      <c r="O170" s="141">
        <v>0.25</v>
      </c>
      <c r="P170" s="86">
        <v>9000.0</v>
      </c>
      <c r="Q170" s="86">
        <v>37.0</v>
      </c>
      <c r="R170" s="86">
        <v>1.0</v>
      </c>
      <c r="S170" s="86" t="s">
        <v>3657</v>
      </c>
      <c r="T170" s="86">
        <v>5.0</v>
      </c>
      <c r="U170" s="86">
        <v>0.5</v>
      </c>
      <c r="V170" s="86">
        <v>1000.0</v>
      </c>
      <c r="W170" s="86">
        <v>1705.0</v>
      </c>
      <c r="X170" s="86">
        <v>1.0</v>
      </c>
      <c r="Y170" s="86">
        <v>2006.0</v>
      </c>
      <c r="Z170" s="86">
        <v>1.0</v>
      </c>
      <c r="AA170" s="86">
        <v>0.03</v>
      </c>
    </row>
    <row r="171" ht="12.75" customHeight="1">
      <c r="A171" s="86">
        <v>1169.0</v>
      </c>
      <c r="B171" s="86" t="s">
        <v>4046</v>
      </c>
      <c r="C171" s="86">
        <v>85.0</v>
      </c>
      <c r="D171" s="86" t="s">
        <v>3654</v>
      </c>
      <c r="E171" s="86">
        <v>1.0</v>
      </c>
      <c r="F171" s="86">
        <v>0.069</v>
      </c>
      <c r="G171" s="86">
        <v>8001.0</v>
      </c>
      <c r="H171" s="86">
        <v>110.0</v>
      </c>
      <c r="I171" s="86">
        <v>1.0</v>
      </c>
      <c r="J171" s="86">
        <v>8000.0</v>
      </c>
      <c r="K171" s="86">
        <v>165.0</v>
      </c>
      <c r="L171" s="86">
        <v>1.0</v>
      </c>
      <c r="M171" s="86">
        <v>2007.0</v>
      </c>
      <c r="N171" s="86">
        <v>1.0</v>
      </c>
      <c r="O171" s="141">
        <v>0.25</v>
      </c>
      <c r="P171" s="86">
        <v>9000.0</v>
      </c>
      <c r="Q171" s="86">
        <v>37.0</v>
      </c>
      <c r="R171" s="86">
        <v>1.0</v>
      </c>
      <c r="S171" s="86" t="s">
        <v>3657</v>
      </c>
      <c r="T171" s="86">
        <v>5.0</v>
      </c>
      <c r="U171" s="86">
        <v>0.5</v>
      </c>
      <c r="V171" s="86">
        <v>1000.0</v>
      </c>
      <c r="W171" s="86">
        <v>1715.0</v>
      </c>
      <c r="X171" s="86">
        <v>1.0</v>
      </c>
      <c r="Y171" s="86">
        <v>2006.0</v>
      </c>
      <c r="Z171" s="86">
        <v>1.0</v>
      </c>
      <c r="AA171" s="86">
        <v>0.03</v>
      </c>
    </row>
    <row r="172" ht="12.75" customHeight="1">
      <c r="A172" s="86">
        <v>1170.0</v>
      </c>
      <c r="B172" s="86" t="s">
        <v>4047</v>
      </c>
      <c r="C172" s="86">
        <v>86.0</v>
      </c>
      <c r="D172" s="86" t="s">
        <v>3654</v>
      </c>
      <c r="E172" s="86">
        <v>1.0</v>
      </c>
      <c r="F172" s="86">
        <v>0.07</v>
      </c>
      <c r="G172" s="86">
        <v>8001.0</v>
      </c>
      <c r="H172" s="86">
        <v>110.0</v>
      </c>
      <c r="I172" s="86">
        <v>1.0</v>
      </c>
      <c r="J172" s="86">
        <v>8000.0</v>
      </c>
      <c r="K172" s="86">
        <v>165.0</v>
      </c>
      <c r="L172" s="86">
        <v>1.0</v>
      </c>
      <c r="M172" s="86">
        <v>2007.0</v>
      </c>
      <c r="N172" s="86">
        <v>1.0</v>
      </c>
      <c r="O172" s="141">
        <v>0.25</v>
      </c>
      <c r="P172" s="86">
        <v>9000.0</v>
      </c>
      <c r="Q172" s="86">
        <v>37.0</v>
      </c>
      <c r="R172" s="86">
        <v>1.0</v>
      </c>
      <c r="S172" s="86" t="s">
        <v>3657</v>
      </c>
      <c r="T172" s="86">
        <v>6.0</v>
      </c>
      <c r="U172" s="86">
        <v>0.5</v>
      </c>
      <c r="V172" s="86">
        <v>1000.0</v>
      </c>
      <c r="W172" s="86">
        <v>1725.0</v>
      </c>
      <c r="X172" s="86">
        <v>1.0</v>
      </c>
      <c r="Y172" s="86">
        <v>2006.0</v>
      </c>
      <c r="Z172" s="86">
        <v>1.0</v>
      </c>
      <c r="AA172" s="86">
        <v>0.03</v>
      </c>
    </row>
    <row r="173" ht="12.75" customHeight="1">
      <c r="A173" s="86">
        <v>1171.0</v>
      </c>
      <c r="B173" s="86" t="s">
        <v>4049</v>
      </c>
      <c r="C173" s="86">
        <v>86.0</v>
      </c>
      <c r="D173" s="86" t="s">
        <v>3654</v>
      </c>
      <c r="E173" s="86">
        <v>1.0</v>
      </c>
      <c r="F173" s="86">
        <v>0.07</v>
      </c>
      <c r="G173" s="86">
        <v>8001.0</v>
      </c>
      <c r="H173" s="86">
        <v>110.0</v>
      </c>
      <c r="I173" s="86">
        <v>1.0</v>
      </c>
      <c r="J173" s="86">
        <v>8000.0</v>
      </c>
      <c r="K173" s="86">
        <v>165.0</v>
      </c>
      <c r="L173" s="86">
        <v>1.0</v>
      </c>
      <c r="M173" s="86">
        <v>2007.0</v>
      </c>
      <c r="N173" s="86">
        <v>1.0</v>
      </c>
      <c r="O173" s="141">
        <v>0.25</v>
      </c>
      <c r="P173" s="86">
        <v>9000.0</v>
      </c>
      <c r="Q173" s="86">
        <v>38.0</v>
      </c>
      <c r="R173" s="86">
        <v>1.0</v>
      </c>
      <c r="S173" s="86" t="s">
        <v>3657</v>
      </c>
      <c r="T173" s="86">
        <v>6.0</v>
      </c>
      <c r="U173" s="86">
        <v>0.5</v>
      </c>
      <c r="V173" s="86">
        <v>1000.0</v>
      </c>
      <c r="W173" s="86">
        <v>1740.0</v>
      </c>
      <c r="X173" s="86">
        <v>1.0</v>
      </c>
      <c r="Y173" s="86">
        <v>2006.0</v>
      </c>
      <c r="Z173" s="86">
        <v>1.0</v>
      </c>
      <c r="AA173" s="86">
        <v>0.03</v>
      </c>
    </row>
    <row r="174" ht="12.75" customHeight="1">
      <c r="A174" s="86">
        <v>1172.0</v>
      </c>
      <c r="B174" s="86" t="s">
        <v>4050</v>
      </c>
      <c r="C174" s="86">
        <v>87.0</v>
      </c>
      <c r="D174" s="86" t="s">
        <v>3654</v>
      </c>
      <c r="E174" s="86">
        <v>1.0</v>
      </c>
      <c r="F174" s="86">
        <v>0.07</v>
      </c>
      <c r="G174" s="86">
        <v>8001.0</v>
      </c>
      <c r="H174" s="86">
        <v>110.0</v>
      </c>
      <c r="I174" s="86">
        <v>1.0</v>
      </c>
      <c r="J174" s="86">
        <v>8000.0</v>
      </c>
      <c r="K174" s="86">
        <v>170.0</v>
      </c>
      <c r="L174" s="86">
        <v>1.0</v>
      </c>
      <c r="M174" s="86">
        <v>2007.0</v>
      </c>
      <c r="N174" s="86">
        <v>1.0</v>
      </c>
      <c r="O174" s="141">
        <v>0.25</v>
      </c>
      <c r="P174" s="86">
        <v>9000.0</v>
      </c>
      <c r="Q174" s="86">
        <v>38.0</v>
      </c>
      <c r="R174" s="86">
        <v>1.0</v>
      </c>
      <c r="S174" s="86" t="s">
        <v>3657</v>
      </c>
      <c r="T174" s="86">
        <v>6.0</v>
      </c>
      <c r="U174" s="86">
        <v>0.5</v>
      </c>
      <c r="V174" s="86">
        <v>1000.0</v>
      </c>
      <c r="W174" s="86">
        <v>1750.0</v>
      </c>
      <c r="X174" s="86">
        <v>1.0</v>
      </c>
      <c r="Y174" s="86">
        <v>2006.0</v>
      </c>
      <c r="Z174" s="86">
        <v>1.0</v>
      </c>
      <c r="AA174" s="86">
        <v>0.03</v>
      </c>
    </row>
    <row r="175" ht="12.75" customHeight="1">
      <c r="A175" s="86">
        <v>1173.0</v>
      </c>
      <c r="B175" s="86" t="s">
        <v>4052</v>
      </c>
      <c r="C175" s="86">
        <v>87.0</v>
      </c>
      <c r="D175" s="86" t="s">
        <v>3654</v>
      </c>
      <c r="E175" s="86">
        <v>1.0</v>
      </c>
      <c r="F175" s="86">
        <v>0.07</v>
      </c>
      <c r="G175" s="86">
        <v>8001.0</v>
      </c>
      <c r="H175" s="86">
        <v>115.0</v>
      </c>
      <c r="I175" s="86">
        <v>1.0</v>
      </c>
      <c r="J175" s="86">
        <v>8000.0</v>
      </c>
      <c r="K175" s="86">
        <v>170.0</v>
      </c>
      <c r="L175" s="86">
        <v>1.0</v>
      </c>
      <c r="M175" s="86">
        <v>2007.0</v>
      </c>
      <c r="N175" s="86">
        <v>1.0</v>
      </c>
      <c r="O175" s="141">
        <v>0.25</v>
      </c>
      <c r="P175" s="86">
        <v>9000.0</v>
      </c>
      <c r="Q175" s="86">
        <v>38.0</v>
      </c>
      <c r="R175" s="86">
        <v>1.0</v>
      </c>
      <c r="S175" s="86" t="s">
        <v>3657</v>
      </c>
      <c r="T175" s="86">
        <v>6.0</v>
      </c>
      <c r="U175" s="86">
        <v>0.5</v>
      </c>
      <c r="V175" s="86">
        <v>1000.0</v>
      </c>
      <c r="W175" s="86">
        <v>1760.0</v>
      </c>
      <c r="X175" s="86">
        <v>1.0</v>
      </c>
      <c r="Y175" s="86">
        <v>2006.0</v>
      </c>
      <c r="Z175" s="86">
        <v>1.0</v>
      </c>
      <c r="AA175" s="86">
        <v>0.03</v>
      </c>
    </row>
    <row r="176" ht="12.75" customHeight="1">
      <c r="A176" s="86">
        <v>1174.0</v>
      </c>
      <c r="B176" s="86" t="s">
        <v>4028</v>
      </c>
      <c r="C176" s="86">
        <v>88.0</v>
      </c>
      <c r="D176" s="86" t="s">
        <v>3654</v>
      </c>
      <c r="E176" s="86">
        <v>1.0</v>
      </c>
      <c r="F176" s="86">
        <v>0.07</v>
      </c>
      <c r="G176" s="86">
        <v>8001.0</v>
      </c>
      <c r="H176" s="86">
        <v>115.0</v>
      </c>
      <c r="I176" s="86">
        <v>1.0</v>
      </c>
      <c r="J176" s="86">
        <v>8000.0</v>
      </c>
      <c r="K176" s="86">
        <v>170.0</v>
      </c>
      <c r="L176" s="86">
        <v>1.0</v>
      </c>
      <c r="M176" s="86">
        <v>2007.0</v>
      </c>
      <c r="N176" s="86">
        <v>1.0</v>
      </c>
      <c r="O176" s="141">
        <v>0.25</v>
      </c>
      <c r="P176" s="86">
        <v>9000.0</v>
      </c>
      <c r="Q176" s="86">
        <v>39.0</v>
      </c>
      <c r="R176" s="86">
        <v>1.0</v>
      </c>
      <c r="S176" s="86" t="s">
        <v>3657</v>
      </c>
      <c r="T176" s="86">
        <v>6.0</v>
      </c>
      <c r="U176" s="86">
        <v>0.5</v>
      </c>
      <c r="V176" s="86">
        <v>1000.0</v>
      </c>
      <c r="W176" s="86">
        <v>1775.0</v>
      </c>
      <c r="X176" s="86">
        <v>1.0</v>
      </c>
      <c r="Y176" s="86">
        <v>2006.0</v>
      </c>
      <c r="Z176" s="86">
        <v>1.0</v>
      </c>
      <c r="AA176" s="86">
        <v>0.03</v>
      </c>
    </row>
    <row r="177" ht="12.75" customHeight="1">
      <c r="A177" s="86">
        <v>1175.0</v>
      </c>
      <c r="B177" s="86" t="s">
        <v>4054</v>
      </c>
      <c r="C177" s="86">
        <v>88.0</v>
      </c>
      <c r="D177" s="86" t="s">
        <v>3654</v>
      </c>
      <c r="E177" s="86">
        <v>1.0</v>
      </c>
      <c r="F177" s="86">
        <v>0.071</v>
      </c>
      <c r="G177" s="86">
        <v>8001.0</v>
      </c>
      <c r="H177" s="86">
        <v>115.0</v>
      </c>
      <c r="I177" s="86">
        <v>1.0</v>
      </c>
      <c r="J177" s="86">
        <v>8000.0</v>
      </c>
      <c r="K177" s="86">
        <v>170.0</v>
      </c>
      <c r="L177" s="86">
        <v>1.0</v>
      </c>
      <c r="M177" s="86">
        <v>2007.0</v>
      </c>
      <c r="N177" s="86">
        <v>1.0</v>
      </c>
      <c r="O177" s="141">
        <v>0.25</v>
      </c>
      <c r="P177" s="86">
        <v>9000.0</v>
      </c>
      <c r="Q177" s="86">
        <v>39.0</v>
      </c>
      <c r="R177" s="86">
        <v>1.0</v>
      </c>
      <c r="S177" s="86" t="s">
        <v>3657</v>
      </c>
      <c r="T177" s="86">
        <v>6.0</v>
      </c>
      <c r="U177" s="86">
        <v>0.5</v>
      </c>
      <c r="V177" s="86">
        <v>1000.0</v>
      </c>
      <c r="W177" s="86">
        <v>1785.0</v>
      </c>
      <c r="X177" s="86">
        <v>1.0</v>
      </c>
      <c r="Y177" s="86">
        <v>2006.0</v>
      </c>
      <c r="Z177" s="86">
        <v>1.0</v>
      </c>
      <c r="AA177" s="86">
        <v>0.03</v>
      </c>
    </row>
    <row r="178" ht="12.75" customHeight="1">
      <c r="A178" s="86">
        <v>1176.0</v>
      </c>
      <c r="B178" s="86" t="s">
        <v>4055</v>
      </c>
      <c r="C178" s="86">
        <v>89.0</v>
      </c>
      <c r="D178" s="86" t="s">
        <v>3654</v>
      </c>
      <c r="E178" s="86">
        <v>1.0</v>
      </c>
      <c r="F178" s="86">
        <v>0.071</v>
      </c>
      <c r="G178" s="86">
        <v>8001.0</v>
      </c>
      <c r="H178" s="86">
        <v>115.0</v>
      </c>
      <c r="I178" s="86">
        <v>1.0</v>
      </c>
      <c r="J178" s="86">
        <v>8000.0</v>
      </c>
      <c r="K178" s="86">
        <v>170.0</v>
      </c>
      <c r="L178" s="86">
        <v>1.0</v>
      </c>
      <c r="M178" s="86">
        <v>2007.0</v>
      </c>
      <c r="N178" s="86">
        <v>1.0</v>
      </c>
      <c r="O178" s="141">
        <v>0.25</v>
      </c>
      <c r="P178" s="86">
        <v>9000.0</v>
      </c>
      <c r="Q178" s="86">
        <v>39.0</v>
      </c>
      <c r="R178" s="86">
        <v>1.0</v>
      </c>
      <c r="S178" s="86" t="s">
        <v>3657</v>
      </c>
      <c r="T178" s="86">
        <v>6.0</v>
      </c>
      <c r="U178" s="86">
        <v>0.5</v>
      </c>
      <c r="V178" s="86">
        <v>1000.0</v>
      </c>
      <c r="W178" s="86">
        <v>1795.0</v>
      </c>
      <c r="X178" s="86">
        <v>1.0</v>
      </c>
      <c r="Y178" s="86">
        <v>2006.0</v>
      </c>
      <c r="Z178" s="86">
        <v>1.0</v>
      </c>
      <c r="AA178" s="86">
        <v>0.03</v>
      </c>
    </row>
    <row r="179" ht="12.75" customHeight="1">
      <c r="A179" s="86">
        <v>1177.0</v>
      </c>
      <c r="B179" s="86" t="s">
        <v>4057</v>
      </c>
      <c r="C179" s="86">
        <v>89.0</v>
      </c>
      <c r="D179" s="86" t="s">
        <v>3654</v>
      </c>
      <c r="E179" s="86">
        <v>1.0</v>
      </c>
      <c r="F179" s="86">
        <v>0.071</v>
      </c>
      <c r="G179" s="86">
        <v>8001.0</v>
      </c>
      <c r="H179" s="86">
        <v>115.0</v>
      </c>
      <c r="I179" s="86">
        <v>1.0</v>
      </c>
      <c r="J179" s="86">
        <v>8000.0</v>
      </c>
      <c r="K179" s="86">
        <v>175.0</v>
      </c>
      <c r="L179" s="86">
        <v>1.0</v>
      </c>
      <c r="M179" s="86">
        <v>2007.0</v>
      </c>
      <c r="N179" s="86">
        <v>1.0</v>
      </c>
      <c r="O179" s="141">
        <v>0.25</v>
      </c>
      <c r="P179" s="86">
        <v>9000.0</v>
      </c>
      <c r="Q179" s="86">
        <v>39.0</v>
      </c>
      <c r="R179" s="86">
        <v>1.0</v>
      </c>
      <c r="S179" s="86" t="s">
        <v>3657</v>
      </c>
      <c r="T179" s="86">
        <v>6.0</v>
      </c>
      <c r="U179" s="86">
        <v>0.5</v>
      </c>
      <c r="V179" s="86">
        <v>1000.0</v>
      </c>
      <c r="W179" s="86">
        <v>1810.0</v>
      </c>
      <c r="X179" s="86">
        <v>1.0</v>
      </c>
      <c r="Y179" s="86">
        <v>2006.0</v>
      </c>
      <c r="Z179" s="86">
        <v>1.0</v>
      </c>
      <c r="AA179" s="86">
        <v>0.03</v>
      </c>
    </row>
    <row r="180" ht="12.75" customHeight="1">
      <c r="A180" s="86">
        <v>1178.0</v>
      </c>
      <c r="B180" s="86" t="s">
        <v>4058</v>
      </c>
      <c r="C180" s="86">
        <v>90.0</v>
      </c>
      <c r="D180" s="86" t="s">
        <v>3654</v>
      </c>
      <c r="E180" s="86">
        <v>1.0</v>
      </c>
      <c r="F180" s="86">
        <v>0.071</v>
      </c>
      <c r="G180" s="86">
        <v>8001.0</v>
      </c>
      <c r="H180" s="86">
        <v>115.0</v>
      </c>
      <c r="I180" s="86">
        <v>1.0</v>
      </c>
      <c r="J180" s="86">
        <v>8000.0</v>
      </c>
      <c r="K180" s="86">
        <v>175.0</v>
      </c>
      <c r="L180" s="86">
        <v>1.0</v>
      </c>
      <c r="M180" s="86">
        <v>2007.0</v>
      </c>
      <c r="N180" s="86">
        <v>1.0</v>
      </c>
      <c r="O180" s="141">
        <v>0.25</v>
      </c>
      <c r="P180" s="86">
        <v>9000.0</v>
      </c>
      <c r="Q180" s="86">
        <v>40.0</v>
      </c>
      <c r="R180" s="86">
        <v>1.0</v>
      </c>
      <c r="S180" s="86" t="s">
        <v>3657</v>
      </c>
      <c r="T180" s="86">
        <v>6.0</v>
      </c>
      <c r="U180" s="86">
        <v>0.5</v>
      </c>
      <c r="V180" s="86">
        <v>1000.0</v>
      </c>
      <c r="W180" s="86">
        <v>1820.0</v>
      </c>
      <c r="X180" s="86">
        <v>1.0</v>
      </c>
      <c r="Y180" s="86">
        <v>2006.0</v>
      </c>
      <c r="Z180" s="86">
        <v>1.0</v>
      </c>
      <c r="AA180" s="86">
        <v>0.03</v>
      </c>
    </row>
    <row r="181" ht="12.75" customHeight="1">
      <c r="A181" s="86">
        <v>1179.0</v>
      </c>
      <c r="B181" s="86" t="s">
        <v>4060</v>
      </c>
      <c r="C181" s="86">
        <v>90.0</v>
      </c>
      <c r="D181" s="86" t="s">
        <v>3654</v>
      </c>
      <c r="E181" s="86">
        <v>1.0</v>
      </c>
      <c r="F181" s="86">
        <v>0.071</v>
      </c>
      <c r="G181" s="86">
        <v>8001.0</v>
      </c>
      <c r="H181" s="86">
        <v>115.0</v>
      </c>
      <c r="I181" s="86">
        <v>1.0</v>
      </c>
      <c r="J181" s="86">
        <v>8000.0</v>
      </c>
      <c r="K181" s="86">
        <v>175.0</v>
      </c>
      <c r="L181" s="86">
        <v>1.0</v>
      </c>
      <c r="M181" s="86">
        <v>2007.0</v>
      </c>
      <c r="N181" s="86">
        <v>1.0</v>
      </c>
      <c r="O181" s="141">
        <v>0.25</v>
      </c>
      <c r="P181" s="86">
        <v>9000.0</v>
      </c>
      <c r="Q181" s="86">
        <v>40.0</v>
      </c>
      <c r="R181" s="86">
        <v>1.0</v>
      </c>
      <c r="S181" s="86" t="s">
        <v>3657</v>
      </c>
      <c r="T181" s="86">
        <v>6.0</v>
      </c>
      <c r="U181" s="86">
        <v>0.5</v>
      </c>
      <c r="V181" s="86">
        <v>1000.0</v>
      </c>
      <c r="W181" s="86">
        <v>1830.0</v>
      </c>
      <c r="X181" s="86">
        <v>1.0</v>
      </c>
      <c r="Y181" s="86">
        <v>2006.0</v>
      </c>
      <c r="Z181" s="86">
        <v>1.0</v>
      </c>
      <c r="AA181" s="86">
        <v>0.03</v>
      </c>
    </row>
    <row r="182" ht="12.75" customHeight="1">
      <c r="A182" s="86">
        <v>1180.0</v>
      </c>
      <c r="B182" s="86" t="s">
        <v>4061</v>
      </c>
      <c r="C182" s="86">
        <v>91.0</v>
      </c>
      <c r="D182" s="86" t="s">
        <v>3654</v>
      </c>
      <c r="E182" s="86">
        <v>1.0</v>
      </c>
      <c r="F182" s="86">
        <v>0.072</v>
      </c>
      <c r="G182" s="86">
        <v>8001.0</v>
      </c>
      <c r="H182" s="86">
        <v>120.0</v>
      </c>
      <c r="I182" s="86">
        <v>1.0</v>
      </c>
      <c r="J182" s="86">
        <v>8000.0</v>
      </c>
      <c r="K182" s="86">
        <v>175.0</v>
      </c>
      <c r="L182" s="86">
        <v>1.0</v>
      </c>
      <c r="M182" s="86">
        <v>2007.0</v>
      </c>
      <c r="N182" s="86">
        <v>1.0</v>
      </c>
      <c r="O182" s="141">
        <v>0.25</v>
      </c>
      <c r="P182" s="86">
        <v>9000.0</v>
      </c>
      <c r="Q182" s="86">
        <v>40.0</v>
      </c>
      <c r="R182" s="86">
        <v>1.0</v>
      </c>
      <c r="S182" s="86" t="s">
        <v>3657</v>
      </c>
      <c r="T182" s="86">
        <v>6.0</v>
      </c>
      <c r="U182" s="86">
        <v>0.5</v>
      </c>
      <c r="V182" s="86">
        <v>1000.0</v>
      </c>
      <c r="W182" s="86">
        <v>1845.0</v>
      </c>
      <c r="X182" s="86">
        <v>1.0</v>
      </c>
      <c r="Y182" s="86">
        <v>2006.0</v>
      </c>
      <c r="Z182" s="86">
        <v>1.0</v>
      </c>
      <c r="AA182" s="86">
        <v>0.03</v>
      </c>
    </row>
    <row r="183" ht="12.75" customHeight="1">
      <c r="A183" s="86">
        <v>1181.0</v>
      </c>
      <c r="B183" s="86" t="s">
        <v>4062</v>
      </c>
      <c r="C183" s="86">
        <v>91.0</v>
      </c>
      <c r="D183" s="86" t="s">
        <v>3654</v>
      </c>
      <c r="E183" s="86">
        <v>1.0</v>
      </c>
      <c r="F183" s="86">
        <v>0.072</v>
      </c>
      <c r="G183" s="86">
        <v>8001.0</v>
      </c>
      <c r="H183" s="86">
        <v>120.0</v>
      </c>
      <c r="I183" s="86">
        <v>1.0</v>
      </c>
      <c r="J183" s="86">
        <v>8000.0</v>
      </c>
      <c r="K183" s="86">
        <v>180.0</v>
      </c>
      <c r="L183" s="86">
        <v>1.0</v>
      </c>
      <c r="M183" s="86">
        <v>2007.0</v>
      </c>
      <c r="N183" s="86">
        <v>1.0</v>
      </c>
      <c r="O183" s="141">
        <v>0.25</v>
      </c>
      <c r="P183" s="86">
        <v>9000.0</v>
      </c>
      <c r="Q183" s="86">
        <v>41.0</v>
      </c>
      <c r="R183" s="86">
        <v>1.0</v>
      </c>
      <c r="S183" s="86" t="s">
        <v>3657</v>
      </c>
      <c r="T183" s="86">
        <v>6.0</v>
      </c>
      <c r="U183" s="86">
        <v>0.5</v>
      </c>
      <c r="V183" s="86">
        <v>1000.0</v>
      </c>
      <c r="W183" s="86">
        <v>1855.0</v>
      </c>
      <c r="X183" s="86">
        <v>1.0</v>
      </c>
      <c r="Y183" s="86">
        <v>2006.0</v>
      </c>
      <c r="Z183" s="86">
        <v>1.0</v>
      </c>
      <c r="AA183" s="86">
        <v>0.03</v>
      </c>
    </row>
    <row r="184" ht="12.75" customHeight="1">
      <c r="A184" s="86">
        <v>1182.0</v>
      </c>
      <c r="B184" s="86" t="s">
        <v>4064</v>
      </c>
      <c r="C184" s="86">
        <v>92.0</v>
      </c>
      <c r="D184" s="86" t="s">
        <v>3654</v>
      </c>
      <c r="E184" s="86">
        <v>1.0</v>
      </c>
      <c r="F184" s="86">
        <v>0.072</v>
      </c>
      <c r="G184" s="86">
        <v>8001.0</v>
      </c>
      <c r="H184" s="86">
        <v>120.0</v>
      </c>
      <c r="I184" s="86">
        <v>1.0</v>
      </c>
      <c r="J184" s="86">
        <v>8000.0</v>
      </c>
      <c r="K184" s="86">
        <v>180.0</v>
      </c>
      <c r="L184" s="86">
        <v>1.0</v>
      </c>
      <c r="M184" s="86">
        <v>2007.0</v>
      </c>
      <c r="N184" s="86">
        <v>1.0</v>
      </c>
      <c r="O184" s="141">
        <v>0.25</v>
      </c>
      <c r="P184" s="86">
        <v>9000.0</v>
      </c>
      <c r="Q184" s="86">
        <v>41.0</v>
      </c>
      <c r="R184" s="86">
        <v>1.0</v>
      </c>
      <c r="S184" s="86" t="s">
        <v>3657</v>
      </c>
      <c r="T184" s="86">
        <v>6.0</v>
      </c>
      <c r="U184" s="86">
        <v>0.5</v>
      </c>
      <c r="V184" s="86">
        <v>1000.0</v>
      </c>
      <c r="W184" s="86">
        <v>1865.0</v>
      </c>
      <c r="X184" s="86">
        <v>1.0</v>
      </c>
      <c r="Y184" s="86">
        <v>2006.0</v>
      </c>
      <c r="Z184" s="86">
        <v>1.0</v>
      </c>
      <c r="AA184" s="86">
        <v>0.03</v>
      </c>
    </row>
    <row r="185" ht="12.75" customHeight="1">
      <c r="A185" s="86">
        <v>1183.0</v>
      </c>
      <c r="B185" s="86" t="s">
        <v>4065</v>
      </c>
      <c r="C185" s="86">
        <v>92.0</v>
      </c>
      <c r="D185" s="86" t="s">
        <v>3654</v>
      </c>
      <c r="E185" s="86">
        <v>1.0</v>
      </c>
      <c r="F185" s="86">
        <v>0.072</v>
      </c>
      <c r="G185" s="86">
        <v>8001.0</v>
      </c>
      <c r="H185" s="86">
        <v>120.0</v>
      </c>
      <c r="I185" s="86">
        <v>1.0</v>
      </c>
      <c r="J185" s="86">
        <v>8000.0</v>
      </c>
      <c r="K185" s="86">
        <v>180.0</v>
      </c>
      <c r="L185" s="86">
        <v>1.0</v>
      </c>
      <c r="M185" s="86">
        <v>2007.0</v>
      </c>
      <c r="N185" s="86">
        <v>1.0</v>
      </c>
      <c r="O185" s="141">
        <v>0.25</v>
      </c>
      <c r="P185" s="86">
        <v>9000.0</v>
      </c>
      <c r="Q185" s="86">
        <v>41.0</v>
      </c>
      <c r="R185" s="86">
        <v>1.0</v>
      </c>
      <c r="S185" s="86" t="s">
        <v>3657</v>
      </c>
      <c r="T185" s="86">
        <v>6.0</v>
      </c>
      <c r="U185" s="86">
        <v>0.5</v>
      </c>
      <c r="V185" s="86">
        <v>1000.0</v>
      </c>
      <c r="W185" s="86">
        <v>1880.0</v>
      </c>
      <c r="X185" s="86">
        <v>1.0</v>
      </c>
      <c r="Y185" s="86">
        <v>2006.0</v>
      </c>
      <c r="Z185" s="86">
        <v>1.0</v>
      </c>
      <c r="AA185" s="86">
        <v>0.03</v>
      </c>
    </row>
    <row r="186" ht="12.75" customHeight="1">
      <c r="A186" s="86">
        <v>1184.0</v>
      </c>
      <c r="B186" s="86" t="s">
        <v>4067</v>
      </c>
      <c r="C186" s="86">
        <v>93.0</v>
      </c>
      <c r="D186" s="86" t="s">
        <v>3654</v>
      </c>
      <c r="E186" s="86">
        <v>1.0</v>
      </c>
      <c r="F186" s="86">
        <v>0.073</v>
      </c>
      <c r="G186" s="86">
        <v>8001.0</v>
      </c>
      <c r="H186" s="86">
        <v>120.0</v>
      </c>
      <c r="I186" s="86">
        <v>1.0</v>
      </c>
      <c r="J186" s="86">
        <v>8000.0</v>
      </c>
      <c r="K186" s="86">
        <v>180.0</v>
      </c>
      <c r="L186" s="86">
        <v>1.0</v>
      </c>
      <c r="M186" s="86">
        <v>2007.0</v>
      </c>
      <c r="N186" s="86">
        <v>1.0</v>
      </c>
      <c r="O186" s="141">
        <v>0.25</v>
      </c>
      <c r="P186" s="86">
        <v>9000.0</v>
      </c>
      <c r="Q186" s="86">
        <v>42.0</v>
      </c>
      <c r="R186" s="86">
        <v>1.0</v>
      </c>
      <c r="S186" s="86" t="s">
        <v>3657</v>
      </c>
      <c r="T186" s="86">
        <v>6.0</v>
      </c>
      <c r="U186" s="86">
        <v>0.5</v>
      </c>
      <c r="V186" s="86">
        <v>1000.0</v>
      </c>
      <c r="W186" s="86">
        <v>1890.0</v>
      </c>
      <c r="X186" s="86">
        <v>1.0</v>
      </c>
      <c r="Y186" s="86">
        <v>2006.0</v>
      </c>
      <c r="Z186" s="86">
        <v>1.0</v>
      </c>
      <c r="AA186" s="86">
        <v>0.03</v>
      </c>
    </row>
    <row r="187" ht="12.75" customHeight="1">
      <c r="A187" s="86">
        <v>1185.0</v>
      </c>
      <c r="B187" s="86" t="s">
        <v>4068</v>
      </c>
      <c r="C187" s="86">
        <v>93.0</v>
      </c>
      <c r="D187" s="86" t="s">
        <v>3654</v>
      </c>
      <c r="E187" s="86">
        <v>1.0</v>
      </c>
      <c r="F187" s="86">
        <v>0.073</v>
      </c>
      <c r="G187" s="86">
        <v>8001.0</v>
      </c>
      <c r="H187" s="86">
        <v>120.0</v>
      </c>
      <c r="I187" s="86">
        <v>1.0</v>
      </c>
      <c r="J187" s="86">
        <v>8000.0</v>
      </c>
      <c r="K187" s="86">
        <v>185.0</v>
      </c>
      <c r="L187" s="86">
        <v>1.0</v>
      </c>
      <c r="M187" s="86">
        <v>2007.0</v>
      </c>
      <c r="N187" s="86">
        <v>1.0</v>
      </c>
      <c r="O187" s="141">
        <v>0.25</v>
      </c>
      <c r="P187" s="86">
        <v>9000.0</v>
      </c>
      <c r="Q187" s="86">
        <v>42.0</v>
      </c>
      <c r="R187" s="86">
        <v>1.0</v>
      </c>
      <c r="S187" s="86" t="s">
        <v>3657</v>
      </c>
      <c r="T187" s="86">
        <v>6.0</v>
      </c>
      <c r="U187" s="86">
        <v>0.5</v>
      </c>
      <c r="V187" s="86">
        <v>1000.0</v>
      </c>
      <c r="W187" s="86">
        <v>1905.0</v>
      </c>
      <c r="X187" s="86">
        <v>1.0</v>
      </c>
      <c r="Y187" s="86">
        <v>2006.0</v>
      </c>
      <c r="Z187" s="86">
        <v>1.0</v>
      </c>
      <c r="AA187" s="86">
        <v>0.03</v>
      </c>
    </row>
    <row r="188" ht="12.75" customHeight="1">
      <c r="A188" s="86">
        <v>1186.0</v>
      </c>
      <c r="B188" s="86" t="s">
        <v>4070</v>
      </c>
      <c r="C188" s="86">
        <v>94.0</v>
      </c>
      <c r="D188" s="86" t="s">
        <v>3654</v>
      </c>
      <c r="E188" s="86">
        <v>1.0</v>
      </c>
      <c r="F188" s="86">
        <v>0.073</v>
      </c>
      <c r="G188" s="86">
        <v>8001.0</v>
      </c>
      <c r="H188" s="86">
        <v>125.0</v>
      </c>
      <c r="I188" s="86">
        <v>1.0</v>
      </c>
      <c r="J188" s="86">
        <v>8000.0</v>
      </c>
      <c r="K188" s="86">
        <v>185.0</v>
      </c>
      <c r="L188" s="86">
        <v>1.0</v>
      </c>
      <c r="M188" s="86">
        <v>2007.0</v>
      </c>
      <c r="N188" s="86">
        <v>1.0</v>
      </c>
      <c r="O188" s="141">
        <v>0.25</v>
      </c>
      <c r="P188" s="86">
        <v>9000.0</v>
      </c>
      <c r="Q188" s="86">
        <v>42.0</v>
      </c>
      <c r="R188" s="86">
        <v>1.0</v>
      </c>
      <c r="S188" s="86" t="s">
        <v>3657</v>
      </c>
      <c r="T188" s="86">
        <v>6.0</v>
      </c>
      <c r="U188" s="86">
        <v>0.5</v>
      </c>
      <c r="V188" s="86">
        <v>1000.0</v>
      </c>
      <c r="W188" s="86">
        <v>1915.0</v>
      </c>
      <c r="X188" s="86">
        <v>1.0</v>
      </c>
      <c r="Y188" s="86">
        <v>2006.0</v>
      </c>
      <c r="Z188" s="86">
        <v>1.0</v>
      </c>
      <c r="AA188" s="86">
        <v>0.03</v>
      </c>
    </row>
    <row r="189" ht="12.75" customHeight="1">
      <c r="A189" s="86">
        <v>1187.0</v>
      </c>
      <c r="B189" s="86" t="s">
        <v>4071</v>
      </c>
      <c r="C189" s="86">
        <v>94.0</v>
      </c>
      <c r="D189" s="86" t="s">
        <v>3654</v>
      </c>
      <c r="E189" s="86">
        <v>1.0</v>
      </c>
      <c r="F189" s="86">
        <v>0.073</v>
      </c>
      <c r="G189" s="86">
        <v>8001.0</v>
      </c>
      <c r="H189" s="86">
        <v>125.0</v>
      </c>
      <c r="I189" s="86">
        <v>1.0</v>
      </c>
      <c r="J189" s="86">
        <v>8000.0</v>
      </c>
      <c r="K189" s="86">
        <v>185.0</v>
      </c>
      <c r="L189" s="86">
        <v>1.0</v>
      </c>
      <c r="M189" s="86">
        <v>2007.0</v>
      </c>
      <c r="N189" s="86">
        <v>1.0</v>
      </c>
      <c r="O189" s="141">
        <v>0.25</v>
      </c>
      <c r="P189" s="86">
        <v>9000.0</v>
      </c>
      <c r="Q189" s="86">
        <v>42.0</v>
      </c>
      <c r="R189" s="86">
        <v>1.0</v>
      </c>
      <c r="S189" s="86" t="s">
        <v>3657</v>
      </c>
      <c r="T189" s="86">
        <v>6.0</v>
      </c>
      <c r="U189" s="86">
        <v>0.5</v>
      </c>
      <c r="V189" s="86">
        <v>1000.0</v>
      </c>
      <c r="W189" s="86">
        <v>1925.0</v>
      </c>
      <c r="X189" s="86">
        <v>1.0</v>
      </c>
      <c r="Y189" s="86">
        <v>2006.0</v>
      </c>
      <c r="Z189" s="86">
        <v>1.0</v>
      </c>
      <c r="AA189" s="86">
        <v>0.03</v>
      </c>
    </row>
    <row r="190" ht="12.75" customHeight="1">
      <c r="A190" s="86">
        <v>1188.0</v>
      </c>
      <c r="B190" s="86" t="s">
        <v>4073</v>
      </c>
      <c r="C190" s="86">
        <v>95.0</v>
      </c>
      <c r="D190" s="86" t="s">
        <v>3654</v>
      </c>
      <c r="E190" s="86">
        <v>1.0</v>
      </c>
      <c r="F190" s="86">
        <v>0.073</v>
      </c>
      <c r="G190" s="86">
        <v>8001.0</v>
      </c>
      <c r="H190" s="86">
        <v>125.0</v>
      </c>
      <c r="I190" s="86">
        <v>1.0</v>
      </c>
      <c r="J190" s="86">
        <v>8000.0</v>
      </c>
      <c r="K190" s="86">
        <v>185.0</v>
      </c>
      <c r="L190" s="86">
        <v>1.0</v>
      </c>
      <c r="M190" s="86">
        <v>2007.0</v>
      </c>
      <c r="N190" s="86">
        <v>1.0</v>
      </c>
      <c r="O190" s="141">
        <v>0.25</v>
      </c>
      <c r="P190" s="86">
        <v>9000.0</v>
      </c>
      <c r="Q190" s="86">
        <v>43.0</v>
      </c>
      <c r="R190" s="86">
        <v>1.0</v>
      </c>
      <c r="S190" s="86" t="s">
        <v>3657</v>
      </c>
      <c r="T190" s="86">
        <v>6.0</v>
      </c>
      <c r="U190" s="86">
        <v>0.5</v>
      </c>
      <c r="V190" s="86">
        <v>1000.0</v>
      </c>
      <c r="W190" s="86">
        <v>1940.0</v>
      </c>
      <c r="X190" s="86">
        <v>1.0</v>
      </c>
      <c r="Y190" s="86">
        <v>2006.0</v>
      </c>
      <c r="Z190" s="86">
        <v>1.0</v>
      </c>
      <c r="AA190" s="86">
        <v>0.03</v>
      </c>
    </row>
    <row r="191" ht="12.75" customHeight="1">
      <c r="A191" s="86">
        <v>1189.0</v>
      </c>
      <c r="B191" s="86" t="s">
        <v>4074</v>
      </c>
      <c r="C191" s="86">
        <v>95.0</v>
      </c>
      <c r="D191" s="86" t="s">
        <v>3654</v>
      </c>
      <c r="E191" s="86">
        <v>1.0</v>
      </c>
      <c r="F191" s="86">
        <v>0.074</v>
      </c>
      <c r="G191" s="86">
        <v>8001.0</v>
      </c>
      <c r="H191" s="86">
        <v>125.0</v>
      </c>
      <c r="I191" s="86">
        <v>1.0</v>
      </c>
      <c r="J191" s="86">
        <v>8000.0</v>
      </c>
      <c r="K191" s="86">
        <v>185.0</v>
      </c>
      <c r="L191" s="86">
        <v>1.0</v>
      </c>
      <c r="M191" s="86">
        <v>2007.0</v>
      </c>
      <c r="N191" s="86">
        <v>1.0</v>
      </c>
      <c r="O191" s="141">
        <v>0.25</v>
      </c>
      <c r="P191" s="86">
        <v>9000.0</v>
      </c>
      <c r="Q191" s="86">
        <v>43.0</v>
      </c>
      <c r="R191" s="86">
        <v>1.0</v>
      </c>
      <c r="S191" s="86" t="s">
        <v>3657</v>
      </c>
      <c r="T191" s="86">
        <v>6.0</v>
      </c>
      <c r="U191" s="86">
        <v>0.5</v>
      </c>
      <c r="V191" s="86">
        <v>1000.0</v>
      </c>
      <c r="W191" s="86">
        <v>1950.0</v>
      </c>
      <c r="X191" s="86">
        <v>1.0</v>
      </c>
      <c r="Y191" s="86">
        <v>2006.0</v>
      </c>
      <c r="Z191" s="86">
        <v>1.0</v>
      </c>
      <c r="AA191" s="86">
        <v>0.03</v>
      </c>
    </row>
    <row r="192" ht="12.75" customHeight="1">
      <c r="A192" s="86">
        <v>1190.0</v>
      </c>
      <c r="B192" s="86" t="s">
        <v>4076</v>
      </c>
      <c r="C192" s="86">
        <v>96.0</v>
      </c>
      <c r="D192" s="86" t="s">
        <v>3654</v>
      </c>
      <c r="E192" s="86">
        <v>1.0</v>
      </c>
      <c r="F192" s="86">
        <v>0.074</v>
      </c>
      <c r="G192" s="86">
        <v>8001.0</v>
      </c>
      <c r="H192" s="86">
        <v>125.0</v>
      </c>
      <c r="I192" s="86">
        <v>1.0</v>
      </c>
      <c r="J192" s="86">
        <v>8000.0</v>
      </c>
      <c r="K192" s="86">
        <v>190.0</v>
      </c>
      <c r="L192" s="86">
        <v>1.0</v>
      </c>
      <c r="M192" s="86">
        <v>2007.0</v>
      </c>
      <c r="N192" s="86">
        <v>1.0</v>
      </c>
      <c r="O192" s="141">
        <v>0.25</v>
      </c>
      <c r="P192" s="86">
        <v>9000.0</v>
      </c>
      <c r="Q192" s="86">
        <v>43.0</v>
      </c>
      <c r="R192" s="86">
        <v>1.0</v>
      </c>
      <c r="S192" s="86" t="s">
        <v>3657</v>
      </c>
      <c r="T192" s="86">
        <v>6.0</v>
      </c>
      <c r="U192" s="86">
        <v>0.5</v>
      </c>
      <c r="V192" s="86">
        <v>1000.0</v>
      </c>
      <c r="W192" s="86">
        <v>1965.0</v>
      </c>
      <c r="X192" s="86">
        <v>1.0</v>
      </c>
      <c r="Y192" s="86">
        <v>2006.0</v>
      </c>
      <c r="Z192" s="86">
        <v>1.0</v>
      </c>
      <c r="AA192" s="86">
        <v>0.03</v>
      </c>
    </row>
    <row r="193" ht="12.75" customHeight="1">
      <c r="A193" s="86">
        <v>1191.0</v>
      </c>
      <c r="B193" s="86" t="s">
        <v>4077</v>
      </c>
      <c r="C193" s="86">
        <v>96.0</v>
      </c>
      <c r="D193" s="86" t="s">
        <v>3654</v>
      </c>
      <c r="E193" s="86">
        <v>1.0</v>
      </c>
      <c r="F193" s="86">
        <v>0.074</v>
      </c>
      <c r="G193" s="86">
        <v>8001.0</v>
      </c>
      <c r="H193" s="86">
        <v>125.0</v>
      </c>
      <c r="I193" s="86">
        <v>1.0</v>
      </c>
      <c r="J193" s="86">
        <v>8000.0</v>
      </c>
      <c r="K193" s="86">
        <v>190.0</v>
      </c>
      <c r="L193" s="86">
        <v>1.0</v>
      </c>
      <c r="M193" s="86">
        <v>2007.0</v>
      </c>
      <c r="N193" s="86">
        <v>1.0</v>
      </c>
      <c r="O193" s="141">
        <v>0.25</v>
      </c>
      <c r="P193" s="86">
        <v>9000.0</v>
      </c>
      <c r="Q193" s="86">
        <v>44.0</v>
      </c>
      <c r="R193" s="86">
        <v>1.0</v>
      </c>
      <c r="S193" s="86" t="s">
        <v>3657</v>
      </c>
      <c r="T193" s="86">
        <v>6.0</v>
      </c>
      <c r="U193" s="86">
        <v>0.5</v>
      </c>
      <c r="V193" s="86">
        <v>1000.0</v>
      </c>
      <c r="W193" s="86">
        <v>1975.0</v>
      </c>
      <c r="X193" s="86">
        <v>1.0</v>
      </c>
      <c r="Y193" s="86">
        <v>2006.0</v>
      </c>
      <c r="Z193" s="86">
        <v>1.0</v>
      </c>
      <c r="AA193" s="86">
        <v>0.03</v>
      </c>
    </row>
    <row r="194" ht="12.75" customHeight="1">
      <c r="A194" s="86">
        <v>1192.0</v>
      </c>
      <c r="B194" s="86" t="s">
        <v>4078</v>
      </c>
      <c r="C194" s="86">
        <v>97.0</v>
      </c>
      <c r="D194" s="86" t="s">
        <v>3654</v>
      </c>
      <c r="E194" s="86">
        <v>1.0</v>
      </c>
      <c r="F194" s="86">
        <v>0.074</v>
      </c>
      <c r="G194" s="86">
        <v>8001.0</v>
      </c>
      <c r="H194" s="86">
        <v>125.0</v>
      </c>
      <c r="I194" s="86">
        <v>1.0</v>
      </c>
      <c r="J194" s="86">
        <v>8000.0</v>
      </c>
      <c r="K194" s="86">
        <v>190.0</v>
      </c>
      <c r="L194" s="86">
        <v>1.0</v>
      </c>
      <c r="M194" s="86">
        <v>2007.0</v>
      </c>
      <c r="N194" s="86">
        <v>1.0</v>
      </c>
      <c r="O194" s="141">
        <v>0.25</v>
      </c>
      <c r="P194" s="86">
        <v>9000.0</v>
      </c>
      <c r="Q194" s="86">
        <v>44.0</v>
      </c>
      <c r="R194" s="86">
        <v>1.0</v>
      </c>
      <c r="S194" s="86" t="s">
        <v>3657</v>
      </c>
      <c r="T194" s="86">
        <v>6.0</v>
      </c>
      <c r="U194" s="86">
        <v>0.5</v>
      </c>
      <c r="V194" s="86">
        <v>1000.0</v>
      </c>
      <c r="W194" s="86">
        <v>1990.0</v>
      </c>
      <c r="X194" s="86">
        <v>1.0</v>
      </c>
      <c r="Y194" s="86">
        <v>2006.0</v>
      </c>
      <c r="Z194" s="86">
        <v>1.0</v>
      </c>
      <c r="AA194" s="86">
        <v>0.03</v>
      </c>
    </row>
    <row r="195" ht="12.75" customHeight="1">
      <c r="A195" s="86">
        <v>1193.0</v>
      </c>
      <c r="B195" s="86" t="s">
        <v>4080</v>
      </c>
      <c r="C195" s="86">
        <v>97.0</v>
      </c>
      <c r="D195" s="86" t="s">
        <v>3654</v>
      </c>
      <c r="E195" s="86">
        <v>1.0</v>
      </c>
      <c r="F195" s="86">
        <v>0.074</v>
      </c>
      <c r="G195" s="86">
        <v>8001.0</v>
      </c>
      <c r="H195" s="86">
        <v>130.0</v>
      </c>
      <c r="I195" s="86">
        <v>1.0</v>
      </c>
      <c r="J195" s="86">
        <v>8000.0</v>
      </c>
      <c r="K195" s="86">
        <v>190.0</v>
      </c>
      <c r="L195" s="86">
        <v>1.0</v>
      </c>
      <c r="M195" s="86">
        <v>2007.0</v>
      </c>
      <c r="N195" s="86">
        <v>1.0</v>
      </c>
      <c r="O195" s="141">
        <v>0.25</v>
      </c>
      <c r="P195" s="86">
        <v>9000.0</v>
      </c>
      <c r="Q195" s="86">
        <v>44.0</v>
      </c>
      <c r="R195" s="86">
        <v>1.0</v>
      </c>
      <c r="S195" s="86" t="s">
        <v>3657</v>
      </c>
      <c r="T195" s="86">
        <v>6.0</v>
      </c>
      <c r="U195" s="86">
        <v>0.5</v>
      </c>
      <c r="V195" s="86">
        <v>1000.0</v>
      </c>
      <c r="W195" s="86">
        <v>2000.0</v>
      </c>
      <c r="X195" s="86">
        <v>1.0</v>
      </c>
      <c r="Y195" s="86">
        <v>2006.0</v>
      </c>
      <c r="Z195" s="86">
        <v>1.0</v>
      </c>
      <c r="AA195" s="86">
        <v>0.03</v>
      </c>
    </row>
    <row r="196" ht="12.75" customHeight="1">
      <c r="A196" s="86">
        <v>1194.0</v>
      </c>
      <c r="B196" s="86" t="s">
        <v>4081</v>
      </c>
      <c r="C196" s="86">
        <v>98.0</v>
      </c>
      <c r="D196" s="86" t="s">
        <v>3654</v>
      </c>
      <c r="E196" s="86">
        <v>1.0</v>
      </c>
      <c r="F196" s="86">
        <v>0.075</v>
      </c>
      <c r="G196" s="86">
        <v>8001.0</v>
      </c>
      <c r="H196" s="86">
        <v>130.0</v>
      </c>
      <c r="I196" s="86">
        <v>1.0</v>
      </c>
      <c r="J196" s="86">
        <v>8000.0</v>
      </c>
      <c r="K196" s="86">
        <v>195.0</v>
      </c>
      <c r="L196" s="86">
        <v>1.0</v>
      </c>
      <c r="M196" s="86">
        <v>2007.0</v>
      </c>
      <c r="N196" s="86">
        <v>1.0</v>
      </c>
      <c r="O196" s="141">
        <v>0.25</v>
      </c>
      <c r="P196" s="86">
        <v>9000.0</v>
      </c>
      <c r="Q196" s="86">
        <v>45.0</v>
      </c>
      <c r="R196" s="86">
        <v>1.0</v>
      </c>
      <c r="S196" s="86" t="s">
        <v>3657</v>
      </c>
      <c r="T196" s="86">
        <v>6.0</v>
      </c>
      <c r="U196" s="86">
        <v>0.5</v>
      </c>
      <c r="V196" s="86">
        <v>1000.0</v>
      </c>
      <c r="W196" s="86">
        <v>2015.0</v>
      </c>
      <c r="X196" s="86">
        <v>1.0</v>
      </c>
      <c r="Y196" s="86">
        <v>2006.0</v>
      </c>
      <c r="Z196" s="86">
        <v>1.0</v>
      </c>
      <c r="AA196" s="86">
        <v>0.03</v>
      </c>
    </row>
    <row r="197" ht="12.75" customHeight="1">
      <c r="A197" s="86">
        <v>1195.0</v>
      </c>
      <c r="B197" s="86" t="s">
        <v>4083</v>
      </c>
      <c r="C197" s="86">
        <v>98.0</v>
      </c>
      <c r="D197" s="86" t="s">
        <v>3654</v>
      </c>
      <c r="E197" s="86">
        <v>1.0</v>
      </c>
      <c r="F197" s="86">
        <v>0.075</v>
      </c>
      <c r="G197" s="86">
        <v>8001.0</v>
      </c>
      <c r="H197" s="86">
        <v>130.0</v>
      </c>
      <c r="I197" s="86">
        <v>1.0</v>
      </c>
      <c r="J197" s="86">
        <v>8000.0</v>
      </c>
      <c r="K197" s="86">
        <v>195.0</v>
      </c>
      <c r="L197" s="86">
        <v>1.0</v>
      </c>
      <c r="M197" s="86">
        <v>2007.0</v>
      </c>
      <c r="N197" s="86">
        <v>1.0</v>
      </c>
      <c r="O197" s="141">
        <v>0.25</v>
      </c>
      <c r="P197" s="86">
        <v>9000.0</v>
      </c>
      <c r="Q197" s="86">
        <v>45.0</v>
      </c>
      <c r="R197" s="86">
        <v>1.0</v>
      </c>
      <c r="S197" s="86" t="s">
        <v>3657</v>
      </c>
      <c r="T197" s="86">
        <v>6.0</v>
      </c>
      <c r="U197" s="86">
        <v>0.5</v>
      </c>
      <c r="V197" s="86">
        <v>1000.0</v>
      </c>
      <c r="W197" s="86">
        <v>2025.0</v>
      </c>
      <c r="X197" s="86">
        <v>1.0</v>
      </c>
      <c r="Y197" s="86">
        <v>2006.0</v>
      </c>
      <c r="Z197" s="86">
        <v>1.0</v>
      </c>
      <c r="AA197" s="86">
        <v>0.03</v>
      </c>
    </row>
    <row r="198" ht="12.75" customHeight="1">
      <c r="A198" s="86">
        <v>1196.0</v>
      </c>
      <c r="B198" s="86" t="s">
        <v>4084</v>
      </c>
      <c r="C198" s="86">
        <v>99.0</v>
      </c>
      <c r="D198" s="86" t="s">
        <v>3654</v>
      </c>
      <c r="E198" s="86">
        <v>1.0</v>
      </c>
      <c r="F198" s="86">
        <v>0.075</v>
      </c>
      <c r="G198" s="86">
        <v>8001.0</v>
      </c>
      <c r="H198" s="86">
        <v>130.0</v>
      </c>
      <c r="I198" s="86">
        <v>1.0</v>
      </c>
      <c r="J198" s="86">
        <v>8000.0</v>
      </c>
      <c r="K198" s="86">
        <v>195.0</v>
      </c>
      <c r="L198" s="86">
        <v>1.0</v>
      </c>
      <c r="M198" s="86">
        <v>2007.0</v>
      </c>
      <c r="N198" s="86">
        <v>1.0</v>
      </c>
      <c r="O198" s="141">
        <v>0.25</v>
      </c>
      <c r="P198" s="86">
        <v>9000.0</v>
      </c>
      <c r="Q198" s="86">
        <v>45.0</v>
      </c>
      <c r="R198" s="86">
        <v>1.0</v>
      </c>
      <c r="S198" s="86" t="s">
        <v>3657</v>
      </c>
      <c r="T198" s="86">
        <v>7.0</v>
      </c>
      <c r="U198" s="86">
        <v>0.5</v>
      </c>
      <c r="V198" s="86">
        <v>1000.0</v>
      </c>
      <c r="W198" s="86">
        <v>2040.0</v>
      </c>
      <c r="X198" s="86">
        <v>1.0</v>
      </c>
      <c r="Y198" s="86">
        <v>2006.0</v>
      </c>
      <c r="Z198" s="86">
        <v>1.0</v>
      </c>
      <c r="AA198" s="86">
        <v>0.03</v>
      </c>
    </row>
    <row r="199" ht="12.75" customHeight="1">
      <c r="A199" s="86">
        <v>1197.0</v>
      </c>
      <c r="B199" s="86" t="s">
        <v>4086</v>
      </c>
      <c r="C199" s="86">
        <v>99.0</v>
      </c>
      <c r="D199" s="86" t="s">
        <v>3654</v>
      </c>
      <c r="E199" s="86">
        <v>1.0</v>
      </c>
      <c r="F199" s="86">
        <v>0.075</v>
      </c>
      <c r="G199" s="86">
        <v>8001.0</v>
      </c>
      <c r="H199" s="86">
        <v>130.0</v>
      </c>
      <c r="I199" s="86">
        <v>1.0</v>
      </c>
      <c r="J199" s="86">
        <v>8000.0</v>
      </c>
      <c r="K199" s="86">
        <v>195.0</v>
      </c>
      <c r="L199" s="86">
        <v>1.0</v>
      </c>
      <c r="M199" s="86">
        <v>2007.0</v>
      </c>
      <c r="N199" s="86">
        <v>1.0</v>
      </c>
      <c r="O199" s="141">
        <v>0.25</v>
      </c>
      <c r="P199" s="86">
        <v>9000.0</v>
      </c>
      <c r="Q199" s="86">
        <v>45.0</v>
      </c>
      <c r="R199" s="86">
        <v>1.0</v>
      </c>
      <c r="S199" s="86" t="s">
        <v>3657</v>
      </c>
      <c r="T199" s="86">
        <v>7.0</v>
      </c>
      <c r="U199" s="86">
        <v>0.5</v>
      </c>
      <c r="V199" s="86">
        <v>1000.0</v>
      </c>
      <c r="W199" s="86">
        <v>2050.0</v>
      </c>
      <c r="X199" s="86">
        <v>1.0</v>
      </c>
      <c r="Y199" s="86">
        <v>2006.0</v>
      </c>
      <c r="Z199" s="86">
        <v>1.0</v>
      </c>
      <c r="AA199" s="86">
        <v>0.03</v>
      </c>
    </row>
    <row r="200" ht="12.75" customHeight="1">
      <c r="A200" s="86">
        <v>1198.0</v>
      </c>
      <c r="B200" s="86" t="s">
        <v>4087</v>
      </c>
      <c r="C200" s="86">
        <v>100.0</v>
      </c>
      <c r="D200" s="86" t="s">
        <v>3654</v>
      </c>
      <c r="E200" s="86">
        <v>1.0</v>
      </c>
      <c r="F200" s="86">
        <v>0.076</v>
      </c>
      <c r="G200" s="86">
        <v>8001.0</v>
      </c>
      <c r="H200" s="86">
        <v>130.0</v>
      </c>
      <c r="I200" s="86">
        <v>1.0</v>
      </c>
      <c r="J200" s="86">
        <v>8000.0</v>
      </c>
      <c r="K200" s="86">
        <v>200.0</v>
      </c>
      <c r="L200" s="86">
        <v>1.0</v>
      </c>
      <c r="M200" s="86">
        <v>2007.0</v>
      </c>
      <c r="N200" s="86">
        <v>1.0</v>
      </c>
      <c r="O200" s="141">
        <v>0.25</v>
      </c>
      <c r="P200" s="86">
        <v>9000.0</v>
      </c>
      <c r="Q200" s="86">
        <v>46.0</v>
      </c>
      <c r="R200" s="86">
        <v>1.0</v>
      </c>
      <c r="S200" s="86" t="s">
        <v>3657</v>
      </c>
      <c r="T200" s="86">
        <v>7.0</v>
      </c>
      <c r="U200" s="86">
        <v>0.5</v>
      </c>
      <c r="V200" s="86">
        <v>1000.0</v>
      </c>
      <c r="W200" s="86">
        <v>2065.0</v>
      </c>
      <c r="X200" s="86">
        <v>1.0</v>
      </c>
      <c r="Y200" s="86">
        <v>2006.0</v>
      </c>
      <c r="Z200" s="86">
        <v>1.0</v>
      </c>
      <c r="AA200" s="86">
        <v>0.03</v>
      </c>
    </row>
    <row r="201" ht="12.75" customHeight="1">
      <c r="A201" s="86">
        <v>1199.0</v>
      </c>
      <c r="B201" s="86" t="s">
        <v>4089</v>
      </c>
      <c r="C201" s="86">
        <v>100.0</v>
      </c>
      <c r="D201" s="86" t="s">
        <v>3654</v>
      </c>
      <c r="E201" s="86">
        <v>1.0</v>
      </c>
      <c r="F201" s="86">
        <v>0.076</v>
      </c>
      <c r="G201" s="86">
        <v>8001.0</v>
      </c>
      <c r="H201" s="86">
        <v>135.0</v>
      </c>
      <c r="I201" s="86">
        <v>1.0</v>
      </c>
      <c r="J201" s="86">
        <v>8000.0</v>
      </c>
      <c r="K201" s="86">
        <v>200.0</v>
      </c>
      <c r="L201" s="86">
        <v>1.0</v>
      </c>
      <c r="M201" s="86">
        <v>2007.0</v>
      </c>
      <c r="N201" s="86">
        <v>1.0</v>
      </c>
      <c r="O201" s="141">
        <v>0.25</v>
      </c>
      <c r="P201" s="86">
        <v>9000.0</v>
      </c>
      <c r="Q201" s="86">
        <v>46.0</v>
      </c>
      <c r="R201" s="86">
        <v>1.0</v>
      </c>
      <c r="S201" s="86" t="s">
        <v>3657</v>
      </c>
      <c r="T201" s="86">
        <v>7.0</v>
      </c>
      <c r="U201" s="86">
        <v>0.5</v>
      </c>
      <c r="V201" s="86">
        <v>1000.0</v>
      </c>
      <c r="W201" s="86">
        <v>2075.0</v>
      </c>
      <c r="X201" s="86">
        <v>1.0</v>
      </c>
      <c r="Y201" s="86">
        <v>2006.0</v>
      </c>
      <c r="Z201" s="86">
        <v>1.0</v>
      </c>
      <c r="AA201" s="86">
        <v>0.03</v>
      </c>
    </row>
    <row r="202" ht="12.75" customHeight="1">
      <c r="A202" s="86">
        <v>1200.0</v>
      </c>
      <c r="B202" s="86" t="s">
        <v>4090</v>
      </c>
      <c r="C202" s="86">
        <v>101.0</v>
      </c>
      <c r="D202" s="86" t="s">
        <v>3654</v>
      </c>
      <c r="E202" s="86">
        <v>1.0</v>
      </c>
      <c r="F202" s="86">
        <v>0.076</v>
      </c>
      <c r="G202" s="86">
        <v>8001.0</v>
      </c>
      <c r="H202" s="86">
        <v>135.0</v>
      </c>
      <c r="I202" s="86">
        <v>1.0</v>
      </c>
      <c r="J202" s="86">
        <v>8000.0</v>
      </c>
      <c r="K202" s="86">
        <v>200.0</v>
      </c>
      <c r="L202" s="86">
        <v>1.0</v>
      </c>
      <c r="M202" s="86">
        <v>2007.0</v>
      </c>
      <c r="N202" s="86">
        <v>1.0</v>
      </c>
      <c r="O202" s="141">
        <v>0.25</v>
      </c>
      <c r="P202" s="86">
        <v>9000.0</v>
      </c>
      <c r="Q202" s="86">
        <v>46.0</v>
      </c>
      <c r="R202" s="86">
        <v>1.0</v>
      </c>
      <c r="S202" s="86" t="s">
        <v>3657</v>
      </c>
      <c r="T202" s="86">
        <v>7.0</v>
      </c>
      <c r="U202" s="86">
        <v>0.5</v>
      </c>
      <c r="V202" s="86">
        <v>1000.0</v>
      </c>
      <c r="W202" s="86">
        <v>2090.0</v>
      </c>
      <c r="X202" s="86">
        <v>1.0</v>
      </c>
      <c r="Y202" s="86">
        <v>2006.0</v>
      </c>
      <c r="Z202" s="86">
        <v>1.0</v>
      </c>
      <c r="AA202" s="86">
        <v>0.03</v>
      </c>
    </row>
    <row r="203" ht="12.75" customHeight="1">
      <c r="A203" s="86">
        <v>1201.0</v>
      </c>
      <c r="B203" s="86" t="s">
        <v>4092</v>
      </c>
      <c r="C203" s="86">
        <v>101.0</v>
      </c>
      <c r="D203" s="86" t="s">
        <v>3654</v>
      </c>
      <c r="E203" s="86">
        <v>1.0</v>
      </c>
      <c r="F203" s="86">
        <v>0.076</v>
      </c>
      <c r="G203" s="86">
        <v>8001.0</v>
      </c>
      <c r="H203" s="86">
        <v>135.0</v>
      </c>
      <c r="I203" s="86">
        <v>1.0</v>
      </c>
      <c r="J203" s="86">
        <v>8000.0</v>
      </c>
      <c r="K203" s="86">
        <v>200.0</v>
      </c>
      <c r="L203" s="86">
        <v>1.0</v>
      </c>
      <c r="M203" s="86">
        <v>2007.0</v>
      </c>
      <c r="N203" s="86">
        <v>1.0</v>
      </c>
      <c r="O203" s="141">
        <v>0.25</v>
      </c>
      <c r="P203" s="86">
        <v>9000.0</v>
      </c>
      <c r="Q203" s="86">
        <v>47.0</v>
      </c>
      <c r="R203" s="86">
        <v>1.0</v>
      </c>
      <c r="S203" s="86" t="s">
        <v>3657</v>
      </c>
      <c r="T203" s="86">
        <v>7.0</v>
      </c>
      <c r="U203" s="86">
        <v>0.5</v>
      </c>
      <c r="V203" s="86">
        <v>1000.0</v>
      </c>
      <c r="W203" s="86">
        <v>2100.0</v>
      </c>
      <c r="X203" s="86">
        <v>1.0</v>
      </c>
      <c r="Y203" s="86">
        <v>2006.0</v>
      </c>
      <c r="Z203" s="86">
        <v>1.0</v>
      </c>
      <c r="AA203" s="86">
        <v>0.03</v>
      </c>
    </row>
    <row r="204" ht="12.75" customHeight="1">
      <c r="A204" s="86">
        <v>1202.0</v>
      </c>
      <c r="B204" s="86" t="s">
        <v>4093</v>
      </c>
      <c r="C204" s="86">
        <v>102.0</v>
      </c>
      <c r="D204" s="86" t="s">
        <v>3654</v>
      </c>
      <c r="E204" s="86">
        <v>1.0</v>
      </c>
      <c r="F204" s="86">
        <v>0.076</v>
      </c>
      <c r="G204" s="86">
        <v>8001.0</v>
      </c>
      <c r="H204" s="86">
        <v>135.0</v>
      </c>
      <c r="I204" s="86">
        <v>1.0</v>
      </c>
      <c r="J204" s="86">
        <v>8000.0</v>
      </c>
      <c r="K204" s="86">
        <v>205.0</v>
      </c>
      <c r="L204" s="86">
        <v>1.0</v>
      </c>
      <c r="M204" s="86">
        <v>2007.0</v>
      </c>
      <c r="N204" s="86">
        <v>1.0</v>
      </c>
      <c r="O204" s="141">
        <v>0.25</v>
      </c>
      <c r="P204" s="86">
        <v>9000.0</v>
      </c>
      <c r="Q204" s="86">
        <v>47.0</v>
      </c>
      <c r="R204" s="86">
        <v>1.0</v>
      </c>
      <c r="S204" s="86" t="s">
        <v>3657</v>
      </c>
      <c r="T204" s="86">
        <v>7.0</v>
      </c>
      <c r="U204" s="86">
        <v>0.5</v>
      </c>
      <c r="V204" s="86">
        <v>1000.0</v>
      </c>
      <c r="W204" s="86">
        <v>2115.0</v>
      </c>
      <c r="X204" s="86">
        <v>1.0</v>
      </c>
      <c r="Y204" s="86">
        <v>2006.0</v>
      </c>
      <c r="Z204" s="86">
        <v>1.0</v>
      </c>
      <c r="AA204" s="86">
        <v>0.03</v>
      </c>
    </row>
    <row r="205" ht="12.75" customHeight="1">
      <c r="A205" s="86">
        <v>1203.0</v>
      </c>
      <c r="B205" s="86" t="s">
        <v>4095</v>
      </c>
      <c r="C205" s="86">
        <v>102.0</v>
      </c>
      <c r="D205" s="86" t="s">
        <v>3654</v>
      </c>
      <c r="E205" s="86">
        <v>1.0</v>
      </c>
      <c r="F205" s="86">
        <v>0.077</v>
      </c>
      <c r="G205" s="86">
        <v>8001.0</v>
      </c>
      <c r="H205" s="86">
        <v>135.0</v>
      </c>
      <c r="I205" s="86">
        <v>1.0</v>
      </c>
      <c r="J205" s="86">
        <v>8000.0</v>
      </c>
      <c r="K205" s="86">
        <v>205.0</v>
      </c>
      <c r="L205" s="86">
        <v>1.0</v>
      </c>
      <c r="M205" s="86">
        <v>2007.0</v>
      </c>
      <c r="N205" s="86">
        <v>1.0</v>
      </c>
      <c r="O205" s="141">
        <v>0.25</v>
      </c>
      <c r="P205" s="86">
        <v>9000.0</v>
      </c>
      <c r="Q205" s="86">
        <v>47.0</v>
      </c>
      <c r="R205" s="86">
        <v>1.0</v>
      </c>
      <c r="S205" s="86" t="s">
        <v>3657</v>
      </c>
      <c r="T205" s="86">
        <v>7.0</v>
      </c>
      <c r="U205" s="86">
        <v>0.5</v>
      </c>
      <c r="V205" s="86">
        <v>1000.0</v>
      </c>
      <c r="W205" s="86">
        <v>2125.0</v>
      </c>
      <c r="X205" s="86">
        <v>1.0</v>
      </c>
      <c r="Y205" s="86">
        <v>2006.0</v>
      </c>
      <c r="Z205" s="86">
        <v>1.0</v>
      </c>
      <c r="AA205" s="86">
        <v>0.03</v>
      </c>
    </row>
    <row r="206" ht="12.75" customHeight="1">
      <c r="A206" s="86">
        <v>1204.0</v>
      </c>
      <c r="B206" s="86" t="s">
        <v>4083</v>
      </c>
      <c r="C206" s="86">
        <v>103.0</v>
      </c>
      <c r="D206" s="86" t="s">
        <v>3654</v>
      </c>
      <c r="E206" s="86">
        <v>1.0</v>
      </c>
      <c r="F206" s="86">
        <v>0.077</v>
      </c>
      <c r="G206" s="86">
        <v>8001.0</v>
      </c>
      <c r="H206" s="86">
        <v>135.0</v>
      </c>
      <c r="I206" s="86">
        <v>1.0</v>
      </c>
      <c r="J206" s="86">
        <v>8000.0</v>
      </c>
      <c r="K206" s="86">
        <v>205.0</v>
      </c>
      <c r="L206" s="86">
        <v>1.0</v>
      </c>
      <c r="M206" s="86">
        <v>2007.0</v>
      </c>
      <c r="N206" s="86">
        <v>1.0</v>
      </c>
      <c r="O206" s="141">
        <v>0.25</v>
      </c>
      <c r="P206" s="86">
        <v>9000.0</v>
      </c>
      <c r="Q206" s="86">
        <v>48.0</v>
      </c>
      <c r="R206" s="86">
        <v>1.0</v>
      </c>
      <c r="S206" s="86" t="s">
        <v>3657</v>
      </c>
      <c r="T206" s="86">
        <v>7.0</v>
      </c>
      <c r="U206" s="86">
        <v>0.5</v>
      </c>
      <c r="V206" s="86">
        <v>1000.0</v>
      </c>
      <c r="W206" s="86">
        <v>2140.0</v>
      </c>
      <c r="X206" s="86">
        <v>1.0</v>
      </c>
      <c r="Y206" s="86">
        <v>2006.0</v>
      </c>
      <c r="Z206" s="86">
        <v>1.0</v>
      </c>
      <c r="AA206" s="86">
        <v>0.03</v>
      </c>
    </row>
    <row r="207" ht="12.75" customHeight="1">
      <c r="A207" s="86">
        <v>1205.0</v>
      </c>
      <c r="B207" s="86" t="s">
        <v>4096</v>
      </c>
      <c r="C207" s="86">
        <v>103.0</v>
      </c>
      <c r="D207" s="86" t="s">
        <v>3654</v>
      </c>
      <c r="E207" s="86">
        <v>1.0</v>
      </c>
      <c r="F207" s="86">
        <v>0.077</v>
      </c>
      <c r="G207" s="86">
        <v>8001.0</v>
      </c>
      <c r="H207" s="86">
        <v>140.0</v>
      </c>
      <c r="I207" s="86">
        <v>1.0</v>
      </c>
      <c r="J207" s="86">
        <v>8000.0</v>
      </c>
      <c r="K207" s="86">
        <v>205.0</v>
      </c>
      <c r="L207" s="86">
        <v>1.0</v>
      </c>
      <c r="M207" s="86">
        <v>2007.0</v>
      </c>
      <c r="N207" s="86">
        <v>1.0</v>
      </c>
      <c r="O207" s="141">
        <v>0.25</v>
      </c>
      <c r="P207" s="86">
        <v>9000.0</v>
      </c>
      <c r="Q207" s="86">
        <v>48.0</v>
      </c>
      <c r="R207" s="86">
        <v>1.0</v>
      </c>
      <c r="S207" s="86" t="s">
        <v>3657</v>
      </c>
      <c r="T207" s="86">
        <v>7.0</v>
      </c>
      <c r="U207" s="86">
        <v>0.5</v>
      </c>
      <c r="V207" s="86">
        <v>1000.0</v>
      </c>
      <c r="W207" s="86">
        <v>2150.0</v>
      </c>
      <c r="X207" s="86">
        <v>1.0</v>
      </c>
      <c r="Y207" s="86">
        <v>2006.0</v>
      </c>
      <c r="Z207" s="86">
        <v>1.0</v>
      </c>
      <c r="AA207" s="86">
        <v>0.03</v>
      </c>
    </row>
    <row r="208" ht="12.75" customHeight="1">
      <c r="A208" s="86">
        <v>1206.0</v>
      </c>
      <c r="B208" s="86" t="s">
        <v>4098</v>
      </c>
      <c r="C208" s="86">
        <v>104.0</v>
      </c>
      <c r="D208" s="86" t="s">
        <v>3654</v>
      </c>
      <c r="E208" s="86">
        <v>1.0</v>
      </c>
      <c r="F208" s="86">
        <v>0.077</v>
      </c>
      <c r="G208" s="86">
        <v>8001.0</v>
      </c>
      <c r="H208" s="86">
        <v>140.0</v>
      </c>
      <c r="I208" s="86">
        <v>1.0</v>
      </c>
      <c r="J208" s="86">
        <v>8000.0</v>
      </c>
      <c r="K208" s="86">
        <v>210.0</v>
      </c>
      <c r="L208" s="86">
        <v>1.0</v>
      </c>
      <c r="M208" s="86">
        <v>2007.0</v>
      </c>
      <c r="N208" s="86">
        <v>1.0</v>
      </c>
      <c r="O208" s="141">
        <v>0.25</v>
      </c>
      <c r="P208" s="86">
        <v>9000.0</v>
      </c>
      <c r="Q208" s="86">
        <v>48.0</v>
      </c>
      <c r="R208" s="86">
        <v>1.0</v>
      </c>
      <c r="S208" s="86" t="s">
        <v>3657</v>
      </c>
      <c r="T208" s="86">
        <v>7.0</v>
      </c>
      <c r="U208" s="86">
        <v>0.5</v>
      </c>
      <c r="V208" s="86">
        <v>1000.0</v>
      </c>
      <c r="W208" s="86">
        <v>2165.0</v>
      </c>
      <c r="X208" s="86">
        <v>1.0</v>
      </c>
      <c r="Y208" s="86">
        <v>2006.0</v>
      </c>
      <c r="Z208" s="86">
        <v>1.0</v>
      </c>
      <c r="AA208" s="86">
        <v>0.03</v>
      </c>
    </row>
    <row r="209" ht="12.75" customHeight="1">
      <c r="A209" s="86">
        <v>1207.0</v>
      </c>
      <c r="B209" s="86" t="s">
        <v>4099</v>
      </c>
      <c r="C209" s="86">
        <v>104.0</v>
      </c>
      <c r="D209" s="86" t="s">
        <v>3654</v>
      </c>
      <c r="E209" s="86">
        <v>1.0</v>
      </c>
      <c r="F209" s="86">
        <v>0.078</v>
      </c>
      <c r="G209" s="86">
        <v>8001.0</v>
      </c>
      <c r="H209" s="86">
        <v>140.0</v>
      </c>
      <c r="I209" s="86">
        <v>1.0</v>
      </c>
      <c r="J209" s="86">
        <v>8000.0</v>
      </c>
      <c r="K209" s="86">
        <v>210.0</v>
      </c>
      <c r="L209" s="86">
        <v>1.0</v>
      </c>
      <c r="M209" s="86">
        <v>2007.0</v>
      </c>
      <c r="N209" s="86">
        <v>1.0</v>
      </c>
      <c r="O209" s="141">
        <v>0.25</v>
      </c>
      <c r="P209" s="86">
        <v>9000.0</v>
      </c>
      <c r="Q209" s="86">
        <v>49.0</v>
      </c>
      <c r="R209" s="86">
        <v>1.0</v>
      </c>
      <c r="S209" s="86" t="s">
        <v>3657</v>
      </c>
      <c r="T209" s="86">
        <v>7.0</v>
      </c>
      <c r="U209" s="86">
        <v>0.5</v>
      </c>
      <c r="V209" s="86">
        <v>1000.0</v>
      </c>
      <c r="W209" s="86">
        <v>2175.0</v>
      </c>
      <c r="X209" s="86">
        <v>1.0</v>
      </c>
      <c r="Y209" s="86">
        <v>2006.0</v>
      </c>
      <c r="Z209" s="86">
        <v>1.0</v>
      </c>
      <c r="AA209" s="86">
        <v>0.03</v>
      </c>
    </row>
    <row r="210" ht="12.75" customHeight="1">
      <c r="A210" s="86">
        <v>1208.0</v>
      </c>
      <c r="B210" s="86" t="s">
        <v>4101</v>
      </c>
      <c r="C210" s="86">
        <v>105.0</v>
      </c>
      <c r="D210" s="86" t="s">
        <v>3654</v>
      </c>
      <c r="E210" s="86">
        <v>1.0</v>
      </c>
      <c r="F210" s="86">
        <v>0.078</v>
      </c>
      <c r="G210" s="86">
        <v>8001.0</v>
      </c>
      <c r="H210" s="86">
        <v>140.0</v>
      </c>
      <c r="I210" s="86">
        <v>1.0</v>
      </c>
      <c r="J210" s="86">
        <v>8000.0</v>
      </c>
      <c r="K210" s="86">
        <v>210.0</v>
      </c>
      <c r="L210" s="86">
        <v>1.0</v>
      </c>
      <c r="M210" s="86">
        <v>2007.0</v>
      </c>
      <c r="N210" s="86">
        <v>1.0</v>
      </c>
      <c r="O210" s="141">
        <v>0.25</v>
      </c>
      <c r="P210" s="86">
        <v>9000.0</v>
      </c>
      <c r="Q210" s="86">
        <v>49.0</v>
      </c>
      <c r="R210" s="86">
        <v>1.0</v>
      </c>
      <c r="S210" s="86" t="s">
        <v>3657</v>
      </c>
      <c r="T210" s="86">
        <v>7.0</v>
      </c>
      <c r="U210" s="86">
        <v>0.5</v>
      </c>
      <c r="V210" s="86">
        <v>1000.0</v>
      </c>
      <c r="W210" s="86">
        <v>2190.0</v>
      </c>
      <c r="X210" s="86">
        <v>1.0</v>
      </c>
      <c r="Y210" s="86">
        <v>2006.0</v>
      </c>
      <c r="Z210" s="86">
        <v>1.0</v>
      </c>
      <c r="AA210" s="86">
        <v>0.03</v>
      </c>
    </row>
    <row r="211" ht="12.75" customHeight="1">
      <c r="A211" s="86">
        <v>1209.0</v>
      </c>
      <c r="B211" s="86" t="s">
        <v>4102</v>
      </c>
      <c r="C211" s="86">
        <v>105.0</v>
      </c>
      <c r="D211" s="86" t="s">
        <v>3654</v>
      </c>
      <c r="E211" s="86">
        <v>1.0</v>
      </c>
      <c r="F211" s="86">
        <v>0.078</v>
      </c>
      <c r="G211" s="86">
        <v>8001.0</v>
      </c>
      <c r="H211" s="86">
        <v>140.0</v>
      </c>
      <c r="I211" s="86">
        <v>1.0</v>
      </c>
      <c r="J211" s="86">
        <v>8000.0</v>
      </c>
      <c r="K211" s="86">
        <v>210.0</v>
      </c>
      <c r="L211" s="86">
        <v>1.0</v>
      </c>
      <c r="M211" s="86">
        <v>2007.0</v>
      </c>
      <c r="N211" s="86">
        <v>1.0</v>
      </c>
      <c r="O211" s="141">
        <v>0.25</v>
      </c>
      <c r="P211" s="86">
        <v>9000.0</v>
      </c>
      <c r="Q211" s="86">
        <v>49.0</v>
      </c>
      <c r="R211" s="86">
        <v>1.0</v>
      </c>
      <c r="S211" s="86" t="s">
        <v>3657</v>
      </c>
      <c r="T211" s="86">
        <v>7.0</v>
      </c>
      <c r="U211" s="86">
        <v>0.5</v>
      </c>
      <c r="V211" s="86">
        <v>1000.0</v>
      </c>
      <c r="W211" s="86">
        <v>2200.0</v>
      </c>
      <c r="X211" s="86">
        <v>1.0</v>
      </c>
      <c r="Y211" s="86">
        <v>2006.0</v>
      </c>
      <c r="Z211" s="86">
        <v>1.0</v>
      </c>
      <c r="AA211" s="86">
        <v>0.03</v>
      </c>
    </row>
    <row r="212" ht="12.75" customHeight="1">
      <c r="A212" s="86">
        <v>1210.0</v>
      </c>
      <c r="B212" s="86" t="s">
        <v>4104</v>
      </c>
      <c r="C212" s="86">
        <v>106.0</v>
      </c>
      <c r="D212" s="86" t="s">
        <v>3654</v>
      </c>
      <c r="E212" s="86">
        <v>1.0</v>
      </c>
      <c r="F212" s="86">
        <v>0.078</v>
      </c>
      <c r="G212" s="86">
        <v>8001.0</v>
      </c>
      <c r="H212" s="86">
        <v>140.0</v>
      </c>
      <c r="I212" s="86">
        <v>1.0</v>
      </c>
      <c r="J212" s="86">
        <v>8000.0</v>
      </c>
      <c r="K212" s="86">
        <v>215.0</v>
      </c>
      <c r="L212" s="86">
        <v>1.0</v>
      </c>
      <c r="M212" s="86">
        <v>2007.0</v>
      </c>
      <c r="N212" s="86">
        <v>1.0</v>
      </c>
      <c r="O212" s="141">
        <v>0.25</v>
      </c>
      <c r="P212" s="86">
        <v>9000.0</v>
      </c>
      <c r="Q212" s="86">
        <v>50.0</v>
      </c>
      <c r="R212" s="86">
        <v>1.0</v>
      </c>
      <c r="S212" s="86" t="s">
        <v>3657</v>
      </c>
      <c r="T212" s="86">
        <v>7.0</v>
      </c>
      <c r="U212" s="86">
        <v>0.5</v>
      </c>
      <c r="V212" s="86">
        <v>1000.0</v>
      </c>
      <c r="W212" s="86">
        <v>2215.0</v>
      </c>
      <c r="X212" s="86">
        <v>1.0</v>
      </c>
      <c r="Y212" s="86">
        <v>2006.0</v>
      </c>
      <c r="Z212" s="86">
        <v>1.0</v>
      </c>
      <c r="AA212" s="86">
        <v>0.03</v>
      </c>
    </row>
    <row r="213" ht="12.75" customHeight="1">
      <c r="A213" s="86">
        <v>1211.0</v>
      </c>
      <c r="B213" s="86" t="s">
        <v>4105</v>
      </c>
      <c r="C213" s="86">
        <v>106.0</v>
      </c>
      <c r="D213" s="86" t="s">
        <v>3654</v>
      </c>
      <c r="E213" s="86">
        <v>1.0</v>
      </c>
      <c r="F213" s="86">
        <v>0.078</v>
      </c>
      <c r="G213" s="86">
        <v>8001.0</v>
      </c>
      <c r="H213" s="86">
        <v>145.0</v>
      </c>
      <c r="I213" s="86">
        <v>1.0</v>
      </c>
      <c r="J213" s="86">
        <v>8000.0</v>
      </c>
      <c r="K213" s="86">
        <v>215.0</v>
      </c>
      <c r="L213" s="86">
        <v>1.0</v>
      </c>
      <c r="M213" s="86">
        <v>2007.0</v>
      </c>
      <c r="N213" s="86">
        <v>1.0</v>
      </c>
      <c r="O213" s="141">
        <v>0.25</v>
      </c>
      <c r="P213" s="86">
        <v>9000.0</v>
      </c>
      <c r="Q213" s="86">
        <v>50.0</v>
      </c>
      <c r="R213" s="86">
        <v>1.0</v>
      </c>
      <c r="S213" s="86" t="s">
        <v>3657</v>
      </c>
      <c r="T213" s="86">
        <v>7.0</v>
      </c>
      <c r="U213" s="86">
        <v>0.5</v>
      </c>
      <c r="V213" s="86">
        <v>1000.0</v>
      </c>
      <c r="W213" s="86">
        <v>2225.0</v>
      </c>
      <c r="X213" s="86">
        <v>1.0</v>
      </c>
      <c r="Y213" s="86">
        <v>2006.0</v>
      </c>
      <c r="Z213" s="86">
        <v>1.0</v>
      </c>
      <c r="AA213" s="86">
        <v>0.03</v>
      </c>
    </row>
    <row r="214" ht="12.75" customHeight="1">
      <c r="A214" s="86">
        <v>1212.0</v>
      </c>
      <c r="B214" s="86" t="s">
        <v>4107</v>
      </c>
      <c r="C214" s="86">
        <v>107.0</v>
      </c>
      <c r="D214" s="86" t="s">
        <v>3654</v>
      </c>
      <c r="E214" s="86">
        <v>1.0</v>
      </c>
      <c r="F214" s="86">
        <v>0.079</v>
      </c>
      <c r="G214" s="86">
        <v>8001.0</v>
      </c>
      <c r="H214" s="86">
        <v>145.0</v>
      </c>
      <c r="I214" s="86">
        <v>1.0</v>
      </c>
      <c r="J214" s="86">
        <v>8000.0</v>
      </c>
      <c r="K214" s="86">
        <v>215.0</v>
      </c>
      <c r="L214" s="86">
        <v>1.0</v>
      </c>
      <c r="M214" s="86">
        <v>2007.0</v>
      </c>
      <c r="N214" s="86">
        <v>1.0</v>
      </c>
      <c r="O214" s="141">
        <v>0.25</v>
      </c>
      <c r="P214" s="86">
        <v>9000.0</v>
      </c>
      <c r="Q214" s="86">
        <v>50.0</v>
      </c>
      <c r="R214" s="86">
        <v>1.0</v>
      </c>
      <c r="S214" s="86" t="s">
        <v>3657</v>
      </c>
      <c r="T214" s="86">
        <v>7.0</v>
      </c>
      <c r="U214" s="86">
        <v>0.5</v>
      </c>
      <c r="V214" s="86">
        <v>1000.0</v>
      </c>
      <c r="W214" s="86">
        <v>2240.0</v>
      </c>
      <c r="X214" s="86">
        <v>1.0</v>
      </c>
      <c r="Y214" s="86">
        <v>2006.0</v>
      </c>
      <c r="Z214" s="86">
        <v>1.0</v>
      </c>
      <c r="AA214" s="86">
        <v>0.03</v>
      </c>
    </row>
    <row r="215" ht="12.75" customHeight="1">
      <c r="A215" s="86">
        <v>1213.0</v>
      </c>
      <c r="B215" s="86" t="s">
        <v>4108</v>
      </c>
      <c r="C215" s="86">
        <v>107.0</v>
      </c>
      <c r="D215" s="86" t="s">
        <v>3654</v>
      </c>
      <c r="E215" s="86">
        <v>1.0</v>
      </c>
      <c r="F215" s="86">
        <v>0.079</v>
      </c>
      <c r="G215" s="86">
        <v>8001.0</v>
      </c>
      <c r="H215" s="86">
        <v>145.0</v>
      </c>
      <c r="I215" s="86">
        <v>1.0</v>
      </c>
      <c r="J215" s="86">
        <v>8000.0</v>
      </c>
      <c r="K215" s="86">
        <v>215.0</v>
      </c>
      <c r="L215" s="86">
        <v>1.0</v>
      </c>
      <c r="M215" s="86">
        <v>2007.0</v>
      </c>
      <c r="N215" s="86">
        <v>1.0</v>
      </c>
      <c r="O215" s="141">
        <v>0.25</v>
      </c>
      <c r="P215" s="86">
        <v>9000.0</v>
      </c>
      <c r="Q215" s="86">
        <v>51.0</v>
      </c>
      <c r="R215" s="86">
        <v>1.0</v>
      </c>
      <c r="S215" s="86" t="s">
        <v>3657</v>
      </c>
      <c r="T215" s="86">
        <v>7.0</v>
      </c>
      <c r="U215" s="86">
        <v>0.5</v>
      </c>
      <c r="V215" s="86">
        <v>1000.0</v>
      </c>
      <c r="W215" s="86">
        <v>2255.0</v>
      </c>
      <c r="X215" s="86">
        <v>1.0</v>
      </c>
      <c r="Y215" s="86">
        <v>2006.0</v>
      </c>
      <c r="Z215" s="86">
        <v>1.0</v>
      </c>
      <c r="AA215" s="86">
        <v>0.03</v>
      </c>
    </row>
    <row r="216" ht="12.75" customHeight="1">
      <c r="A216" s="86">
        <v>1214.0</v>
      </c>
      <c r="B216" s="86" t="s">
        <v>4110</v>
      </c>
      <c r="C216" s="86">
        <v>108.0</v>
      </c>
      <c r="D216" s="86" t="s">
        <v>3654</v>
      </c>
      <c r="E216" s="86">
        <v>1.0</v>
      </c>
      <c r="F216" s="86">
        <v>0.079</v>
      </c>
      <c r="G216" s="86">
        <v>8001.0</v>
      </c>
      <c r="H216" s="86">
        <v>145.0</v>
      </c>
      <c r="I216" s="86">
        <v>1.0</v>
      </c>
      <c r="J216" s="86">
        <v>8000.0</v>
      </c>
      <c r="K216" s="86">
        <v>220.0</v>
      </c>
      <c r="L216" s="86">
        <v>1.0</v>
      </c>
      <c r="M216" s="86">
        <v>2007.0</v>
      </c>
      <c r="N216" s="86">
        <v>1.0</v>
      </c>
      <c r="O216" s="141">
        <v>0.25</v>
      </c>
      <c r="P216" s="86">
        <v>9000.0</v>
      </c>
      <c r="Q216" s="86">
        <v>51.0</v>
      </c>
      <c r="R216" s="86">
        <v>1.0</v>
      </c>
      <c r="S216" s="86" t="s">
        <v>3657</v>
      </c>
      <c r="T216" s="86">
        <v>7.0</v>
      </c>
      <c r="U216" s="86">
        <v>0.5</v>
      </c>
      <c r="V216" s="86">
        <v>1000.0</v>
      </c>
      <c r="W216" s="86">
        <v>2265.0</v>
      </c>
      <c r="X216" s="86">
        <v>1.0</v>
      </c>
      <c r="Y216" s="86">
        <v>2006.0</v>
      </c>
      <c r="Z216" s="86">
        <v>1.0</v>
      </c>
      <c r="AA216" s="86">
        <v>0.03</v>
      </c>
    </row>
    <row r="217" ht="12.75" customHeight="1">
      <c r="A217" s="86">
        <v>1215.0</v>
      </c>
      <c r="B217" s="86" t="s">
        <v>4111</v>
      </c>
      <c r="C217" s="86">
        <v>108.0</v>
      </c>
      <c r="D217" s="86" t="s">
        <v>3654</v>
      </c>
      <c r="E217" s="86">
        <v>1.0</v>
      </c>
      <c r="F217" s="86">
        <v>0.079</v>
      </c>
      <c r="G217" s="86">
        <v>8001.0</v>
      </c>
      <c r="H217" s="86">
        <v>145.0</v>
      </c>
      <c r="I217" s="86">
        <v>1.0</v>
      </c>
      <c r="J217" s="86">
        <v>8000.0</v>
      </c>
      <c r="K217" s="86">
        <v>220.0</v>
      </c>
      <c r="L217" s="86">
        <v>1.0</v>
      </c>
      <c r="M217" s="86">
        <v>2007.0</v>
      </c>
      <c r="N217" s="86">
        <v>1.0</v>
      </c>
      <c r="O217" s="141">
        <v>0.25</v>
      </c>
      <c r="P217" s="86">
        <v>9000.0</v>
      </c>
      <c r="Q217" s="86">
        <v>51.0</v>
      </c>
      <c r="R217" s="86">
        <v>1.0</v>
      </c>
      <c r="S217" s="86" t="s">
        <v>3657</v>
      </c>
      <c r="T217" s="86">
        <v>7.0</v>
      </c>
      <c r="U217" s="86">
        <v>0.5</v>
      </c>
      <c r="V217" s="86">
        <v>1000.0</v>
      </c>
      <c r="W217" s="86">
        <v>2280.0</v>
      </c>
      <c r="X217" s="86">
        <v>1.0</v>
      </c>
      <c r="Y217" s="86">
        <v>2006.0</v>
      </c>
      <c r="Z217" s="86">
        <v>1.0</v>
      </c>
      <c r="AA217" s="86">
        <v>0.03</v>
      </c>
    </row>
    <row r="218" ht="12.75" customHeight="1">
      <c r="A218" s="86">
        <v>1216.0</v>
      </c>
      <c r="B218" s="86" t="s">
        <v>4113</v>
      </c>
      <c r="C218" s="86">
        <v>109.0</v>
      </c>
      <c r="D218" s="86" t="s">
        <v>3654</v>
      </c>
      <c r="E218" s="86">
        <v>1.0</v>
      </c>
      <c r="F218" s="86">
        <v>0.08</v>
      </c>
      <c r="G218" s="86">
        <v>8001.0</v>
      </c>
      <c r="H218" s="86">
        <v>145.0</v>
      </c>
      <c r="I218" s="86">
        <v>1.0</v>
      </c>
      <c r="J218" s="86">
        <v>8000.0</v>
      </c>
      <c r="K218" s="86">
        <v>220.0</v>
      </c>
      <c r="L218" s="86">
        <v>1.0</v>
      </c>
      <c r="M218" s="86">
        <v>2007.0</v>
      </c>
      <c r="N218" s="86">
        <v>1.0</v>
      </c>
      <c r="O218" s="141">
        <v>0.25</v>
      </c>
      <c r="P218" s="86">
        <v>9000.0</v>
      </c>
      <c r="Q218" s="86">
        <v>51.0</v>
      </c>
      <c r="R218" s="86">
        <v>1.0</v>
      </c>
      <c r="S218" s="86" t="s">
        <v>3657</v>
      </c>
      <c r="T218" s="86">
        <v>7.0</v>
      </c>
      <c r="U218" s="86">
        <v>0.5</v>
      </c>
      <c r="V218" s="86">
        <v>1000.0</v>
      </c>
      <c r="W218" s="86">
        <v>2290.0</v>
      </c>
      <c r="X218" s="86">
        <v>1.0</v>
      </c>
      <c r="Y218" s="86">
        <v>2006.0</v>
      </c>
      <c r="Z218" s="86">
        <v>1.0</v>
      </c>
      <c r="AA218" s="86">
        <v>0.03</v>
      </c>
    </row>
    <row r="219" ht="12.75" customHeight="1">
      <c r="A219" s="86">
        <v>1217.0</v>
      </c>
      <c r="B219" s="86" t="s">
        <v>4090</v>
      </c>
      <c r="C219" s="86">
        <v>109.0</v>
      </c>
      <c r="D219" s="86" t="s">
        <v>3654</v>
      </c>
      <c r="E219" s="86">
        <v>1.0</v>
      </c>
      <c r="F219" s="86">
        <v>0.08</v>
      </c>
      <c r="G219" s="86">
        <v>8001.0</v>
      </c>
      <c r="H219" s="86">
        <v>150.0</v>
      </c>
      <c r="I219" s="86">
        <v>1.0</v>
      </c>
      <c r="J219" s="86">
        <v>8000.0</v>
      </c>
      <c r="K219" s="86">
        <v>220.0</v>
      </c>
      <c r="L219" s="86">
        <v>1.0</v>
      </c>
      <c r="M219" s="86">
        <v>2007.0</v>
      </c>
      <c r="N219" s="86">
        <v>1.0</v>
      </c>
      <c r="O219" s="141">
        <v>0.25</v>
      </c>
      <c r="P219" s="86">
        <v>9000.0</v>
      </c>
      <c r="Q219" s="86">
        <v>52.0</v>
      </c>
      <c r="R219" s="86">
        <v>1.0</v>
      </c>
      <c r="S219" s="86" t="s">
        <v>3657</v>
      </c>
      <c r="T219" s="86">
        <v>7.0</v>
      </c>
      <c r="U219" s="86">
        <v>0.5</v>
      </c>
      <c r="V219" s="86">
        <v>1000.0</v>
      </c>
      <c r="W219" s="86">
        <v>2305.0</v>
      </c>
      <c r="X219" s="86">
        <v>1.0</v>
      </c>
      <c r="Y219" s="86">
        <v>2006.0</v>
      </c>
      <c r="Z219" s="86">
        <v>1.0</v>
      </c>
      <c r="AA219" s="86">
        <v>0.03</v>
      </c>
    </row>
    <row r="220" ht="12.75" customHeight="1">
      <c r="A220" s="86">
        <v>1218.0</v>
      </c>
      <c r="B220" s="86" t="s">
        <v>4115</v>
      </c>
      <c r="C220" s="86">
        <v>110.0</v>
      </c>
      <c r="D220" s="86" t="s">
        <v>3654</v>
      </c>
      <c r="E220" s="86">
        <v>1.0</v>
      </c>
      <c r="F220" s="86">
        <v>0.08</v>
      </c>
      <c r="G220" s="86">
        <v>8001.0</v>
      </c>
      <c r="H220" s="86">
        <v>150.0</v>
      </c>
      <c r="I220" s="86">
        <v>1.0</v>
      </c>
      <c r="J220" s="86">
        <v>8000.0</v>
      </c>
      <c r="K220" s="86">
        <v>225.0</v>
      </c>
      <c r="L220" s="86">
        <v>1.0</v>
      </c>
      <c r="M220" s="86">
        <v>2007.0</v>
      </c>
      <c r="N220" s="86">
        <v>1.0</v>
      </c>
      <c r="O220" s="141">
        <v>0.25</v>
      </c>
      <c r="P220" s="86">
        <v>9000.0</v>
      </c>
      <c r="Q220" s="86">
        <v>52.0</v>
      </c>
      <c r="R220" s="86">
        <v>1.0</v>
      </c>
      <c r="S220" s="86" t="s">
        <v>3657</v>
      </c>
      <c r="T220" s="86">
        <v>7.0</v>
      </c>
      <c r="U220" s="86">
        <v>0.5</v>
      </c>
      <c r="V220" s="86">
        <v>1000.0</v>
      </c>
      <c r="W220" s="86">
        <v>2320.0</v>
      </c>
      <c r="X220" s="86">
        <v>1.0</v>
      </c>
      <c r="Y220" s="86">
        <v>2006.0</v>
      </c>
      <c r="Z220" s="86">
        <v>1.0</v>
      </c>
      <c r="AA220" s="86">
        <v>0.03</v>
      </c>
    </row>
    <row r="221" ht="12.75" customHeight="1">
      <c r="A221" s="86">
        <v>1219.0</v>
      </c>
      <c r="B221" s="86" t="s">
        <v>4116</v>
      </c>
      <c r="C221" s="86">
        <v>110.0</v>
      </c>
      <c r="D221" s="86" t="s">
        <v>3654</v>
      </c>
      <c r="E221" s="86">
        <v>1.0</v>
      </c>
      <c r="F221" s="86">
        <v>0.08</v>
      </c>
      <c r="G221" s="86">
        <v>8001.0</v>
      </c>
      <c r="H221" s="86">
        <v>150.0</v>
      </c>
      <c r="I221" s="86">
        <v>1.0</v>
      </c>
      <c r="J221" s="86">
        <v>8000.0</v>
      </c>
      <c r="K221" s="86">
        <v>225.0</v>
      </c>
      <c r="L221" s="86">
        <v>1.0</v>
      </c>
      <c r="M221" s="86">
        <v>2007.0</v>
      </c>
      <c r="N221" s="86">
        <v>1.0</v>
      </c>
      <c r="O221" s="141">
        <v>0.25</v>
      </c>
      <c r="P221" s="86">
        <v>9000.0</v>
      </c>
      <c r="Q221" s="86">
        <v>52.0</v>
      </c>
      <c r="R221" s="86">
        <v>1.0</v>
      </c>
      <c r="S221" s="86" t="s">
        <v>3657</v>
      </c>
      <c r="T221" s="86">
        <v>7.0</v>
      </c>
      <c r="U221" s="86">
        <v>0.5</v>
      </c>
      <c r="V221" s="86">
        <v>1000.0</v>
      </c>
      <c r="W221" s="86">
        <v>2330.0</v>
      </c>
      <c r="X221" s="86">
        <v>1.0</v>
      </c>
      <c r="Y221" s="86">
        <v>2006.0</v>
      </c>
      <c r="Z221" s="86">
        <v>1.0</v>
      </c>
      <c r="AA221" s="86">
        <v>0.03</v>
      </c>
    </row>
    <row r="222" ht="12.75" customHeight="1">
      <c r="A222" s="86">
        <v>1220.0</v>
      </c>
      <c r="B222" s="86" t="s">
        <v>4089</v>
      </c>
      <c r="C222" s="86">
        <v>111.0</v>
      </c>
      <c r="D222" s="86" t="s">
        <v>3654</v>
      </c>
      <c r="E222" s="86">
        <v>1.0</v>
      </c>
      <c r="F222" s="86">
        <v>0.081</v>
      </c>
      <c r="G222" s="86">
        <v>8001.0</v>
      </c>
      <c r="H222" s="86">
        <v>150.0</v>
      </c>
      <c r="I222" s="86">
        <v>1.0</v>
      </c>
      <c r="J222" s="86">
        <v>8000.0</v>
      </c>
      <c r="K222" s="86">
        <v>225.0</v>
      </c>
      <c r="L222" s="86">
        <v>1.0</v>
      </c>
      <c r="M222" s="86">
        <v>2007.0</v>
      </c>
      <c r="N222" s="86">
        <v>1.0</v>
      </c>
      <c r="O222" s="141">
        <v>0.25</v>
      </c>
      <c r="P222" s="86">
        <v>9000.0</v>
      </c>
      <c r="Q222" s="86">
        <v>53.0</v>
      </c>
      <c r="R222" s="86">
        <v>1.0</v>
      </c>
      <c r="S222" s="86" t="s">
        <v>3657</v>
      </c>
      <c r="T222" s="86">
        <v>8.0</v>
      </c>
      <c r="U222" s="86">
        <v>0.5</v>
      </c>
      <c r="V222" s="86">
        <v>1000.0</v>
      </c>
      <c r="W222" s="86">
        <v>2345.0</v>
      </c>
      <c r="X222" s="86">
        <v>1.0</v>
      </c>
      <c r="Y222" s="86">
        <v>2006.0</v>
      </c>
      <c r="Z222" s="86">
        <v>1.0</v>
      </c>
      <c r="AA222" s="86">
        <v>0.03</v>
      </c>
    </row>
    <row r="223" ht="12.75" customHeight="1">
      <c r="A223" s="86">
        <v>1221.0</v>
      </c>
      <c r="B223" s="86" t="s">
        <v>4118</v>
      </c>
      <c r="C223" s="86">
        <v>111.0</v>
      </c>
      <c r="D223" s="86" t="s">
        <v>3654</v>
      </c>
      <c r="E223" s="86">
        <v>1.0</v>
      </c>
      <c r="F223" s="86">
        <v>0.081</v>
      </c>
      <c r="G223" s="86">
        <v>8001.0</v>
      </c>
      <c r="H223" s="86">
        <v>150.0</v>
      </c>
      <c r="I223" s="86">
        <v>1.0</v>
      </c>
      <c r="J223" s="86">
        <v>8000.0</v>
      </c>
      <c r="K223" s="86">
        <v>225.0</v>
      </c>
      <c r="L223" s="86">
        <v>1.0</v>
      </c>
      <c r="M223" s="86">
        <v>2007.0</v>
      </c>
      <c r="N223" s="86">
        <v>1.0</v>
      </c>
      <c r="O223" s="141">
        <v>0.25</v>
      </c>
      <c r="P223" s="86">
        <v>9000.0</v>
      </c>
      <c r="Q223" s="86">
        <v>53.0</v>
      </c>
      <c r="R223" s="86">
        <v>1.0</v>
      </c>
      <c r="S223" s="86" t="s">
        <v>3657</v>
      </c>
      <c r="T223" s="86">
        <v>8.0</v>
      </c>
      <c r="U223" s="86">
        <v>0.5</v>
      </c>
      <c r="V223" s="86">
        <v>1000.0</v>
      </c>
      <c r="W223" s="86">
        <v>2355.0</v>
      </c>
      <c r="X223" s="86">
        <v>1.0</v>
      </c>
      <c r="Y223" s="86">
        <v>2006.0</v>
      </c>
      <c r="Z223" s="86">
        <v>1.0</v>
      </c>
      <c r="AA223" s="86">
        <v>0.03</v>
      </c>
    </row>
    <row r="224" ht="12.75" customHeight="1">
      <c r="A224" s="86">
        <v>1222.0</v>
      </c>
      <c r="B224" s="86" t="s">
        <v>4120</v>
      </c>
      <c r="C224" s="86">
        <v>112.0</v>
      </c>
      <c r="D224" s="86" t="s">
        <v>3654</v>
      </c>
      <c r="E224" s="86">
        <v>1.0</v>
      </c>
      <c r="F224" s="86">
        <v>0.081</v>
      </c>
      <c r="G224" s="86">
        <v>8001.0</v>
      </c>
      <c r="H224" s="86">
        <v>150.0</v>
      </c>
      <c r="I224" s="86">
        <v>1.0</v>
      </c>
      <c r="J224" s="86">
        <v>8000.0</v>
      </c>
      <c r="K224" s="86">
        <v>230.0</v>
      </c>
      <c r="L224" s="86">
        <v>1.0</v>
      </c>
      <c r="M224" s="86">
        <v>2007.0</v>
      </c>
      <c r="N224" s="86">
        <v>1.0</v>
      </c>
      <c r="O224" s="141">
        <v>0.25</v>
      </c>
      <c r="P224" s="86">
        <v>9000.0</v>
      </c>
      <c r="Q224" s="86">
        <v>53.0</v>
      </c>
      <c r="R224" s="86">
        <v>1.0</v>
      </c>
      <c r="S224" s="86" t="s">
        <v>3657</v>
      </c>
      <c r="T224" s="86">
        <v>8.0</v>
      </c>
      <c r="U224" s="86">
        <v>0.5</v>
      </c>
      <c r="V224" s="86">
        <v>1000.0</v>
      </c>
      <c r="W224" s="86">
        <v>2370.0</v>
      </c>
      <c r="X224" s="86">
        <v>1.0</v>
      </c>
      <c r="Y224" s="86">
        <v>2006.0</v>
      </c>
      <c r="Z224" s="86">
        <v>1.0</v>
      </c>
      <c r="AA224" s="86">
        <v>0.03</v>
      </c>
    </row>
    <row r="225" ht="12.75" customHeight="1">
      <c r="A225" s="86">
        <v>1223.0</v>
      </c>
      <c r="B225" s="86" t="s">
        <v>4121</v>
      </c>
      <c r="C225" s="86">
        <v>112.0</v>
      </c>
      <c r="D225" s="86" t="s">
        <v>3654</v>
      </c>
      <c r="E225" s="86">
        <v>1.0</v>
      </c>
      <c r="F225" s="86">
        <v>0.081</v>
      </c>
      <c r="G225" s="86">
        <v>8001.0</v>
      </c>
      <c r="H225" s="86">
        <v>155.0</v>
      </c>
      <c r="I225" s="86">
        <v>1.0</v>
      </c>
      <c r="J225" s="86">
        <v>8000.0</v>
      </c>
      <c r="K225" s="86">
        <v>230.0</v>
      </c>
      <c r="L225" s="86">
        <v>1.0</v>
      </c>
      <c r="M225" s="86">
        <v>2007.0</v>
      </c>
      <c r="N225" s="86">
        <v>1.0</v>
      </c>
      <c r="O225" s="141">
        <v>0.25</v>
      </c>
      <c r="P225" s="86">
        <v>9000.0</v>
      </c>
      <c r="Q225" s="86">
        <v>54.0</v>
      </c>
      <c r="R225" s="86">
        <v>1.0</v>
      </c>
      <c r="S225" s="86" t="s">
        <v>3657</v>
      </c>
      <c r="T225" s="86">
        <v>8.0</v>
      </c>
      <c r="U225" s="86">
        <v>0.5</v>
      </c>
      <c r="V225" s="86">
        <v>1000.0</v>
      </c>
      <c r="W225" s="86">
        <v>2385.0</v>
      </c>
      <c r="X225" s="86">
        <v>1.0</v>
      </c>
      <c r="Y225" s="86">
        <v>2006.0</v>
      </c>
      <c r="Z225" s="86">
        <v>1.0</v>
      </c>
      <c r="AA225" s="86">
        <v>0.03</v>
      </c>
    </row>
    <row r="226" ht="12.75" customHeight="1">
      <c r="A226" s="86">
        <v>1224.0</v>
      </c>
      <c r="B226" s="86" t="s">
        <v>4123</v>
      </c>
      <c r="C226" s="86">
        <v>113.0</v>
      </c>
      <c r="D226" s="86" t="s">
        <v>3654</v>
      </c>
      <c r="E226" s="86">
        <v>1.0</v>
      </c>
      <c r="F226" s="86">
        <v>0.081</v>
      </c>
      <c r="G226" s="86">
        <v>8001.0</v>
      </c>
      <c r="H226" s="86">
        <v>155.0</v>
      </c>
      <c r="I226" s="86">
        <v>1.0</v>
      </c>
      <c r="J226" s="86">
        <v>8000.0</v>
      </c>
      <c r="K226" s="86">
        <v>230.0</v>
      </c>
      <c r="L226" s="86">
        <v>1.0</v>
      </c>
      <c r="M226" s="86">
        <v>2007.0</v>
      </c>
      <c r="N226" s="86">
        <v>1.0</v>
      </c>
      <c r="O226" s="141">
        <v>0.25</v>
      </c>
      <c r="P226" s="86">
        <v>9000.0</v>
      </c>
      <c r="Q226" s="86">
        <v>54.0</v>
      </c>
      <c r="R226" s="86">
        <v>1.0</v>
      </c>
      <c r="S226" s="86" t="s">
        <v>3657</v>
      </c>
      <c r="T226" s="86">
        <v>8.0</v>
      </c>
      <c r="U226" s="86">
        <v>0.5</v>
      </c>
      <c r="V226" s="86">
        <v>1000.0</v>
      </c>
      <c r="W226" s="86">
        <v>2395.0</v>
      </c>
      <c r="X226" s="86">
        <v>1.0</v>
      </c>
      <c r="Y226" s="86">
        <v>2006.0</v>
      </c>
      <c r="Z226" s="86">
        <v>1.0</v>
      </c>
      <c r="AA226" s="86">
        <v>0.03</v>
      </c>
    </row>
    <row r="227" ht="12.75" customHeight="1">
      <c r="A227" s="86">
        <v>1225.0</v>
      </c>
      <c r="B227" s="86" t="s">
        <v>4108</v>
      </c>
      <c r="C227" s="86">
        <v>113.0</v>
      </c>
      <c r="D227" s="86" t="s">
        <v>3654</v>
      </c>
      <c r="E227" s="86">
        <v>1.0</v>
      </c>
      <c r="F227" s="86">
        <v>0.082</v>
      </c>
      <c r="G227" s="86">
        <v>8001.0</v>
      </c>
      <c r="H227" s="86">
        <v>155.0</v>
      </c>
      <c r="I227" s="86">
        <v>1.0</v>
      </c>
      <c r="J227" s="86">
        <v>8000.0</v>
      </c>
      <c r="K227" s="86">
        <v>230.0</v>
      </c>
      <c r="L227" s="86">
        <v>1.0</v>
      </c>
      <c r="M227" s="86">
        <v>2007.0</v>
      </c>
      <c r="N227" s="86">
        <v>1.0</v>
      </c>
      <c r="O227" s="141">
        <v>0.25</v>
      </c>
      <c r="P227" s="86">
        <v>9000.0</v>
      </c>
      <c r="Q227" s="86">
        <v>54.0</v>
      </c>
      <c r="R227" s="86">
        <v>1.0</v>
      </c>
      <c r="S227" s="86" t="s">
        <v>3657</v>
      </c>
      <c r="T227" s="86">
        <v>8.0</v>
      </c>
      <c r="U227" s="86">
        <v>0.5</v>
      </c>
      <c r="V227" s="86">
        <v>1000.0</v>
      </c>
      <c r="W227" s="86">
        <v>2410.0</v>
      </c>
      <c r="X227" s="86">
        <v>1.0</v>
      </c>
      <c r="Y227" s="86">
        <v>2006.0</v>
      </c>
      <c r="Z227" s="86">
        <v>1.0</v>
      </c>
      <c r="AA227" s="86">
        <v>0.03</v>
      </c>
    </row>
    <row r="228" ht="12.75" customHeight="1">
      <c r="A228" s="86">
        <v>1226.0</v>
      </c>
      <c r="B228" s="86" t="s">
        <v>4124</v>
      </c>
      <c r="C228" s="86">
        <v>114.0</v>
      </c>
      <c r="D228" s="86" t="s">
        <v>3654</v>
      </c>
      <c r="E228" s="86">
        <v>1.0</v>
      </c>
      <c r="F228" s="86">
        <v>0.082</v>
      </c>
      <c r="G228" s="86">
        <v>8001.0</v>
      </c>
      <c r="H228" s="86">
        <v>155.0</v>
      </c>
      <c r="I228" s="86">
        <v>1.0</v>
      </c>
      <c r="J228" s="86">
        <v>8000.0</v>
      </c>
      <c r="K228" s="86">
        <v>235.0</v>
      </c>
      <c r="L228" s="86">
        <v>1.0</v>
      </c>
      <c r="M228" s="86">
        <v>2007.0</v>
      </c>
      <c r="N228" s="86">
        <v>1.0</v>
      </c>
      <c r="O228" s="141">
        <v>0.25</v>
      </c>
      <c r="P228" s="86">
        <v>9000.0</v>
      </c>
      <c r="Q228" s="86">
        <v>55.0</v>
      </c>
      <c r="R228" s="86">
        <v>1.0</v>
      </c>
      <c r="S228" s="86" t="s">
        <v>3657</v>
      </c>
      <c r="T228" s="86">
        <v>8.0</v>
      </c>
      <c r="U228" s="86">
        <v>0.5</v>
      </c>
      <c r="V228" s="86">
        <v>1000.0</v>
      </c>
      <c r="W228" s="86">
        <v>2425.0</v>
      </c>
      <c r="X228" s="86">
        <v>1.0</v>
      </c>
      <c r="Y228" s="86">
        <v>2006.0</v>
      </c>
      <c r="Z228" s="86">
        <v>1.0</v>
      </c>
      <c r="AA228" s="86">
        <v>0.03</v>
      </c>
    </row>
    <row r="229" ht="12.75" customHeight="1">
      <c r="A229" s="86">
        <v>1227.0</v>
      </c>
      <c r="B229" s="86" t="s">
        <v>4127</v>
      </c>
      <c r="C229" s="86">
        <v>114.0</v>
      </c>
      <c r="D229" s="86" t="s">
        <v>3654</v>
      </c>
      <c r="E229" s="86">
        <v>1.0</v>
      </c>
      <c r="F229" s="86">
        <v>0.082</v>
      </c>
      <c r="G229" s="86">
        <v>8001.0</v>
      </c>
      <c r="H229" s="86">
        <v>155.0</v>
      </c>
      <c r="I229" s="86">
        <v>1.0</v>
      </c>
      <c r="J229" s="86">
        <v>8000.0</v>
      </c>
      <c r="K229" s="86">
        <v>235.0</v>
      </c>
      <c r="L229" s="86">
        <v>1.0</v>
      </c>
      <c r="M229" s="86">
        <v>2007.0</v>
      </c>
      <c r="N229" s="86">
        <v>1.0</v>
      </c>
      <c r="O229" s="141">
        <v>0.25</v>
      </c>
      <c r="P229" s="86">
        <v>9000.0</v>
      </c>
      <c r="Q229" s="86">
        <v>55.0</v>
      </c>
      <c r="R229" s="86">
        <v>1.0</v>
      </c>
      <c r="S229" s="86" t="s">
        <v>3657</v>
      </c>
      <c r="T229" s="86">
        <v>8.0</v>
      </c>
      <c r="U229" s="86">
        <v>0.5</v>
      </c>
      <c r="V229" s="86">
        <v>1000.0</v>
      </c>
      <c r="W229" s="86">
        <v>2435.0</v>
      </c>
      <c r="X229" s="86">
        <v>1.0</v>
      </c>
      <c r="Y229" s="86">
        <v>2006.0</v>
      </c>
      <c r="Z229" s="86">
        <v>1.0</v>
      </c>
      <c r="AA229" s="86">
        <v>0.03</v>
      </c>
    </row>
    <row r="230" ht="12.75" customHeight="1">
      <c r="A230" s="86">
        <v>1228.0</v>
      </c>
      <c r="B230" s="86" t="s">
        <v>4132</v>
      </c>
      <c r="C230" s="86">
        <v>115.0</v>
      </c>
      <c r="D230" s="86" t="s">
        <v>3654</v>
      </c>
      <c r="E230" s="86">
        <v>1.0</v>
      </c>
      <c r="F230" s="86">
        <v>0.082</v>
      </c>
      <c r="G230" s="86">
        <v>8001.0</v>
      </c>
      <c r="H230" s="86">
        <v>155.0</v>
      </c>
      <c r="I230" s="86">
        <v>1.0</v>
      </c>
      <c r="J230" s="86">
        <v>8000.0</v>
      </c>
      <c r="K230" s="86">
        <v>235.0</v>
      </c>
      <c r="L230" s="86">
        <v>1.0</v>
      </c>
      <c r="M230" s="86">
        <v>2007.0</v>
      </c>
      <c r="N230" s="86">
        <v>1.0</v>
      </c>
      <c r="O230" s="141">
        <v>0.25</v>
      </c>
      <c r="P230" s="86">
        <v>9000.0</v>
      </c>
      <c r="Q230" s="86">
        <v>55.0</v>
      </c>
      <c r="R230" s="86">
        <v>1.0</v>
      </c>
      <c r="S230" s="86" t="s">
        <v>3657</v>
      </c>
      <c r="T230" s="86">
        <v>8.0</v>
      </c>
      <c r="U230" s="86">
        <v>0.5</v>
      </c>
      <c r="V230" s="86">
        <v>1000.0</v>
      </c>
      <c r="W230" s="86">
        <v>2450.0</v>
      </c>
      <c r="X230" s="86">
        <v>1.0</v>
      </c>
      <c r="Y230" s="86">
        <v>2006.0</v>
      </c>
      <c r="Z230" s="86">
        <v>1.0</v>
      </c>
      <c r="AA230" s="86">
        <v>0.03</v>
      </c>
    </row>
    <row r="231" ht="12.75" customHeight="1">
      <c r="A231" s="86">
        <v>1229.0</v>
      </c>
      <c r="B231" s="86" t="s">
        <v>4134</v>
      </c>
      <c r="C231" s="86">
        <v>115.0</v>
      </c>
      <c r="D231" s="86" t="s">
        <v>3654</v>
      </c>
      <c r="E231" s="86">
        <v>1.0</v>
      </c>
      <c r="F231" s="86">
        <v>0.083</v>
      </c>
      <c r="G231" s="86">
        <v>8001.0</v>
      </c>
      <c r="H231" s="86">
        <v>160.0</v>
      </c>
      <c r="I231" s="86">
        <v>1.0</v>
      </c>
      <c r="J231" s="86">
        <v>8000.0</v>
      </c>
      <c r="K231" s="86">
        <v>235.0</v>
      </c>
      <c r="L231" s="86">
        <v>1.0</v>
      </c>
      <c r="M231" s="86">
        <v>2007.0</v>
      </c>
      <c r="N231" s="86">
        <v>1.0</v>
      </c>
      <c r="O231" s="141">
        <v>0.25</v>
      </c>
      <c r="P231" s="86">
        <v>9000.0</v>
      </c>
      <c r="Q231" s="86">
        <v>56.0</v>
      </c>
      <c r="R231" s="86">
        <v>1.0</v>
      </c>
      <c r="S231" s="86" t="s">
        <v>3657</v>
      </c>
      <c r="T231" s="86">
        <v>8.0</v>
      </c>
      <c r="U231" s="86">
        <v>0.5</v>
      </c>
      <c r="V231" s="86">
        <v>1000.0</v>
      </c>
      <c r="W231" s="86">
        <v>2465.0</v>
      </c>
      <c r="X231" s="86">
        <v>1.0</v>
      </c>
      <c r="Y231" s="86">
        <v>2006.0</v>
      </c>
      <c r="Z231" s="86">
        <v>1.0</v>
      </c>
      <c r="AA231" s="86">
        <v>0.03</v>
      </c>
    </row>
    <row r="232" ht="12.75" customHeight="1">
      <c r="A232" s="86">
        <v>1230.0</v>
      </c>
      <c r="B232" s="86" t="s">
        <v>4135</v>
      </c>
      <c r="C232" s="86">
        <v>116.0</v>
      </c>
      <c r="D232" s="86" t="s">
        <v>3654</v>
      </c>
      <c r="E232" s="86">
        <v>1.0</v>
      </c>
      <c r="F232" s="86">
        <v>0.083</v>
      </c>
      <c r="G232" s="86">
        <v>8001.0</v>
      </c>
      <c r="H232" s="86">
        <v>160.0</v>
      </c>
      <c r="I232" s="86">
        <v>1.0</v>
      </c>
      <c r="J232" s="86">
        <v>8000.0</v>
      </c>
      <c r="K232" s="86">
        <v>240.0</v>
      </c>
      <c r="L232" s="86">
        <v>1.0</v>
      </c>
      <c r="M232" s="86">
        <v>2007.0</v>
      </c>
      <c r="N232" s="86">
        <v>1.0</v>
      </c>
      <c r="O232" s="141">
        <v>0.25</v>
      </c>
      <c r="P232" s="86">
        <v>9000.0</v>
      </c>
      <c r="Q232" s="86">
        <v>56.0</v>
      </c>
      <c r="R232" s="86">
        <v>1.0</v>
      </c>
      <c r="S232" s="86" t="s">
        <v>3657</v>
      </c>
      <c r="T232" s="86">
        <v>8.0</v>
      </c>
      <c r="U232" s="86">
        <v>0.5</v>
      </c>
      <c r="V232" s="86">
        <v>1000.0</v>
      </c>
      <c r="W232" s="86">
        <v>2475.0</v>
      </c>
      <c r="X232" s="86">
        <v>1.0</v>
      </c>
      <c r="Y232" s="86">
        <v>2006.0</v>
      </c>
      <c r="Z232" s="86">
        <v>1.0</v>
      </c>
      <c r="AA232" s="86">
        <v>0.03</v>
      </c>
    </row>
    <row r="233" ht="12.75" customHeight="1">
      <c r="A233" s="86">
        <v>1231.0</v>
      </c>
      <c r="B233" s="86" t="s">
        <v>4137</v>
      </c>
      <c r="C233" s="86">
        <v>116.0</v>
      </c>
      <c r="D233" s="86" t="s">
        <v>3654</v>
      </c>
      <c r="E233" s="86">
        <v>1.0</v>
      </c>
      <c r="F233" s="86">
        <v>0.083</v>
      </c>
      <c r="G233" s="86">
        <v>8001.0</v>
      </c>
      <c r="H233" s="86">
        <v>160.0</v>
      </c>
      <c r="I233" s="86">
        <v>1.0</v>
      </c>
      <c r="J233" s="86">
        <v>8000.0</v>
      </c>
      <c r="K233" s="86">
        <v>240.0</v>
      </c>
      <c r="L233" s="86">
        <v>1.0</v>
      </c>
      <c r="M233" s="86">
        <v>2007.0</v>
      </c>
      <c r="N233" s="86">
        <v>1.0</v>
      </c>
      <c r="O233" s="141">
        <v>0.25</v>
      </c>
      <c r="P233" s="86">
        <v>9000.0</v>
      </c>
      <c r="Q233" s="86">
        <v>56.0</v>
      </c>
      <c r="R233" s="86">
        <v>1.0</v>
      </c>
      <c r="S233" s="86" t="s">
        <v>3657</v>
      </c>
      <c r="T233" s="86">
        <v>8.0</v>
      </c>
      <c r="U233" s="86">
        <v>0.5</v>
      </c>
      <c r="V233" s="86">
        <v>1000.0</v>
      </c>
      <c r="W233" s="86">
        <v>2490.0</v>
      </c>
      <c r="X233" s="86">
        <v>1.0</v>
      </c>
      <c r="Y233" s="86">
        <v>2006.0</v>
      </c>
      <c r="Z233" s="86">
        <v>1.0</v>
      </c>
      <c r="AA233" s="86">
        <v>0.03</v>
      </c>
    </row>
    <row r="234" ht="12.75" customHeight="1">
      <c r="A234" s="86">
        <v>1232.0</v>
      </c>
      <c r="B234" s="86" t="s">
        <v>4139</v>
      </c>
      <c r="C234" s="86">
        <v>117.0</v>
      </c>
      <c r="D234" s="86" t="s">
        <v>3654</v>
      </c>
      <c r="E234" s="86">
        <v>1.0</v>
      </c>
      <c r="F234" s="86">
        <v>0.083</v>
      </c>
      <c r="G234" s="86">
        <v>8001.0</v>
      </c>
      <c r="H234" s="86">
        <v>160.0</v>
      </c>
      <c r="I234" s="86">
        <v>1.0</v>
      </c>
      <c r="J234" s="86">
        <v>8000.0</v>
      </c>
      <c r="K234" s="86">
        <v>240.0</v>
      </c>
      <c r="L234" s="86">
        <v>1.0</v>
      </c>
      <c r="M234" s="86">
        <v>2007.0</v>
      </c>
      <c r="N234" s="86">
        <v>1.0</v>
      </c>
      <c r="O234" s="141">
        <v>0.25</v>
      </c>
      <c r="P234" s="86">
        <v>9000.0</v>
      </c>
      <c r="Q234" s="86">
        <v>57.0</v>
      </c>
      <c r="R234" s="86">
        <v>1.0</v>
      </c>
      <c r="S234" s="86" t="s">
        <v>3657</v>
      </c>
      <c r="T234" s="86">
        <v>8.0</v>
      </c>
      <c r="U234" s="86">
        <v>0.5</v>
      </c>
      <c r="V234" s="86">
        <v>1000.0</v>
      </c>
      <c r="W234" s="86">
        <v>2505.0</v>
      </c>
      <c r="X234" s="86">
        <v>1.0</v>
      </c>
      <c r="Y234" s="86">
        <v>2006.0</v>
      </c>
      <c r="Z234" s="86">
        <v>1.0</v>
      </c>
      <c r="AA234" s="86">
        <v>0.03</v>
      </c>
    </row>
    <row r="235" ht="12.75" customHeight="1">
      <c r="A235" s="86">
        <v>1233.0</v>
      </c>
      <c r="B235" s="86" t="s">
        <v>4143</v>
      </c>
      <c r="C235" s="86">
        <v>117.0</v>
      </c>
      <c r="D235" s="86" t="s">
        <v>3654</v>
      </c>
      <c r="E235" s="86">
        <v>1.0</v>
      </c>
      <c r="F235" s="86">
        <v>0.084</v>
      </c>
      <c r="G235" s="86">
        <v>8001.0</v>
      </c>
      <c r="H235" s="86">
        <v>160.0</v>
      </c>
      <c r="I235" s="86">
        <v>1.0</v>
      </c>
      <c r="J235" s="86">
        <v>8000.0</v>
      </c>
      <c r="K235" s="86">
        <v>240.0</v>
      </c>
      <c r="L235" s="86">
        <v>1.0</v>
      </c>
      <c r="M235" s="86">
        <v>2007.0</v>
      </c>
      <c r="N235" s="86">
        <v>1.0</v>
      </c>
      <c r="O235" s="141">
        <v>0.25</v>
      </c>
      <c r="P235" s="86">
        <v>9000.0</v>
      </c>
      <c r="Q235" s="86">
        <v>57.0</v>
      </c>
      <c r="R235" s="86">
        <v>1.0</v>
      </c>
      <c r="S235" s="86" t="s">
        <v>3657</v>
      </c>
      <c r="T235" s="86">
        <v>8.0</v>
      </c>
      <c r="U235" s="86">
        <v>0.5</v>
      </c>
      <c r="V235" s="86">
        <v>1000.0</v>
      </c>
      <c r="W235" s="86">
        <v>2515.0</v>
      </c>
      <c r="X235" s="86">
        <v>1.0</v>
      </c>
      <c r="Y235" s="86">
        <v>2006.0</v>
      </c>
      <c r="Z235" s="86">
        <v>1.0</v>
      </c>
      <c r="AA235" s="86">
        <v>0.03</v>
      </c>
    </row>
    <row r="236" ht="12.75" customHeight="1">
      <c r="A236" s="86">
        <v>1234.0</v>
      </c>
      <c r="B236" s="86" t="s">
        <v>4148</v>
      </c>
      <c r="C236" s="86">
        <v>118.0</v>
      </c>
      <c r="D236" s="86" t="s">
        <v>3654</v>
      </c>
      <c r="E236" s="86">
        <v>1.0</v>
      </c>
      <c r="F236" s="86">
        <v>0.084</v>
      </c>
      <c r="G236" s="86">
        <v>8001.0</v>
      </c>
      <c r="H236" s="86">
        <v>160.0</v>
      </c>
      <c r="I236" s="86">
        <v>1.0</v>
      </c>
      <c r="J236" s="86">
        <v>8000.0</v>
      </c>
      <c r="K236" s="86">
        <v>245.0</v>
      </c>
      <c r="L236" s="86">
        <v>1.0</v>
      </c>
      <c r="M236" s="86">
        <v>2007.0</v>
      </c>
      <c r="N236" s="86">
        <v>1.0</v>
      </c>
      <c r="O236" s="141">
        <v>0.25</v>
      </c>
      <c r="P236" s="86">
        <v>9000.0</v>
      </c>
      <c r="Q236" s="86">
        <v>57.0</v>
      </c>
      <c r="R236" s="86">
        <v>1.0</v>
      </c>
      <c r="S236" s="86" t="s">
        <v>3657</v>
      </c>
      <c r="T236" s="86">
        <v>8.0</v>
      </c>
      <c r="U236" s="86">
        <v>0.5</v>
      </c>
      <c r="V236" s="86">
        <v>1000.0</v>
      </c>
      <c r="W236" s="86">
        <v>2530.0</v>
      </c>
      <c r="X236" s="86">
        <v>1.0</v>
      </c>
      <c r="Y236" s="86">
        <v>2006.0</v>
      </c>
      <c r="Z236" s="86">
        <v>1.0</v>
      </c>
      <c r="AA236" s="86">
        <v>0.03</v>
      </c>
    </row>
    <row r="237" ht="12.75" customHeight="1">
      <c r="A237" s="86">
        <v>1235.0</v>
      </c>
      <c r="B237" s="86" t="s">
        <v>4148</v>
      </c>
      <c r="C237" s="86">
        <v>118.0</v>
      </c>
      <c r="D237" s="86" t="s">
        <v>3654</v>
      </c>
      <c r="E237" s="86">
        <v>1.0</v>
      </c>
      <c r="F237" s="86">
        <v>0.084</v>
      </c>
      <c r="G237" s="86">
        <v>8001.0</v>
      </c>
      <c r="H237" s="86">
        <v>165.0</v>
      </c>
      <c r="I237" s="86">
        <v>1.0</v>
      </c>
      <c r="J237" s="86">
        <v>8000.0</v>
      </c>
      <c r="K237" s="86">
        <v>245.0</v>
      </c>
      <c r="L237" s="86">
        <v>1.0</v>
      </c>
      <c r="M237" s="86">
        <v>2007.0</v>
      </c>
      <c r="N237" s="86">
        <v>1.0</v>
      </c>
      <c r="O237" s="141">
        <v>0.25</v>
      </c>
      <c r="P237" s="86">
        <v>9000.0</v>
      </c>
      <c r="Q237" s="86">
        <v>58.0</v>
      </c>
      <c r="R237" s="86">
        <v>1.0</v>
      </c>
      <c r="S237" s="86" t="s">
        <v>3657</v>
      </c>
      <c r="T237" s="86">
        <v>8.0</v>
      </c>
      <c r="U237" s="86">
        <v>0.5</v>
      </c>
      <c r="V237" s="86">
        <v>1000.0</v>
      </c>
      <c r="W237" s="86">
        <v>2545.0</v>
      </c>
      <c r="X237" s="86">
        <v>1.0</v>
      </c>
      <c r="Y237" s="86">
        <v>2006.0</v>
      </c>
      <c r="Z237" s="86">
        <v>1.0</v>
      </c>
      <c r="AA237" s="86">
        <v>0.03</v>
      </c>
    </row>
    <row r="238" ht="12.75" customHeight="1">
      <c r="A238" s="86">
        <v>1236.0</v>
      </c>
      <c r="B238" s="86" t="s">
        <v>4137</v>
      </c>
      <c r="C238" s="86">
        <v>119.0</v>
      </c>
      <c r="D238" s="86" t="s">
        <v>3654</v>
      </c>
      <c r="E238" s="86">
        <v>1.0</v>
      </c>
      <c r="F238" s="86">
        <v>0.084</v>
      </c>
      <c r="G238" s="86">
        <v>8001.0</v>
      </c>
      <c r="H238" s="86">
        <v>165.0</v>
      </c>
      <c r="I238" s="86">
        <v>1.0</v>
      </c>
      <c r="J238" s="86">
        <v>8000.0</v>
      </c>
      <c r="K238" s="86">
        <v>245.0</v>
      </c>
      <c r="L238" s="86">
        <v>1.0</v>
      </c>
      <c r="M238" s="86">
        <v>2007.0</v>
      </c>
      <c r="N238" s="86">
        <v>1.0</v>
      </c>
      <c r="O238" s="141">
        <v>0.25</v>
      </c>
      <c r="P238" s="86">
        <v>9000.0</v>
      </c>
      <c r="Q238" s="86">
        <v>58.0</v>
      </c>
      <c r="R238" s="86">
        <v>1.0</v>
      </c>
      <c r="S238" s="86" t="s">
        <v>3657</v>
      </c>
      <c r="T238" s="86">
        <v>8.0</v>
      </c>
      <c r="U238" s="86">
        <v>0.5</v>
      </c>
      <c r="V238" s="86">
        <v>1000.0</v>
      </c>
      <c r="W238" s="86">
        <v>2555.0</v>
      </c>
      <c r="X238" s="86">
        <v>1.0</v>
      </c>
      <c r="Y238" s="86">
        <v>2006.0</v>
      </c>
      <c r="Z238" s="86">
        <v>1.0</v>
      </c>
      <c r="AA238" s="86">
        <v>0.03</v>
      </c>
    </row>
    <row r="239" ht="12.75" customHeight="1">
      <c r="A239" s="86">
        <v>1237.0</v>
      </c>
      <c r="B239" s="86" t="s">
        <v>4160</v>
      </c>
      <c r="C239" s="86">
        <v>119.0</v>
      </c>
      <c r="D239" s="86" t="s">
        <v>3654</v>
      </c>
      <c r="E239" s="86">
        <v>1.0</v>
      </c>
      <c r="F239" s="86">
        <v>0.085</v>
      </c>
      <c r="G239" s="86">
        <v>8001.0</v>
      </c>
      <c r="H239" s="86">
        <v>165.0</v>
      </c>
      <c r="I239" s="86">
        <v>1.0</v>
      </c>
      <c r="J239" s="86">
        <v>8000.0</v>
      </c>
      <c r="K239" s="86">
        <v>245.0</v>
      </c>
      <c r="L239" s="86">
        <v>1.0</v>
      </c>
      <c r="M239" s="86">
        <v>2007.0</v>
      </c>
      <c r="N239" s="86">
        <v>1.0</v>
      </c>
      <c r="O239" s="141">
        <v>0.25</v>
      </c>
      <c r="P239" s="86">
        <v>9000.0</v>
      </c>
      <c r="Q239" s="86">
        <v>58.0</v>
      </c>
      <c r="R239" s="86">
        <v>1.0</v>
      </c>
      <c r="S239" s="86" t="s">
        <v>3657</v>
      </c>
      <c r="T239" s="86">
        <v>8.0</v>
      </c>
      <c r="U239" s="86">
        <v>0.5</v>
      </c>
      <c r="V239" s="86">
        <v>1000.0</v>
      </c>
      <c r="W239" s="86">
        <v>2570.0</v>
      </c>
      <c r="X239" s="86">
        <v>1.0</v>
      </c>
      <c r="Y239" s="86">
        <v>2006.0</v>
      </c>
      <c r="Z239" s="86">
        <v>1.0</v>
      </c>
      <c r="AA239" s="86">
        <v>0.03</v>
      </c>
    </row>
    <row r="240" ht="12.75" customHeight="1">
      <c r="A240" s="86">
        <v>1238.0</v>
      </c>
      <c r="B240" s="86" t="s">
        <v>4160</v>
      </c>
      <c r="C240" s="86">
        <v>120.0</v>
      </c>
      <c r="D240" s="86" t="s">
        <v>3654</v>
      </c>
      <c r="E240" s="86">
        <v>1.0</v>
      </c>
      <c r="F240" s="86">
        <v>0.085</v>
      </c>
      <c r="G240" s="86">
        <v>8001.0</v>
      </c>
      <c r="H240" s="86">
        <v>165.0</v>
      </c>
      <c r="I240" s="86">
        <v>1.0</v>
      </c>
      <c r="J240" s="86">
        <v>8000.0</v>
      </c>
      <c r="K240" s="86">
        <v>250.0</v>
      </c>
      <c r="L240" s="86">
        <v>1.0</v>
      </c>
      <c r="M240" s="86">
        <v>2007.0</v>
      </c>
      <c r="N240" s="86">
        <v>1.0</v>
      </c>
      <c r="O240" s="141">
        <v>0.25</v>
      </c>
      <c r="P240" s="86">
        <v>9000.0</v>
      </c>
      <c r="Q240" s="86">
        <v>59.0</v>
      </c>
      <c r="R240" s="86">
        <v>1.0</v>
      </c>
      <c r="S240" s="86" t="s">
        <v>3657</v>
      </c>
      <c r="T240" s="86">
        <v>8.0</v>
      </c>
      <c r="U240" s="86">
        <v>0.5</v>
      </c>
      <c r="V240" s="86">
        <v>1000.0</v>
      </c>
      <c r="W240" s="86">
        <v>2585.0</v>
      </c>
      <c r="X240" s="86">
        <v>1.0</v>
      </c>
      <c r="Y240" s="86">
        <v>2006.0</v>
      </c>
      <c r="Z240" s="86">
        <v>1.0</v>
      </c>
      <c r="AA240" s="86">
        <v>0.03</v>
      </c>
    </row>
    <row r="241" ht="12.75" customHeight="1">
      <c r="A241" s="86">
        <v>1239.0</v>
      </c>
      <c r="B241" s="86" t="s">
        <v>4168</v>
      </c>
      <c r="C241" s="86">
        <v>120.0</v>
      </c>
      <c r="D241" s="86" t="s">
        <v>3654</v>
      </c>
      <c r="E241" s="86">
        <v>1.0</v>
      </c>
      <c r="F241" s="86">
        <v>0.085</v>
      </c>
      <c r="G241" s="86">
        <v>8001.0</v>
      </c>
      <c r="H241" s="86">
        <v>165.0</v>
      </c>
      <c r="I241" s="86">
        <v>1.0</v>
      </c>
      <c r="J241" s="86">
        <v>8000.0</v>
      </c>
      <c r="K241" s="86">
        <v>250.0</v>
      </c>
      <c r="L241" s="86">
        <v>1.0</v>
      </c>
      <c r="M241" s="86">
        <v>2007.0</v>
      </c>
      <c r="N241" s="86">
        <v>1.0</v>
      </c>
      <c r="O241" s="141">
        <v>0.25</v>
      </c>
      <c r="P241" s="86">
        <v>9000.0</v>
      </c>
      <c r="Q241" s="86">
        <v>59.0</v>
      </c>
      <c r="R241" s="86">
        <v>1.0</v>
      </c>
      <c r="S241" s="86" t="s">
        <v>3657</v>
      </c>
      <c r="T241" s="86">
        <v>8.0</v>
      </c>
      <c r="U241" s="86">
        <v>0.5</v>
      </c>
      <c r="V241" s="86">
        <v>1000.0</v>
      </c>
      <c r="W241" s="86">
        <v>2595.0</v>
      </c>
      <c r="X241" s="86">
        <v>1.0</v>
      </c>
      <c r="Y241" s="86">
        <v>2006.0</v>
      </c>
      <c r="Z241" s="86">
        <v>1.0</v>
      </c>
      <c r="AA241" s="86">
        <v>0.03</v>
      </c>
    </row>
    <row r="242" ht="12.75" customHeight="1">
      <c r="A242" s="86">
        <v>1240.0</v>
      </c>
      <c r="B242" s="86" t="s">
        <v>4171</v>
      </c>
      <c r="C242" s="86">
        <v>121.0</v>
      </c>
      <c r="D242" s="86" t="s">
        <v>3654</v>
      </c>
      <c r="E242" s="86">
        <v>1.0</v>
      </c>
      <c r="F242" s="86">
        <v>0.085</v>
      </c>
      <c r="G242" s="86">
        <v>8001.0</v>
      </c>
      <c r="H242" s="86">
        <v>165.0</v>
      </c>
      <c r="I242" s="86">
        <v>1.0</v>
      </c>
      <c r="J242" s="86">
        <v>8000.0</v>
      </c>
      <c r="K242" s="86">
        <v>250.0</v>
      </c>
      <c r="L242" s="86">
        <v>1.0</v>
      </c>
      <c r="M242" s="86">
        <v>2007.0</v>
      </c>
      <c r="N242" s="86">
        <v>1.0</v>
      </c>
      <c r="O242" s="141">
        <v>0.25</v>
      </c>
      <c r="P242" s="86">
        <v>9000.0</v>
      </c>
      <c r="Q242" s="86">
        <v>59.0</v>
      </c>
      <c r="R242" s="86">
        <v>1.0</v>
      </c>
      <c r="S242" s="86" t="s">
        <v>3657</v>
      </c>
      <c r="T242" s="86">
        <v>8.0</v>
      </c>
      <c r="U242" s="86">
        <v>0.5</v>
      </c>
      <c r="V242" s="86">
        <v>1000.0</v>
      </c>
      <c r="W242" s="86">
        <v>2610.0</v>
      </c>
      <c r="X242" s="86">
        <v>1.0</v>
      </c>
      <c r="Y242" s="86">
        <v>2006.0</v>
      </c>
      <c r="Z242" s="86">
        <v>1.0</v>
      </c>
      <c r="AA242" s="86">
        <v>0.03</v>
      </c>
    </row>
    <row r="243" ht="12.75" customHeight="1">
      <c r="A243" s="86">
        <v>1241.0</v>
      </c>
      <c r="B243" s="86" t="s">
        <v>4173</v>
      </c>
      <c r="C243" s="86">
        <v>121.0</v>
      </c>
      <c r="D243" s="86" t="s">
        <v>3654</v>
      </c>
      <c r="E243" s="86">
        <v>1.0</v>
      </c>
      <c r="F243" s="86">
        <v>0.086</v>
      </c>
      <c r="G243" s="86">
        <v>8001.0</v>
      </c>
      <c r="H243" s="86">
        <v>170.0</v>
      </c>
      <c r="I243" s="86">
        <v>1.0</v>
      </c>
      <c r="J243" s="86">
        <v>8000.0</v>
      </c>
      <c r="K243" s="86">
        <v>250.0</v>
      </c>
      <c r="L243" s="86">
        <v>1.0</v>
      </c>
      <c r="M243" s="86">
        <v>2007.0</v>
      </c>
      <c r="N243" s="86">
        <v>1.0</v>
      </c>
      <c r="O243" s="141">
        <v>0.25</v>
      </c>
      <c r="P243" s="86">
        <v>9000.0</v>
      </c>
      <c r="Q243" s="86">
        <v>60.0</v>
      </c>
      <c r="R243" s="86">
        <v>1.0</v>
      </c>
      <c r="S243" s="86" t="s">
        <v>3657</v>
      </c>
      <c r="T243" s="86">
        <v>8.0</v>
      </c>
      <c r="U243" s="86">
        <v>0.5</v>
      </c>
      <c r="V243" s="86">
        <v>1000.0</v>
      </c>
      <c r="W243" s="86">
        <v>2625.0</v>
      </c>
      <c r="X243" s="86">
        <v>1.0</v>
      </c>
      <c r="Y243" s="86">
        <v>2006.0</v>
      </c>
      <c r="Z243" s="86">
        <v>1.0</v>
      </c>
      <c r="AA243" s="86">
        <v>0.03</v>
      </c>
    </row>
    <row r="244" ht="12.75" customHeight="1">
      <c r="A244" s="86">
        <v>1242.0</v>
      </c>
      <c r="B244" s="86" t="s">
        <v>4175</v>
      </c>
      <c r="C244" s="86">
        <v>122.0</v>
      </c>
      <c r="D244" s="86" t="s">
        <v>3654</v>
      </c>
      <c r="E244" s="86">
        <v>1.0</v>
      </c>
      <c r="F244" s="86">
        <v>0.086</v>
      </c>
      <c r="G244" s="86">
        <v>8001.0</v>
      </c>
      <c r="H244" s="86">
        <v>170.0</v>
      </c>
      <c r="I244" s="86">
        <v>1.0</v>
      </c>
      <c r="J244" s="86">
        <v>8000.0</v>
      </c>
      <c r="K244" s="86">
        <v>255.0</v>
      </c>
      <c r="L244" s="86">
        <v>1.0</v>
      </c>
      <c r="M244" s="86">
        <v>2007.0</v>
      </c>
      <c r="N244" s="86">
        <v>1.0</v>
      </c>
      <c r="O244" s="141">
        <v>0.25</v>
      </c>
      <c r="P244" s="86">
        <v>9000.0</v>
      </c>
      <c r="Q244" s="86">
        <v>60.0</v>
      </c>
      <c r="R244" s="86">
        <v>1.0</v>
      </c>
      <c r="S244" s="86" t="s">
        <v>3657</v>
      </c>
      <c r="T244" s="86">
        <v>8.0</v>
      </c>
      <c r="U244" s="86">
        <v>0.5</v>
      </c>
      <c r="V244" s="86">
        <v>1000.0</v>
      </c>
      <c r="W244" s="86">
        <v>2640.0</v>
      </c>
      <c r="X244" s="86">
        <v>1.0</v>
      </c>
      <c r="Y244" s="86">
        <v>2006.0</v>
      </c>
      <c r="Z244" s="86">
        <v>1.0</v>
      </c>
      <c r="AA244" s="86">
        <v>0.03</v>
      </c>
    </row>
    <row r="245" ht="12.75" customHeight="1">
      <c r="A245" s="86">
        <v>1243.0</v>
      </c>
      <c r="B245" s="86" t="s">
        <v>4176</v>
      </c>
      <c r="C245" s="86">
        <v>122.0</v>
      </c>
      <c r="D245" s="86" t="s">
        <v>3654</v>
      </c>
      <c r="E245" s="86">
        <v>1.0</v>
      </c>
      <c r="F245" s="86">
        <v>0.086</v>
      </c>
      <c r="G245" s="86">
        <v>8001.0</v>
      </c>
      <c r="H245" s="86">
        <v>170.0</v>
      </c>
      <c r="I245" s="86">
        <v>1.0</v>
      </c>
      <c r="J245" s="86">
        <v>8000.0</v>
      </c>
      <c r="K245" s="86">
        <v>255.0</v>
      </c>
      <c r="L245" s="86">
        <v>1.0</v>
      </c>
      <c r="M245" s="86">
        <v>2007.0</v>
      </c>
      <c r="N245" s="86">
        <v>1.0</v>
      </c>
      <c r="O245" s="141">
        <v>0.25</v>
      </c>
      <c r="P245" s="86">
        <v>9000.0</v>
      </c>
      <c r="Q245" s="86">
        <v>60.0</v>
      </c>
      <c r="R245" s="86">
        <v>1.0</v>
      </c>
      <c r="S245" s="86" t="s">
        <v>3657</v>
      </c>
      <c r="T245" s="86">
        <v>8.0</v>
      </c>
      <c r="U245" s="86">
        <v>0.5</v>
      </c>
      <c r="V245" s="86">
        <v>1000.0</v>
      </c>
      <c r="W245" s="86">
        <v>2650.0</v>
      </c>
      <c r="X245" s="86">
        <v>1.0</v>
      </c>
      <c r="Y245" s="86">
        <v>2006.0</v>
      </c>
      <c r="Z245" s="86">
        <v>1.0</v>
      </c>
      <c r="AA245" s="86">
        <v>0.03</v>
      </c>
    </row>
    <row r="246" ht="12.75" customHeight="1">
      <c r="A246" s="86">
        <v>1244.0</v>
      </c>
      <c r="B246" s="86" t="s">
        <v>4183</v>
      </c>
      <c r="C246" s="86">
        <v>123.0</v>
      </c>
      <c r="D246" s="86" t="s">
        <v>3654</v>
      </c>
      <c r="E246" s="86">
        <v>1.0</v>
      </c>
      <c r="F246" s="86">
        <v>0.086</v>
      </c>
      <c r="G246" s="86">
        <v>8001.0</v>
      </c>
      <c r="H246" s="86">
        <v>170.0</v>
      </c>
      <c r="I246" s="86">
        <v>1.0</v>
      </c>
      <c r="J246" s="86">
        <v>8000.0</v>
      </c>
      <c r="K246" s="86">
        <v>255.0</v>
      </c>
      <c r="L246" s="86">
        <v>1.0</v>
      </c>
      <c r="M246" s="86">
        <v>2007.0</v>
      </c>
      <c r="N246" s="86">
        <v>1.0</v>
      </c>
      <c r="O246" s="141">
        <v>0.25</v>
      </c>
      <c r="P246" s="86">
        <v>9000.0</v>
      </c>
      <c r="Q246" s="86">
        <v>61.0</v>
      </c>
      <c r="R246" s="86">
        <v>1.0</v>
      </c>
      <c r="S246" s="86" t="s">
        <v>3657</v>
      </c>
      <c r="T246" s="86">
        <v>9.0</v>
      </c>
      <c r="U246" s="86">
        <v>0.5</v>
      </c>
      <c r="V246" s="86">
        <v>1000.0</v>
      </c>
      <c r="W246" s="86">
        <v>2665.0</v>
      </c>
      <c r="X246" s="86">
        <v>1.0</v>
      </c>
      <c r="Y246" s="86">
        <v>2006.0</v>
      </c>
      <c r="Z246" s="86">
        <v>1.0</v>
      </c>
      <c r="AA246" s="86">
        <v>0.03</v>
      </c>
    </row>
    <row r="247" ht="12.75" customHeight="1">
      <c r="A247" s="86">
        <v>1245.0</v>
      </c>
      <c r="B247" s="86" t="s">
        <v>4188</v>
      </c>
      <c r="C247" s="86">
        <v>123.0</v>
      </c>
      <c r="D247" s="86" t="s">
        <v>3654</v>
      </c>
      <c r="E247" s="86">
        <v>1.0</v>
      </c>
      <c r="F247" s="86">
        <v>0.087</v>
      </c>
      <c r="G247" s="86">
        <v>8001.0</v>
      </c>
      <c r="H247" s="86">
        <v>170.0</v>
      </c>
      <c r="I247" s="86">
        <v>1.0</v>
      </c>
      <c r="J247" s="86">
        <v>8000.0</v>
      </c>
      <c r="K247" s="86">
        <v>255.0</v>
      </c>
      <c r="L247" s="86">
        <v>1.0</v>
      </c>
      <c r="M247" s="86">
        <v>2007.0</v>
      </c>
      <c r="N247" s="86">
        <v>1.0</v>
      </c>
      <c r="O247" s="141">
        <v>0.25</v>
      </c>
      <c r="P247" s="86">
        <v>9000.0</v>
      </c>
      <c r="Q247" s="86">
        <v>61.0</v>
      </c>
      <c r="R247" s="86">
        <v>1.0</v>
      </c>
      <c r="S247" s="86" t="s">
        <v>3657</v>
      </c>
      <c r="T247" s="86">
        <v>9.0</v>
      </c>
      <c r="U247" s="86">
        <v>0.5</v>
      </c>
      <c r="V247" s="86">
        <v>1000.0</v>
      </c>
      <c r="W247" s="86">
        <v>2680.0</v>
      </c>
      <c r="X247" s="86">
        <v>1.0</v>
      </c>
      <c r="Y247" s="86">
        <v>2006.0</v>
      </c>
      <c r="Z247" s="86">
        <v>1.0</v>
      </c>
      <c r="AA247" s="86">
        <v>0.03</v>
      </c>
    </row>
    <row r="248" ht="12.75" customHeight="1">
      <c r="A248" s="86">
        <v>1246.0</v>
      </c>
      <c r="B248" s="86" t="s">
        <v>4191</v>
      </c>
      <c r="C248" s="86">
        <v>124.0</v>
      </c>
      <c r="D248" s="86" t="s">
        <v>3654</v>
      </c>
      <c r="E248" s="86">
        <v>1.0</v>
      </c>
      <c r="F248" s="86">
        <v>0.087</v>
      </c>
      <c r="G248" s="86">
        <v>8001.0</v>
      </c>
      <c r="H248" s="86">
        <v>170.0</v>
      </c>
      <c r="I248" s="86">
        <v>1.0</v>
      </c>
      <c r="J248" s="86">
        <v>8000.0</v>
      </c>
      <c r="K248" s="86">
        <v>260.0</v>
      </c>
      <c r="L248" s="86">
        <v>1.0</v>
      </c>
      <c r="M248" s="86">
        <v>2007.0</v>
      </c>
      <c r="N248" s="86">
        <v>1.0</v>
      </c>
      <c r="O248" s="141">
        <v>0.25</v>
      </c>
      <c r="P248" s="86">
        <v>9000.0</v>
      </c>
      <c r="Q248" s="86">
        <v>61.0</v>
      </c>
      <c r="R248" s="86">
        <v>1.0</v>
      </c>
      <c r="S248" s="86" t="s">
        <v>3657</v>
      </c>
      <c r="T248" s="86">
        <v>9.0</v>
      </c>
      <c r="U248" s="86">
        <v>0.5</v>
      </c>
      <c r="V248" s="86">
        <v>1000.0</v>
      </c>
      <c r="W248" s="86">
        <v>2690.0</v>
      </c>
      <c r="X248" s="86">
        <v>1.0</v>
      </c>
      <c r="Y248" s="86">
        <v>2006.0</v>
      </c>
      <c r="Z248" s="86">
        <v>1.0</v>
      </c>
      <c r="AA248" s="86">
        <v>0.03</v>
      </c>
    </row>
    <row r="249" ht="12.75" customHeight="1">
      <c r="A249" s="86">
        <v>1247.0</v>
      </c>
      <c r="B249" s="86" t="s">
        <v>4194</v>
      </c>
      <c r="C249" s="86">
        <v>124.0</v>
      </c>
      <c r="D249" s="86" t="s">
        <v>3654</v>
      </c>
      <c r="E249" s="86">
        <v>1.0</v>
      </c>
      <c r="F249" s="86">
        <v>0.087</v>
      </c>
      <c r="G249" s="86">
        <v>8001.0</v>
      </c>
      <c r="H249" s="86">
        <v>175.0</v>
      </c>
      <c r="I249" s="86">
        <v>1.0</v>
      </c>
      <c r="J249" s="86">
        <v>8000.0</v>
      </c>
      <c r="K249" s="86">
        <v>260.0</v>
      </c>
      <c r="L249" s="86">
        <v>1.0</v>
      </c>
      <c r="M249" s="86">
        <v>2007.0</v>
      </c>
      <c r="N249" s="86">
        <v>1.0</v>
      </c>
      <c r="O249" s="141">
        <v>0.25</v>
      </c>
      <c r="P249" s="86">
        <v>9000.0</v>
      </c>
      <c r="Q249" s="86">
        <v>62.0</v>
      </c>
      <c r="R249" s="86">
        <v>1.0</v>
      </c>
      <c r="S249" s="86" t="s">
        <v>3657</v>
      </c>
      <c r="T249" s="86">
        <v>9.0</v>
      </c>
      <c r="U249" s="86">
        <v>0.5</v>
      </c>
      <c r="V249" s="86">
        <v>1000.0</v>
      </c>
      <c r="W249" s="86">
        <v>2705.0</v>
      </c>
      <c r="X249" s="86">
        <v>1.0</v>
      </c>
      <c r="Y249" s="86">
        <v>2006.0</v>
      </c>
      <c r="Z249" s="86">
        <v>1.0</v>
      </c>
      <c r="AA249" s="86">
        <v>0.03</v>
      </c>
    </row>
    <row r="250" ht="12.75" customHeight="1">
      <c r="A250" s="86">
        <v>1248.0</v>
      </c>
      <c r="B250" s="86" t="s">
        <v>4195</v>
      </c>
      <c r="C250" s="86">
        <v>125.0</v>
      </c>
      <c r="D250" s="86" t="s">
        <v>3654</v>
      </c>
      <c r="E250" s="86">
        <v>1.0</v>
      </c>
      <c r="F250" s="86">
        <v>0.087</v>
      </c>
      <c r="G250" s="86">
        <v>8001.0</v>
      </c>
      <c r="H250" s="86">
        <v>175.0</v>
      </c>
      <c r="I250" s="86">
        <v>1.0</v>
      </c>
      <c r="J250" s="86">
        <v>8000.0</v>
      </c>
      <c r="K250" s="86">
        <v>260.0</v>
      </c>
      <c r="L250" s="86">
        <v>1.0</v>
      </c>
      <c r="M250" s="86">
        <v>2007.0</v>
      </c>
      <c r="N250" s="86">
        <v>1.0</v>
      </c>
      <c r="O250" s="141">
        <v>0.25</v>
      </c>
      <c r="P250" s="86">
        <v>9000.0</v>
      </c>
      <c r="Q250" s="86">
        <v>62.0</v>
      </c>
      <c r="R250" s="86">
        <v>1.0</v>
      </c>
      <c r="S250" s="86" t="s">
        <v>3657</v>
      </c>
      <c r="T250" s="86">
        <v>9.0</v>
      </c>
      <c r="U250" s="86">
        <v>0.5</v>
      </c>
      <c r="V250" s="86">
        <v>1000.0</v>
      </c>
      <c r="W250" s="86">
        <v>2720.0</v>
      </c>
      <c r="X250" s="86">
        <v>1.0</v>
      </c>
      <c r="Y250" s="86">
        <v>2006.0</v>
      </c>
      <c r="Z250" s="86">
        <v>1.0</v>
      </c>
      <c r="AA250" s="86">
        <v>0.03</v>
      </c>
    </row>
    <row r="251" ht="12.75" customHeight="1">
      <c r="A251" s="86">
        <v>1249.0</v>
      </c>
      <c r="B251" s="86" t="s">
        <v>4197</v>
      </c>
      <c r="C251" s="86">
        <v>125.0</v>
      </c>
      <c r="D251" s="86" t="s">
        <v>3654</v>
      </c>
      <c r="E251" s="86">
        <v>1.0</v>
      </c>
      <c r="F251" s="86">
        <v>0.087</v>
      </c>
      <c r="G251" s="86">
        <v>8001.0</v>
      </c>
      <c r="H251" s="86">
        <v>175.0</v>
      </c>
      <c r="I251" s="86">
        <v>1.0</v>
      </c>
      <c r="J251" s="86">
        <v>8000.0</v>
      </c>
      <c r="K251" s="86">
        <v>260.0</v>
      </c>
      <c r="L251" s="86">
        <v>1.0</v>
      </c>
      <c r="M251" s="86">
        <v>2007.0</v>
      </c>
      <c r="N251" s="86">
        <v>1.0</v>
      </c>
      <c r="O251" s="141">
        <v>0.25</v>
      </c>
      <c r="P251" s="86">
        <v>9000.0</v>
      </c>
      <c r="Q251" s="86">
        <v>62.0</v>
      </c>
      <c r="R251" s="86">
        <v>1.0</v>
      </c>
      <c r="S251" s="86" t="s">
        <v>3657</v>
      </c>
      <c r="T251" s="86">
        <v>9.0</v>
      </c>
      <c r="U251" s="86">
        <v>0.5</v>
      </c>
      <c r="V251" s="86">
        <v>1000.0</v>
      </c>
      <c r="W251" s="86">
        <v>2735.0</v>
      </c>
      <c r="X251" s="86">
        <v>1.0</v>
      </c>
      <c r="Y251" s="86">
        <v>2006.0</v>
      </c>
      <c r="Z251" s="86">
        <v>1.0</v>
      </c>
      <c r="AA251" s="86">
        <v>0.03</v>
      </c>
    </row>
    <row r="252" ht="12.75" customHeight="1">
      <c r="A252" s="86">
        <v>1250.0</v>
      </c>
      <c r="B252" s="86" t="s">
        <v>4194</v>
      </c>
      <c r="C252" s="86">
        <v>126.0</v>
      </c>
      <c r="D252" s="86" t="s">
        <v>3654</v>
      </c>
      <c r="E252" s="86">
        <v>1.0</v>
      </c>
      <c r="F252" s="86">
        <v>0.088</v>
      </c>
      <c r="G252" s="86">
        <v>8001.0</v>
      </c>
      <c r="H252" s="86">
        <v>175.0</v>
      </c>
      <c r="I252" s="86">
        <v>1.0</v>
      </c>
      <c r="J252" s="86">
        <v>8000.0</v>
      </c>
      <c r="K252" s="86">
        <v>265.0</v>
      </c>
      <c r="L252" s="86">
        <v>1.0</v>
      </c>
      <c r="M252" s="86">
        <v>2007.0</v>
      </c>
      <c r="N252" s="86">
        <v>1.0</v>
      </c>
      <c r="O252" s="141">
        <v>0.25</v>
      </c>
      <c r="P252" s="86">
        <v>9000.0</v>
      </c>
      <c r="Q252" s="86">
        <v>63.0</v>
      </c>
      <c r="R252" s="86">
        <v>1.0</v>
      </c>
      <c r="S252" s="86" t="s">
        <v>3657</v>
      </c>
      <c r="T252" s="86">
        <v>9.0</v>
      </c>
      <c r="U252" s="86">
        <v>0.5</v>
      </c>
      <c r="V252" s="86">
        <v>1000.0</v>
      </c>
      <c r="W252" s="86">
        <v>2745.0</v>
      </c>
      <c r="X252" s="86">
        <v>1.0</v>
      </c>
      <c r="Y252" s="86">
        <v>2006.0</v>
      </c>
      <c r="Z252" s="86">
        <v>1.0</v>
      </c>
      <c r="AA252" s="86">
        <v>0.03</v>
      </c>
    </row>
    <row r="253" ht="12.75" customHeight="1">
      <c r="A253" s="86">
        <v>1251.0</v>
      </c>
      <c r="B253" s="86" t="s">
        <v>4198</v>
      </c>
      <c r="C253" s="86">
        <v>126.0</v>
      </c>
      <c r="D253" s="86" t="s">
        <v>3654</v>
      </c>
      <c r="E253" s="86">
        <v>1.0</v>
      </c>
      <c r="F253" s="86">
        <v>0.088</v>
      </c>
      <c r="G253" s="86">
        <v>8001.0</v>
      </c>
      <c r="H253" s="86">
        <v>175.0</v>
      </c>
      <c r="I253" s="86">
        <v>1.0</v>
      </c>
      <c r="J253" s="86">
        <v>8000.0</v>
      </c>
      <c r="K253" s="86">
        <v>265.0</v>
      </c>
      <c r="L253" s="86">
        <v>1.0</v>
      </c>
      <c r="M253" s="86">
        <v>2007.0</v>
      </c>
      <c r="N253" s="86">
        <v>1.0</v>
      </c>
      <c r="O253" s="141">
        <v>0.25</v>
      </c>
      <c r="P253" s="86">
        <v>9000.0</v>
      </c>
      <c r="Q253" s="86">
        <v>63.0</v>
      </c>
      <c r="R253" s="86">
        <v>1.0</v>
      </c>
      <c r="S253" s="86" t="s">
        <v>3657</v>
      </c>
      <c r="T253" s="86">
        <v>9.0</v>
      </c>
      <c r="U253" s="86">
        <v>0.5</v>
      </c>
      <c r="V253" s="86">
        <v>1000.0</v>
      </c>
      <c r="W253" s="86">
        <v>2760.0</v>
      </c>
      <c r="X253" s="86">
        <v>1.0</v>
      </c>
      <c r="Y253" s="86">
        <v>2006.0</v>
      </c>
      <c r="Z253" s="86">
        <v>1.0</v>
      </c>
      <c r="AA253" s="86">
        <v>0.03</v>
      </c>
    </row>
    <row r="254" ht="12.75" customHeight="1">
      <c r="A254" s="86">
        <v>1252.0</v>
      </c>
      <c r="B254" s="86" t="s">
        <v>4199</v>
      </c>
      <c r="C254" s="86">
        <v>127.0</v>
      </c>
      <c r="D254" s="86" t="s">
        <v>3654</v>
      </c>
      <c r="E254" s="86">
        <v>1.0</v>
      </c>
      <c r="F254" s="86">
        <v>0.088</v>
      </c>
      <c r="G254" s="86">
        <v>8001.0</v>
      </c>
      <c r="H254" s="86">
        <v>180.0</v>
      </c>
      <c r="I254" s="86">
        <v>1.0</v>
      </c>
      <c r="J254" s="86">
        <v>8000.0</v>
      </c>
      <c r="K254" s="86">
        <v>265.0</v>
      </c>
      <c r="L254" s="86">
        <v>1.0</v>
      </c>
      <c r="M254" s="86">
        <v>2007.0</v>
      </c>
      <c r="N254" s="86">
        <v>1.0</v>
      </c>
      <c r="O254" s="141">
        <v>0.25</v>
      </c>
      <c r="P254" s="86">
        <v>9000.0</v>
      </c>
      <c r="Q254" s="86">
        <v>63.0</v>
      </c>
      <c r="R254" s="86">
        <v>1.0</v>
      </c>
      <c r="S254" s="86" t="s">
        <v>3657</v>
      </c>
      <c r="T254" s="86">
        <v>9.0</v>
      </c>
      <c r="U254" s="86">
        <v>0.5</v>
      </c>
      <c r="V254" s="86">
        <v>1000.0</v>
      </c>
      <c r="W254" s="86">
        <v>2775.0</v>
      </c>
      <c r="X254" s="86">
        <v>1.0</v>
      </c>
      <c r="Y254" s="86">
        <v>2006.0</v>
      </c>
      <c r="Z254" s="86">
        <v>1.0</v>
      </c>
      <c r="AA254" s="86">
        <v>0.03</v>
      </c>
    </row>
    <row r="255" ht="12.75" customHeight="1">
      <c r="A255" s="86">
        <v>1253.0</v>
      </c>
      <c r="B255" s="86" t="s">
        <v>4203</v>
      </c>
      <c r="C255" s="86">
        <v>127.0</v>
      </c>
      <c r="D255" s="86" t="s">
        <v>3654</v>
      </c>
      <c r="E255" s="86">
        <v>1.0</v>
      </c>
      <c r="F255" s="86">
        <v>0.088</v>
      </c>
      <c r="G255" s="86">
        <v>8001.0</v>
      </c>
      <c r="H255" s="86">
        <v>180.0</v>
      </c>
      <c r="I255" s="86">
        <v>1.0</v>
      </c>
      <c r="J255" s="86">
        <v>8000.0</v>
      </c>
      <c r="K255" s="86">
        <v>270.0</v>
      </c>
      <c r="L255" s="86">
        <v>1.0</v>
      </c>
      <c r="M255" s="86">
        <v>2007.0</v>
      </c>
      <c r="N255" s="86">
        <v>1.0</v>
      </c>
      <c r="O255" s="141">
        <v>0.25</v>
      </c>
      <c r="P255" s="86">
        <v>9000.0</v>
      </c>
      <c r="Q255" s="86">
        <v>64.0</v>
      </c>
      <c r="R255" s="86">
        <v>1.0</v>
      </c>
      <c r="S255" s="86" t="s">
        <v>3657</v>
      </c>
      <c r="T255" s="86">
        <v>9.0</v>
      </c>
      <c r="U255" s="86">
        <v>0.5</v>
      </c>
      <c r="V255" s="86">
        <v>1000.0</v>
      </c>
      <c r="W255" s="86">
        <v>2790.0</v>
      </c>
      <c r="X255" s="86">
        <v>1.0</v>
      </c>
      <c r="Y255" s="86">
        <v>2006.0</v>
      </c>
      <c r="Z255" s="86">
        <v>1.0</v>
      </c>
      <c r="AA255" s="86">
        <v>0.03</v>
      </c>
    </row>
    <row r="256" ht="12.75" customHeight="1">
      <c r="A256" s="86">
        <v>1254.0</v>
      </c>
      <c r="B256" s="86" t="s">
        <v>4207</v>
      </c>
      <c r="C256" s="86">
        <v>128.0</v>
      </c>
      <c r="D256" s="86" t="s">
        <v>3654</v>
      </c>
      <c r="E256" s="86">
        <v>1.0</v>
      </c>
      <c r="F256" s="86">
        <v>0.089</v>
      </c>
      <c r="G256" s="86">
        <v>8001.0</v>
      </c>
      <c r="H256" s="86">
        <v>180.0</v>
      </c>
      <c r="I256" s="86">
        <v>1.0</v>
      </c>
      <c r="J256" s="86">
        <v>8000.0</v>
      </c>
      <c r="K256" s="86">
        <v>270.0</v>
      </c>
      <c r="L256" s="86">
        <v>1.0</v>
      </c>
      <c r="M256" s="86">
        <v>2007.0</v>
      </c>
      <c r="N256" s="86">
        <v>1.0</v>
      </c>
      <c r="O256" s="141">
        <v>0.25</v>
      </c>
      <c r="P256" s="86">
        <v>9000.0</v>
      </c>
      <c r="Q256" s="86">
        <v>64.0</v>
      </c>
      <c r="R256" s="86">
        <v>1.0</v>
      </c>
      <c r="S256" s="86" t="s">
        <v>3657</v>
      </c>
      <c r="T256" s="86">
        <v>9.0</v>
      </c>
      <c r="U256" s="86">
        <v>0.5</v>
      </c>
      <c r="V256" s="86">
        <v>1000.0</v>
      </c>
      <c r="W256" s="86">
        <v>2800.0</v>
      </c>
      <c r="X256" s="86">
        <v>1.0</v>
      </c>
      <c r="Y256" s="86">
        <v>2006.0</v>
      </c>
      <c r="Z256" s="86">
        <v>1.0</v>
      </c>
      <c r="AA256" s="86">
        <v>0.03</v>
      </c>
    </row>
    <row r="257" ht="12.75" customHeight="1">
      <c r="A257" s="86">
        <v>1255.0</v>
      </c>
      <c r="B257" s="86" t="s">
        <v>4210</v>
      </c>
      <c r="C257" s="86">
        <v>128.0</v>
      </c>
      <c r="D257" s="86" t="s">
        <v>3654</v>
      </c>
      <c r="E257" s="86">
        <v>1.0</v>
      </c>
      <c r="F257" s="86">
        <v>0.089</v>
      </c>
      <c r="G257" s="86">
        <v>8001.0</v>
      </c>
      <c r="H257" s="86">
        <v>180.0</v>
      </c>
      <c r="I257" s="86">
        <v>1.0</v>
      </c>
      <c r="J257" s="86">
        <v>8000.0</v>
      </c>
      <c r="K257" s="86">
        <v>270.0</v>
      </c>
      <c r="L257" s="86">
        <v>1.0</v>
      </c>
      <c r="M257" s="86">
        <v>2007.0</v>
      </c>
      <c r="N257" s="86">
        <v>1.0</v>
      </c>
      <c r="O257" s="141">
        <v>0.25</v>
      </c>
      <c r="P257" s="86">
        <v>9000.0</v>
      </c>
      <c r="Q257" s="86">
        <v>65.0</v>
      </c>
      <c r="R257" s="86">
        <v>1.0</v>
      </c>
      <c r="S257" s="86" t="s">
        <v>3657</v>
      </c>
      <c r="T257" s="86">
        <v>9.0</v>
      </c>
      <c r="U257" s="86">
        <v>0.5</v>
      </c>
      <c r="V257" s="86">
        <v>1000.0</v>
      </c>
      <c r="W257" s="86">
        <v>2815.0</v>
      </c>
      <c r="X257" s="86">
        <v>1.0</v>
      </c>
      <c r="Y257" s="86">
        <v>2006.0</v>
      </c>
      <c r="Z257" s="86">
        <v>1.0</v>
      </c>
      <c r="AA257" s="86">
        <v>0.03</v>
      </c>
    </row>
    <row r="258" ht="12.75" customHeight="1">
      <c r="A258" s="86">
        <v>1256.0</v>
      </c>
      <c r="B258" s="86" t="s">
        <v>4215</v>
      </c>
      <c r="C258" s="86">
        <v>129.0</v>
      </c>
      <c r="D258" s="86" t="s">
        <v>3654</v>
      </c>
      <c r="E258" s="86">
        <v>1.0</v>
      </c>
      <c r="F258" s="86">
        <v>0.089</v>
      </c>
      <c r="G258" s="86">
        <v>8001.0</v>
      </c>
      <c r="H258" s="86">
        <v>180.0</v>
      </c>
      <c r="I258" s="86">
        <v>1.0</v>
      </c>
      <c r="J258" s="86">
        <v>8000.0</v>
      </c>
      <c r="K258" s="86">
        <v>270.0</v>
      </c>
      <c r="L258" s="86">
        <v>1.0</v>
      </c>
      <c r="M258" s="86">
        <v>2007.0</v>
      </c>
      <c r="N258" s="86">
        <v>1.0</v>
      </c>
      <c r="O258" s="141">
        <v>0.25</v>
      </c>
      <c r="P258" s="86">
        <v>9000.0</v>
      </c>
      <c r="Q258" s="86">
        <v>65.0</v>
      </c>
      <c r="R258" s="86">
        <v>1.0</v>
      </c>
      <c r="S258" s="86" t="s">
        <v>3657</v>
      </c>
      <c r="T258" s="86">
        <v>9.0</v>
      </c>
      <c r="U258" s="86">
        <v>0.5</v>
      </c>
      <c r="V258" s="86">
        <v>1000.0</v>
      </c>
      <c r="W258" s="86">
        <v>2830.0</v>
      </c>
      <c r="X258" s="86">
        <v>1.0</v>
      </c>
      <c r="Y258" s="86">
        <v>2006.0</v>
      </c>
      <c r="Z258" s="86">
        <v>1.0</v>
      </c>
      <c r="AA258" s="86">
        <v>0.03</v>
      </c>
    </row>
    <row r="259" ht="12.75" customHeight="1">
      <c r="A259" s="86">
        <v>1257.0</v>
      </c>
      <c r="B259" s="86" t="s">
        <v>4218</v>
      </c>
      <c r="C259" s="86">
        <v>129.0</v>
      </c>
      <c r="D259" s="86" t="s">
        <v>3654</v>
      </c>
      <c r="E259" s="86">
        <v>1.0</v>
      </c>
      <c r="F259" s="86">
        <v>0.089</v>
      </c>
      <c r="G259" s="86">
        <v>8001.0</v>
      </c>
      <c r="H259" s="86">
        <v>180.0</v>
      </c>
      <c r="I259" s="86">
        <v>1.0</v>
      </c>
      <c r="J259" s="86">
        <v>8000.0</v>
      </c>
      <c r="K259" s="86">
        <v>275.0</v>
      </c>
      <c r="L259" s="86">
        <v>1.0</v>
      </c>
      <c r="M259" s="86">
        <v>2007.0</v>
      </c>
      <c r="N259" s="86">
        <v>1.0</v>
      </c>
      <c r="O259" s="141">
        <v>0.25</v>
      </c>
      <c r="P259" s="86">
        <v>9000.0</v>
      </c>
      <c r="Q259" s="86">
        <v>65.0</v>
      </c>
      <c r="R259" s="86">
        <v>1.0</v>
      </c>
      <c r="S259" s="86" t="s">
        <v>3657</v>
      </c>
      <c r="T259" s="86">
        <v>9.0</v>
      </c>
      <c r="U259" s="86">
        <v>0.5</v>
      </c>
      <c r="V259" s="86">
        <v>1000.0</v>
      </c>
      <c r="W259" s="86">
        <v>2845.0</v>
      </c>
      <c r="X259" s="86">
        <v>1.0</v>
      </c>
      <c r="Y259" s="86">
        <v>2006.0</v>
      </c>
      <c r="Z259" s="86">
        <v>1.0</v>
      </c>
      <c r="AA259" s="86">
        <v>0.03</v>
      </c>
    </row>
    <row r="260" ht="12.75" customHeight="1">
      <c r="A260" s="86">
        <v>1258.0</v>
      </c>
      <c r="B260" s="86" t="s">
        <v>4220</v>
      </c>
      <c r="C260" s="86">
        <v>130.0</v>
      </c>
      <c r="D260" s="86" t="s">
        <v>3654</v>
      </c>
      <c r="E260" s="86">
        <v>1.0</v>
      </c>
      <c r="F260" s="86">
        <v>0.09</v>
      </c>
      <c r="G260" s="86">
        <v>8001.0</v>
      </c>
      <c r="H260" s="86">
        <v>185.0</v>
      </c>
      <c r="I260" s="86">
        <v>1.0</v>
      </c>
      <c r="J260" s="86">
        <v>8000.0</v>
      </c>
      <c r="K260" s="86">
        <v>275.0</v>
      </c>
      <c r="L260" s="86">
        <v>1.0</v>
      </c>
      <c r="M260" s="86">
        <v>2007.0</v>
      </c>
      <c r="N260" s="86">
        <v>1.0</v>
      </c>
      <c r="O260" s="141">
        <v>0.25</v>
      </c>
      <c r="P260" s="86">
        <v>9000.0</v>
      </c>
      <c r="Q260" s="86">
        <v>66.0</v>
      </c>
      <c r="R260" s="86">
        <v>1.0</v>
      </c>
      <c r="S260" s="86" t="s">
        <v>3657</v>
      </c>
      <c r="T260" s="86">
        <v>9.0</v>
      </c>
      <c r="U260" s="86">
        <v>0.5</v>
      </c>
      <c r="V260" s="86">
        <v>1000.0</v>
      </c>
      <c r="W260" s="86">
        <v>2855.0</v>
      </c>
      <c r="X260" s="86">
        <v>1.0</v>
      </c>
      <c r="Y260" s="86">
        <v>2006.0</v>
      </c>
      <c r="Z260" s="86">
        <v>1.0</v>
      </c>
      <c r="AA260" s="86">
        <v>0.03</v>
      </c>
    </row>
    <row r="261" ht="12.75" customHeight="1">
      <c r="A261" s="86">
        <v>1259.0</v>
      </c>
      <c r="B261" s="86" t="s">
        <v>4221</v>
      </c>
      <c r="C261" s="86">
        <v>130.0</v>
      </c>
      <c r="D261" s="86" t="s">
        <v>3654</v>
      </c>
      <c r="E261" s="86">
        <v>1.0</v>
      </c>
      <c r="F261" s="86">
        <v>0.09</v>
      </c>
      <c r="G261" s="86">
        <v>8001.0</v>
      </c>
      <c r="H261" s="86">
        <v>185.0</v>
      </c>
      <c r="I261" s="86">
        <v>1.0</v>
      </c>
      <c r="J261" s="86">
        <v>8000.0</v>
      </c>
      <c r="K261" s="86">
        <v>275.0</v>
      </c>
      <c r="L261" s="86">
        <v>1.0</v>
      </c>
      <c r="M261" s="86">
        <v>2007.0</v>
      </c>
      <c r="N261" s="86">
        <v>1.0</v>
      </c>
      <c r="O261" s="141">
        <v>0.25</v>
      </c>
      <c r="P261" s="86">
        <v>9000.0</v>
      </c>
      <c r="Q261" s="86">
        <v>66.0</v>
      </c>
      <c r="R261" s="86">
        <v>1.0</v>
      </c>
      <c r="S261" s="86" t="s">
        <v>3657</v>
      </c>
      <c r="T261" s="86">
        <v>9.0</v>
      </c>
      <c r="U261" s="86">
        <v>0.5</v>
      </c>
      <c r="V261" s="86">
        <v>1000.0</v>
      </c>
      <c r="W261" s="86">
        <v>2870.0</v>
      </c>
      <c r="X261" s="86">
        <v>1.0</v>
      </c>
      <c r="Y261" s="86">
        <v>2006.0</v>
      </c>
      <c r="Z261" s="86">
        <v>1.0</v>
      </c>
      <c r="AA261" s="86">
        <v>0.03</v>
      </c>
    </row>
    <row r="262" ht="12.75" customHeight="1">
      <c r="A262" s="86">
        <v>1260.0</v>
      </c>
      <c r="B262" s="86" t="s">
        <v>4222</v>
      </c>
      <c r="C262" s="86">
        <v>131.0</v>
      </c>
      <c r="D262" s="86" t="s">
        <v>3654</v>
      </c>
      <c r="E262" s="86">
        <v>1.0</v>
      </c>
      <c r="F262" s="86">
        <v>0.09</v>
      </c>
      <c r="G262" s="86">
        <v>8001.0</v>
      </c>
      <c r="H262" s="86">
        <v>185.0</v>
      </c>
      <c r="I262" s="86">
        <v>1.0</v>
      </c>
      <c r="J262" s="86">
        <v>8000.0</v>
      </c>
      <c r="K262" s="86">
        <v>275.0</v>
      </c>
      <c r="L262" s="86">
        <v>1.0</v>
      </c>
      <c r="M262" s="86">
        <v>2007.0</v>
      </c>
      <c r="N262" s="86">
        <v>1.0</v>
      </c>
      <c r="O262" s="141">
        <v>0.25</v>
      </c>
      <c r="P262" s="86">
        <v>9000.0</v>
      </c>
      <c r="Q262" s="86">
        <v>66.0</v>
      </c>
      <c r="R262" s="86">
        <v>1.0</v>
      </c>
      <c r="S262" s="86" t="s">
        <v>3657</v>
      </c>
      <c r="T262" s="86">
        <v>9.0</v>
      </c>
      <c r="U262" s="86">
        <v>0.5</v>
      </c>
      <c r="V262" s="86">
        <v>1000.0</v>
      </c>
      <c r="W262" s="86">
        <v>2885.0</v>
      </c>
      <c r="X262" s="86">
        <v>1.0</v>
      </c>
      <c r="Y262" s="86">
        <v>2006.0</v>
      </c>
      <c r="Z262" s="86">
        <v>1.0</v>
      </c>
      <c r="AA262" s="86">
        <v>0.03</v>
      </c>
    </row>
    <row r="263" ht="12.75" customHeight="1">
      <c r="A263" s="86">
        <v>1261.0</v>
      </c>
      <c r="B263" s="86" t="s">
        <v>4223</v>
      </c>
      <c r="C263" s="86">
        <v>131.0</v>
      </c>
      <c r="D263" s="86" t="s">
        <v>3654</v>
      </c>
      <c r="E263" s="86">
        <v>1.0</v>
      </c>
      <c r="F263" s="86">
        <v>0.09</v>
      </c>
      <c r="G263" s="86">
        <v>8001.0</v>
      </c>
      <c r="H263" s="86">
        <v>185.0</v>
      </c>
      <c r="I263" s="86">
        <v>1.0</v>
      </c>
      <c r="J263" s="86">
        <v>8000.0</v>
      </c>
      <c r="K263" s="86">
        <v>280.0</v>
      </c>
      <c r="L263" s="86">
        <v>1.0</v>
      </c>
      <c r="M263" s="86">
        <v>2007.0</v>
      </c>
      <c r="N263" s="86">
        <v>1.0</v>
      </c>
      <c r="O263" s="141">
        <v>0.25</v>
      </c>
      <c r="P263" s="86">
        <v>9000.0</v>
      </c>
      <c r="Q263" s="86">
        <v>67.0</v>
      </c>
      <c r="R263" s="86">
        <v>1.0</v>
      </c>
      <c r="S263" s="86" t="s">
        <v>3657</v>
      </c>
      <c r="T263" s="86">
        <v>9.0</v>
      </c>
      <c r="U263" s="86">
        <v>0.5</v>
      </c>
      <c r="V263" s="86">
        <v>1000.0</v>
      </c>
      <c r="W263" s="86">
        <v>2900.0</v>
      </c>
      <c r="X263" s="86">
        <v>1.0</v>
      </c>
      <c r="Y263" s="86">
        <v>2006.0</v>
      </c>
      <c r="Z263" s="86">
        <v>1.0</v>
      </c>
      <c r="AA263" s="86">
        <v>0.03</v>
      </c>
    </row>
    <row r="264" ht="12.75" customHeight="1">
      <c r="A264" s="86">
        <v>1262.0</v>
      </c>
      <c r="B264" s="86" t="s">
        <v>4224</v>
      </c>
      <c r="C264" s="86">
        <v>132.0</v>
      </c>
      <c r="D264" s="86" t="s">
        <v>3654</v>
      </c>
      <c r="E264" s="86">
        <v>1.0</v>
      </c>
      <c r="F264" s="86">
        <v>0.091</v>
      </c>
      <c r="G264" s="86">
        <v>8001.0</v>
      </c>
      <c r="H264" s="86">
        <v>185.0</v>
      </c>
      <c r="I264" s="86">
        <v>1.0</v>
      </c>
      <c r="J264" s="86">
        <v>8000.0</v>
      </c>
      <c r="K264" s="86">
        <v>280.0</v>
      </c>
      <c r="L264" s="86">
        <v>1.0</v>
      </c>
      <c r="M264" s="86">
        <v>2007.0</v>
      </c>
      <c r="N264" s="86">
        <v>1.0</v>
      </c>
      <c r="O264" s="141">
        <v>0.25</v>
      </c>
      <c r="P264" s="86">
        <v>9000.0</v>
      </c>
      <c r="Q264" s="86">
        <v>67.0</v>
      </c>
      <c r="R264" s="86">
        <v>1.0</v>
      </c>
      <c r="S264" s="86" t="s">
        <v>3657</v>
      </c>
      <c r="T264" s="86">
        <v>9.0</v>
      </c>
      <c r="U264" s="86">
        <v>0.5</v>
      </c>
      <c r="V264" s="86">
        <v>1000.0</v>
      </c>
      <c r="W264" s="86">
        <v>2910.0</v>
      </c>
      <c r="X264" s="86">
        <v>1.0</v>
      </c>
      <c r="Y264" s="86">
        <v>2006.0</v>
      </c>
      <c r="Z264" s="86">
        <v>1.0</v>
      </c>
      <c r="AA264" s="86">
        <v>0.03</v>
      </c>
    </row>
    <row r="265" ht="12.75" customHeight="1">
      <c r="A265" s="86">
        <v>1263.0</v>
      </c>
      <c r="B265" s="86" t="s">
        <v>4225</v>
      </c>
      <c r="C265" s="86">
        <v>132.0</v>
      </c>
      <c r="D265" s="86" t="s">
        <v>3654</v>
      </c>
      <c r="E265" s="86">
        <v>1.0</v>
      </c>
      <c r="F265" s="86">
        <v>0.091</v>
      </c>
      <c r="G265" s="86">
        <v>8001.0</v>
      </c>
      <c r="H265" s="86">
        <v>185.0</v>
      </c>
      <c r="I265" s="86">
        <v>1.0</v>
      </c>
      <c r="J265" s="86">
        <v>8000.0</v>
      </c>
      <c r="K265" s="86">
        <v>280.0</v>
      </c>
      <c r="L265" s="86">
        <v>1.0</v>
      </c>
      <c r="M265" s="86">
        <v>2007.0</v>
      </c>
      <c r="N265" s="86">
        <v>1.0</v>
      </c>
      <c r="O265" s="141">
        <v>0.25</v>
      </c>
      <c r="P265" s="86">
        <v>9000.0</v>
      </c>
      <c r="Q265" s="86">
        <v>67.0</v>
      </c>
      <c r="R265" s="86">
        <v>1.0</v>
      </c>
      <c r="S265" s="86" t="s">
        <v>3657</v>
      </c>
      <c r="T265" s="86">
        <v>9.0</v>
      </c>
      <c r="U265" s="86">
        <v>0.5</v>
      </c>
      <c r="V265" s="86">
        <v>1000.0</v>
      </c>
      <c r="W265" s="86">
        <v>2925.0</v>
      </c>
      <c r="X265" s="86">
        <v>1.0</v>
      </c>
      <c r="Y265" s="86">
        <v>2006.0</v>
      </c>
      <c r="Z265" s="86">
        <v>1.0</v>
      </c>
      <c r="AA265" s="86">
        <v>0.03</v>
      </c>
    </row>
    <row r="266" ht="12.75" customHeight="1">
      <c r="A266" s="86">
        <v>1264.0</v>
      </c>
      <c r="B266" s="86" t="s">
        <v>4226</v>
      </c>
      <c r="C266" s="86">
        <v>133.0</v>
      </c>
      <c r="D266" s="86" t="s">
        <v>3654</v>
      </c>
      <c r="E266" s="86">
        <v>1.0</v>
      </c>
      <c r="F266" s="86">
        <v>0.091</v>
      </c>
      <c r="G266" s="86">
        <v>8001.0</v>
      </c>
      <c r="H266" s="86">
        <v>190.0</v>
      </c>
      <c r="I266" s="86">
        <v>1.0</v>
      </c>
      <c r="J266" s="86">
        <v>8000.0</v>
      </c>
      <c r="K266" s="86">
        <v>280.0</v>
      </c>
      <c r="L266" s="86">
        <v>1.0</v>
      </c>
      <c r="M266" s="86">
        <v>2007.0</v>
      </c>
      <c r="N266" s="86">
        <v>1.0</v>
      </c>
      <c r="O266" s="141">
        <v>0.25</v>
      </c>
      <c r="P266" s="86">
        <v>9000.0</v>
      </c>
      <c r="Q266" s="86">
        <v>68.0</v>
      </c>
      <c r="R266" s="86">
        <v>1.0</v>
      </c>
      <c r="S266" s="86" t="s">
        <v>3657</v>
      </c>
      <c r="T266" s="86">
        <v>9.0</v>
      </c>
      <c r="U266" s="86">
        <v>0.5</v>
      </c>
      <c r="V266" s="86">
        <v>1000.0</v>
      </c>
      <c r="W266" s="86">
        <v>2940.0</v>
      </c>
      <c r="X266" s="86">
        <v>1.0</v>
      </c>
      <c r="Y266" s="86">
        <v>2006.0</v>
      </c>
      <c r="Z266" s="86">
        <v>1.0</v>
      </c>
      <c r="AA266" s="86">
        <v>0.03</v>
      </c>
    </row>
    <row r="267" ht="12.75" customHeight="1">
      <c r="A267" s="86">
        <v>1265.0</v>
      </c>
      <c r="B267" s="86" t="s">
        <v>4215</v>
      </c>
      <c r="C267" s="86">
        <v>133.0</v>
      </c>
      <c r="D267" s="86" t="s">
        <v>3654</v>
      </c>
      <c r="E267" s="86">
        <v>1.0</v>
      </c>
      <c r="F267" s="86">
        <v>0.091</v>
      </c>
      <c r="G267" s="86">
        <v>8001.0</v>
      </c>
      <c r="H267" s="86">
        <v>190.0</v>
      </c>
      <c r="I267" s="86">
        <v>1.0</v>
      </c>
      <c r="J267" s="86">
        <v>8000.0</v>
      </c>
      <c r="K267" s="86">
        <v>285.0</v>
      </c>
      <c r="L267" s="86">
        <v>1.0</v>
      </c>
      <c r="M267" s="86">
        <v>2007.0</v>
      </c>
      <c r="N267" s="86">
        <v>1.0</v>
      </c>
      <c r="O267" s="141">
        <v>0.25</v>
      </c>
      <c r="P267" s="86">
        <v>9000.0</v>
      </c>
      <c r="Q267" s="86">
        <v>68.0</v>
      </c>
      <c r="R267" s="86">
        <v>1.0</v>
      </c>
      <c r="S267" s="86" t="s">
        <v>3657</v>
      </c>
      <c r="T267" s="86">
        <v>9.0</v>
      </c>
      <c r="U267" s="86">
        <v>0.5</v>
      </c>
      <c r="V267" s="86">
        <v>1000.0</v>
      </c>
      <c r="W267" s="86">
        <v>2955.0</v>
      </c>
      <c r="X267" s="86">
        <v>1.0</v>
      </c>
      <c r="Y267" s="86">
        <v>2006.0</v>
      </c>
      <c r="Z267" s="86">
        <v>1.0</v>
      </c>
      <c r="AA267" s="86">
        <v>0.03</v>
      </c>
    </row>
    <row r="268" ht="12.75" customHeight="1">
      <c r="A268" s="86">
        <v>1266.0</v>
      </c>
      <c r="B268" s="86" t="s">
        <v>4227</v>
      </c>
      <c r="C268" s="86">
        <v>134.0</v>
      </c>
      <c r="D268" s="86" t="s">
        <v>3654</v>
      </c>
      <c r="E268" s="86">
        <v>1.0</v>
      </c>
      <c r="F268" s="86">
        <v>0.092</v>
      </c>
      <c r="G268" s="86">
        <v>8001.0</v>
      </c>
      <c r="H268" s="86">
        <v>190.0</v>
      </c>
      <c r="I268" s="86">
        <v>1.0</v>
      </c>
      <c r="J268" s="86">
        <v>8000.0</v>
      </c>
      <c r="K268" s="86">
        <v>285.0</v>
      </c>
      <c r="L268" s="86">
        <v>1.0</v>
      </c>
      <c r="M268" s="86">
        <v>2007.0</v>
      </c>
      <c r="N268" s="86">
        <v>1.0</v>
      </c>
      <c r="O268" s="141">
        <v>0.25</v>
      </c>
      <c r="P268" s="86">
        <v>9000.0</v>
      </c>
      <c r="Q268" s="86">
        <v>68.0</v>
      </c>
      <c r="R268" s="86">
        <v>1.0</v>
      </c>
      <c r="S268" s="86" t="s">
        <v>3657</v>
      </c>
      <c r="T268" s="86">
        <v>9.0</v>
      </c>
      <c r="U268" s="86">
        <v>0.5</v>
      </c>
      <c r="V268" s="86">
        <v>1000.0</v>
      </c>
      <c r="W268" s="86">
        <v>2970.0</v>
      </c>
      <c r="X268" s="86">
        <v>1.0</v>
      </c>
      <c r="Y268" s="86">
        <v>2006.0</v>
      </c>
      <c r="Z268" s="86">
        <v>1.0</v>
      </c>
      <c r="AA268" s="86">
        <v>0.03</v>
      </c>
    </row>
    <row r="269" ht="12.75" customHeight="1">
      <c r="A269" s="86">
        <v>1267.0</v>
      </c>
      <c r="B269" s="86" t="s">
        <v>4228</v>
      </c>
      <c r="C269" s="86">
        <v>134.0</v>
      </c>
      <c r="D269" s="86" t="s">
        <v>3654</v>
      </c>
      <c r="E269" s="86">
        <v>1.0</v>
      </c>
      <c r="F269" s="86">
        <v>0.092</v>
      </c>
      <c r="G269" s="86">
        <v>8001.0</v>
      </c>
      <c r="H269" s="86">
        <v>190.0</v>
      </c>
      <c r="I269" s="86">
        <v>1.0</v>
      </c>
      <c r="J269" s="86">
        <v>8000.0</v>
      </c>
      <c r="K269" s="86">
        <v>285.0</v>
      </c>
      <c r="L269" s="86">
        <v>1.0</v>
      </c>
      <c r="M269" s="86">
        <v>2007.0</v>
      </c>
      <c r="N269" s="86">
        <v>1.0</v>
      </c>
      <c r="O269" s="141">
        <v>0.25</v>
      </c>
      <c r="P269" s="86">
        <v>9000.0</v>
      </c>
      <c r="Q269" s="86">
        <v>69.0</v>
      </c>
      <c r="R269" s="86">
        <v>1.0</v>
      </c>
      <c r="S269" s="86" t="s">
        <v>3657</v>
      </c>
      <c r="T269" s="86">
        <v>10.0</v>
      </c>
      <c r="U269" s="86">
        <v>0.5</v>
      </c>
      <c r="V269" s="86">
        <v>1000.0</v>
      </c>
      <c r="W269" s="86">
        <v>2980.0</v>
      </c>
      <c r="X269" s="86">
        <v>1.0</v>
      </c>
      <c r="Y269" s="86">
        <v>2006.0</v>
      </c>
      <c r="Z269" s="86">
        <v>1.0</v>
      </c>
      <c r="AA269" s="86">
        <v>0.03</v>
      </c>
    </row>
    <row r="270" ht="12.75" customHeight="1">
      <c r="A270" s="86">
        <v>1268.0</v>
      </c>
      <c r="B270" s="86" t="s">
        <v>4229</v>
      </c>
      <c r="C270" s="86">
        <v>135.0</v>
      </c>
      <c r="D270" s="86" t="s">
        <v>3654</v>
      </c>
      <c r="E270" s="86">
        <v>1.0</v>
      </c>
      <c r="F270" s="86">
        <v>0.092</v>
      </c>
      <c r="G270" s="86">
        <v>8001.0</v>
      </c>
      <c r="H270" s="86">
        <v>190.0</v>
      </c>
      <c r="I270" s="86">
        <v>1.0</v>
      </c>
      <c r="J270" s="86">
        <v>8000.0</v>
      </c>
      <c r="K270" s="86">
        <v>290.0</v>
      </c>
      <c r="L270" s="86">
        <v>1.0</v>
      </c>
      <c r="M270" s="86">
        <v>2007.0</v>
      </c>
      <c r="N270" s="86">
        <v>1.0</v>
      </c>
      <c r="O270" s="141">
        <v>0.25</v>
      </c>
      <c r="P270" s="86">
        <v>9000.0</v>
      </c>
      <c r="Q270" s="86">
        <v>69.0</v>
      </c>
      <c r="R270" s="86">
        <v>1.0</v>
      </c>
      <c r="S270" s="86" t="s">
        <v>3657</v>
      </c>
      <c r="T270" s="86">
        <v>10.0</v>
      </c>
      <c r="U270" s="86">
        <v>0.5</v>
      </c>
      <c r="V270" s="86">
        <v>1000.0</v>
      </c>
      <c r="W270" s="86">
        <v>2995.0</v>
      </c>
      <c r="X270" s="86">
        <v>1.0</v>
      </c>
      <c r="Y270" s="86">
        <v>2006.0</v>
      </c>
      <c r="Z270" s="86">
        <v>1.0</v>
      </c>
      <c r="AA270" s="86">
        <v>0.03</v>
      </c>
    </row>
    <row r="271" ht="12.75" customHeight="1">
      <c r="A271" s="86">
        <v>1269.0</v>
      </c>
      <c r="B271" s="86" t="s">
        <v>4230</v>
      </c>
      <c r="C271" s="86">
        <v>135.0</v>
      </c>
      <c r="D271" s="86" t="s">
        <v>3654</v>
      </c>
      <c r="E271" s="86">
        <v>1.0</v>
      </c>
      <c r="F271" s="86">
        <v>0.092</v>
      </c>
      <c r="G271" s="86">
        <v>8001.0</v>
      </c>
      <c r="H271" s="86">
        <v>195.0</v>
      </c>
      <c r="I271" s="86">
        <v>1.0</v>
      </c>
      <c r="J271" s="86">
        <v>8000.0</v>
      </c>
      <c r="K271" s="86">
        <v>290.0</v>
      </c>
      <c r="L271" s="86">
        <v>1.0</v>
      </c>
      <c r="M271" s="86">
        <v>2007.0</v>
      </c>
      <c r="N271" s="86">
        <v>1.0</v>
      </c>
      <c r="O271" s="141">
        <v>0.25</v>
      </c>
      <c r="P271" s="86">
        <v>9000.0</v>
      </c>
      <c r="Q271" s="86">
        <v>69.0</v>
      </c>
      <c r="R271" s="86">
        <v>1.0</v>
      </c>
      <c r="S271" s="86" t="s">
        <v>3657</v>
      </c>
      <c r="T271" s="86">
        <v>10.0</v>
      </c>
      <c r="U271" s="86">
        <v>0.5</v>
      </c>
      <c r="V271" s="86">
        <v>1000.0</v>
      </c>
      <c r="W271" s="86">
        <v>3010.0</v>
      </c>
      <c r="X271" s="86">
        <v>1.0</v>
      </c>
      <c r="Y271" s="86">
        <v>2006.0</v>
      </c>
      <c r="Z271" s="86">
        <v>1.0</v>
      </c>
      <c r="AA271" s="86">
        <v>0.03</v>
      </c>
    </row>
    <row r="272" ht="12.75" customHeight="1">
      <c r="A272" s="86">
        <v>1270.0</v>
      </c>
      <c r="B272" s="86" t="s">
        <v>4231</v>
      </c>
      <c r="C272" s="86">
        <v>136.0</v>
      </c>
      <c r="D272" s="86" t="s">
        <v>3654</v>
      </c>
      <c r="E272" s="86">
        <v>1.0</v>
      </c>
      <c r="F272" s="86">
        <v>0.093</v>
      </c>
      <c r="G272" s="86">
        <v>8001.0</v>
      </c>
      <c r="H272" s="86">
        <v>195.0</v>
      </c>
      <c r="I272" s="86">
        <v>1.0</v>
      </c>
      <c r="J272" s="86">
        <v>8000.0</v>
      </c>
      <c r="K272" s="86">
        <v>290.0</v>
      </c>
      <c r="L272" s="86">
        <v>1.0</v>
      </c>
      <c r="M272" s="86">
        <v>2007.0</v>
      </c>
      <c r="N272" s="86">
        <v>1.0</v>
      </c>
      <c r="O272" s="141">
        <v>0.25</v>
      </c>
      <c r="P272" s="86">
        <v>9000.0</v>
      </c>
      <c r="Q272" s="86">
        <v>70.0</v>
      </c>
      <c r="R272" s="86">
        <v>1.0</v>
      </c>
      <c r="S272" s="86" t="s">
        <v>3657</v>
      </c>
      <c r="T272" s="86">
        <v>10.0</v>
      </c>
      <c r="U272" s="86">
        <v>0.5</v>
      </c>
      <c r="V272" s="86">
        <v>1000.0</v>
      </c>
      <c r="W272" s="86">
        <v>3025.0</v>
      </c>
      <c r="X272" s="86">
        <v>1.0</v>
      </c>
      <c r="Y272" s="86">
        <v>2006.0</v>
      </c>
      <c r="Z272" s="86">
        <v>1.0</v>
      </c>
      <c r="AA272" s="86">
        <v>0.03</v>
      </c>
    </row>
    <row r="273" ht="12.75" customHeight="1">
      <c r="A273" s="86">
        <v>1271.0</v>
      </c>
      <c r="B273" s="86" t="s">
        <v>4232</v>
      </c>
      <c r="C273" s="86">
        <v>136.0</v>
      </c>
      <c r="D273" s="86" t="s">
        <v>3654</v>
      </c>
      <c r="E273" s="86">
        <v>1.0</v>
      </c>
      <c r="F273" s="86">
        <v>0.093</v>
      </c>
      <c r="G273" s="86">
        <v>8001.0</v>
      </c>
      <c r="H273" s="86">
        <v>195.0</v>
      </c>
      <c r="I273" s="86">
        <v>1.0</v>
      </c>
      <c r="J273" s="86">
        <v>8000.0</v>
      </c>
      <c r="K273" s="86">
        <v>290.0</v>
      </c>
      <c r="L273" s="86">
        <v>1.0</v>
      </c>
      <c r="M273" s="86">
        <v>2007.0</v>
      </c>
      <c r="N273" s="86">
        <v>1.0</v>
      </c>
      <c r="O273" s="141">
        <v>0.25</v>
      </c>
      <c r="P273" s="86">
        <v>9000.0</v>
      </c>
      <c r="Q273" s="86">
        <v>70.0</v>
      </c>
      <c r="R273" s="86">
        <v>1.0</v>
      </c>
      <c r="S273" s="86" t="s">
        <v>3657</v>
      </c>
      <c r="T273" s="86">
        <v>10.0</v>
      </c>
      <c r="U273" s="86">
        <v>0.5</v>
      </c>
      <c r="V273" s="86">
        <v>1000.0</v>
      </c>
      <c r="W273" s="86">
        <v>3035.0</v>
      </c>
      <c r="X273" s="86">
        <v>1.0</v>
      </c>
      <c r="Y273" s="86">
        <v>2006.0</v>
      </c>
      <c r="Z273" s="86">
        <v>1.0</v>
      </c>
      <c r="AA273" s="86">
        <v>0.03</v>
      </c>
    </row>
    <row r="274" ht="12.75" customHeight="1">
      <c r="A274" s="86">
        <v>1272.0</v>
      </c>
      <c r="B274" s="86" t="s">
        <v>4232</v>
      </c>
      <c r="C274" s="86">
        <v>137.0</v>
      </c>
      <c r="D274" s="86" t="s">
        <v>3654</v>
      </c>
      <c r="E274" s="86">
        <v>1.0</v>
      </c>
      <c r="F274" s="86">
        <v>0.093</v>
      </c>
      <c r="G274" s="86">
        <v>8001.0</v>
      </c>
      <c r="H274" s="86">
        <v>195.0</v>
      </c>
      <c r="I274" s="86">
        <v>1.0</v>
      </c>
      <c r="J274" s="86">
        <v>8000.0</v>
      </c>
      <c r="K274" s="86">
        <v>295.0</v>
      </c>
      <c r="L274" s="86">
        <v>1.0</v>
      </c>
      <c r="M274" s="86">
        <v>2007.0</v>
      </c>
      <c r="N274" s="86">
        <v>1.0</v>
      </c>
      <c r="O274" s="141">
        <v>0.25</v>
      </c>
      <c r="P274" s="86">
        <v>9000.0</v>
      </c>
      <c r="Q274" s="86">
        <v>70.0</v>
      </c>
      <c r="R274" s="86">
        <v>1.0</v>
      </c>
      <c r="S274" s="86" t="s">
        <v>3657</v>
      </c>
      <c r="T274" s="86">
        <v>10.0</v>
      </c>
      <c r="U274" s="86">
        <v>0.5</v>
      </c>
      <c r="V274" s="86">
        <v>1000.0</v>
      </c>
      <c r="W274" s="86">
        <v>3050.0</v>
      </c>
      <c r="X274" s="86">
        <v>1.0</v>
      </c>
      <c r="Y274" s="86">
        <v>2006.0</v>
      </c>
      <c r="Z274" s="86">
        <v>1.0</v>
      </c>
      <c r="AA274" s="86">
        <v>0.03</v>
      </c>
    </row>
    <row r="275" ht="12.75" customHeight="1">
      <c r="A275" s="86">
        <v>1273.0</v>
      </c>
      <c r="B275" s="86" t="s">
        <v>4233</v>
      </c>
      <c r="C275" s="86">
        <v>137.0</v>
      </c>
      <c r="D275" s="86" t="s">
        <v>3654</v>
      </c>
      <c r="E275" s="86">
        <v>1.0</v>
      </c>
      <c r="F275" s="86">
        <v>0.093</v>
      </c>
      <c r="G275" s="86">
        <v>8001.0</v>
      </c>
      <c r="H275" s="86">
        <v>195.0</v>
      </c>
      <c r="I275" s="86">
        <v>1.0</v>
      </c>
      <c r="J275" s="86">
        <v>8000.0</v>
      </c>
      <c r="K275" s="86">
        <v>295.0</v>
      </c>
      <c r="L275" s="86">
        <v>1.0</v>
      </c>
      <c r="M275" s="86">
        <v>2007.0</v>
      </c>
      <c r="N275" s="86">
        <v>1.0</v>
      </c>
      <c r="O275" s="141">
        <v>0.25</v>
      </c>
      <c r="P275" s="86">
        <v>9000.0</v>
      </c>
      <c r="Q275" s="86">
        <v>71.0</v>
      </c>
      <c r="R275" s="86">
        <v>1.0</v>
      </c>
      <c r="S275" s="86" t="s">
        <v>3657</v>
      </c>
      <c r="T275" s="86">
        <v>10.0</v>
      </c>
      <c r="U275" s="86">
        <v>0.5</v>
      </c>
      <c r="V275" s="86">
        <v>1000.0</v>
      </c>
      <c r="W275" s="86">
        <v>3065.0</v>
      </c>
      <c r="X275" s="86">
        <v>1.0</v>
      </c>
      <c r="Y275" s="86">
        <v>2006.0</v>
      </c>
      <c r="Z275" s="86">
        <v>1.0</v>
      </c>
      <c r="AA275" s="86">
        <v>0.03</v>
      </c>
    </row>
    <row r="276" ht="12.75" customHeight="1">
      <c r="A276" s="86">
        <v>1274.0</v>
      </c>
      <c r="B276" s="86" t="s">
        <v>4234</v>
      </c>
      <c r="C276" s="86">
        <v>138.0</v>
      </c>
      <c r="D276" s="86" t="s">
        <v>3654</v>
      </c>
      <c r="E276" s="86">
        <v>1.0</v>
      </c>
      <c r="F276" s="86">
        <v>0.094</v>
      </c>
      <c r="G276" s="86">
        <v>8001.0</v>
      </c>
      <c r="H276" s="86">
        <v>195.0</v>
      </c>
      <c r="I276" s="86">
        <v>1.0</v>
      </c>
      <c r="J276" s="86">
        <v>8000.0</v>
      </c>
      <c r="K276" s="86">
        <v>295.0</v>
      </c>
      <c r="L276" s="86">
        <v>1.0</v>
      </c>
      <c r="M276" s="86">
        <v>2007.0</v>
      </c>
      <c r="N276" s="86">
        <v>1.0</v>
      </c>
      <c r="O276" s="141">
        <v>0.25</v>
      </c>
      <c r="P276" s="86">
        <v>9000.0</v>
      </c>
      <c r="Q276" s="86">
        <v>71.0</v>
      </c>
      <c r="R276" s="86">
        <v>1.0</v>
      </c>
      <c r="S276" s="86" t="s">
        <v>3657</v>
      </c>
      <c r="T276" s="86">
        <v>10.0</v>
      </c>
      <c r="U276" s="86">
        <v>0.5</v>
      </c>
      <c r="V276" s="86">
        <v>1000.0</v>
      </c>
      <c r="W276" s="86">
        <v>3080.0</v>
      </c>
      <c r="X276" s="86">
        <v>1.0</v>
      </c>
      <c r="Y276" s="86">
        <v>2006.0</v>
      </c>
      <c r="Z276" s="86">
        <v>1.0</v>
      </c>
      <c r="AA276" s="86">
        <v>0.03</v>
      </c>
    </row>
    <row r="277" ht="12.75" customHeight="1">
      <c r="A277" s="86">
        <v>1275.0</v>
      </c>
      <c r="B277" s="86" t="s">
        <v>4235</v>
      </c>
      <c r="C277" s="86">
        <v>138.0</v>
      </c>
      <c r="D277" s="86" t="s">
        <v>3654</v>
      </c>
      <c r="E277" s="86">
        <v>1.0</v>
      </c>
      <c r="F277" s="86">
        <v>0.094</v>
      </c>
      <c r="G277" s="86">
        <v>8001.0</v>
      </c>
      <c r="H277" s="86">
        <v>200.0</v>
      </c>
      <c r="I277" s="86">
        <v>1.0</v>
      </c>
      <c r="J277" s="86">
        <v>8000.0</v>
      </c>
      <c r="K277" s="86">
        <v>295.0</v>
      </c>
      <c r="L277" s="86">
        <v>1.0</v>
      </c>
      <c r="M277" s="86">
        <v>2007.0</v>
      </c>
      <c r="N277" s="86">
        <v>1.0</v>
      </c>
      <c r="O277" s="141">
        <v>0.25</v>
      </c>
      <c r="P277" s="86">
        <v>9000.0</v>
      </c>
      <c r="Q277" s="86">
        <v>71.0</v>
      </c>
      <c r="R277" s="86">
        <v>1.0</v>
      </c>
      <c r="S277" s="86" t="s">
        <v>3657</v>
      </c>
      <c r="T277" s="86">
        <v>10.0</v>
      </c>
      <c r="U277" s="86">
        <v>0.5</v>
      </c>
      <c r="V277" s="86">
        <v>1000.0</v>
      </c>
      <c r="W277" s="86">
        <v>3095.0</v>
      </c>
      <c r="X277" s="86">
        <v>1.0</v>
      </c>
      <c r="Y277" s="86">
        <v>2006.0</v>
      </c>
      <c r="Z277" s="86">
        <v>1.0</v>
      </c>
      <c r="AA277" s="86">
        <v>0.03</v>
      </c>
    </row>
    <row r="278" ht="12.75" customHeight="1">
      <c r="A278" s="86">
        <v>1276.0</v>
      </c>
      <c r="B278" s="86" t="s">
        <v>4236</v>
      </c>
      <c r="C278" s="86">
        <v>139.0</v>
      </c>
      <c r="D278" s="86" t="s">
        <v>3654</v>
      </c>
      <c r="E278" s="86">
        <v>1.0</v>
      </c>
      <c r="F278" s="86">
        <v>0.094</v>
      </c>
      <c r="G278" s="86">
        <v>8001.0</v>
      </c>
      <c r="H278" s="86">
        <v>200.0</v>
      </c>
      <c r="I278" s="86">
        <v>1.0</v>
      </c>
      <c r="J278" s="86">
        <v>8000.0</v>
      </c>
      <c r="K278" s="86">
        <v>300.0</v>
      </c>
      <c r="L278" s="86">
        <v>1.0</v>
      </c>
      <c r="M278" s="86">
        <v>2007.0</v>
      </c>
      <c r="N278" s="86">
        <v>1.0</v>
      </c>
      <c r="O278" s="141">
        <v>0.25</v>
      </c>
      <c r="P278" s="86">
        <v>9000.0</v>
      </c>
      <c r="Q278" s="86">
        <v>72.0</v>
      </c>
      <c r="R278" s="86">
        <v>1.0</v>
      </c>
      <c r="S278" s="86" t="s">
        <v>3657</v>
      </c>
      <c r="T278" s="86">
        <v>10.0</v>
      </c>
      <c r="U278" s="86">
        <v>0.5</v>
      </c>
      <c r="V278" s="86">
        <v>1000.0</v>
      </c>
      <c r="W278" s="86">
        <v>3105.0</v>
      </c>
      <c r="X278" s="86">
        <v>1.0</v>
      </c>
      <c r="Y278" s="86">
        <v>2006.0</v>
      </c>
      <c r="Z278" s="86">
        <v>1.0</v>
      </c>
      <c r="AA278" s="86">
        <v>0.03</v>
      </c>
    </row>
    <row r="279" ht="12.75" customHeight="1">
      <c r="A279" s="86">
        <v>1277.0</v>
      </c>
      <c r="B279" s="86" t="s">
        <v>4237</v>
      </c>
      <c r="C279" s="86">
        <v>139.0</v>
      </c>
      <c r="D279" s="86" t="s">
        <v>3654</v>
      </c>
      <c r="E279" s="86">
        <v>1.0</v>
      </c>
      <c r="F279" s="86">
        <v>0.094</v>
      </c>
      <c r="G279" s="86">
        <v>8001.0</v>
      </c>
      <c r="H279" s="86">
        <v>200.0</v>
      </c>
      <c r="I279" s="86">
        <v>1.0</v>
      </c>
      <c r="J279" s="86">
        <v>8000.0</v>
      </c>
      <c r="K279" s="86">
        <v>300.0</v>
      </c>
      <c r="L279" s="86">
        <v>1.0</v>
      </c>
      <c r="M279" s="86">
        <v>2007.0</v>
      </c>
      <c r="N279" s="86">
        <v>1.0</v>
      </c>
      <c r="O279" s="141">
        <v>0.25</v>
      </c>
      <c r="P279" s="86">
        <v>9000.0</v>
      </c>
      <c r="Q279" s="86">
        <v>72.0</v>
      </c>
      <c r="R279" s="86">
        <v>1.0</v>
      </c>
      <c r="S279" s="86" t="s">
        <v>3657</v>
      </c>
      <c r="T279" s="86">
        <v>10.0</v>
      </c>
      <c r="U279" s="86">
        <v>0.5</v>
      </c>
      <c r="V279" s="86">
        <v>1000.0</v>
      </c>
      <c r="W279" s="86">
        <v>3120.0</v>
      </c>
      <c r="X279" s="86">
        <v>1.0</v>
      </c>
      <c r="Y279" s="86">
        <v>2006.0</v>
      </c>
      <c r="Z279" s="86">
        <v>1.0</v>
      </c>
      <c r="AA279" s="86">
        <v>0.03</v>
      </c>
    </row>
    <row r="280" ht="12.75" customHeight="1">
      <c r="A280" s="86">
        <v>1278.0</v>
      </c>
      <c r="B280" s="86" t="s">
        <v>4238</v>
      </c>
      <c r="C280" s="86">
        <v>140.0</v>
      </c>
      <c r="D280" s="86" t="s">
        <v>3654</v>
      </c>
      <c r="E280" s="86">
        <v>1.0</v>
      </c>
      <c r="F280" s="86">
        <v>0.095</v>
      </c>
      <c r="G280" s="86">
        <v>8001.0</v>
      </c>
      <c r="H280" s="86">
        <v>200.0</v>
      </c>
      <c r="I280" s="86">
        <v>1.0</v>
      </c>
      <c r="J280" s="86">
        <v>8000.0</v>
      </c>
      <c r="K280" s="86">
        <v>300.0</v>
      </c>
      <c r="L280" s="86">
        <v>1.0</v>
      </c>
      <c r="M280" s="86">
        <v>2007.0</v>
      </c>
      <c r="N280" s="86">
        <v>1.0</v>
      </c>
      <c r="O280" s="141">
        <v>0.25</v>
      </c>
      <c r="P280" s="86">
        <v>9000.0</v>
      </c>
      <c r="Q280" s="86">
        <v>72.0</v>
      </c>
      <c r="R280" s="86">
        <v>1.0</v>
      </c>
      <c r="S280" s="86" t="s">
        <v>3657</v>
      </c>
      <c r="T280" s="86">
        <v>10.0</v>
      </c>
      <c r="U280" s="86">
        <v>0.5</v>
      </c>
      <c r="V280" s="86">
        <v>1000.0</v>
      </c>
      <c r="W280" s="86">
        <v>3135.0</v>
      </c>
      <c r="X280" s="86">
        <v>1.0</v>
      </c>
      <c r="Y280" s="86">
        <v>2006.0</v>
      </c>
      <c r="Z280" s="86">
        <v>1.0</v>
      </c>
      <c r="AA280" s="86">
        <v>0.03</v>
      </c>
    </row>
    <row r="281" ht="12.75" customHeight="1">
      <c r="A281" s="86">
        <v>1279.0</v>
      </c>
      <c r="B281" s="86" t="s">
        <v>4239</v>
      </c>
      <c r="C281" s="86">
        <v>140.0</v>
      </c>
      <c r="D281" s="86" t="s">
        <v>3654</v>
      </c>
      <c r="E281" s="86">
        <v>1.0</v>
      </c>
      <c r="F281" s="86">
        <v>0.095</v>
      </c>
      <c r="G281" s="86">
        <v>8001.0</v>
      </c>
      <c r="H281" s="86">
        <v>200.0</v>
      </c>
      <c r="I281" s="86">
        <v>1.0</v>
      </c>
      <c r="J281" s="86">
        <v>8000.0</v>
      </c>
      <c r="K281" s="86">
        <v>300.0</v>
      </c>
      <c r="L281" s="86">
        <v>1.0</v>
      </c>
      <c r="M281" s="86">
        <v>2007.0</v>
      </c>
      <c r="N281" s="86">
        <v>1.0</v>
      </c>
      <c r="O281" s="141">
        <v>0.25</v>
      </c>
      <c r="P281" s="86">
        <v>9000.0</v>
      </c>
      <c r="Q281" s="86">
        <v>73.0</v>
      </c>
      <c r="R281" s="86">
        <v>1.0</v>
      </c>
      <c r="S281" s="86" t="s">
        <v>3657</v>
      </c>
      <c r="T281" s="86">
        <v>10.0</v>
      </c>
      <c r="U281" s="86">
        <v>0.5</v>
      </c>
      <c r="V281" s="86">
        <v>1000.0</v>
      </c>
      <c r="W281" s="86">
        <v>3150.0</v>
      </c>
      <c r="X281" s="86">
        <v>1.0</v>
      </c>
      <c r="Y281" s="86">
        <v>2006.0</v>
      </c>
      <c r="Z281" s="86">
        <v>1.0</v>
      </c>
      <c r="AA281" s="86">
        <v>0.03</v>
      </c>
    </row>
    <row r="282" ht="12.75" customHeight="1">
      <c r="A282" s="86">
        <v>1280.0</v>
      </c>
      <c r="B282" s="86" t="s">
        <v>4240</v>
      </c>
      <c r="C282" s="86">
        <v>141.0</v>
      </c>
      <c r="D282" s="86" t="s">
        <v>3654</v>
      </c>
      <c r="E282" s="86">
        <v>1.0</v>
      </c>
      <c r="F282" s="86">
        <v>0.095</v>
      </c>
      <c r="G282" s="86">
        <v>8001.0</v>
      </c>
      <c r="H282" s="86">
        <v>200.0</v>
      </c>
      <c r="I282" s="86">
        <v>1.0</v>
      </c>
      <c r="J282" s="86">
        <v>8000.0</v>
      </c>
      <c r="K282" s="86">
        <v>305.0</v>
      </c>
      <c r="L282" s="86">
        <v>1.0</v>
      </c>
      <c r="M282" s="86">
        <v>2007.0</v>
      </c>
      <c r="N282" s="86">
        <v>1.0</v>
      </c>
      <c r="O282" s="141">
        <v>0.25</v>
      </c>
      <c r="P282" s="86">
        <v>9000.0</v>
      </c>
      <c r="Q282" s="86">
        <v>73.0</v>
      </c>
      <c r="R282" s="86">
        <v>1.0</v>
      </c>
      <c r="S282" s="86" t="s">
        <v>3657</v>
      </c>
      <c r="T282" s="86">
        <v>10.0</v>
      </c>
      <c r="U282" s="86">
        <v>0.5</v>
      </c>
      <c r="V282" s="86">
        <v>1000.0</v>
      </c>
      <c r="W282" s="86">
        <v>3165.0</v>
      </c>
      <c r="X282" s="86">
        <v>1.0</v>
      </c>
      <c r="Y282" s="86">
        <v>2006.0</v>
      </c>
      <c r="Z282" s="86">
        <v>1.0</v>
      </c>
      <c r="AA282" s="86">
        <v>0.03</v>
      </c>
    </row>
    <row r="283" ht="12.75" customHeight="1">
      <c r="A283" s="86">
        <v>1281.0</v>
      </c>
      <c r="B283" s="86" t="s">
        <v>4244</v>
      </c>
      <c r="C283" s="86">
        <v>141.0</v>
      </c>
      <c r="D283" s="86" t="s">
        <v>3654</v>
      </c>
      <c r="E283" s="86">
        <v>1.0</v>
      </c>
      <c r="F283" s="86">
        <v>0.095</v>
      </c>
      <c r="G283" s="86">
        <v>8001.0</v>
      </c>
      <c r="H283" s="86">
        <v>205.0</v>
      </c>
      <c r="I283" s="86">
        <v>1.0</v>
      </c>
      <c r="J283" s="86">
        <v>8000.0</v>
      </c>
      <c r="K283" s="86">
        <v>305.0</v>
      </c>
      <c r="L283" s="86">
        <v>1.0</v>
      </c>
      <c r="M283" s="86">
        <v>2007.0</v>
      </c>
      <c r="N283" s="86">
        <v>1.0</v>
      </c>
      <c r="O283" s="141">
        <v>0.25</v>
      </c>
      <c r="P283" s="86">
        <v>9000.0</v>
      </c>
      <c r="Q283" s="86">
        <v>74.0</v>
      </c>
      <c r="R283" s="86">
        <v>1.0</v>
      </c>
      <c r="S283" s="86" t="s">
        <v>3657</v>
      </c>
      <c r="T283" s="86">
        <v>10.0</v>
      </c>
      <c r="U283" s="86">
        <v>0.5</v>
      </c>
      <c r="V283" s="86">
        <v>1000.0</v>
      </c>
      <c r="W283" s="86">
        <v>3175.0</v>
      </c>
      <c r="X283" s="86">
        <v>1.0</v>
      </c>
      <c r="Y283" s="86">
        <v>2006.0</v>
      </c>
      <c r="Z283" s="86">
        <v>1.0</v>
      </c>
      <c r="AA283" s="86">
        <v>0.03</v>
      </c>
    </row>
    <row r="284" ht="12.75" customHeight="1">
      <c r="A284" s="86">
        <v>1282.0</v>
      </c>
      <c r="B284" s="86" t="s">
        <v>4236</v>
      </c>
      <c r="C284" s="86">
        <v>142.0</v>
      </c>
      <c r="D284" s="86" t="s">
        <v>3654</v>
      </c>
      <c r="E284" s="86">
        <v>1.0</v>
      </c>
      <c r="F284" s="86">
        <v>0.096</v>
      </c>
      <c r="G284" s="86">
        <v>8001.0</v>
      </c>
      <c r="H284" s="86">
        <v>205.0</v>
      </c>
      <c r="I284" s="86">
        <v>1.0</v>
      </c>
      <c r="J284" s="86">
        <v>8000.0</v>
      </c>
      <c r="K284" s="86">
        <v>305.0</v>
      </c>
      <c r="L284" s="86">
        <v>1.0</v>
      </c>
      <c r="M284" s="86">
        <v>2007.0</v>
      </c>
      <c r="N284" s="86">
        <v>1.0</v>
      </c>
      <c r="O284" s="141">
        <v>0.25</v>
      </c>
      <c r="P284" s="86">
        <v>9000.0</v>
      </c>
      <c r="Q284" s="86">
        <v>74.0</v>
      </c>
      <c r="R284" s="86">
        <v>1.0</v>
      </c>
      <c r="S284" s="86" t="s">
        <v>3657</v>
      </c>
      <c r="T284" s="86">
        <v>10.0</v>
      </c>
      <c r="U284" s="86">
        <v>0.5</v>
      </c>
      <c r="V284" s="86">
        <v>1000.0</v>
      </c>
      <c r="W284" s="86">
        <v>3190.0</v>
      </c>
      <c r="X284" s="86">
        <v>1.0</v>
      </c>
      <c r="Y284" s="86">
        <v>2006.0</v>
      </c>
      <c r="Z284" s="86">
        <v>1.0</v>
      </c>
      <c r="AA284" s="86">
        <v>0.03</v>
      </c>
    </row>
    <row r="285" ht="12.75" customHeight="1">
      <c r="A285" s="86">
        <v>1283.0</v>
      </c>
      <c r="B285" s="86" t="s">
        <v>4248</v>
      </c>
      <c r="C285" s="86">
        <v>142.0</v>
      </c>
      <c r="D285" s="86" t="s">
        <v>3654</v>
      </c>
      <c r="E285" s="86">
        <v>1.0</v>
      </c>
      <c r="F285" s="86">
        <v>0.096</v>
      </c>
      <c r="G285" s="86">
        <v>8001.0</v>
      </c>
      <c r="H285" s="86">
        <v>205.0</v>
      </c>
      <c r="I285" s="86">
        <v>1.0</v>
      </c>
      <c r="J285" s="86">
        <v>8000.0</v>
      </c>
      <c r="K285" s="86">
        <v>310.0</v>
      </c>
      <c r="L285" s="86">
        <v>1.0</v>
      </c>
      <c r="M285" s="86">
        <v>2007.0</v>
      </c>
      <c r="N285" s="86">
        <v>1.0</v>
      </c>
      <c r="O285" s="141">
        <v>0.25</v>
      </c>
      <c r="P285" s="86">
        <v>9000.0</v>
      </c>
      <c r="Q285" s="86">
        <v>74.0</v>
      </c>
      <c r="R285" s="86">
        <v>1.0</v>
      </c>
      <c r="S285" s="86" t="s">
        <v>3657</v>
      </c>
      <c r="T285" s="86">
        <v>10.0</v>
      </c>
      <c r="U285" s="86">
        <v>0.5</v>
      </c>
      <c r="V285" s="86">
        <v>1000.0</v>
      </c>
      <c r="W285" s="86">
        <v>3205.0</v>
      </c>
      <c r="X285" s="86">
        <v>1.0</v>
      </c>
      <c r="Y285" s="86">
        <v>2006.0</v>
      </c>
      <c r="Z285" s="86">
        <v>1.0</v>
      </c>
      <c r="AA285" s="86">
        <v>0.03</v>
      </c>
    </row>
    <row r="286" ht="12.75" customHeight="1">
      <c r="A286" s="86">
        <v>1284.0</v>
      </c>
      <c r="B286" s="86" t="s">
        <v>4234</v>
      </c>
      <c r="C286" s="86">
        <v>143.0</v>
      </c>
      <c r="D286" s="86" t="s">
        <v>3654</v>
      </c>
      <c r="E286" s="86">
        <v>1.0</v>
      </c>
      <c r="F286" s="86">
        <v>0.096</v>
      </c>
      <c r="G286" s="86">
        <v>8001.0</v>
      </c>
      <c r="H286" s="86">
        <v>205.0</v>
      </c>
      <c r="I286" s="86">
        <v>1.0</v>
      </c>
      <c r="J286" s="86">
        <v>8000.0</v>
      </c>
      <c r="K286" s="86">
        <v>310.0</v>
      </c>
      <c r="L286" s="86">
        <v>1.0</v>
      </c>
      <c r="M286" s="86">
        <v>2007.0</v>
      </c>
      <c r="N286" s="86">
        <v>1.0</v>
      </c>
      <c r="O286" s="141">
        <v>0.25</v>
      </c>
      <c r="P286" s="86">
        <v>9000.0</v>
      </c>
      <c r="Q286" s="86">
        <v>75.0</v>
      </c>
      <c r="R286" s="86">
        <v>1.0</v>
      </c>
      <c r="S286" s="86" t="s">
        <v>3657</v>
      </c>
      <c r="T286" s="86">
        <v>10.0</v>
      </c>
      <c r="U286" s="86">
        <v>0.5</v>
      </c>
      <c r="V286" s="86">
        <v>1000.0</v>
      </c>
      <c r="W286" s="86">
        <v>3220.0</v>
      </c>
      <c r="X286" s="86">
        <v>1.0</v>
      </c>
      <c r="Y286" s="86">
        <v>2006.0</v>
      </c>
      <c r="Z286" s="86">
        <v>1.0</v>
      </c>
      <c r="AA286" s="86">
        <v>0.03</v>
      </c>
    </row>
    <row r="287" ht="12.75" customHeight="1">
      <c r="A287" s="86">
        <v>1285.0</v>
      </c>
      <c r="B287" s="86" t="s">
        <v>4251</v>
      </c>
      <c r="C287" s="86">
        <v>143.0</v>
      </c>
      <c r="D287" s="86" t="s">
        <v>3654</v>
      </c>
      <c r="E287" s="86">
        <v>1.0</v>
      </c>
      <c r="F287" s="86">
        <v>0.096</v>
      </c>
      <c r="G287" s="86">
        <v>8001.0</v>
      </c>
      <c r="H287" s="86">
        <v>205.0</v>
      </c>
      <c r="I287" s="86">
        <v>1.0</v>
      </c>
      <c r="J287" s="86">
        <v>8000.0</v>
      </c>
      <c r="K287" s="86">
        <v>310.0</v>
      </c>
      <c r="L287" s="86">
        <v>1.0</v>
      </c>
      <c r="M287" s="86">
        <v>2007.0</v>
      </c>
      <c r="N287" s="86">
        <v>1.0</v>
      </c>
      <c r="O287" s="141">
        <v>0.25</v>
      </c>
      <c r="P287" s="86">
        <v>9000.0</v>
      </c>
      <c r="Q287" s="86">
        <v>75.0</v>
      </c>
      <c r="R287" s="86">
        <v>1.0</v>
      </c>
      <c r="S287" s="86" t="s">
        <v>3657</v>
      </c>
      <c r="T287" s="86">
        <v>10.0</v>
      </c>
      <c r="U287" s="86">
        <v>0.5</v>
      </c>
      <c r="V287" s="86">
        <v>1000.0</v>
      </c>
      <c r="W287" s="86">
        <v>3235.0</v>
      </c>
      <c r="X287" s="86">
        <v>1.0</v>
      </c>
      <c r="Y287" s="86">
        <v>2006.0</v>
      </c>
      <c r="Z287" s="86">
        <v>1.0</v>
      </c>
      <c r="AA287" s="86">
        <v>0.03</v>
      </c>
    </row>
    <row r="288" ht="12.75" customHeight="1">
      <c r="A288" s="86">
        <v>1286.0</v>
      </c>
      <c r="B288" s="86" t="s">
        <v>4252</v>
      </c>
      <c r="C288" s="86">
        <v>144.0</v>
      </c>
      <c r="D288" s="86" t="s">
        <v>3654</v>
      </c>
      <c r="E288" s="86">
        <v>1.0</v>
      </c>
      <c r="F288" s="86">
        <v>0.097</v>
      </c>
      <c r="G288" s="86">
        <v>8001.0</v>
      </c>
      <c r="H288" s="86">
        <v>210.0</v>
      </c>
      <c r="I288" s="86">
        <v>1.0</v>
      </c>
      <c r="J288" s="86">
        <v>8000.0</v>
      </c>
      <c r="K288" s="86">
        <v>310.0</v>
      </c>
      <c r="L288" s="86">
        <v>1.0</v>
      </c>
      <c r="M288" s="86">
        <v>2007.0</v>
      </c>
      <c r="N288" s="86">
        <v>1.0</v>
      </c>
      <c r="O288" s="141">
        <v>0.25</v>
      </c>
      <c r="P288" s="86">
        <v>9000.0</v>
      </c>
      <c r="Q288" s="86">
        <v>75.0</v>
      </c>
      <c r="R288" s="86">
        <v>1.0</v>
      </c>
      <c r="S288" s="86" t="s">
        <v>3657</v>
      </c>
      <c r="T288" s="86">
        <v>10.0</v>
      </c>
      <c r="U288" s="86">
        <v>0.5</v>
      </c>
      <c r="V288" s="86">
        <v>1000.0</v>
      </c>
      <c r="W288" s="86">
        <v>3245.0</v>
      </c>
      <c r="X288" s="86">
        <v>1.0</v>
      </c>
      <c r="Y288" s="86">
        <v>2006.0</v>
      </c>
      <c r="Z288" s="86">
        <v>1.0</v>
      </c>
      <c r="AA288" s="86">
        <v>0.03</v>
      </c>
    </row>
    <row r="289" ht="12.75" customHeight="1">
      <c r="A289" s="86">
        <v>1287.0</v>
      </c>
      <c r="B289" s="86" t="s">
        <v>4253</v>
      </c>
      <c r="C289" s="86">
        <v>144.0</v>
      </c>
      <c r="D289" s="86" t="s">
        <v>3654</v>
      </c>
      <c r="E289" s="86">
        <v>1.0</v>
      </c>
      <c r="F289" s="86">
        <v>0.097</v>
      </c>
      <c r="G289" s="86">
        <v>8001.0</v>
      </c>
      <c r="H289" s="86">
        <v>210.0</v>
      </c>
      <c r="I289" s="86">
        <v>1.0</v>
      </c>
      <c r="J289" s="86">
        <v>8000.0</v>
      </c>
      <c r="K289" s="86">
        <v>315.0</v>
      </c>
      <c r="L289" s="86">
        <v>1.0</v>
      </c>
      <c r="M289" s="86">
        <v>2007.0</v>
      </c>
      <c r="N289" s="86">
        <v>1.0</v>
      </c>
      <c r="O289" s="141">
        <v>0.25</v>
      </c>
      <c r="P289" s="86">
        <v>9000.0</v>
      </c>
      <c r="Q289" s="86">
        <v>76.0</v>
      </c>
      <c r="R289" s="86">
        <v>1.0</v>
      </c>
      <c r="S289" s="86" t="s">
        <v>3657</v>
      </c>
      <c r="T289" s="86">
        <v>10.0</v>
      </c>
      <c r="U289" s="86">
        <v>0.5</v>
      </c>
      <c r="V289" s="86">
        <v>1000.0</v>
      </c>
      <c r="W289" s="86">
        <v>3260.0</v>
      </c>
      <c r="X289" s="86">
        <v>1.0</v>
      </c>
      <c r="Y289" s="86">
        <v>2006.0</v>
      </c>
      <c r="Z289" s="86">
        <v>1.0</v>
      </c>
      <c r="AA289" s="86">
        <v>0.03</v>
      </c>
    </row>
    <row r="290" ht="12.75" customHeight="1">
      <c r="A290" s="86">
        <v>1288.0</v>
      </c>
      <c r="B290" s="86" t="s">
        <v>4254</v>
      </c>
      <c r="C290" s="86">
        <v>145.0</v>
      </c>
      <c r="D290" s="86" t="s">
        <v>3654</v>
      </c>
      <c r="E290" s="86">
        <v>1.0</v>
      </c>
      <c r="F290" s="86">
        <v>0.097</v>
      </c>
      <c r="G290" s="86">
        <v>8001.0</v>
      </c>
      <c r="H290" s="86">
        <v>210.0</v>
      </c>
      <c r="I290" s="86">
        <v>1.0</v>
      </c>
      <c r="J290" s="86">
        <v>8000.0</v>
      </c>
      <c r="K290" s="86">
        <v>315.0</v>
      </c>
      <c r="L290" s="86">
        <v>1.0</v>
      </c>
      <c r="M290" s="86">
        <v>2007.0</v>
      </c>
      <c r="N290" s="86">
        <v>1.0</v>
      </c>
      <c r="O290" s="141">
        <v>0.25</v>
      </c>
      <c r="P290" s="86">
        <v>9000.0</v>
      </c>
      <c r="Q290" s="86">
        <v>76.0</v>
      </c>
      <c r="R290" s="86">
        <v>1.0</v>
      </c>
      <c r="S290" s="86" t="s">
        <v>3657</v>
      </c>
      <c r="T290" s="86">
        <v>10.0</v>
      </c>
      <c r="U290" s="86">
        <v>0.5</v>
      </c>
      <c r="V290" s="86">
        <v>1000.0</v>
      </c>
      <c r="W290" s="86">
        <v>3275.0</v>
      </c>
      <c r="X290" s="86">
        <v>1.0</v>
      </c>
      <c r="Y290" s="86">
        <v>2006.0</v>
      </c>
      <c r="Z290" s="86">
        <v>1.0</v>
      </c>
      <c r="AA290" s="86">
        <v>0.03</v>
      </c>
    </row>
    <row r="291" ht="12.75" customHeight="1">
      <c r="A291" s="86">
        <v>1289.0</v>
      </c>
      <c r="B291" s="86" t="s">
        <v>4255</v>
      </c>
      <c r="C291" s="86">
        <v>145.0</v>
      </c>
      <c r="D291" s="86" t="s">
        <v>3654</v>
      </c>
      <c r="E291" s="86">
        <v>1.0</v>
      </c>
      <c r="F291" s="86">
        <v>0.097</v>
      </c>
      <c r="G291" s="86">
        <v>8001.0</v>
      </c>
      <c r="H291" s="86">
        <v>210.0</v>
      </c>
      <c r="I291" s="86">
        <v>1.0</v>
      </c>
      <c r="J291" s="86">
        <v>8000.0</v>
      </c>
      <c r="K291" s="86">
        <v>315.0</v>
      </c>
      <c r="L291" s="86">
        <v>1.0</v>
      </c>
      <c r="M291" s="86">
        <v>2007.0</v>
      </c>
      <c r="N291" s="86">
        <v>1.0</v>
      </c>
      <c r="O291" s="141">
        <v>0.25</v>
      </c>
      <c r="P291" s="86">
        <v>9000.0</v>
      </c>
      <c r="Q291" s="86">
        <v>76.0</v>
      </c>
      <c r="R291" s="86">
        <v>1.0</v>
      </c>
      <c r="S291" s="86" t="s">
        <v>3657</v>
      </c>
      <c r="T291" s="86">
        <v>11.0</v>
      </c>
      <c r="U291" s="86">
        <v>0.5</v>
      </c>
      <c r="V291" s="86">
        <v>1000.0</v>
      </c>
      <c r="W291" s="86">
        <v>3290.0</v>
      </c>
      <c r="X291" s="86">
        <v>1.0</v>
      </c>
      <c r="Y291" s="86">
        <v>2006.0</v>
      </c>
      <c r="Z291" s="86">
        <v>1.0</v>
      </c>
      <c r="AA291" s="86">
        <v>0.03</v>
      </c>
    </row>
    <row r="292" ht="12.75" customHeight="1">
      <c r="A292" s="86">
        <v>1290.0</v>
      </c>
      <c r="B292" s="86" t="s">
        <v>4259</v>
      </c>
      <c r="C292" s="86">
        <v>146.0</v>
      </c>
      <c r="D292" s="86" t="s">
        <v>3654</v>
      </c>
      <c r="E292" s="86">
        <v>1.0</v>
      </c>
      <c r="F292" s="86">
        <v>0.098</v>
      </c>
      <c r="G292" s="86">
        <v>8001.0</v>
      </c>
      <c r="H292" s="86">
        <v>210.0</v>
      </c>
      <c r="I292" s="86">
        <v>1.0</v>
      </c>
      <c r="J292" s="86">
        <v>8000.0</v>
      </c>
      <c r="K292" s="86">
        <v>315.0</v>
      </c>
      <c r="L292" s="86">
        <v>1.0</v>
      </c>
      <c r="M292" s="86">
        <v>2007.0</v>
      </c>
      <c r="N292" s="86">
        <v>1.0</v>
      </c>
      <c r="O292" s="141">
        <v>0.25</v>
      </c>
      <c r="P292" s="86">
        <v>9000.0</v>
      </c>
      <c r="Q292" s="86">
        <v>77.0</v>
      </c>
      <c r="R292" s="86">
        <v>1.0</v>
      </c>
      <c r="S292" s="86" t="s">
        <v>3657</v>
      </c>
      <c r="T292" s="86">
        <v>11.0</v>
      </c>
      <c r="U292" s="86">
        <v>0.5</v>
      </c>
      <c r="V292" s="86">
        <v>1000.0</v>
      </c>
      <c r="W292" s="86">
        <v>3305.0</v>
      </c>
      <c r="X292" s="86">
        <v>1.0</v>
      </c>
      <c r="Y292" s="86">
        <v>2006.0</v>
      </c>
      <c r="Z292" s="86">
        <v>1.0</v>
      </c>
      <c r="AA292" s="86">
        <v>0.03</v>
      </c>
    </row>
    <row r="293" ht="12.75" customHeight="1">
      <c r="A293" s="86">
        <v>1291.0</v>
      </c>
      <c r="B293" s="86" t="s">
        <v>4264</v>
      </c>
      <c r="C293" s="86">
        <v>146.0</v>
      </c>
      <c r="D293" s="86" t="s">
        <v>3654</v>
      </c>
      <c r="E293" s="86">
        <v>1.0</v>
      </c>
      <c r="F293" s="86">
        <v>0.098</v>
      </c>
      <c r="G293" s="86">
        <v>8001.0</v>
      </c>
      <c r="H293" s="86">
        <v>210.0</v>
      </c>
      <c r="I293" s="86">
        <v>1.0</v>
      </c>
      <c r="J293" s="86">
        <v>8000.0</v>
      </c>
      <c r="K293" s="86">
        <v>320.0</v>
      </c>
      <c r="L293" s="86">
        <v>1.0</v>
      </c>
      <c r="M293" s="86">
        <v>2007.0</v>
      </c>
      <c r="N293" s="86">
        <v>1.0</v>
      </c>
      <c r="O293" s="141">
        <v>0.25</v>
      </c>
      <c r="P293" s="86">
        <v>9000.0</v>
      </c>
      <c r="Q293" s="86">
        <v>77.0</v>
      </c>
      <c r="R293" s="86">
        <v>1.0</v>
      </c>
      <c r="S293" s="86" t="s">
        <v>3657</v>
      </c>
      <c r="T293" s="86">
        <v>11.0</v>
      </c>
      <c r="U293" s="86">
        <v>0.5</v>
      </c>
      <c r="V293" s="86">
        <v>1000.0</v>
      </c>
      <c r="W293" s="86">
        <v>3320.0</v>
      </c>
      <c r="X293" s="86">
        <v>1.0</v>
      </c>
      <c r="Y293" s="86">
        <v>2006.0</v>
      </c>
      <c r="Z293" s="86">
        <v>1.0</v>
      </c>
      <c r="AA293" s="86">
        <v>0.03</v>
      </c>
    </row>
    <row r="294" ht="12.75" customHeight="1">
      <c r="A294" s="86">
        <v>1292.0</v>
      </c>
      <c r="B294" s="86" t="s">
        <v>4265</v>
      </c>
      <c r="C294" s="86">
        <v>147.0</v>
      </c>
      <c r="D294" s="86" t="s">
        <v>3654</v>
      </c>
      <c r="E294" s="86">
        <v>1.0</v>
      </c>
      <c r="F294" s="86">
        <v>0.098</v>
      </c>
      <c r="G294" s="86">
        <v>8001.0</v>
      </c>
      <c r="H294" s="86">
        <v>215.0</v>
      </c>
      <c r="I294" s="86">
        <v>1.0</v>
      </c>
      <c r="J294" s="86">
        <v>8000.0</v>
      </c>
      <c r="K294" s="86">
        <v>320.0</v>
      </c>
      <c r="L294" s="86">
        <v>1.0</v>
      </c>
      <c r="M294" s="86">
        <v>2007.0</v>
      </c>
      <c r="N294" s="86">
        <v>1.0</v>
      </c>
      <c r="O294" s="141">
        <v>0.25</v>
      </c>
      <c r="P294" s="86">
        <v>9000.0</v>
      </c>
      <c r="Q294" s="86">
        <v>77.0</v>
      </c>
      <c r="R294" s="86">
        <v>1.0</v>
      </c>
      <c r="S294" s="86" t="s">
        <v>3657</v>
      </c>
      <c r="T294" s="86">
        <v>11.0</v>
      </c>
      <c r="U294" s="86">
        <v>0.5</v>
      </c>
      <c r="V294" s="86">
        <v>1000.0</v>
      </c>
      <c r="W294" s="86">
        <v>3330.0</v>
      </c>
      <c r="X294" s="86">
        <v>1.0</v>
      </c>
      <c r="Y294" s="86">
        <v>2006.0</v>
      </c>
      <c r="Z294" s="86">
        <v>1.0</v>
      </c>
      <c r="AA294" s="86">
        <v>0.03</v>
      </c>
    </row>
    <row r="295" ht="12.75" customHeight="1">
      <c r="A295" s="86">
        <v>1293.0</v>
      </c>
      <c r="B295" s="86" t="s">
        <v>4266</v>
      </c>
      <c r="C295" s="86">
        <v>147.0</v>
      </c>
      <c r="D295" s="86" t="s">
        <v>3654</v>
      </c>
      <c r="E295" s="86">
        <v>1.0</v>
      </c>
      <c r="F295" s="86">
        <v>0.098</v>
      </c>
      <c r="G295" s="86">
        <v>8001.0</v>
      </c>
      <c r="H295" s="86">
        <v>215.0</v>
      </c>
      <c r="I295" s="86">
        <v>1.0</v>
      </c>
      <c r="J295" s="86">
        <v>8000.0</v>
      </c>
      <c r="K295" s="86">
        <v>320.0</v>
      </c>
      <c r="L295" s="86">
        <v>1.0</v>
      </c>
      <c r="M295" s="86">
        <v>2007.0</v>
      </c>
      <c r="N295" s="86">
        <v>1.0</v>
      </c>
      <c r="O295" s="141">
        <v>0.25</v>
      </c>
      <c r="P295" s="86">
        <v>9000.0</v>
      </c>
      <c r="Q295" s="86">
        <v>78.0</v>
      </c>
      <c r="R295" s="86">
        <v>1.0</v>
      </c>
      <c r="S295" s="86" t="s">
        <v>3657</v>
      </c>
      <c r="T295" s="86">
        <v>11.0</v>
      </c>
      <c r="U295" s="86">
        <v>0.5</v>
      </c>
      <c r="V295" s="86">
        <v>1000.0</v>
      </c>
      <c r="W295" s="86">
        <v>3345.0</v>
      </c>
      <c r="X295" s="86">
        <v>1.0</v>
      </c>
      <c r="Y295" s="86">
        <v>2006.0</v>
      </c>
      <c r="Z295" s="86">
        <v>1.0</v>
      </c>
      <c r="AA295" s="86">
        <v>0.03</v>
      </c>
    </row>
    <row r="296" ht="12.75" customHeight="1">
      <c r="A296" s="86">
        <v>1294.0</v>
      </c>
      <c r="B296" s="86" t="s">
        <v>4268</v>
      </c>
      <c r="C296" s="86">
        <v>148.0</v>
      </c>
      <c r="D296" s="86" t="s">
        <v>3654</v>
      </c>
      <c r="E296" s="86">
        <v>1.0</v>
      </c>
      <c r="F296" s="86">
        <v>0.099</v>
      </c>
      <c r="G296" s="86">
        <v>8001.0</v>
      </c>
      <c r="H296" s="86">
        <v>215.0</v>
      </c>
      <c r="I296" s="86">
        <v>1.0</v>
      </c>
      <c r="J296" s="86">
        <v>8000.0</v>
      </c>
      <c r="K296" s="86">
        <v>325.0</v>
      </c>
      <c r="L296" s="86">
        <v>1.0</v>
      </c>
      <c r="M296" s="86">
        <v>2007.0</v>
      </c>
      <c r="N296" s="86">
        <v>1.0</v>
      </c>
      <c r="O296" s="141">
        <v>0.25</v>
      </c>
      <c r="P296" s="86">
        <v>9000.0</v>
      </c>
      <c r="Q296" s="86">
        <v>78.0</v>
      </c>
      <c r="R296" s="86">
        <v>1.0</v>
      </c>
      <c r="S296" s="86" t="s">
        <v>3657</v>
      </c>
      <c r="T296" s="86">
        <v>11.0</v>
      </c>
      <c r="U296" s="86">
        <v>0.5</v>
      </c>
      <c r="V296" s="86">
        <v>1000.0</v>
      </c>
      <c r="W296" s="86">
        <v>3360.0</v>
      </c>
      <c r="X296" s="86">
        <v>1.0</v>
      </c>
      <c r="Y296" s="86">
        <v>2006.0</v>
      </c>
      <c r="Z296" s="86">
        <v>1.0</v>
      </c>
      <c r="AA296" s="86">
        <v>0.03</v>
      </c>
    </row>
    <row r="297" ht="12.75" customHeight="1">
      <c r="A297" s="86">
        <v>1295.0</v>
      </c>
      <c r="B297" s="86" t="s">
        <v>4270</v>
      </c>
      <c r="C297" s="86">
        <v>148.0</v>
      </c>
      <c r="D297" s="86" t="s">
        <v>3654</v>
      </c>
      <c r="E297" s="86">
        <v>1.0</v>
      </c>
      <c r="F297" s="86">
        <v>0.099</v>
      </c>
      <c r="G297" s="86">
        <v>8001.0</v>
      </c>
      <c r="H297" s="86">
        <v>215.0</v>
      </c>
      <c r="I297" s="86">
        <v>1.0</v>
      </c>
      <c r="J297" s="86">
        <v>8000.0</v>
      </c>
      <c r="K297" s="86">
        <v>325.0</v>
      </c>
      <c r="L297" s="86">
        <v>1.0</v>
      </c>
      <c r="M297" s="86">
        <v>2007.0</v>
      </c>
      <c r="N297" s="86">
        <v>1.0</v>
      </c>
      <c r="O297" s="141">
        <v>0.25</v>
      </c>
      <c r="P297" s="86">
        <v>9000.0</v>
      </c>
      <c r="Q297" s="86">
        <v>78.0</v>
      </c>
      <c r="R297" s="86">
        <v>1.0</v>
      </c>
      <c r="S297" s="86" t="s">
        <v>3657</v>
      </c>
      <c r="T297" s="86">
        <v>11.0</v>
      </c>
      <c r="U297" s="86">
        <v>0.5</v>
      </c>
      <c r="V297" s="86">
        <v>1000.0</v>
      </c>
      <c r="W297" s="86">
        <v>3375.0</v>
      </c>
      <c r="X297" s="86">
        <v>1.0</v>
      </c>
      <c r="Y297" s="86">
        <v>2006.0</v>
      </c>
      <c r="Z297" s="86">
        <v>1.0</v>
      </c>
      <c r="AA297" s="86">
        <v>0.03</v>
      </c>
    </row>
    <row r="298" ht="12.75" customHeight="1">
      <c r="A298" s="86">
        <v>1296.0</v>
      </c>
      <c r="B298" s="86" t="s">
        <v>4273</v>
      </c>
      <c r="C298" s="86">
        <v>149.0</v>
      </c>
      <c r="D298" s="86" t="s">
        <v>3654</v>
      </c>
      <c r="E298" s="86">
        <v>1.0</v>
      </c>
      <c r="F298" s="86">
        <v>0.099</v>
      </c>
      <c r="G298" s="86">
        <v>8001.0</v>
      </c>
      <c r="H298" s="86">
        <v>215.0</v>
      </c>
      <c r="I298" s="86">
        <v>1.0</v>
      </c>
      <c r="J298" s="86">
        <v>8000.0</v>
      </c>
      <c r="K298" s="86">
        <v>325.0</v>
      </c>
      <c r="L298" s="86">
        <v>1.0</v>
      </c>
      <c r="M298" s="86">
        <v>2007.0</v>
      </c>
      <c r="N298" s="86">
        <v>1.0</v>
      </c>
      <c r="O298" s="141">
        <v>0.25</v>
      </c>
      <c r="P298" s="86">
        <v>9000.0</v>
      </c>
      <c r="Q298" s="86">
        <v>79.0</v>
      </c>
      <c r="R298" s="86">
        <v>1.0</v>
      </c>
      <c r="S298" s="86" t="s">
        <v>3657</v>
      </c>
      <c r="T298" s="86">
        <v>11.0</v>
      </c>
      <c r="U298" s="86">
        <v>0.5</v>
      </c>
      <c r="V298" s="86">
        <v>1000.0</v>
      </c>
      <c r="W298" s="86">
        <v>3390.0</v>
      </c>
      <c r="X298" s="86">
        <v>1.0</v>
      </c>
      <c r="Y298" s="86">
        <v>2006.0</v>
      </c>
      <c r="Z298" s="86">
        <v>1.0</v>
      </c>
      <c r="AA298" s="86">
        <v>0.03</v>
      </c>
    </row>
    <row r="299" ht="12.75" customHeight="1">
      <c r="A299" s="86">
        <v>1297.0</v>
      </c>
      <c r="B299" s="86" t="s">
        <v>4276</v>
      </c>
      <c r="C299" s="86">
        <v>149.0</v>
      </c>
      <c r="D299" s="86" t="s">
        <v>3654</v>
      </c>
      <c r="E299" s="86">
        <v>1.0</v>
      </c>
      <c r="F299" s="86">
        <v>0.099</v>
      </c>
      <c r="G299" s="86">
        <v>8001.0</v>
      </c>
      <c r="H299" s="86">
        <v>220.0</v>
      </c>
      <c r="I299" s="86">
        <v>1.0</v>
      </c>
      <c r="J299" s="86">
        <v>8000.0</v>
      </c>
      <c r="K299" s="86">
        <v>325.0</v>
      </c>
      <c r="L299" s="86">
        <v>1.0</v>
      </c>
      <c r="M299" s="86">
        <v>2007.0</v>
      </c>
      <c r="N299" s="86">
        <v>1.0</v>
      </c>
      <c r="O299" s="141">
        <v>0.25</v>
      </c>
      <c r="P299" s="86">
        <v>9000.0</v>
      </c>
      <c r="Q299" s="86">
        <v>79.0</v>
      </c>
      <c r="R299" s="86">
        <v>1.0</v>
      </c>
      <c r="S299" s="86" t="s">
        <v>3657</v>
      </c>
      <c r="T299" s="86">
        <v>11.0</v>
      </c>
      <c r="U299" s="86">
        <v>0.5</v>
      </c>
      <c r="V299" s="86">
        <v>1000.0</v>
      </c>
      <c r="W299" s="86">
        <v>3400.0</v>
      </c>
      <c r="X299" s="86">
        <v>1.0</v>
      </c>
      <c r="Y299" s="86">
        <v>2006.0</v>
      </c>
      <c r="Z299" s="86">
        <v>1.0</v>
      </c>
      <c r="AA299" s="86">
        <v>0.03</v>
      </c>
    </row>
    <row r="300" ht="12.75" customHeight="1">
      <c r="A300" s="86">
        <v>1298.0</v>
      </c>
      <c r="B300" s="86" t="s">
        <v>4277</v>
      </c>
      <c r="C300" s="86">
        <v>150.0</v>
      </c>
      <c r="D300" s="86" t="s">
        <v>3654</v>
      </c>
      <c r="E300" s="86">
        <v>1.0</v>
      </c>
      <c r="F300" s="86">
        <v>0.1</v>
      </c>
      <c r="G300" s="86">
        <v>8001.0</v>
      </c>
      <c r="H300" s="86">
        <v>220.0</v>
      </c>
      <c r="I300" s="86">
        <v>1.0</v>
      </c>
      <c r="J300" s="86">
        <v>8000.0</v>
      </c>
      <c r="K300" s="86">
        <v>330.0</v>
      </c>
      <c r="L300" s="86">
        <v>1.0</v>
      </c>
      <c r="M300" s="86">
        <v>2007.0</v>
      </c>
      <c r="N300" s="86">
        <v>1.0</v>
      </c>
      <c r="O300" s="141">
        <v>0.25</v>
      </c>
      <c r="P300" s="86">
        <v>9000.0</v>
      </c>
      <c r="Q300" s="86">
        <v>79.0</v>
      </c>
      <c r="R300" s="86">
        <v>1.0</v>
      </c>
      <c r="S300" s="86" t="s">
        <v>3657</v>
      </c>
      <c r="T300" s="86">
        <v>11.0</v>
      </c>
      <c r="U300" s="86">
        <v>0.5</v>
      </c>
      <c r="V300" s="86">
        <v>1000.0</v>
      </c>
      <c r="W300" s="86">
        <v>3415.0</v>
      </c>
      <c r="X300" s="86">
        <v>1.0</v>
      </c>
      <c r="Y300" s="86">
        <v>2006.0</v>
      </c>
      <c r="Z300" s="86">
        <v>1.0</v>
      </c>
      <c r="AA300" s="86">
        <v>0.03</v>
      </c>
    </row>
    <row r="301" ht="12.75" customHeight="1">
      <c r="A301" s="86">
        <v>1299.0</v>
      </c>
      <c r="B301" s="86" t="s">
        <v>4279</v>
      </c>
      <c r="C301" s="86">
        <v>150.0</v>
      </c>
      <c r="D301" s="86" t="s">
        <v>3654</v>
      </c>
      <c r="E301" s="86">
        <v>1.0</v>
      </c>
      <c r="F301" s="86">
        <v>0.1</v>
      </c>
      <c r="G301" s="86">
        <v>8001.0</v>
      </c>
      <c r="H301" s="86">
        <v>220.0</v>
      </c>
      <c r="I301" s="86">
        <v>1.0</v>
      </c>
      <c r="J301" s="86">
        <v>8000.0</v>
      </c>
      <c r="K301" s="86">
        <v>330.0</v>
      </c>
      <c r="L301" s="86">
        <v>1.0</v>
      </c>
      <c r="M301" s="86">
        <v>2007.0</v>
      </c>
      <c r="N301" s="86">
        <v>1.0</v>
      </c>
      <c r="O301" s="141">
        <v>0.25</v>
      </c>
      <c r="P301" s="86">
        <v>9000.0</v>
      </c>
      <c r="Q301" s="86">
        <v>80.0</v>
      </c>
      <c r="R301" s="86">
        <v>1.0</v>
      </c>
      <c r="S301" s="86" t="s">
        <v>3657</v>
      </c>
      <c r="T301" s="86">
        <v>11.0</v>
      </c>
      <c r="U301" s="86">
        <v>0.5</v>
      </c>
      <c r="V301" s="86">
        <v>1000.0</v>
      </c>
      <c r="W301" s="86">
        <v>3430.0</v>
      </c>
      <c r="X301" s="86">
        <v>1.0</v>
      </c>
      <c r="Y301" s="86">
        <v>2006.0</v>
      </c>
      <c r="Z301" s="86">
        <v>1.0</v>
      </c>
      <c r="AA301" s="86">
        <v>0.03</v>
      </c>
    </row>
    <row r="302" ht="12.75" customHeight="1">
      <c r="A302" s="86">
        <v>1300.0</v>
      </c>
      <c r="B302" s="86" t="s">
        <v>4237</v>
      </c>
      <c r="C302" s="86">
        <v>150.0</v>
      </c>
      <c r="D302" s="86" t="s">
        <v>3654</v>
      </c>
      <c r="E302" s="86">
        <v>1.0</v>
      </c>
      <c r="F302" s="86">
        <v>0.1</v>
      </c>
      <c r="G302" s="86">
        <v>8001.0</v>
      </c>
      <c r="H302" s="86">
        <v>220.0</v>
      </c>
      <c r="I302" s="86">
        <v>1.0</v>
      </c>
      <c r="J302" s="86">
        <v>8000.0</v>
      </c>
      <c r="K302" s="86">
        <v>330.0</v>
      </c>
      <c r="L302" s="86">
        <v>1.0</v>
      </c>
      <c r="M302" s="86">
        <v>2007.0</v>
      </c>
      <c r="N302" s="86">
        <v>1.0</v>
      </c>
      <c r="O302" s="141">
        <v>0.25</v>
      </c>
      <c r="P302" s="86">
        <v>9000.0</v>
      </c>
      <c r="Q302" s="86">
        <v>80.0</v>
      </c>
      <c r="R302" s="86">
        <v>1.0</v>
      </c>
      <c r="S302" s="86" t="s">
        <v>3657</v>
      </c>
      <c r="T302" s="86">
        <v>11.0</v>
      </c>
      <c r="U302" s="86">
        <v>0.5</v>
      </c>
      <c r="V302" s="86">
        <v>1000.0</v>
      </c>
      <c r="W302" s="86">
        <v>3445.0</v>
      </c>
      <c r="X302" s="86">
        <v>1.0</v>
      </c>
      <c r="Y302" s="86">
        <v>2006.0</v>
      </c>
      <c r="Z302" s="86">
        <v>1.0</v>
      </c>
      <c r="AA302" s="86">
        <v>0.03</v>
      </c>
    </row>
    <row r="303" ht="12.75" customHeight="1">
      <c r="A303" s="86">
        <v>1301.0</v>
      </c>
      <c r="B303" s="86" t="s">
        <v>4281</v>
      </c>
      <c r="C303" s="86">
        <v>150.0</v>
      </c>
      <c r="D303" s="86" t="s">
        <v>3654</v>
      </c>
      <c r="E303" s="86">
        <v>1.0</v>
      </c>
      <c r="F303" s="86">
        <v>0.1</v>
      </c>
      <c r="G303" s="86">
        <v>8001.0</v>
      </c>
      <c r="H303" s="86">
        <v>220.0</v>
      </c>
      <c r="I303" s="86">
        <v>1.0</v>
      </c>
      <c r="J303" s="86">
        <v>8000.0</v>
      </c>
      <c r="K303" s="86">
        <v>330.0</v>
      </c>
      <c r="L303" s="86">
        <v>1.0</v>
      </c>
      <c r="M303" s="86">
        <v>2007.0</v>
      </c>
      <c r="N303" s="86">
        <v>1.0</v>
      </c>
      <c r="O303" s="141">
        <v>0.25</v>
      </c>
      <c r="P303" s="86">
        <v>9000.0</v>
      </c>
      <c r="Q303" s="86">
        <v>81.0</v>
      </c>
      <c r="R303" s="86">
        <v>1.0</v>
      </c>
      <c r="S303" s="86" t="s">
        <v>3657</v>
      </c>
      <c r="T303" s="86">
        <v>11.0</v>
      </c>
      <c r="U303" s="86">
        <v>0.5</v>
      </c>
      <c r="V303" s="86">
        <v>1000.0</v>
      </c>
      <c r="W303" s="86">
        <v>3460.0</v>
      </c>
      <c r="X303" s="86">
        <v>1.0</v>
      </c>
      <c r="Y303" s="86">
        <v>2006.0</v>
      </c>
      <c r="Z303" s="86">
        <v>1.0</v>
      </c>
      <c r="AA303" s="86">
        <v>0.03</v>
      </c>
    </row>
    <row r="304" ht="12.75" customHeight="1">
      <c r="A304" s="86">
        <v>1302.0</v>
      </c>
      <c r="B304" s="86" t="s">
        <v>4282</v>
      </c>
      <c r="C304" s="86">
        <v>150.0</v>
      </c>
      <c r="D304" s="86" t="s">
        <v>3654</v>
      </c>
      <c r="E304" s="86">
        <v>1.0</v>
      </c>
      <c r="F304" s="86">
        <v>0.101</v>
      </c>
      <c r="G304" s="86">
        <v>8001.0</v>
      </c>
      <c r="H304" s="86">
        <v>220.0</v>
      </c>
      <c r="I304" s="86">
        <v>1.0</v>
      </c>
      <c r="J304" s="86">
        <v>8000.0</v>
      </c>
      <c r="K304" s="86">
        <v>335.0</v>
      </c>
      <c r="L304" s="86">
        <v>1.0</v>
      </c>
      <c r="M304" s="86">
        <v>2007.0</v>
      </c>
      <c r="N304" s="86">
        <v>1.0</v>
      </c>
      <c r="O304" s="141">
        <v>0.25</v>
      </c>
      <c r="P304" s="86">
        <v>9000.0</v>
      </c>
      <c r="Q304" s="86">
        <v>81.0</v>
      </c>
      <c r="R304" s="86">
        <v>1.0</v>
      </c>
      <c r="S304" s="86" t="s">
        <v>3657</v>
      </c>
      <c r="T304" s="86">
        <v>11.0</v>
      </c>
      <c r="U304" s="86">
        <v>0.5</v>
      </c>
      <c r="V304" s="86">
        <v>1000.0</v>
      </c>
      <c r="W304" s="86">
        <v>3475.0</v>
      </c>
      <c r="X304" s="86">
        <v>1.0</v>
      </c>
      <c r="Y304" s="86">
        <v>2006.0</v>
      </c>
      <c r="Z304" s="86">
        <v>1.0</v>
      </c>
      <c r="AA304" s="86">
        <v>0.03</v>
      </c>
    </row>
    <row r="305" ht="12.75" customHeight="1">
      <c r="A305" s="86">
        <v>1303.0</v>
      </c>
      <c r="B305" s="86" t="s">
        <v>4285</v>
      </c>
      <c r="C305" s="86">
        <v>150.0</v>
      </c>
      <c r="D305" s="86" t="s">
        <v>3654</v>
      </c>
      <c r="E305" s="86">
        <v>1.0</v>
      </c>
      <c r="F305" s="86">
        <v>0.101</v>
      </c>
      <c r="G305" s="86">
        <v>8001.0</v>
      </c>
      <c r="H305" s="86">
        <v>225.0</v>
      </c>
      <c r="I305" s="86">
        <v>1.0</v>
      </c>
      <c r="J305" s="86">
        <v>8000.0</v>
      </c>
      <c r="K305" s="86">
        <v>335.0</v>
      </c>
      <c r="L305" s="86">
        <v>1.0</v>
      </c>
      <c r="M305" s="86">
        <v>2007.0</v>
      </c>
      <c r="N305" s="86">
        <v>1.0</v>
      </c>
      <c r="O305" s="141">
        <v>0.25</v>
      </c>
      <c r="P305" s="86">
        <v>9000.0</v>
      </c>
      <c r="Q305" s="86">
        <v>81.0</v>
      </c>
      <c r="R305" s="86">
        <v>1.0</v>
      </c>
      <c r="S305" s="86" t="s">
        <v>3657</v>
      </c>
      <c r="T305" s="86">
        <v>11.0</v>
      </c>
      <c r="U305" s="86">
        <v>0.5</v>
      </c>
      <c r="V305" s="86">
        <v>1000.0</v>
      </c>
      <c r="W305" s="86">
        <v>3485.0</v>
      </c>
      <c r="X305" s="86">
        <v>1.0</v>
      </c>
      <c r="Y305" s="86">
        <v>2006.0</v>
      </c>
      <c r="Z305" s="86">
        <v>1.0</v>
      </c>
      <c r="AA305" s="86">
        <v>0.03</v>
      </c>
    </row>
    <row r="306" ht="12.75" customHeight="1">
      <c r="A306" s="86">
        <v>1304.0</v>
      </c>
      <c r="B306" s="86" t="s">
        <v>4286</v>
      </c>
      <c r="C306" s="86">
        <v>150.0</v>
      </c>
      <c r="D306" s="86" t="s">
        <v>3654</v>
      </c>
      <c r="E306" s="86">
        <v>1.0</v>
      </c>
      <c r="F306" s="86">
        <v>0.101</v>
      </c>
      <c r="G306" s="86">
        <v>8001.0</v>
      </c>
      <c r="H306" s="86">
        <v>225.0</v>
      </c>
      <c r="I306" s="86">
        <v>1.0</v>
      </c>
      <c r="J306" s="86">
        <v>8000.0</v>
      </c>
      <c r="K306" s="86">
        <v>335.0</v>
      </c>
      <c r="L306" s="86">
        <v>1.0</v>
      </c>
      <c r="M306" s="86">
        <v>2007.0</v>
      </c>
      <c r="N306" s="86">
        <v>1.0</v>
      </c>
      <c r="O306" s="141">
        <v>0.25</v>
      </c>
      <c r="P306" s="86">
        <v>9000.0</v>
      </c>
      <c r="Q306" s="86">
        <v>82.0</v>
      </c>
      <c r="R306" s="86">
        <v>1.0</v>
      </c>
      <c r="S306" s="86" t="s">
        <v>3657</v>
      </c>
      <c r="T306" s="86">
        <v>11.0</v>
      </c>
      <c r="U306" s="86">
        <v>0.5</v>
      </c>
      <c r="V306" s="86">
        <v>1000.0</v>
      </c>
      <c r="W306" s="86">
        <v>3500.0</v>
      </c>
      <c r="X306" s="86">
        <v>1.0</v>
      </c>
      <c r="Y306" s="86">
        <v>2006.0</v>
      </c>
      <c r="Z306" s="86">
        <v>1.0</v>
      </c>
      <c r="AA306" s="86">
        <v>0.03</v>
      </c>
    </row>
    <row r="307" ht="12.75" customHeight="1">
      <c r="A307" s="86">
        <v>1305.0</v>
      </c>
      <c r="B307" s="86" t="s">
        <v>4287</v>
      </c>
      <c r="C307" s="86">
        <v>150.0</v>
      </c>
      <c r="D307" s="86" t="s">
        <v>3654</v>
      </c>
      <c r="E307" s="86">
        <v>1.0</v>
      </c>
      <c r="F307" s="86">
        <v>0.101</v>
      </c>
      <c r="G307" s="86">
        <v>8001.0</v>
      </c>
      <c r="H307" s="86">
        <v>225.0</v>
      </c>
      <c r="I307" s="86">
        <v>1.0</v>
      </c>
      <c r="J307" s="86">
        <v>8000.0</v>
      </c>
      <c r="K307" s="86">
        <v>335.0</v>
      </c>
      <c r="L307" s="86">
        <v>1.0</v>
      </c>
      <c r="M307" s="86">
        <v>2007.0</v>
      </c>
      <c r="N307" s="86">
        <v>1.0</v>
      </c>
      <c r="O307" s="141">
        <v>0.25</v>
      </c>
      <c r="P307" s="86">
        <v>9000.0</v>
      </c>
      <c r="Q307" s="86">
        <v>82.0</v>
      </c>
      <c r="R307" s="86">
        <v>1.0</v>
      </c>
      <c r="S307" s="86" t="s">
        <v>3657</v>
      </c>
      <c r="T307" s="86">
        <v>11.0</v>
      </c>
      <c r="U307" s="86">
        <v>0.5</v>
      </c>
      <c r="V307" s="86">
        <v>1000.0</v>
      </c>
      <c r="W307" s="86">
        <v>3515.0</v>
      </c>
      <c r="X307" s="86">
        <v>1.0</v>
      </c>
      <c r="Y307" s="86">
        <v>2006.0</v>
      </c>
      <c r="Z307" s="86">
        <v>1.0</v>
      </c>
      <c r="AA307" s="86">
        <v>0.03</v>
      </c>
    </row>
    <row r="308" ht="12.75" customHeight="1">
      <c r="A308" s="86">
        <v>1306.0</v>
      </c>
      <c r="B308" s="86" t="s">
        <v>4289</v>
      </c>
      <c r="C308" s="86">
        <v>150.0</v>
      </c>
      <c r="D308" s="86" t="s">
        <v>3654</v>
      </c>
      <c r="E308" s="86">
        <v>1.0</v>
      </c>
      <c r="F308" s="86">
        <v>0.102</v>
      </c>
      <c r="G308" s="86">
        <v>8001.0</v>
      </c>
      <c r="H308" s="86">
        <v>225.0</v>
      </c>
      <c r="I308" s="86">
        <v>1.0</v>
      </c>
      <c r="J308" s="86">
        <v>8000.0</v>
      </c>
      <c r="K308" s="86">
        <v>340.0</v>
      </c>
      <c r="L308" s="86">
        <v>1.0</v>
      </c>
      <c r="M308" s="86">
        <v>2007.0</v>
      </c>
      <c r="N308" s="86">
        <v>1.0</v>
      </c>
      <c r="O308" s="141">
        <v>0.25</v>
      </c>
      <c r="P308" s="86">
        <v>9000.0</v>
      </c>
      <c r="Q308" s="86">
        <v>82.0</v>
      </c>
      <c r="R308" s="86">
        <v>1.0</v>
      </c>
      <c r="S308" s="86" t="s">
        <v>3657</v>
      </c>
      <c r="T308" s="86">
        <v>11.0</v>
      </c>
      <c r="U308" s="86">
        <v>0.5</v>
      </c>
      <c r="V308" s="86">
        <v>1000.0</v>
      </c>
      <c r="W308" s="86">
        <v>3530.0</v>
      </c>
      <c r="X308" s="86">
        <v>1.0</v>
      </c>
      <c r="Y308" s="86">
        <v>2006.0</v>
      </c>
      <c r="Z308" s="86">
        <v>1.0</v>
      </c>
      <c r="AA308" s="86">
        <v>0.03</v>
      </c>
    </row>
    <row r="309" ht="12.75" customHeight="1">
      <c r="A309" s="86">
        <v>1307.0</v>
      </c>
      <c r="B309" s="86" t="s">
        <v>4291</v>
      </c>
      <c r="C309" s="86">
        <v>150.0</v>
      </c>
      <c r="D309" s="86" t="s">
        <v>3654</v>
      </c>
      <c r="E309" s="86">
        <v>1.0</v>
      </c>
      <c r="F309" s="86">
        <v>0.102</v>
      </c>
      <c r="G309" s="86">
        <v>8001.0</v>
      </c>
      <c r="H309" s="86">
        <v>225.0</v>
      </c>
      <c r="I309" s="86">
        <v>1.0</v>
      </c>
      <c r="J309" s="86">
        <v>8000.0</v>
      </c>
      <c r="K309" s="86">
        <v>340.0</v>
      </c>
      <c r="L309" s="86">
        <v>1.0</v>
      </c>
      <c r="M309" s="86">
        <v>2007.0</v>
      </c>
      <c r="N309" s="86">
        <v>1.0</v>
      </c>
      <c r="O309" s="141">
        <v>0.25</v>
      </c>
      <c r="P309" s="86">
        <v>9000.0</v>
      </c>
      <c r="Q309" s="86">
        <v>83.0</v>
      </c>
      <c r="R309" s="86">
        <v>1.0</v>
      </c>
      <c r="S309" s="86" t="s">
        <v>3657</v>
      </c>
      <c r="T309" s="86">
        <v>11.0</v>
      </c>
      <c r="U309" s="86">
        <v>0.5</v>
      </c>
      <c r="V309" s="86">
        <v>1000.0</v>
      </c>
      <c r="W309" s="86">
        <v>3545.0</v>
      </c>
      <c r="X309" s="86">
        <v>1.0</v>
      </c>
      <c r="Y309" s="86">
        <v>2006.0</v>
      </c>
      <c r="Z309" s="86">
        <v>1.0</v>
      </c>
      <c r="AA309" s="86">
        <v>0.03</v>
      </c>
    </row>
    <row r="310" ht="12.75" customHeight="1">
      <c r="A310" s="86">
        <v>1308.0</v>
      </c>
      <c r="B310" s="86" t="s">
        <v>4244</v>
      </c>
      <c r="C310" s="86">
        <v>150.0</v>
      </c>
      <c r="D310" s="86" t="s">
        <v>3654</v>
      </c>
      <c r="E310" s="86">
        <v>1.0</v>
      </c>
      <c r="F310" s="86">
        <v>0.102</v>
      </c>
      <c r="G310" s="86">
        <v>8001.0</v>
      </c>
      <c r="H310" s="86">
        <v>230.0</v>
      </c>
      <c r="I310" s="86">
        <v>1.0</v>
      </c>
      <c r="J310" s="86">
        <v>8000.0</v>
      </c>
      <c r="K310" s="86">
        <v>340.0</v>
      </c>
      <c r="L310" s="86">
        <v>1.0</v>
      </c>
      <c r="M310" s="86">
        <v>2007.0</v>
      </c>
      <c r="N310" s="86">
        <v>1.0</v>
      </c>
      <c r="O310" s="141">
        <v>0.25</v>
      </c>
      <c r="P310" s="86">
        <v>9000.0</v>
      </c>
      <c r="Q310" s="86">
        <v>83.0</v>
      </c>
      <c r="R310" s="86">
        <v>1.0</v>
      </c>
      <c r="S310" s="86" t="s">
        <v>3657</v>
      </c>
      <c r="T310" s="86">
        <v>11.0</v>
      </c>
      <c r="U310" s="86">
        <v>0.5</v>
      </c>
      <c r="V310" s="86">
        <v>1000.0</v>
      </c>
      <c r="W310" s="86">
        <v>3555.0</v>
      </c>
      <c r="X310" s="86">
        <v>1.0</v>
      </c>
      <c r="Y310" s="86">
        <v>2006.0</v>
      </c>
      <c r="Z310" s="86">
        <v>1.0</v>
      </c>
      <c r="AA310" s="86">
        <v>0.03</v>
      </c>
    </row>
    <row r="311" ht="12.75" customHeight="1">
      <c r="A311" s="86">
        <v>1309.0</v>
      </c>
      <c r="B311" s="86" t="s">
        <v>4294</v>
      </c>
      <c r="C311" s="86">
        <v>150.0</v>
      </c>
      <c r="D311" s="86" t="s">
        <v>3654</v>
      </c>
      <c r="E311" s="86">
        <v>1.0</v>
      </c>
      <c r="F311" s="86">
        <v>0.102</v>
      </c>
      <c r="G311" s="86">
        <v>8001.0</v>
      </c>
      <c r="H311" s="86">
        <v>230.0</v>
      </c>
      <c r="I311" s="86">
        <v>1.0</v>
      </c>
      <c r="J311" s="86">
        <v>8000.0</v>
      </c>
      <c r="K311" s="86">
        <v>345.0</v>
      </c>
      <c r="L311" s="86">
        <v>1.0</v>
      </c>
      <c r="M311" s="86">
        <v>2007.0</v>
      </c>
      <c r="N311" s="86">
        <v>1.0</v>
      </c>
      <c r="O311" s="141">
        <v>0.25</v>
      </c>
      <c r="P311" s="86">
        <v>9000.0</v>
      </c>
      <c r="Q311" s="86">
        <v>83.0</v>
      </c>
      <c r="R311" s="86">
        <v>1.0</v>
      </c>
      <c r="S311" s="86" t="s">
        <v>3657</v>
      </c>
      <c r="T311" s="86">
        <v>11.0</v>
      </c>
      <c r="U311" s="86">
        <v>0.5</v>
      </c>
      <c r="V311" s="86">
        <v>1000.0</v>
      </c>
      <c r="W311" s="86">
        <v>3570.0</v>
      </c>
      <c r="X311" s="86">
        <v>1.0</v>
      </c>
      <c r="Y311" s="86">
        <v>2006.0</v>
      </c>
      <c r="Z311" s="86">
        <v>1.0</v>
      </c>
      <c r="AA311" s="86">
        <v>0.03</v>
      </c>
    </row>
    <row r="312" ht="12.75" customHeight="1">
      <c r="A312" s="86">
        <v>1310.0</v>
      </c>
      <c r="B312" s="86" t="s">
        <v>4295</v>
      </c>
      <c r="C312" s="86">
        <v>150.0</v>
      </c>
      <c r="D312" s="86" t="s">
        <v>3654</v>
      </c>
      <c r="E312" s="86">
        <v>1.0</v>
      </c>
      <c r="F312" s="86">
        <v>0.103</v>
      </c>
      <c r="G312" s="86">
        <v>8001.0</v>
      </c>
      <c r="H312" s="86">
        <v>230.0</v>
      </c>
      <c r="I312" s="86">
        <v>1.0</v>
      </c>
      <c r="J312" s="86">
        <v>8000.0</v>
      </c>
      <c r="K312" s="86">
        <v>345.0</v>
      </c>
      <c r="L312" s="86">
        <v>1.0</v>
      </c>
      <c r="M312" s="86">
        <v>2007.0</v>
      </c>
      <c r="N312" s="86">
        <v>1.0</v>
      </c>
      <c r="O312" s="141">
        <v>0.25</v>
      </c>
      <c r="P312" s="86">
        <v>9000.0</v>
      </c>
      <c r="Q312" s="86">
        <v>84.0</v>
      </c>
      <c r="R312" s="86">
        <v>1.0</v>
      </c>
      <c r="S312" s="86" t="s">
        <v>3657</v>
      </c>
      <c r="T312" s="86">
        <v>11.0</v>
      </c>
      <c r="U312" s="86">
        <v>0.5</v>
      </c>
      <c r="V312" s="86">
        <v>1000.0</v>
      </c>
      <c r="W312" s="86">
        <v>3585.0</v>
      </c>
      <c r="X312" s="86">
        <v>1.0</v>
      </c>
      <c r="Y312" s="86">
        <v>2006.0</v>
      </c>
      <c r="Z312" s="86">
        <v>1.0</v>
      </c>
      <c r="AA312" s="86">
        <v>0.03</v>
      </c>
    </row>
    <row r="313" ht="12.75" customHeight="1">
      <c r="A313" s="86">
        <v>1311.0</v>
      </c>
      <c r="B313" s="86" t="s">
        <v>4296</v>
      </c>
      <c r="C313" s="86">
        <v>150.0</v>
      </c>
      <c r="D313" s="86" t="s">
        <v>3654</v>
      </c>
      <c r="E313" s="86">
        <v>1.0</v>
      </c>
      <c r="F313" s="86">
        <v>0.103</v>
      </c>
      <c r="G313" s="86">
        <v>8001.0</v>
      </c>
      <c r="H313" s="86">
        <v>230.0</v>
      </c>
      <c r="I313" s="86">
        <v>1.0</v>
      </c>
      <c r="J313" s="86">
        <v>8000.0</v>
      </c>
      <c r="K313" s="86">
        <v>345.0</v>
      </c>
      <c r="L313" s="86">
        <v>1.0</v>
      </c>
      <c r="M313" s="86">
        <v>2007.0</v>
      </c>
      <c r="N313" s="86">
        <v>1.0</v>
      </c>
      <c r="O313" s="141">
        <v>0.25</v>
      </c>
      <c r="P313" s="86">
        <v>9000.0</v>
      </c>
      <c r="Q313" s="86">
        <v>84.0</v>
      </c>
      <c r="R313" s="86">
        <v>1.0</v>
      </c>
      <c r="S313" s="86" t="s">
        <v>3657</v>
      </c>
      <c r="T313" s="86">
        <v>12.0</v>
      </c>
      <c r="U313" s="86">
        <v>0.5</v>
      </c>
      <c r="V313" s="86">
        <v>1000.0</v>
      </c>
      <c r="W313" s="86">
        <v>3600.0</v>
      </c>
      <c r="X313" s="86">
        <v>1.0</v>
      </c>
      <c r="Y313" s="86">
        <v>2006.0</v>
      </c>
      <c r="Z313" s="86">
        <v>1.0</v>
      </c>
      <c r="AA313" s="86">
        <v>0.03</v>
      </c>
    </row>
    <row r="314" ht="12.75" customHeight="1">
      <c r="A314" s="86">
        <v>1312.0</v>
      </c>
      <c r="B314" s="86" t="s">
        <v>4297</v>
      </c>
      <c r="C314" s="86">
        <v>150.0</v>
      </c>
      <c r="D314" s="86" t="s">
        <v>3654</v>
      </c>
      <c r="E314" s="86">
        <v>1.0</v>
      </c>
      <c r="F314" s="86">
        <v>0.103</v>
      </c>
      <c r="G314" s="86">
        <v>8001.0</v>
      </c>
      <c r="H314" s="86">
        <v>230.0</v>
      </c>
      <c r="I314" s="86">
        <v>1.0</v>
      </c>
      <c r="J314" s="86">
        <v>8000.0</v>
      </c>
      <c r="K314" s="86">
        <v>345.0</v>
      </c>
      <c r="L314" s="86">
        <v>1.0</v>
      </c>
      <c r="M314" s="86">
        <v>2007.0</v>
      </c>
      <c r="N314" s="86">
        <v>1.0</v>
      </c>
      <c r="O314" s="141">
        <v>0.25</v>
      </c>
      <c r="P314" s="86">
        <v>9000.0</v>
      </c>
      <c r="Q314" s="86">
        <v>84.0</v>
      </c>
      <c r="R314" s="86">
        <v>1.0</v>
      </c>
      <c r="S314" s="86" t="s">
        <v>3657</v>
      </c>
      <c r="T314" s="86">
        <v>12.0</v>
      </c>
      <c r="U314" s="86">
        <v>0.5</v>
      </c>
      <c r="V314" s="86">
        <v>1000.0</v>
      </c>
      <c r="W314" s="86">
        <v>3615.0</v>
      </c>
      <c r="X314" s="86">
        <v>1.0</v>
      </c>
      <c r="Y314" s="86">
        <v>2006.0</v>
      </c>
      <c r="Z314" s="86">
        <v>1.0</v>
      </c>
      <c r="AA314" s="86">
        <v>0.03</v>
      </c>
    </row>
    <row r="315" ht="12.75" customHeight="1">
      <c r="A315" s="86">
        <v>1313.0</v>
      </c>
      <c r="B315" s="86" t="s">
        <v>4298</v>
      </c>
      <c r="C315" s="86">
        <v>150.0</v>
      </c>
      <c r="D315" s="86" t="s">
        <v>3654</v>
      </c>
      <c r="E315" s="86">
        <v>1.0</v>
      </c>
      <c r="F315" s="86">
        <v>0.103</v>
      </c>
      <c r="G315" s="86">
        <v>8001.0</v>
      </c>
      <c r="H315" s="86">
        <v>230.0</v>
      </c>
      <c r="I315" s="86">
        <v>1.0</v>
      </c>
      <c r="J315" s="86">
        <v>8000.0</v>
      </c>
      <c r="K315" s="86">
        <v>350.0</v>
      </c>
      <c r="L315" s="86">
        <v>1.0</v>
      </c>
      <c r="M315" s="86">
        <v>2007.0</v>
      </c>
      <c r="N315" s="86">
        <v>1.0</v>
      </c>
      <c r="O315" s="141">
        <v>0.25</v>
      </c>
      <c r="P315" s="86">
        <v>9000.0</v>
      </c>
      <c r="Q315" s="86">
        <v>85.0</v>
      </c>
      <c r="R315" s="86">
        <v>1.0</v>
      </c>
      <c r="S315" s="86" t="s">
        <v>3657</v>
      </c>
      <c r="T315" s="86">
        <v>12.0</v>
      </c>
      <c r="U315" s="86">
        <v>0.5</v>
      </c>
      <c r="V315" s="86">
        <v>1000.0</v>
      </c>
      <c r="W315" s="86">
        <v>3630.0</v>
      </c>
      <c r="X315" s="86">
        <v>1.0</v>
      </c>
      <c r="Y315" s="86">
        <v>2006.0</v>
      </c>
      <c r="Z315" s="86">
        <v>1.0</v>
      </c>
      <c r="AA315" s="86">
        <v>0.03</v>
      </c>
    </row>
    <row r="316" ht="12.75" customHeight="1">
      <c r="A316" s="86">
        <v>1314.0</v>
      </c>
      <c r="B316" s="86" t="s">
        <v>4299</v>
      </c>
      <c r="C316" s="86">
        <v>150.0</v>
      </c>
      <c r="D316" s="86" t="s">
        <v>3654</v>
      </c>
      <c r="E316" s="86">
        <v>1.0</v>
      </c>
      <c r="F316" s="86">
        <v>0.104</v>
      </c>
      <c r="G316" s="86">
        <v>8001.0</v>
      </c>
      <c r="H316" s="86">
        <v>235.0</v>
      </c>
      <c r="I316" s="86">
        <v>1.0</v>
      </c>
      <c r="J316" s="86">
        <v>8000.0</v>
      </c>
      <c r="K316" s="86">
        <v>350.0</v>
      </c>
      <c r="L316" s="86">
        <v>1.0</v>
      </c>
      <c r="M316" s="86">
        <v>2007.0</v>
      </c>
      <c r="N316" s="86">
        <v>1.0</v>
      </c>
      <c r="O316" s="141">
        <v>0.25</v>
      </c>
      <c r="P316" s="86">
        <v>9000.0</v>
      </c>
      <c r="Q316" s="86">
        <v>85.0</v>
      </c>
      <c r="R316" s="86">
        <v>1.0</v>
      </c>
      <c r="S316" s="86" t="s">
        <v>3657</v>
      </c>
      <c r="T316" s="86">
        <v>12.0</v>
      </c>
      <c r="U316" s="86">
        <v>0.5</v>
      </c>
      <c r="V316" s="86">
        <v>1000.0</v>
      </c>
      <c r="W316" s="86">
        <v>3640.0</v>
      </c>
      <c r="X316" s="86">
        <v>1.0</v>
      </c>
      <c r="Y316" s="86">
        <v>2006.0</v>
      </c>
      <c r="Z316" s="86">
        <v>1.0</v>
      </c>
      <c r="AA316" s="86">
        <v>0.03</v>
      </c>
    </row>
    <row r="317" ht="12.75" customHeight="1">
      <c r="A317" s="86">
        <v>1315.0</v>
      </c>
      <c r="B317" s="86" t="s">
        <v>4300</v>
      </c>
      <c r="C317" s="86">
        <v>150.0</v>
      </c>
      <c r="D317" s="86" t="s">
        <v>3654</v>
      </c>
      <c r="E317" s="86">
        <v>1.0</v>
      </c>
      <c r="F317" s="86">
        <v>0.104</v>
      </c>
      <c r="G317" s="86">
        <v>8001.0</v>
      </c>
      <c r="H317" s="86">
        <v>235.0</v>
      </c>
      <c r="I317" s="86">
        <v>1.0</v>
      </c>
      <c r="J317" s="86">
        <v>8000.0</v>
      </c>
      <c r="K317" s="86">
        <v>350.0</v>
      </c>
      <c r="L317" s="86">
        <v>1.0</v>
      </c>
      <c r="M317" s="86">
        <v>2007.0</v>
      </c>
      <c r="N317" s="86">
        <v>1.0</v>
      </c>
      <c r="O317" s="141">
        <v>0.25</v>
      </c>
      <c r="P317" s="86">
        <v>9000.0</v>
      </c>
      <c r="Q317" s="86">
        <v>85.0</v>
      </c>
      <c r="R317" s="86">
        <v>1.0</v>
      </c>
      <c r="S317" s="86" t="s">
        <v>3657</v>
      </c>
      <c r="T317" s="86">
        <v>12.0</v>
      </c>
      <c r="U317" s="86">
        <v>0.5</v>
      </c>
      <c r="V317" s="86">
        <v>1000.0</v>
      </c>
      <c r="W317" s="86">
        <v>3655.0</v>
      </c>
      <c r="X317" s="86">
        <v>1.0</v>
      </c>
      <c r="Y317" s="86">
        <v>2006.0</v>
      </c>
      <c r="Z317" s="86">
        <v>1.0</v>
      </c>
      <c r="AA317" s="86">
        <v>0.03</v>
      </c>
    </row>
    <row r="318" ht="12.75" customHeight="1">
      <c r="A318" s="86">
        <v>1316.0</v>
      </c>
      <c r="B318" s="86" t="s">
        <v>4302</v>
      </c>
      <c r="C318" s="86">
        <v>150.0</v>
      </c>
      <c r="D318" s="86" t="s">
        <v>3654</v>
      </c>
      <c r="E318" s="86">
        <v>1.0</v>
      </c>
      <c r="F318" s="86">
        <v>0.104</v>
      </c>
      <c r="G318" s="86">
        <v>8001.0</v>
      </c>
      <c r="H318" s="86">
        <v>235.0</v>
      </c>
      <c r="I318" s="86">
        <v>1.0</v>
      </c>
      <c r="J318" s="86">
        <v>8000.0</v>
      </c>
      <c r="K318" s="86">
        <v>350.0</v>
      </c>
      <c r="L318" s="86">
        <v>1.0</v>
      </c>
      <c r="M318" s="86">
        <v>2007.0</v>
      </c>
      <c r="N318" s="86">
        <v>1.0</v>
      </c>
      <c r="O318" s="141">
        <v>0.25</v>
      </c>
      <c r="P318" s="86">
        <v>9000.0</v>
      </c>
      <c r="Q318" s="86">
        <v>86.0</v>
      </c>
      <c r="R318" s="86">
        <v>1.0</v>
      </c>
      <c r="S318" s="86" t="s">
        <v>3657</v>
      </c>
      <c r="T318" s="86">
        <v>12.0</v>
      </c>
      <c r="U318" s="86">
        <v>0.5</v>
      </c>
      <c r="V318" s="86">
        <v>1000.0</v>
      </c>
      <c r="W318" s="86">
        <v>3670.0</v>
      </c>
      <c r="X318" s="86">
        <v>1.0</v>
      </c>
      <c r="Y318" s="86">
        <v>2006.0</v>
      </c>
      <c r="Z318" s="86">
        <v>1.0</v>
      </c>
      <c r="AA318" s="86">
        <v>0.03</v>
      </c>
    </row>
    <row r="319" ht="12.75" customHeight="1">
      <c r="A319" s="86">
        <v>1317.0</v>
      </c>
      <c r="B319" s="86" t="s">
        <v>4303</v>
      </c>
      <c r="C319" s="86">
        <v>150.0</v>
      </c>
      <c r="D319" s="86" t="s">
        <v>3654</v>
      </c>
      <c r="E319" s="86">
        <v>1.0</v>
      </c>
      <c r="F319" s="86">
        <v>0.104</v>
      </c>
      <c r="G319" s="86">
        <v>8001.0</v>
      </c>
      <c r="H319" s="86">
        <v>235.0</v>
      </c>
      <c r="I319" s="86">
        <v>1.0</v>
      </c>
      <c r="J319" s="86">
        <v>8000.0</v>
      </c>
      <c r="K319" s="86">
        <v>355.0</v>
      </c>
      <c r="L319" s="86">
        <v>1.0</v>
      </c>
      <c r="M319" s="86">
        <v>2007.0</v>
      </c>
      <c r="N319" s="86">
        <v>1.0</v>
      </c>
      <c r="O319" s="141">
        <v>0.25</v>
      </c>
      <c r="P319" s="86">
        <v>9000.0</v>
      </c>
      <c r="Q319" s="86">
        <v>86.0</v>
      </c>
      <c r="R319" s="86">
        <v>1.0</v>
      </c>
      <c r="S319" s="86" t="s">
        <v>3657</v>
      </c>
      <c r="T319" s="86">
        <v>12.0</v>
      </c>
      <c r="U319" s="86">
        <v>0.5</v>
      </c>
      <c r="V319" s="86">
        <v>1000.0</v>
      </c>
      <c r="W319" s="86">
        <v>3685.0</v>
      </c>
      <c r="X319" s="86">
        <v>1.0</v>
      </c>
      <c r="Y319" s="86">
        <v>2006.0</v>
      </c>
      <c r="Z319" s="86">
        <v>1.0</v>
      </c>
      <c r="AA319" s="86">
        <v>0.03</v>
      </c>
    </row>
    <row r="320" ht="12.75" customHeight="1">
      <c r="A320" s="86">
        <v>1318.0</v>
      </c>
      <c r="B320" s="86" t="s">
        <v>4296</v>
      </c>
      <c r="C320" s="86">
        <v>150.0</v>
      </c>
      <c r="D320" s="86" t="s">
        <v>3654</v>
      </c>
      <c r="E320" s="86">
        <v>1.0</v>
      </c>
      <c r="F320" s="86">
        <v>0.105</v>
      </c>
      <c r="G320" s="86">
        <v>8001.0</v>
      </c>
      <c r="H320" s="86">
        <v>235.0</v>
      </c>
      <c r="I320" s="86">
        <v>1.0</v>
      </c>
      <c r="J320" s="86">
        <v>8000.0</v>
      </c>
      <c r="K320" s="86">
        <v>355.0</v>
      </c>
      <c r="L320" s="86">
        <v>1.0</v>
      </c>
      <c r="M320" s="86">
        <v>2007.0</v>
      </c>
      <c r="N320" s="86">
        <v>1.0</v>
      </c>
      <c r="O320" s="141">
        <v>0.25</v>
      </c>
      <c r="P320" s="86">
        <v>9000.0</v>
      </c>
      <c r="Q320" s="86">
        <v>86.0</v>
      </c>
      <c r="R320" s="86">
        <v>1.0</v>
      </c>
      <c r="S320" s="86" t="s">
        <v>3657</v>
      </c>
      <c r="T320" s="86">
        <v>12.0</v>
      </c>
      <c r="U320" s="86">
        <v>0.5</v>
      </c>
      <c r="V320" s="86">
        <v>1000.0</v>
      </c>
      <c r="W320" s="86">
        <v>3700.0</v>
      </c>
      <c r="X320" s="86">
        <v>1.0</v>
      </c>
      <c r="Y320" s="86">
        <v>2006.0</v>
      </c>
      <c r="Z320" s="86">
        <v>1.0</v>
      </c>
      <c r="AA320" s="86">
        <v>0.03</v>
      </c>
    </row>
    <row r="321" ht="12.75" customHeight="1">
      <c r="A321" s="86">
        <v>1319.0</v>
      </c>
      <c r="B321" s="86" t="s">
        <v>4304</v>
      </c>
      <c r="C321" s="86">
        <v>150.0</v>
      </c>
      <c r="D321" s="86" t="s">
        <v>3654</v>
      </c>
      <c r="E321" s="86">
        <v>1.0</v>
      </c>
      <c r="F321" s="86">
        <v>0.105</v>
      </c>
      <c r="G321" s="86">
        <v>8001.0</v>
      </c>
      <c r="H321" s="86">
        <v>240.0</v>
      </c>
      <c r="I321" s="86">
        <v>1.0</v>
      </c>
      <c r="J321" s="86">
        <v>8000.0</v>
      </c>
      <c r="K321" s="86">
        <v>355.0</v>
      </c>
      <c r="L321" s="86">
        <v>1.0</v>
      </c>
      <c r="M321" s="86">
        <v>2007.0</v>
      </c>
      <c r="N321" s="86">
        <v>1.0</v>
      </c>
      <c r="O321" s="141">
        <v>0.25</v>
      </c>
      <c r="P321" s="86">
        <v>9000.0</v>
      </c>
      <c r="Q321" s="86">
        <v>87.0</v>
      </c>
      <c r="R321" s="86">
        <v>1.0</v>
      </c>
      <c r="S321" s="86" t="s">
        <v>3657</v>
      </c>
      <c r="T321" s="86">
        <v>12.0</v>
      </c>
      <c r="U321" s="86">
        <v>0.5</v>
      </c>
      <c r="V321" s="86">
        <v>1000.0</v>
      </c>
      <c r="W321" s="86">
        <v>3710.0</v>
      </c>
      <c r="X321" s="86">
        <v>1.0</v>
      </c>
      <c r="Y321" s="86">
        <v>2006.0</v>
      </c>
      <c r="Z321" s="86">
        <v>1.0</v>
      </c>
      <c r="AA321" s="86">
        <v>0.03</v>
      </c>
    </row>
    <row r="322" ht="12.75" customHeight="1">
      <c r="A322" s="86">
        <v>1320.0</v>
      </c>
      <c r="B322" s="86" t="s">
        <v>4305</v>
      </c>
      <c r="C322" s="86">
        <v>150.0</v>
      </c>
      <c r="D322" s="86" t="s">
        <v>3654</v>
      </c>
      <c r="E322" s="86">
        <v>1.0</v>
      </c>
      <c r="F322" s="86">
        <v>0.105</v>
      </c>
      <c r="G322" s="86">
        <v>8001.0</v>
      </c>
      <c r="H322" s="86">
        <v>240.0</v>
      </c>
      <c r="I322" s="86">
        <v>1.0</v>
      </c>
      <c r="J322" s="86">
        <v>8000.0</v>
      </c>
      <c r="K322" s="86">
        <v>360.0</v>
      </c>
      <c r="L322" s="86">
        <v>1.0</v>
      </c>
      <c r="M322" s="86">
        <v>2007.0</v>
      </c>
      <c r="N322" s="86">
        <v>1.0</v>
      </c>
      <c r="O322" s="141">
        <v>0.25</v>
      </c>
      <c r="P322" s="86">
        <v>9000.0</v>
      </c>
      <c r="Q322" s="86">
        <v>87.0</v>
      </c>
      <c r="R322" s="86">
        <v>1.0</v>
      </c>
      <c r="S322" s="86" t="s">
        <v>3657</v>
      </c>
      <c r="T322" s="86">
        <v>12.0</v>
      </c>
      <c r="U322" s="86">
        <v>0.5</v>
      </c>
      <c r="V322" s="86">
        <v>1000.0</v>
      </c>
      <c r="W322" s="86">
        <v>3725.0</v>
      </c>
      <c r="X322" s="86">
        <v>1.0</v>
      </c>
      <c r="Y322" s="86">
        <v>2006.0</v>
      </c>
      <c r="Z322" s="86">
        <v>1.0</v>
      </c>
      <c r="AA322" s="86">
        <v>0.03</v>
      </c>
    </row>
    <row r="323" ht="12.75" customHeight="1">
      <c r="A323" s="86">
        <v>1321.0</v>
      </c>
      <c r="B323" s="86" t="s">
        <v>4306</v>
      </c>
      <c r="C323" s="86">
        <v>150.0</v>
      </c>
      <c r="D323" s="86" t="s">
        <v>3654</v>
      </c>
      <c r="E323" s="86">
        <v>1.0</v>
      </c>
      <c r="F323" s="86">
        <v>0.105</v>
      </c>
      <c r="G323" s="86">
        <v>8001.0</v>
      </c>
      <c r="H323" s="86">
        <v>240.0</v>
      </c>
      <c r="I323" s="86">
        <v>1.0</v>
      </c>
      <c r="J323" s="86">
        <v>8000.0</v>
      </c>
      <c r="K323" s="86">
        <v>360.0</v>
      </c>
      <c r="L323" s="86">
        <v>1.0</v>
      </c>
      <c r="M323" s="86">
        <v>2007.0</v>
      </c>
      <c r="N323" s="86">
        <v>1.0</v>
      </c>
      <c r="O323" s="141">
        <v>0.25</v>
      </c>
      <c r="P323" s="86">
        <v>9000.0</v>
      </c>
      <c r="Q323" s="86">
        <v>88.0</v>
      </c>
      <c r="R323" s="86">
        <v>1.0</v>
      </c>
      <c r="S323" s="86" t="s">
        <v>3657</v>
      </c>
      <c r="T323" s="86">
        <v>12.0</v>
      </c>
      <c r="U323" s="86">
        <v>0.5</v>
      </c>
      <c r="V323" s="86">
        <v>1000.0</v>
      </c>
      <c r="W323" s="86">
        <v>3740.0</v>
      </c>
      <c r="X323" s="86">
        <v>1.0</v>
      </c>
      <c r="Y323" s="86">
        <v>2006.0</v>
      </c>
      <c r="Z323" s="86">
        <v>1.0</v>
      </c>
      <c r="AA323" s="86">
        <v>0.03</v>
      </c>
    </row>
    <row r="324" ht="12.75" customHeight="1">
      <c r="A324" s="86">
        <v>1322.0</v>
      </c>
      <c r="B324" s="86" t="s">
        <v>4307</v>
      </c>
      <c r="C324" s="86">
        <v>150.0</v>
      </c>
      <c r="D324" s="86" t="s">
        <v>3654</v>
      </c>
      <c r="E324" s="86">
        <v>1.0</v>
      </c>
      <c r="F324" s="86">
        <v>0.106</v>
      </c>
      <c r="G324" s="86">
        <v>8001.0</v>
      </c>
      <c r="H324" s="86">
        <v>240.0</v>
      </c>
      <c r="I324" s="86">
        <v>1.0</v>
      </c>
      <c r="J324" s="86">
        <v>8000.0</v>
      </c>
      <c r="K324" s="86">
        <v>360.0</v>
      </c>
      <c r="L324" s="86">
        <v>1.0</v>
      </c>
      <c r="M324" s="86">
        <v>2007.0</v>
      </c>
      <c r="N324" s="86">
        <v>1.0</v>
      </c>
      <c r="O324" s="141">
        <v>0.25</v>
      </c>
      <c r="P324" s="86">
        <v>9000.0</v>
      </c>
      <c r="Q324" s="86">
        <v>88.0</v>
      </c>
      <c r="R324" s="86">
        <v>1.0</v>
      </c>
      <c r="S324" s="86" t="s">
        <v>3657</v>
      </c>
      <c r="T324" s="86">
        <v>12.0</v>
      </c>
      <c r="U324" s="86">
        <v>0.5</v>
      </c>
      <c r="V324" s="86">
        <v>1000.0</v>
      </c>
      <c r="W324" s="86">
        <v>3755.0</v>
      </c>
      <c r="X324" s="86">
        <v>1.0</v>
      </c>
      <c r="Y324" s="86">
        <v>2006.0</v>
      </c>
      <c r="Z324" s="86">
        <v>1.0</v>
      </c>
      <c r="AA324" s="86">
        <v>0.03</v>
      </c>
    </row>
    <row r="325" ht="12.75" customHeight="1">
      <c r="A325" s="86">
        <v>1323.0</v>
      </c>
      <c r="B325" s="86" t="s">
        <v>4308</v>
      </c>
      <c r="C325" s="86">
        <v>150.0</v>
      </c>
      <c r="D325" s="86" t="s">
        <v>3654</v>
      </c>
      <c r="E325" s="86">
        <v>1.0</v>
      </c>
      <c r="F325" s="86">
        <v>0.106</v>
      </c>
      <c r="G325" s="86">
        <v>8001.0</v>
      </c>
      <c r="H325" s="86">
        <v>240.0</v>
      </c>
      <c r="I325" s="86">
        <v>1.0</v>
      </c>
      <c r="J325" s="86">
        <v>8000.0</v>
      </c>
      <c r="K325" s="86">
        <v>360.0</v>
      </c>
      <c r="L325" s="86">
        <v>1.0</v>
      </c>
      <c r="M325" s="86">
        <v>2007.0</v>
      </c>
      <c r="N325" s="86">
        <v>1.0</v>
      </c>
      <c r="O325" s="141">
        <v>0.25</v>
      </c>
      <c r="P325" s="86">
        <v>9000.0</v>
      </c>
      <c r="Q325" s="86">
        <v>88.0</v>
      </c>
      <c r="R325" s="86">
        <v>1.0</v>
      </c>
      <c r="S325" s="86" t="s">
        <v>3657</v>
      </c>
      <c r="T325" s="86">
        <v>12.0</v>
      </c>
      <c r="U325" s="86">
        <v>0.5</v>
      </c>
      <c r="V325" s="86">
        <v>1000.0</v>
      </c>
      <c r="W325" s="86">
        <v>3770.0</v>
      </c>
      <c r="X325" s="86">
        <v>1.0</v>
      </c>
      <c r="Y325" s="86">
        <v>2006.0</v>
      </c>
      <c r="Z325" s="86">
        <v>1.0</v>
      </c>
      <c r="AA325" s="86">
        <v>0.03</v>
      </c>
    </row>
    <row r="326" ht="12.75" customHeight="1">
      <c r="A326" s="86">
        <v>1324.0</v>
      </c>
      <c r="B326" s="86" t="s">
        <v>4309</v>
      </c>
      <c r="C326" s="86">
        <v>150.0</v>
      </c>
      <c r="D326" s="86" t="s">
        <v>3654</v>
      </c>
      <c r="E326" s="86">
        <v>1.0</v>
      </c>
      <c r="F326" s="86">
        <v>0.106</v>
      </c>
      <c r="G326" s="86">
        <v>8001.0</v>
      </c>
      <c r="H326" s="86">
        <v>240.0</v>
      </c>
      <c r="I326" s="86">
        <v>1.0</v>
      </c>
      <c r="J326" s="86">
        <v>8000.0</v>
      </c>
      <c r="K326" s="86">
        <v>365.0</v>
      </c>
      <c r="L326" s="86">
        <v>1.0</v>
      </c>
      <c r="M326" s="86">
        <v>2007.0</v>
      </c>
      <c r="N326" s="86">
        <v>1.0</v>
      </c>
      <c r="O326" s="141">
        <v>0.25</v>
      </c>
      <c r="P326" s="86">
        <v>9000.0</v>
      </c>
      <c r="Q326" s="86">
        <v>89.0</v>
      </c>
      <c r="R326" s="86">
        <v>1.0</v>
      </c>
      <c r="S326" s="86" t="s">
        <v>3657</v>
      </c>
      <c r="T326" s="86">
        <v>12.0</v>
      </c>
      <c r="U326" s="86">
        <v>0.5</v>
      </c>
      <c r="V326" s="86">
        <v>1000.0</v>
      </c>
      <c r="W326" s="86">
        <v>3780.0</v>
      </c>
      <c r="X326" s="86">
        <v>1.0</v>
      </c>
      <c r="Y326" s="86">
        <v>2006.0</v>
      </c>
      <c r="Z326" s="86">
        <v>1.0</v>
      </c>
      <c r="AA326" s="86">
        <v>0.03</v>
      </c>
    </row>
    <row r="327" ht="12.75" customHeight="1">
      <c r="A327" s="86">
        <v>1325.0</v>
      </c>
      <c r="B327" s="86" t="s">
        <v>4310</v>
      </c>
      <c r="C327" s="86">
        <v>150.0</v>
      </c>
      <c r="D327" s="86" t="s">
        <v>3654</v>
      </c>
      <c r="E327" s="86">
        <v>1.0</v>
      </c>
      <c r="F327" s="86">
        <v>0.106</v>
      </c>
      <c r="G327" s="86">
        <v>8001.0</v>
      </c>
      <c r="H327" s="86">
        <v>245.0</v>
      </c>
      <c r="I327" s="86">
        <v>1.0</v>
      </c>
      <c r="J327" s="86">
        <v>8000.0</v>
      </c>
      <c r="K327" s="86">
        <v>365.0</v>
      </c>
      <c r="L327" s="86">
        <v>1.0</v>
      </c>
      <c r="M327" s="86">
        <v>2007.0</v>
      </c>
      <c r="N327" s="86">
        <v>1.0</v>
      </c>
      <c r="O327" s="141">
        <v>0.25</v>
      </c>
      <c r="P327" s="86">
        <v>9000.0</v>
      </c>
      <c r="Q327" s="86">
        <v>89.0</v>
      </c>
      <c r="R327" s="86">
        <v>1.0</v>
      </c>
      <c r="S327" s="86" t="s">
        <v>3657</v>
      </c>
      <c r="T327" s="86">
        <v>12.0</v>
      </c>
      <c r="U327" s="86">
        <v>0.5</v>
      </c>
      <c r="V327" s="86">
        <v>1000.0</v>
      </c>
      <c r="W327" s="86">
        <v>3795.0</v>
      </c>
      <c r="X327" s="86">
        <v>1.0</v>
      </c>
      <c r="Y327" s="86">
        <v>2006.0</v>
      </c>
      <c r="Z327" s="86">
        <v>1.0</v>
      </c>
      <c r="AA327" s="86">
        <v>0.03</v>
      </c>
    </row>
    <row r="328" ht="12.75" customHeight="1">
      <c r="A328" s="86">
        <v>1326.0</v>
      </c>
      <c r="B328" s="86" t="s">
        <v>4311</v>
      </c>
      <c r="C328" s="86">
        <v>150.0</v>
      </c>
      <c r="D328" s="86" t="s">
        <v>3654</v>
      </c>
      <c r="E328" s="86">
        <v>1.0</v>
      </c>
      <c r="F328" s="86">
        <v>0.107</v>
      </c>
      <c r="G328" s="86">
        <v>8001.0</v>
      </c>
      <c r="H328" s="86">
        <v>245.0</v>
      </c>
      <c r="I328" s="86">
        <v>1.0</v>
      </c>
      <c r="J328" s="86">
        <v>8000.0</v>
      </c>
      <c r="K328" s="86">
        <v>365.0</v>
      </c>
      <c r="L328" s="86">
        <v>1.0</v>
      </c>
      <c r="M328" s="86">
        <v>2007.0</v>
      </c>
      <c r="N328" s="86">
        <v>1.0</v>
      </c>
      <c r="O328" s="141">
        <v>0.25</v>
      </c>
      <c r="P328" s="86">
        <v>9000.0</v>
      </c>
      <c r="Q328" s="86">
        <v>89.0</v>
      </c>
      <c r="R328" s="86">
        <v>1.0</v>
      </c>
      <c r="S328" s="86" t="s">
        <v>3657</v>
      </c>
      <c r="T328" s="86">
        <v>12.0</v>
      </c>
      <c r="U328" s="86">
        <v>0.5</v>
      </c>
      <c r="V328" s="86">
        <v>1000.0</v>
      </c>
      <c r="W328" s="86">
        <v>3810.0</v>
      </c>
      <c r="X328" s="86">
        <v>1.0</v>
      </c>
      <c r="Y328" s="86">
        <v>2006.0</v>
      </c>
      <c r="Z328" s="86">
        <v>1.0</v>
      </c>
      <c r="AA328" s="86">
        <v>0.03</v>
      </c>
    </row>
    <row r="329" ht="12.75" customHeight="1">
      <c r="A329" s="86">
        <v>1327.0</v>
      </c>
      <c r="B329" s="86" t="s">
        <v>4313</v>
      </c>
      <c r="C329" s="86">
        <v>150.0</v>
      </c>
      <c r="D329" s="86" t="s">
        <v>3654</v>
      </c>
      <c r="E329" s="86">
        <v>1.0</v>
      </c>
      <c r="F329" s="86">
        <v>0.107</v>
      </c>
      <c r="G329" s="86">
        <v>8001.0</v>
      </c>
      <c r="H329" s="86">
        <v>245.0</v>
      </c>
      <c r="I329" s="86">
        <v>1.0</v>
      </c>
      <c r="J329" s="86">
        <v>8000.0</v>
      </c>
      <c r="K329" s="86">
        <v>365.0</v>
      </c>
      <c r="L329" s="86">
        <v>1.0</v>
      </c>
      <c r="M329" s="86">
        <v>2007.0</v>
      </c>
      <c r="N329" s="86">
        <v>1.0</v>
      </c>
      <c r="O329" s="141">
        <v>0.25</v>
      </c>
      <c r="P329" s="86">
        <v>9000.0</v>
      </c>
      <c r="Q329" s="86">
        <v>90.0</v>
      </c>
      <c r="R329" s="86">
        <v>1.0</v>
      </c>
      <c r="S329" s="86" t="s">
        <v>3657</v>
      </c>
      <c r="T329" s="86">
        <v>12.0</v>
      </c>
      <c r="U329" s="86">
        <v>0.5</v>
      </c>
      <c r="V329" s="86">
        <v>1000.0</v>
      </c>
      <c r="W329" s="86">
        <v>3825.0</v>
      </c>
      <c r="X329" s="86">
        <v>1.0</v>
      </c>
      <c r="Y329" s="86">
        <v>2006.0</v>
      </c>
      <c r="Z329" s="86">
        <v>1.0</v>
      </c>
      <c r="AA329" s="86">
        <v>0.03</v>
      </c>
    </row>
    <row r="330" ht="12.75" customHeight="1">
      <c r="A330" s="86">
        <v>1328.0</v>
      </c>
      <c r="B330" s="86" t="s">
        <v>4314</v>
      </c>
      <c r="C330" s="86">
        <v>150.0</v>
      </c>
      <c r="D330" s="86" t="s">
        <v>3654</v>
      </c>
      <c r="E330" s="86">
        <v>1.0</v>
      </c>
      <c r="F330" s="86">
        <v>0.107</v>
      </c>
      <c r="G330" s="86">
        <v>8001.0</v>
      </c>
      <c r="H330" s="86">
        <v>245.0</v>
      </c>
      <c r="I330" s="86">
        <v>1.0</v>
      </c>
      <c r="J330" s="86">
        <v>8000.0</v>
      </c>
      <c r="K330" s="86">
        <v>370.0</v>
      </c>
      <c r="L330" s="86">
        <v>1.0</v>
      </c>
      <c r="M330" s="86">
        <v>2007.0</v>
      </c>
      <c r="N330" s="86">
        <v>1.0</v>
      </c>
      <c r="O330" s="141">
        <v>0.25</v>
      </c>
      <c r="P330" s="86">
        <v>9000.0</v>
      </c>
      <c r="Q330" s="86">
        <v>90.0</v>
      </c>
      <c r="R330" s="86">
        <v>1.0</v>
      </c>
      <c r="S330" s="86" t="s">
        <v>3657</v>
      </c>
      <c r="T330" s="86">
        <v>12.0</v>
      </c>
      <c r="U330" s="86">
        <v>0.5</v>
      </c>
      <c r="V330" s="86">
        <v>1000.0</v>
      </c>
      <c r="W330" s="86">
        <v>3840.0</v>
      </c>
      <c r="X330" s="86">
        <v>1.0</v>
      </c>
      <c r="Y330" s="86">
        <v>2006.0</v>
      </c>
      <c r="Z330" s="86">
        <v>1.0</v>
      </c>
      <c r="AA330" s="86">
        <v>0.03</v>
      </c>
    </row>
    <row r="331" ht="12.75" customHeight="1">
      <c r="A331" s="86">
        <v>1329.0</v>
      </c>
      <c r="B331" s="86" t="s">
        <v>4315</v>
      </c>
      <c r="C331" s="86">
        <v>150.0</v>
      </c>
      <c r="D331" s="86" t="s">
        <v>3654</v>
      </c>
      <c r="E331" s="86">
        <v>1.0</v>
      </c>
      <c r="F331" s="86">
        <v>0.107</v>
      </c>
      <c r="G331" s="86">
        <v>8001.0</v>
      </c>
      <c r="H331" s="86">
        <v>245.0</v>
      </c>
      <c r="I331" s="86">
        <v>1.0</v>
      </c>
      <c r="J331" s="86">
        <v>8000.0</v>
      </c>
      <c r="K331" s="86">
        <v>370.0</v>
      </c>
      <c r="L331" s="86">
        <v>1.0</v>
      </c>
      <c r="M331" s="86">
        <v>2007.0</v>
      </c>
      <c r="N331" s="86">
        <v>1.0</v>
      </c>
      <c r="O331" s="141">
        <v>0.25</v>
      </c>
      <c r="P331" s="86">
        <v>9000.0</v>
      </c>
      <c r="Q331" s="86">
        <v>90.0</v>
      </c>
      <c r="R331" s="86">
        <v>1.0</v>
      </c>
      <c r="S331" s="86" t="s">
        <v>3657</v>
      </c>
      <c r="T331" s="86">
        <v>12.0</v>
      </c>
      <c r="U331" s="86">
        <v>0.5</v>
      </c>
      <c r="V331" s="86">
        <v>1000.0</v>
      </c>
      <c r="W331" s="86">
        <v>3850.0</v>
      </c>
      <c r="X331" s="86">
        <v>1.0</v>
      </c>
      <c r="Y331" s="86">
        <v>2006.0</v>
      </c>
      <c r="Z331" s="86">
        <v>1.0</v>
      </c>
      <c r="AA331" s="86">
        <v>0.03</v>
      </c>
    </row>
    <row r="332" ht="12.75" customHeight="1">
      <c r="A332" s="86">
        <v>1330.0</v>
      </c>
      <c r="B332" s="86" t="s">
        <v>4316</v>
      </c>
      <c r="C332" s="86">
        <v>150.0</v>
      </c>
      <c r="D332" s="86" t="s">
        <v>3654</v>
      </c>
      <c r="E332" s="86">
        <v>1.0</v>
      </c>
      <c r="F332" s="86">
        <v>0.108</v>
      </c>
      <c r="G332" s="86">
        <v>8001.0</v>
      </c>
      <c r="H332" s="86">
        <v>245.0</v>
      </c>
      <c r="I332" s="86">
        <v>1.0</v>
      </c>
      <c r="J332" s="86">
        <v>8000.0</v>
      </c>
      <c r="K332" s="86">
        <v>370.0</v>
      </c>
      <c r="L332" s="86">
        <v>1.0</v>
      </c>
      <c r="M332" s="86">
        <v>2007.0</v>
      </c>
      <c r="N332" s="86">
        <v>1.0</v>
      </c>
      <c r="O332" s="141">
        <v>0.25</v>
      </c>
      <c r="P332" s="86">
        <v>9000.0</v>
      </c>
      <c r="Q332" s="86">
        <v>91.0</v>
      </c>
      <c r="R332" s="86">
        <v>1.0</v>
      </c>
      <c r="S332" s="86" t="s">
        <v>3657</v>
      </c>
      <c r="T332" s="86">
        <v>12.0</v>
      </c>
      <c r="U332" s="86">
        <v>0.5</v>
      </c>
      <c r="V332" s="86">
        <v>1000.0</v>
      </c>
      <c r="W332" s="86">
        <v>3865.0</v>
      </c>
      <c r="X332" s="86">
        <v>1.0</v>
      </c>
      <c r="Y332" s="86">
        <v>2006.0</v>
      </c>
      <c r="Z332" s="86">
        <v>1.0</v>
      </c>
      <c r="AA332" s="86">
        <v>0.03</v>
      </c>
    </row>
    <row r="333" ht="12.75" customHeight="1">
      <c r="A333" s="86">
        <v>1331.0</v>
      </c>
      <c r="B333" s="86" t="s">
        <v>4317</v>
      </c>
      <c r="C333" s="86">
        <v>150.0</v>
      </c>
      <c r="D333" s="86" t="s">
        <v>3654</v>
      </c>
      <c r="E333" s="86">
        <v>1.0</v>
      </c>
      <c r="F333" s="86">
        <v>0.108</v>
      </c>
      <c r="G333" s="86">
        <v>8001.0</v>
      </c>
      <c r="H333" s="86">
        <v>250.0</v>
      </c>
      <c r="I333" s="86">
        <v>1.0</v>
      </c>
      <c r="J333" s="86">
        <v>8000.0</v>
      </c>
      <c r="K333" s="86">
        <v>370.0</v>
      </c>
      <c r="L333" s="86">
        <v>1.0</v>
      </c>
      <c r="M333" s="86">
        <v>2007.0</v>
      </c>
      <c r="N333" s="86">
        <v>1.0</v>
      </c>
      <c r="O333" s="141">
        <v>0.25</v>
      </c>
      <c r="P333" s="86">
        <v>9000.0</v>
      </c>
      <c r="Q333" s="86">
        <v>91.0</v>
      </c>
      <c r="R333" s="86">
        <v>1.0</v>
      </c>
      <c r="S333" s="86" t="s">
        <v>3657</v>
      </c>
      <c r="T333" s="86">
        <v>12.0</v>
      </c>
      <c r="U333" s="86">
        <v>0.5</v>
      </c>
      <c r="V333" s="86">
        <v>1000.0</v>
      </c>
      <c r="W333" s="86">
        <v>3880.0</v>
      </c>
      <c r="X333" s="86">
        <v>1.0</v>
      </c>
      <c r="Y333" s="86">
        <v>2006.0</v>
      </c>
      <c r="Z333" s="86">
        <v>1.0</v>
      </c>
      <c r="AA333" s="86">
        <v>0.03</v>
      </c>
    </row>
    <row r="334" ht="12.75" customHeight="1">
      <c r="A334" s="86">
        <v>1332.0</v>
      </c>
      <c r="B334" s="86" t="s">
        <v>4318</v>
      </c>
      <c r="C334" s="86">
        <v>150.0</v>
      </c>
      <c r="D334" s="86" t="s">
        <v>3654</v>
      </c>
      <c r="E334" s="86">
        <v>1.0</v>
      </c>
      <c r="F334" s="86">
        <v>0.108</v>
      </c>
      <c r="G334" s="86">
        <v>8001.0</v>
      </c>
      <c r="H334" s="86">
        <v>250.0</v>
      </c>
      <c r="I334" s="86">
        <v>1.0</v>
      </c>
      <c r="J334" s="86">
        <v>8000.0</v>
      </c>
      <c r="K334" s="86">
        <v>375.0</v>
      </c>
      <c r="L334" s="86">
        <v>1.0</v>
      </c>
      <c r="M334" s="86">
        <v>2007.0</v>
      </c>
      <c r="N334" s="86">
        <v>1.0</v>
      </c>
      <c r="O334" s="141">
        <v>0.25</v>
      </c>
      <c r="P334" s="86">
        <v>9000.0</v>
      </c>
      <c r="Q334" s="86">
        <v>91.0</v>
      </c>
      <c r="R334" s="86">
        <v>1.0</v>
      </c>
      <c r="S334" s="86" t="s">
        <v>3657</v>
      </c>
      <c r="T334" s="86">
        <v>12.0</v>
      </c>
      <c r="U334" s="86">
        <v>0.5</v>
      </c>
      <c r="V334" s="86">
        <v>1000.0</v>
      </c>
      <c r="W334" s="86">
        <v>3895.0</v>
      </c>
      <c r="X334" s="86">
        <v>1.0</v>
      </c>
      <c r="Y334" s="86">
        <v>2006.0</v>
      </c>
      <c r="Z334" s="86">
        <v>1.0</v>
      </c>
      <c r="AA334" s="86">
        <v>0.03</v>
      </c>
    </row>
    <row r="335" ht="12.75" customHeight="1">
      <c r="A335" s="86">
        <v>1333.0</v>
      </c>
      <c r="B335" s="86" t="s">
        <v>4319</v>
      </c>
      <c r="C335" s="86">
        <v>150.0</v>
      </c>
      <c r="D335" s="86" t="s">
        <v>3654</v>
      </c>
      <c r="E335" s="86">
        <v>1.0</v>
      </c>
      <c r="F335" s="86">
        <v>0.108</v>
      </c>
      <c r="G335" s="86">
        <v>8001.0</v>
      </c>
      <c r="H335" s="86">
        <v>250.0</v>
      </c>
      <c r="I335" s="86">
        <v>1.0</v>
      </c>
      <c r="J335" s="86">
        <v>8000.0</v>
      </c>
      <c r="K335" s="86">
        <v>375.0</v>
      </c>
      <c r="L335" s="86">
        <v>1.0</v>
      </c>
      <c r="M335" s="86">
        <v>2007.0</v>
      </c>
      <c r="N335" s="86">
        <v>1.0</v>
      </c>
      <c r="O335" s="141">
        <v>0.25</v>
      </c>
      <c r="P335" s="86">
        <v>9000.0</v>
      </c>
      <c r="Q335" s="86">
        <v>92.0</v>
      </c>
      <c r="R335" s="86">
        <v>1.0</v>
      </c>
      <c r="S335" s="86" t="s">
        <v>3657</v>
      </c>
      <c r="T335" s="86">
        <v>13.0</v>
      </c>
      <c r="U335" s="86">
        <v>0.5</v>
      </c>
      <c r="V335" s="86">
        <v>1000.0</v>
      </c>
      <c r="W335" s="86">
        <v>3905.0</v>
      </c>
      <c r="X335" s="86">
        <v>1.0</v>
      </c>
      <c r="Y335" s="86">
        <v>2006.0</v>
      </c>
      <c r="Z335" s="86">
        <v>1.0</v>
      </c>
      <c r="AA335" s="86">
        <v>0.03</v>
      </c>
    </row>
    <row r="336" ht="12.75" customHeight="1">
      <c r="A336" s="86">
        <v>1334.0</v>
      </c>
      <c r="B336" s="86" t="s">
        <v>4320</v>
      </c>
      <c r="C336" s="86">
        <v>150.0</v>
      </c>
      <c r="D336" s="86" t="s">
        <v>3654</v>
      </c>
      <c r="E336" s="86">
        <v>1.0</v>
      </c>
      <c r="F336" s="86">
        <v>0.109</v>
      </c>
      <c r="G336" s="86">
        <v>8001.0</v>
      </c>
      <c r="H336" s="86">
        <v>250.0</v>
      </c>
      <c r="I336" s="86">
        <v>1.0</v>
      </c>
      <c r="J336" s="86">
        <v>8000.0</v>
      </c>
      <c r="K336" s="86">
        <v>375.0</v>
      </c>
      <c r="L336" s="86">
        <v>1.0</v>
      </c>
      <c r="M336" s="86">
        <v>2007.0</v>
      </c>
      <c r="N336" s="86">
        <v>1.0</v>
      </c>
      <c r="O336" s="141">
        <v>0.25</v>
      </c>
      <c r="P336" s="86">
        <v>9000.0</v>
      </c>
      <c r="Q336" s="86">
        <v>92.0</v>
      </c>
      <c r="R336" s="86">
        <v>1.0</v>
      </c>
      <c r="S336" s="86" t="s">
        <v>3657</v>
      </c>
      <c r="T336" s="86">
        <v>13.0</v>
      </c>
      <c r="U336" s="86">
        <v>0.5</v>
      </c>
      <c r="V336" s="86">
        <v>1000.0</v>
      </c>
      <c r="W336" s="86">
        <v>3920.0</v>
      </c>
      <c r="X336" s="86">
        <v>1.0</v>
      </c>
      <c r="Y336" s="86">
        <v>2006.0</v>
      </c>
      <c r="Z336" s="86">
        <v>1.0</v>
      </c>
      <c r="AA336" s="86">
        <v>0.03</v>
      </c>
    </row>
    <row r="337" ht="12.75" customHeight="1">
      <c r="A337" s="86">
        <v>1335.0</v>
      </c>
      <c r="B337" s="86" t="s">
        <v>4321</v>
      </c>
      <c r="C337" s="86">
        <v>150.0</v>
      </c>
      <c r="D337" s="86" t="s">
        <v>3654</v>
      </c>
      <c r="E337" s="86">
        <v>1.0</v>
      </c>
      <c r="F337" s="86">
        <v>0.109</v>
      </c>
      <c r="G337" s="86">
        <v>8001.0</v>
      </c>
      <c r="H337" s="86">
        <v>250.0</v>
      </c>
      <c r="I337" s="86">
        <v>1.0</v>
      </c>
      <c r="J337" s="86">
        <v>8000.0</v>
      </c>
      <c r="K337" s="86">
        <v>380.0</v>
      </c>
      <c r="L337" s="86">
        <v>1.0</v>
      </c>
      <c r="M337" s="86">
        <v>2007.0</v>
      </c>
      <c r="N337" s="86">
        <v>1.0</v>
      </c>
      <c r="O337" s="141">
        <v>0.25</v>
      </c>
      <c r="P337" s="86">
        <v>9000.0</v>
      </c>
      <c r="Q337" s="86">
        <v>92.0</v>
      </c>
      <c r="R337" s="86">
        <v>1.0</v>
      </c>
      <c r="S337" s="86" t="s">
        <v>3657</v>
      </c>
      <c r="T337" s="86">
        <v>13.0</v>
      </c>
      <c r="U337" s="86">
        <v>0.5</v>
      </c>
      <c r="V337" s="86">
        <v>1000.0</v>
      </c>
      <c r="W337" s="86">
        <v>3935.0</v>
      </c>
      <c r="X337" s="86">
        <v>1.0</v>
      </c>
      <c r="Y337" s="86">
        <v>2006.0</v>
      </c>
      <c r="Z337" s="86">
        <v>1.0</v>
      </c>
      <c r="AA337" s="86">
        <v>0.03</v>
      </c>
    </row>
    <row r="338" ht="12.75" customHeight="1">
      <c r="A338" s="86">
        <v>1336.0</v>
      </c>
      <c r="B338" s="86" t="s">
        <v>4322</v>
      </c>
      <c r="C338" s="86">
        <v>150.0</v>
      </c>
      <c r="D338" s="86" t="s">
        <v>3654</v>
      </c>
      <c r="E338" s="86">
        <v>1.0</v>
      </c>
      <c r="F338" s="86">
        <v>0.109</v>
      </c>
      <c r="G338" s="86">
        <v>8001.0</v>
      </c>
      <c r="H338" s="86">
        <v>255.0</v>
      </c>
      <c r="I338" s="86">
        <v>1.0</v>
      </c>
      <c r="J338" s="86">
        <v>8000.0</v>
      </c>
      <c r="K338" s="86">
        <v>380.0</v>
      </c>
      <c r="L338" s="86">
        <v>1.0</v>
      </c>
      <c r="M338" s="86">
        <v>2007.0</v>
      </c>
      <c r="N338" s="86">
        <v>1.0</v>
      </c>
      <c r="O338" s="141">
        <v>0.25</v>
      </c>
      <c r="P338" s="86">
        <v>9000.0</v>
      </c>
      <c r="Q338" s="86">
        <v>93.0</v>
      </c>
      <c r="R338" s="86">
        <v>1.0</v>
      </c>
      <c r="S338" s="86" t="s">
        <v>3657</v>
      </c>
      <c r="T338" s="86">
        <v>13.0</v>
      </c>
      <c r="U338" s="86">
        <v>0.5</v>
      </c>
      <c r="V338" s="86">
        <v>1000.0</v>
      </c>
      <c r="W338" s="86">
        <v>3950.0</v>
      </c>
      <c r="X338" s="86">
        <v>1.0</v>
      </c>
      <c r="Y338" s="86">
        <v>2006.0</v>
      </c>
      <c r="Z338" s="86">
        <v>1.0</v>
      </c>
      <c r="AA338" s="86">
        <v>0.03</v>
      </c>
    </row>
    <row r="339" ht="12.75" customHeight="1">
      <c r="A339" s="86">
        <v>1337.0</v>
      </c>
      <c r="B339" s="86" t="s">
        <v>4323</v>
      </c>
      <c r="C339" s="86">
        <v>150.0</v>
      </c>
      <c r="D339" s="86" t="s">
        <v>3654</v>
      </c>
      <c r="E339" s="86">
        <v>1.0</v>
      </c>
      <c r="F339" s="86">
        <v>0.109</v>
      </c>
      <c r="G339" s="86">
        <v>8001.0</v>
      </c>
      <c r="H339" s="86">
        <v>255.0</v>
      </c>
      <c r="I339" s="86">
        <v>1.0</v>
      </c>
      <c r="J339" s="86">
        <v>8000.0</v>
      </c>
      <c r="K339" s="86">
        <v>380.0</v>
      </c>
      <c r="L339" s="86">
        <v>1.0</v>
      </c>
      <c r="M339" s="86">
        <v>2007.0</v>
      </c>
      <c r="N339" s="86">
        <v>1.0</v>
      </c>
      <c r="O339" s="141">
        <v>0.25</v>
      </c>
      <c r="P339" s="86">
        <v>9000.0</v>
      </c>
      <c r="Q339" s="86">
        <v>93.0</v>
      </c>
      <c r="R339" s="86">
        <v>1.0</v>
      </c>
      <c r="S339" s="86" t="s">
        <v>3657</v>
      </c>
      <c r="T339" s="86">
        <v>13.0</v>
      </c>
      <c r="U339" s="86">
        <v>0.5</v>
      </c>
      <c r="V339" s="86">
        <v>1000.0</v>
      </c>
      <c r="W339" s="86">
        <v>3965.0</v>
      </c>
      <c r="X339" s="86">
        <v>1.0</v>
      </c>
      <c r="Y339" s="86">
        <v>2006.0</v>
      </c>
      <c r="Z339" s="86">
        <v>1.0</v>
      </c>
      <c r="AA339" s="86">
        <v>0.03</v>
      </c>
    </row>
    <row r="340" ht="12.75" customHeight="1">
      <c r="A340" s="86">
        <v>1338.0</v>
      </c>
      <c r="B340" s="86" t="s">
        <v>4326</v>
      </c>
      <c r="C340" s="86">
        <v>150.0</v>
      </c>
      <c r="D340" s="86" t="s">
        <v>3654</v>
      </c>
      <c r="E340" s="86">
        <v>1.0</v>
      </c>
      <c r="F340" s="86">
        <v>0.11</v>
      </c>
      <c r="G340" s="86">
        <v>8001.0</v>
      </c>
      <c r="H340" s="86">
        <v>255.0</v>
      </c>
      <c r="I340" s="86">
        <v>1.0</v>
      </c>
      <c r="J340" s="86">
        <v>8000.0</v>
      </c>
      <c r="K340" s="86">
        <v>380.0</v>
      </c>
      <c r="L340" s="86">
        <v>1.0</v>
      </c>
      <c r="M340" s="86">
        <v>2007.0</v>
      </c>
      <c r="N340" s="86">
        <v>1.0</v>
      </c>
      <c r="O340" s="141">
        <v>0.25</v>
      </c>
      <c r="P340" s="86">
        <v>9000.0</v>
      </c>
      <c r="Q340" s="86">
        <v>93.0</v>
      </c>
      <c r="R340" s="86">
        <v>1.0</v>
      </c>
      <c r="S340" s="86" t="s">
        <v>3657</v>
      </c>
      <c r="T340" s="86">
        <v>13.0</v>
      </c>
      <c r="U340" s="86">
        <v>0.5</v>
      </c>
      <c r="V340" s="86">
        <v>1000.0</v>
      </c>
      <c r="W340" s="86">
        <v>3975.0</v>
      </c>
      <c r="X340" s="86">
        <v>1.0</v>
      </c>
      <c r="Y340" s="86">
        <v>2006.0</v>
      </c>
      <c r="Z340" s="86">
        <v>1.0</v>
      </c>
      <c r="AA340" s="86">
        <v>0.03</v>
      </c>
    </row>
    <row r="341" ht="12.75" customHeight="1">
      <c r="A341" s="86">
        <v>1339.0</v>
      </c>
      <c r="B341" s="86" t="s">
        <v>4327</v>
      </c>
      <c r="C341" s="86">
        <v>150.0</v>
      </c>
      <c r="D341" s="86" t="s">
        <v>3654</v>
      </c>
      <c r="E341" s="86">
        <v>1.0</v>
      </c>
      <c r="F341" s="86">
        <v>0.11</v>
      </c>
      <c r="G341" s="86">
        <v>8001.0</v>
      </c>
      <c r="H341" s="86">
        <v>255.0</v>
      </c>
      <c r="I341" s="86">
        <v>1.0</v>
      </c>
      <c r="J341" s="86">
        <v>8000.0</v>
      </c>
      <c r="K341" s="86">
        <v>385.0</v>
      </c>
      <c r="L341" s="86">
        <v>1.0</v>
      </c>
      <c r="M341" s="86">
        <v>2007.0</v>
      </c>
      <c r="N341" s="86">
        <v>1.0</v>
      </c>
      <c r="O341" s="141">
        <v>0.25</v>
      </c>
      <c r="P341" s="86">
        <v>9000.0</v>
      </c>
      <c r="Q341" s="86">
        <v>94.0</v>
      </c>
      <c r="R341" s="86">
        <v>1.0</v>
      </c>
      <c r="S341" s="86" t="s">
        <v>3657</v>
      </c>
      <c r="T341" s="86">
        <v>13.0</v>
      </c>
      <c r="U341" s="86">
        <v>0.5</v>
      </c>
      <c r="V341" s="86">
        <v>1000.0</v>
      </c>
      <c r="W341" s="86">
        <v>3990.0</v>
      </c>
      <c r="X341" s="86">
        <v>1.0</v>
      </c>
      <c r="Y341" s="86">
        <v>2006.0</v>
      </c>
      <c r="Z341" s="86">
        <v>1.0</v>
      </c>
      <c r="AA341" s="86">
        <v>0.03</v>
      </c>
    </row>
    <row r="342" ht="12.75" customHeight="1">
      <c r="A342" s="86">
        <v>1340.0</v>
      </c>
      <c r="B342" s="86" t="s">
        <v>4328</v>
      </c>
      <c r="C342" s="86">
        <v>150.0</v>
      </c>
      <c r="D342" s="86" t="s">
        <v>3654</v>
      </c>
      <c r="E342" s="86">
        <v>1.0</v>
      </c>
      <c r="F342" s="86">
        <v>0.11</v>
      </c>
      <c r="G342" s="86">
        <v>8001.0</v>
      </c>
      <c r="H342" s="86">
        <v>255.0</v>
      </c>
      <c r="I342" s="86">
        <v>1.0</v>
      </c>
      <c r="J342" s="86">
        <v>8000.0</v>
      </c>
      <c r="K342" s="86">
        <v>385.0</v>
      </c>
      <c r="L342" s="86">
        <v>1.0</v>
      </c>
      <c r="M342" s="86">
        <v>2007.0</v>
      </c>
      <c r="N342" s="86">
        <v>1.0</v>
      </c>
      <c r="O342" s="141">
        <v>0.25</v>
      </c>
      <c r="P342" s="86">
        <v>9000.0</v>
      </c>
      <c r="Q342" s="86">
        <v>94.0</v>
      </c>
      <c r="R342" s="86">
        <v>1.0</v>
      </c>
      <c r="S342" s="86" t="s">
        <v>3657</v>
      </c>
      <c r="T342" s="86">
        <v>13.0</v>
      </c>
      <c r="U342" s="86">
        <v>0.5</v>
      </c>
      <c r="V342" s="86">
        <v>1000.0</v>
      </c>
      <c r="W342" s="86">
        <v>4005.0</v>
      </c>
      <c r="X342" s="86">
        <v>1.0</v>
      </c>
      <c r="Y342" s="86">
        <v>2006.0</v>
      </c>
      <c r="Z342" s="86">
        <v>1.0</v>
      </c>
      <c r="AA342" s="86">
        <v>0.03</v>
      </c>
    </row>
    <row r="343" ht="12.75" customHeight="1">
      <c r="A343" s="86">
        <v>1341.0</v>
      </c>
      <c r="B343" s="86" t="s">
        <v>4329</v>
      </c>
      <c r="C343" s="86">
        <v>150.0</v>
      </c>
      <c r="D343" s="86" t="s">
        <v>3654</v>
      </c>
      <c r="E343" s="86">
        <v>1.0</v>
      </c>
      <c r="F343" s="86">
        <v>0.11</v>
      </c>
      <c r="G343" s="86">
        <v>8001.0</v>
      </c>
      <c r="H343" s="86">
        <v>255.0</v>
      </c>
      <c r="I343" s="86">
        <v>1.0</v>
      </c>
      <c r="J343" s="86">
        <v>8000.0</v>
      </c>
      <c r="K343" s="86">
        <v>385.0</v>
      </c>
      <c r="L343" s="86">
        <v>1.0</v>
      </c>
      <c r="M343" s="86">
        <v>2007.0</v>
      </c>
      <c r="N343" s="86">
        <v>1.0</v>
      </c>
      <c r="O343" s="141">
        <v>0.25</v>
      </c>
      <c r="P343" s="86">
        <v>9000.0</v>
      </c>
      <c r="Q343" s="86">
        <v>94.0</v>
      </c>
      <c r="R343" s="86">
        <v>1.0</v>
      </c>
      <c r="S343" s="86" t="s">
        <v>3657</v>
      </c>
      <c r="T343" s="86">
        <v>13.0</v>
      </c>
      <c r="U343" s="86">
        <v>0.5</v>
      </c>
      <c r="V343" s="86">
        <v>1000.0</v>
      </c>
      <c r="W343" s="86">
        <v>4020.0</v>
      </c>
      <c r="X343" s="86">
        <v>1.0</v>
      </c>
      <c r="Y343" s="86">
        <v>2006.0</v>
      </c>
      <c r="Z343" s="86">
        <v>1.0</v>
      </c>
      <c r="AA343" s="86">
        <v>0.03</v>
      </c>
    </row>
    <row r="344" ht="12.75" customHeight="1">
      <c r="A344" s="86">
        <v>1342.0</v>
      </c>
      <c r="B344" s="86" t="s">
        <v>4330</v>
      </c>
      <c r="C344" s="86">
        <v>150.0</v>
      </c>
      <c r="D344" s="86" t="s">
        <v>3654</v>
      </c>
      <c r="E344" s="86">
        <v>1.0</v>
      </c>
      <c r="F344" s="86">
        <v>0.111</v>
      </c>
      <c r="G344" s="86">
        <v>8001.0</v>
      </c>
      <c r="H344" s="86">
        <v>260.0</v>
      </c>
      <c r="I344" s="86">
        <v>1.0</v>
      </c>
      <c r="J344" s="86">
        <v>8000.0</v>
      </c>
      <c r="K344" s="86">
        <v>385.0</v>
      </c>
      <c r="L344" s="86">
        <v>1.0</v>
      </c>
      <c r="M344" s="86">
        <v>2007.0</v>
      </c>
      <c r="N344" s="86">
        <v>1.0</v>
      </c>
      <c r="O344" s="141">
        <v>0.25</v>
      </c>
      <c r="P344" s="86">
        <v>9000.0</v>
      </c>
      <c r="Q344" s="86">
        <v>95.0</v>
      </c>
      <c r="R344" s="86">
        <v>1.0</v>
      </c>
      <c r="S344" s="86" t="s">
        <v>3657</v>
      </c>
      <c r="T344" s="86">
        <v>13.0</v>
      </c>
      <c r="U344" s="86">
        <v>0.5</v>
      </c>
      <c r="V344" s="86">
        <v>1000.0</v>
      </c>
      <c r="W344" s="86">
        <v>4030.0</v>
      </c>
      <c r="X344" s="86">
        <v>1.0</v>
      </c>
      <c r="Y344" s="86">
        <v>2006.0</v>
      </c>
      <c r="Z344" s="86">
        <v>1.0</v>
      </c>
      <c r="AA344" s="86">
        <v>0.03</v>
      </c>
    </row>
    <row r="345" ht="12.75" customHeight="1">
      <c r="A345" s="86">
        <v>1343.0</v>
      </c>
      <c r="B345" s="86" t="s">
        <v>4331</v>
      </c>
      <c r="C345" s="86">
        <v>150.0</v>
      </c>
      <c r="D345" s="86" t="s">
        <v>3654</v>
      </c>
      <c r="E345" s="86">
        <v>1.0</v>
      </c>
      <c r="F345" s="86">
        <v>0.111</v>
      </c>
      <c r="G345" s="86">
        <v>8001.0</v>
      </c>
      <c r="H345" s="86">
        <v>260.0</v>
      </c>
      <c r="I345" s="86">
        <v>1.0</v>
      </c>
      <c r="J345" s="86">
        <v>8000.0</v>
      </c>
      <c r="K345" s="86">
        <v>390.0</v>
      </c>
      <c r="L345" s="86">
        <v>1.0</v>
      </c>
      <c r="M345" s="86">
        <v>2007.0</v>
      </c>
      <c r="N345" s="86">
        <v>1.0</v>
      </c>
      <c r="O345" s="141">
        <v>0.25</v>
      </c>
      <c r="P345" s="86">
        <v>9000.0</v>
      </c>
      <c r="Q345" s="86">
        <v>95.0</v>
      </c>
      <c r="R345" s="86">
        <v>1.0</v>
      </c>
      <c r="S345" s="86" t="s">
        <v>3657</v>
      </c>
      <c r="T345" s="86">
        <v>13.0</v>
      </c>
      <c r="U345" s="86">
        <v>0.5</v>
      </c>
      <c r="V345" s="86">
        <v>1000.0</v>
      </c>
      <c r="W345" s="86">
        <v>4045.0</v>
      </c>
      <c r="X345" s="86">
        <v>1.0</v>
      </c>
      <c r="Y345" s="86">
        <v>2006.0</v>
      </c>
      <c r="Z345" s="86">
        <v>1.0</v>
      </c>
      <c r="AA345" s="86">
        <v>0.03</v>
      </c>
    </row>
    <row r="346" ht="12.75" customHeight="1">
      <c r="A346" s="86">
        <v>1344.0</v>
      </c>
      <c r="B346" s="86" t="s">
        <v>4332</v>
      </c>
      <c r="C346" s="86">
        <v>150.0</v>
      </c>
      <c r="D346" s="86" t="s">
        <v>3654</v>
      </c>
      <c r="E346" s="86">
        <v>1.0</v>
      </c>
      <c r="F346" s="86">
        <v>0.111</v>
      </c>
      <c r="G346" s="86">
        <v>8001.0</v>
      </c>
      <c r="H346" s="86">
        <v>260.0</v>
      </c>
      <c r="I346" s="86">
        <v>1.0</v>
      </c>
      <c r="J346" s="86">
        <v>8000.0</v>
      </c>
      <c r="K346" s="86">
        <v>390.0</v>
      </c>
      <c r="L346" s="86">
        <v>1.0</v>
      </c>
      <c r="M346" s="86">
        <v>2007.0</v>
      </c>
      <c r="N346" s="86">
        <v>1.0</v>
      </c>
      <c r="O346" s="141">
        <v>0.25</v>
      </c>
      <c r="P346" s="86">
        <v>9000.0</v>
      </c>
      <c r="Q346" s="86">
        <v>95.0</v>
      </c>
      <c r="R346" s="86">
        <v>1.0</v>
      </c>
      <c r="S346" s="86" t="s">
        <v>3657</v>
      </c>
      <c r="T346" s="86">
        <v>13.0</v>
      </c>
      <c r="U346" s="86">
        <v>0.5</v>
      </c>
      <c r="V346" s="86">
        <v>1000.0</v>
      </c>
      <c r="W346" s="86">
        <v>4060.0</v>
      </c>
      <c r="X346" s="86">
        <v>1.0</v>
      </c>
      <c r="Y346" s="86">
        <v>2006.0</v>
      </c>
      <c r="Z346" s="86">
        <v>1.0</v>
      </c>
      <c r="AA346" s="86">
        <v>0.03</v>
      </c>
    </row>
    <row r="347" ht="12.75" customHeight="1">
      <c r="A347" s="86">
        <v>1345.0</v>
      </c>
      <c r="B347" s="86" t="s">
        <v>4333</v>
      </c>
      <c r="C347" s="86">
        <v>150.0</v>
      </c>
      <c r="D347" s="86" t="s">
        <v>3654</v>
      </c>
      <c r="E347" s="86">
        <v>1.0</v>
      </c>
      <c r="F347" s="86">
        <v>0.111</v>
      </c>
      <c r="G347" s="86">
        <v>8001.0</v>
      </c>
      <c r="H347" s="86">
        <v>260.0</v>
      </c>
      <c r="I347" s="86">
        <v>1.0</v>
      </c>
      <c r="J347" s="86">
        <v>8000.0</v>
      </c>
      <c r="K347" s="86">
        <v>390.0</v>
      </c>
      <c r="L347" s="86">
        <v>1.0</v>
      </c>
      <c r="M347" s="86">
        <v>2007.0</v>
      </c>
      <c r="N347" s="86">
        <v>1.0</v>
      </c>
      <c r="O347" s="141">
        <v>0.25</v>
      </c>
      <c r="P347" s="86">
        <v>9000.0</v>
      </c>
      <c r="Q347" s="86">
        <v>96.0</v>
      </c>
      <c r="R347" s="86">
        <v>1.0</v>
      </c>
      <c r="S347" s="86" t="s">
        <v>3657</v>
      </c>
      <c r="T347" s="86">
        <v>13.0</v>
      </c>
      <c r="U347" s="86">
        <v>0.5</v>
      </c>
      <c r="V347" s="86">
        <v>1000.0</v>
      </c>
      <c r="W347" s="86">
        <v>4075.0</v>
      </c>
      <c r="X347" s="86">
        <v>1.0</v>
      </c>
      <c r="Y347" s="86">
        <v>2006.0</v>
      </c>
      <c r="Z347" s="86">
        <v>1.0</v>
      </c>
      <c r="AA347" s="86">
        <v>0.03</v>
      </c>
    </row>
    <row r="348" ht="12.75" customHeight="1">
      <c r="A348" s="86">
        <v>1346.0</v>
      </c>
      <c r="B348" s="86" t="s">
        <v>4304</v>
      </c>
      <c r="C348" s="86">
        <v>150.0</v>
      </c>
      <c r="D348" s="86" t="s">
        <v>3654</v>
      </c>
      <c r="E348" s="86">
        <v>1.0</v>
      </c>
      <c r="F348" s="86">
        <v>0.112</v>
      </c>
      <c r="G348" s="86">
        <v>8001.0</v>
      </c>
      <c r="H348" s="86">
        <v>260.0</v>
      </c>
      <c r="I348" s="86">
        <v>1.0</v>
      </c>
      <c r="J348" s="86">
        <v>8000.0</v>
      </c>
      <c r="K348" s="86">
        <v>390.0</v>
      </c>
      <c r="L348" s="86">
        <v>1.0</v>
      </c>
      <c r="M348" s="86">
        <v>2007.0</v>
      </c>
      <c r="N348" s="86">
        <v>1.0</v>
      </c>
      <c r="O348" s="141">
        <v>0.25</v>
      </c>
      <c r="P348" s="86">
        <v>9000.0</v>
      </c>
      <c r="Q348" s="86">
        <v>96.0</v>
      </c>
      <c r="R348" s="86">
        <v>1.0</v>
      </c>
      <c r="S348" s="86" t="s">
        <v>3657</v>
      </c>
      <c r="T348" s="86">
        <v>13.0</v>
      </c>
      <c r="U348" s="86">
        <v>0.5</v>
      </c>
      <c r="V348" s="86">
        <v>1000.0</v>
      </c>
      <c r="W348" s="86">
        <v>4085.0</v>
      </c>
      <c r="X348" s="86">
        <v>1.0</v>
      </c>
      <c r="Y348" s="86">
        <v>2006.0</v>
      </c>
      <c r="Z348" s="86">
        <v>1.0</v>
      </c>
      <c r="AA348" s="86">
        <v>0.03</v>
      </c>
    </row>
    <row r="349" ht="12.75" customHeight="1">
      <c r="A349" s="86">
        <v>1347.0</v>
      </c>
      <c r="B349" s="86" t="s">
        <v>4334</v>
      </c>
      <c r="C349" s="86">
        <v>150.0</v>
      </c>
      <c r="D349" s="86" t="s">
        <v>3654</v>
      </c>
      <c r="E349" s="86">
        <v>1.0</v>
      </c>
      <c r="F349" s="86">
        <v>0.112</v>
      </c>
      <c r="G349" s="86">
        <v>8001.0</v>
      </c>
      <c r="H349" s="86">
        <v>260.0</v>
      </c>
      <c r="I349" s="86">
        <v>1.0</v>
      </c>
      <c r="J349" s="86">
        <v>8000.0</v>
      </c>
      <c r="K349" s="86">
        <v>395.0</v>
      </c>
      <c r="L349" s="86">
        <v>1.0</v>
      </c>
      <c r="M349" s="86">
        <v>2007.0</v>
      </c>
      <c r="N349" s="86">
        <v>1.0</v>
      </c>
      <c r="O349" s="141">
        <v>0.25</v>
      </c>
      <c r="P349" s="86">
        <v>9000.0</v>
      </c>
      <c r="Q349" s="86">
        <v>97.0</v>
      </c>
      <c r="R349" s="86">
        <v>1.0</v>
      </c>
      <c r="S349" s="86" t="s">
        <v>3657</v>
      </c>
      <c r="T349" s="86">
        <v>13.0</v>
      </c>
      <c r="U349" s="86">
        <v>0.5</v>
      </c>
      <c r="V349" s="86">
        <v>1000.0</v>
      </c>
      <c r="W349" s="86">
        <v>4100.0</v>
      </c>
      <c r="X349" s="86">
        <v>1.0</v>
      </c>
      <c r="Y349" s="86">
        <v>2006.0</v>
      </c>
      <c r="Z349" s="86">
        <v>1.0</v>
      </c>
      <c r="AA349" s="86">
        <v>0.03</v>
      </c>
    </row>
    <row r="350" ht="12.75" customHeight="1">
      <c r="A350" s="86">
        <v>1348.0</v>
      </c>
      <c r="B350" s="86" t="s">
        <v>4336</v>
      </c>
      <c r="C350" s="86">
        <v>150.0</v>
      </c>
      <c r="D350" s="86" t="s">
        <v>3654</v>
      </c>
      <c r="E350" s="86">
        <v>1.0</v>
      </c>
      <c r="F350" s="86">
        <v>0.112</v>
      </c>
      <c r="G350" s="86">
        <v>8001.0</v>
      </c>
      <c r="H350" s="86">
        <v>265.0</v>
      </c>
      <c r="I350" s="86">
        <v>1.0</v>
      </c>
      <c r="J350" s="86">
        <v>8000.0</v>
      </c>
      <c r="K350" s="86">
        <v>395.0</v>
      </c>
      <c r="L350" s="86">
        <v>1.0</v>
      </c>
      <c r="M350" s="86">
        <v>2007.0</v>
      </c>
      <c r="N350" s="86">
        <v>1.0</v>
      </c>
      <c r="O350" s="141">
        <v>0.25</v>
      </c>
      <c r="P350" s="86">
        <v>9000.0</v>
      </c>
      <c r="Q350" s="86">
        <v>97.0</v>
      </c>
      <c r="R350" s="86">
        <v>1.0</v>
      </c>
      <c r="S350" s="86" t="s">
        <v>3657</v>
      </c>
      <c r="T350" s="86">
        <v>13.0</v>
      </c>
      <c r="U350" s="86">
        <v>0.5</v>
      </c>
      <c r="V350" s="86">
        <v>1000.0</v>
      </c>
      <c r="W350" s="86">
        <v>4115.0</v>
      </c>
      <c r="X350" s="86">
        <v>1.0</v>
      </c>
      <c r="Y350" s="86">
        <v>2006.0</v>
      </c>
      <c r="Z350" s="86">
        <v>1.0</v>
      </c>
      <c r="AA350" s="86">
        <v>0.03</v>
      </c>
    </row>
    <row r="351" ht="12.75" customHeight="1">
      <c r="A351" s="86">
        <v>1349.0</v>
      </c>
      <c r="B351" s="86" t="s">
        <v>4337</v>
      </c>
      <c r="C351" s="86">
        <v>150.0</v>
      </c>
      <c r="D351" s="86" t="s">
        <v>3654</v>
      </c>
      <c r="E351" s="86">
        <v>1.0</v>
      </c>
      <c r="F351" s="86">
        <v>0.112</v>
      </c>
      <c r="G351" s="86">
        <v>8001.0</v>
      </c>
      <c r="H351" s="86">
        <v>265.0</v>
      </c>
      <c r="I351" s="86">
        <v>1.0</v>
      </c>
      <c r="J351" s="86">
        <v>8000.0</v>
      </c>
      <c r="K351" s="86">
        <v>395.0</v>
      </c>
      <c r="L351" s="86">
        <v>1.0</v>
      </c>
      <c r="M351" s="86">
        <v>2007.0</v>
      </c>
      <c r="N351" s="86">
        <v>1.0</v>
      </c>
      <c r="O351" s="141">
        <v>0.25</v>
      </c>
      <c r="P351" s="86">
        <v>9000.0</v>
      </c>
      <c r="Q351" s="86">
        <v>97.0</v>
      </c>
      <c r="R351" s="86">
        <v>1.0</v>
      </c>
      <c r="S351" s="86" t="s">
        <v>3657</v>
      </c>
      <c r="T351" s="86">
        <v>13.0</v>
      </c>
      <c r="U351" s="86">
        <v>0.5</v>
      </c>
      <c r="V351" s="86">
        <v>1000.0</v>
      </c>
      <c r="W351" s="86">
        <v>4130.0</v>
      </c>
      <c r="X351" s="86">
        <v>1.0</v>
      </c>
      <c r="Y351" s="86">
        <v>2006.0</v>
      </c>
      <c r="Z351" s="86">
        <v>1.0</v>
      </c>
      <c r="AA351" s="86">
        <v>0.03</v>
      </c>
    </row>
    <row r="352" ht="12.75" customHeight="1">
      <c r="A352" s="86">
        <v>1350.0</v>
      </c>
      <c r="B352" s="86" t="s">
        <v>4338</v>
      </c>
      <c r="C352" s="86">
        <v>150.0</v>
      </c>
      <c r="D352" s="86" t="s">
        <v>3654</v>
      </c>
      <c r="E352" s="86">
        <v>1.0</v>
      </c>
      <c r="F352" s="86">
        <v>0.113</v>
      </c>
      <c r="G352" s="86">
        <v>8001.0</v>
      </c>
      <c r="H352" s="86">
        <v>265.0</v>
      </c>
      <c r="I352" s="86">
        <v>1.0</v>
      </c>
      <c r="J352" s="86">
        <v>8000.0</v>
      </c>
      <c r="K352" s="86">
        <v>400.0</v>
      </c>
      <c r="L352" s="86">
        <v>1.0</v>
      </c>
      <c r="M352" s="86">
        <v>2007.0</v>
      </c>
      <c r="N352" s="86">
        <v>1.0</v>
      </c>
      <c r="O352" s="141">
        <v>0.25</v>
      </c>
      <c r="P352" s="86">
        <v>9000.0</v>
      </c>
      <c r="Q352" s="86">
        <v>98.0</v>
      </c>
      <c r="R352" s="86">
        <v>1.0</v>
      </c>
      <c r="S352" s="86" t="s">
        <v>3657</v>
      </c>
      <c r="T352" s="86">
        <v>13.0</v>
      </c>
      <c r="U352" s="86">
        <v>0.5</v>
      </c>
      <c r="V352" s="86">
        <v>1000.0</v>
      </c>
      <c r="W352" s="86">
        <v>4140.0</v>
      </c>
      <c r="X352" s="86">
        <v>1.0</v>
      </c>
      <c r="Y352" s="86">
        <v>2006.0</v>
      </c>
      <c r="Z352" s="86">
        <v>1.0</v>
      </c>
      <c r="AA352" s="86">
        <v>0.03</v>
      </c>
    </row>
    <row r="353" ht="12.75" customHeight="1">
      <c r="A353" s="86">
        <v>1351.0</v>
      </c>
      <c r="B353" s="86" t="s">
        <v>4339</v>
      </c>
      <c r="C353" s="86">
        <v>150.0</v>
      </c>
      <c r="D353" s="86" t="s">
        <v>3654</v>
      </c>
      <c r="E353" s="86">
        <v>1.0</v>
      </c>
      <c r="F353" s="86">
        <v>0.113</v>
      </c>
      <c r="G353" s="86">
        <v>8001.0</v>
      </c>
      <c r="H353" s="86">
        <v>265.0</v>
      </c>
      <c r="I353" s="86">
        <v>1.0</v>
      </c>
      <c r="J353" s="86">
        <v>8000.0</v>
      </c>
      <c r="K353" s="86">
        <v>400.0</v>
      </c>
      <c r="L353" s="86">
        <v>1.0</v>
      </c>
      <c r="M353" s="86">
        <v>2007.0</v>
      </c>
      <c r="N353" s="86">
        <v>1.0</v>
      </c>
      <c r="O353" s="141">
        <v>0.25</v>
      </c>
      <c r="P353" s="86">
        <v>9000.0</v>
      </c>
      <c r="Q353" s="86">
        <v>98.0</v>
      </c>
      <c r="R353" s="86">
        <v>1.0</v>
      </c>
      <c r="S353" s="86" t="s">
        <v>3657</v>
      </c>
      <c r="T353" s="86">
        <v>13.0</v>
      </c>
      <c r="U353" s="86">
        <v>0.5</v>
      </c>
      <c r="V353" s="86">
        <v>1000.0</v>
      </c>
      <c r="W353" s="86">
        <v>4155.0</v>
      </c>
      <c r="X353" s="86">
        <v>1.0</v>
      </c>
      <c r="Y353" s="86">
        <v>2006.0</v>
      </c>
      <c r="Z353" s="86">
        <v>1.0</v>
      </c>
      <c r="AA353" s="86">
        <v>0.03</v>
      </c>
    </row>
    <row r="354" ht="12.75" customHeight="1">
      <c r="A354" s="86">
        <v>1352.0</v>
      </c>
      <c r="B354" s="86" t="s">
        <v>4340</v>
      </c>
      <c r="C354" s="86">
        <v>150.0</v>
      </c>
      <c r="D354" s="86" t="s">
        <v>3654</v>
      </c>
      <c r="E354" s="86">
        <v>1.0</v>
      </c>
      <c r="F354" s="86">
        <v>0.113</v>
      </c>
      <c r="G354" s="86">
        <v>8001.0</v>
      </c>
      <c r="H354" s="86">
        <v>265.0</v>
      </c>
      <c r="I354" s="86">
        <v>1.0</v>
      </c>
      <c r="J354" s="86">
        <v>8000.0</v>
      </c>
      <c r="K354" s="86">
        <v>400.0</v>
      </c>
      <c r="L354" s="86">
        <v>1.0</v>
      </c>
      <c r="M354" s="86">
        <v>2007.0</v>
      </c>
      <c r="N354" s="86">
        <v>1.0</v>
      </c>
      <c r="O354" s="141">
        <v>0.25</v>
      </c>
      <c r="P354" s="86">
        <v>9000.0</v>
      </c>
      <c r="Q354" s="86">
        <v>98.0</v>
      </c>
      <c r="R354" s="86">
        <v>1.0</v>
      </c>
      <c r="S354" s="86" t="s">
        <v>3657</v>
      </c>
      <c r="T354" s="86">
        <v>13.0</v>
      </c>
      <c r="U354" s="86">
        <v>0.5</v>
      </c>
      <c r="V354" s="86">
        <v>1000.0</v>
      </c>
      <c r="W354" s="86">
        <v>4170.0</v>
      </c>
      <c r="X354" s="86">
        <v>1.0</v>
      </c>
      <c r="Y354" s="86">
        <v>2006.0</v>
      </c>
      <c r="Z354" s="86">
        <v>1.0</v>
      </c>
      <c r="AA354" s="86">
        <v>0.03</v>
      </c>
    </row>
    <row r="355" ht="12.75" customHeight="1">
      <c r="A355" s="86">
        <v>1353.0</v>
      </c>
      <c r="B355" s="86" t="s">
        <v>4341</v>
      </c>
      <c r="C355" s="86">
        <v>150.0</v>
      </c>
      <c r="D355" s="86" t="s">
        <v>3654</v>
      </c>
      <c r="E355" s="86">
        <v>1.0</v>
      </c>
      <c r="F355" s="86">
        <v>0.113</v>
      </c>
      <c r="G355" s="86">
        <v>8001.0</v>
      </c>
      <c r="H355" s="86">
        <v>270.0</v>
      </c>
      <c r="I355" s="86">
        <v>1.0</v>
      </c>
      <c r="J355" s="86">
        <v>8000.0</v>
      </c>
      <c r="K355" s="86">
        <v>400.0</v>
      </c>
      <c r="L355" s="86">
        <v>1.0</v>
      </c>
      <c r="M355" s="86">
        <v>2007.0</v>
      </c>
      <c r="N355" s="86">
        <v>1.0</v>
      </c>
      <c r="O355" s="141">
        <v>0.25</v>
      </c>
      <c r="P355" s="86">
        <v>9000.0</v>
      </c>
      <c r="Q355" s="86">
        <v>99.0</v>
      </c>
      <c r="R355" s="86">
        <v>1.0</v>
      </c>
      <c r="S355" s="86" t="s">
        <v>3657</v>
      </c>
      <c r="T355" s="86">
        <v>13.0</v>
      </c>
      <c r="U355" s="86">
        <v>0.5</v>
      </c>
      <c r="V355" s="86">
        <v>1000.0</v>
      </c>
      <c r="W355" s="86">
        <v>4185.0</v>
      </c>
      <c r="X355" s="86">
        <v>1.0</v>
      </c>
      <c r="Y355" s="86">
        <v>2006.0</v>
      </c>
      <c r="Z355" s="86">
        <v>1.0</v>
      </c>
      <c r="AA355" s="86">
        <v>0.03</v>
      </c>
    </row>
    <row r="356" ht="12.75" customHeight="1">
      <c r="A356" s="86">
        <v>1354.0</v>
      </c>
      <c r="B356" s="86" t="s">
        <v>4338</v>
      </c>
      <c r="C356" s="86">
        <v>150.0</v>
      </c>
      <c r="D356" s="86" t="s">
        <v>3654</v>
      </c>
      <c r="E356" s="86">
        <v>1.0</v>
      </c>
      <c r="F356" s="86">
        <v>0.113</v>
      </c>
      <c r="G356" s="86">
        <v>8001.0</v>
      </c>
      <c r="H356" s="86">
        <v>270.0</v>
      </c>
      <c r="I356" s="86">
        <v>1.0</v>
      </c>
      <c r="J356" s="86">
        <v>8000.0</v>
      </c>
      <c r="K356" s="86">
        <v>405.0</v>
      </c>
      <c r="L356" s="86">
        <v>1.0</v>
      </c>
      <c r="M356" s="86">
        <v>2007.0</v>
      </c>
      <c r="N356" s="86">
        <v>1.0</v>
      </c>
      <c r="O356" s="141">
        <v>0.25</v>
      </c>
      <c r="P356" s="86">
        <v>9000.0</v>
      </c>
      <c r="Q356" s="86">
        <v>99.0</v>
      </c>
      <c r="R356" s="86">
        <v>1.0</v>
      </c>
      <c r="S356" s="86" t="s">
        <v>3657</v>
      </c>
      <c r="T356" s="86">
        <v>13.0</v>
      </c>
      <c r="U356" s="86">
        <v>0.5</v>
      </c>
      <c r="V356" s="86">
        <v>1000.0</v>
      </c>
      <c r="W356" s="86">
        <v>4195.0</v>
      </c>
      <c r="X356" s="86">
        <v>1.0</v>
      </c>
      <c r="Y356" s="86">
        <v>2006.0</v>
      </c>
      <c r="Z356" s="86">
        <v>1.0</v>
      </c>
      <c r="AA356" s="86">
        <v>0.03</v>
      </c>
    </row>
    <row r="357" ht="12.75" customHeight="1">
      <c r="A357" s="86">
        <v>1355.0</v>
      </c>
      <c r="B357" s="86" t="s">
        <v>4342</v>
      </c>
      <c r="C357" s="86">
        <v>150.0</v>
      </c>
      <c r="D357" s="86" t="s">
        <v>3654</v>
      </c>
      <c r="E357" s="86">
        <v>1.0</v>
      </c>
      <c r="F357" s="86">
        <v>0.114</v>
      </c>
      <c r="G357" s="86">
        <v>8001.0</v>
      </c>
      <c r="H357" s="86">
        <v>270.0</v>
      </c>
      <c r="I357" s="86">
        <v>1.0</v>
      </c>
      <c r="J357" s="86">
        <v>8000.0</v>
      </c>
      <c r="K357" s="86">
        <v>405.0</v>
      </c>
      <c r="L357" s="86">
        <v>1.0</v>
      </c>
      <c r="M357" s="86">
        <v>2007.0</v>
      </c>
      <c r="N357" s="86">
        <v>1.0</v>
      </c>
      <c r="O357" s="141">
        <v>0.25</v>
      </c>
      <c r="P357" s="86">
        <v>9000.0</v>
      </c>
      <c r="Q357" s="86">
        <v>99.0</v>
      </c>
      <c r="R357" s="86">
        <v>1.0</v>
      </c>
      <c r="S357" s="86" t="s">
        <v>3657</v>
      </c>
      <c r="T357" s="86">
        <v>13.0</v>
      </c>
      <c r="U357" s="86">
        <v>0.5</v>
      </c>
      <c r="V357" s="86">
        <v>1000.0</v>
      </c>
      <c r="W357" s="86">
        <v>4210.0</v>
      </c>
      <c r="X357" s="86">
        <v>1.0</v>
      </c>
      <c r="Y357" s="86">
        <v>2006.0</v>
      </c>
      <c r="Z357" s="86">
        <v>1.0</v>
      </c>
      <c r="AA357" s="86">
        <v>0.03</v>
      </c>
    </row>
    <row r="358" ht="12.75" customHeight="1">
      <c r="A358" s="86">
        <v>1356.0</v>
      </c>
      <c r="B358" s="86" t="s">
        <v>4342</v>
      </c>
      <c r="C358" s="86">
        <v>150.0</v>
      </c>
      <c r="D358" s="86" t="s">
        <v>3654</v>
      </c>
      <c r="E358" s="86">
        <v>1.0</v>
      </c>
      <c r="F358" s="86">
        <v>0.114</v>
      </c>
      <c r="G358" s="86">
        <v>8001.0</v>
      </c>
      <c r="H358" s="86">
        <v>270.0</v>
      </c>
      <c r="I358" s="86">
        <v>1.0</v>
      </c>
      <c r="J358" s="86">
        <v>8000.0</v>
      </c>
      <c r="K358" s="86">
        <v>405.0</v>
      </c>
      <c r="L358" s="86">
        <v>1.0</v>
      </c>
      <c r="M358" s="86">
        <v>2007.0</v>
      </c>
      <c r="N358" s="86">
        <v>1.0</v>
      </c>
      <c r="O358" s="141">
        <v>0.25</v>
      </c>
      <c r="P358" s="86">
        <v>9000.0</v>
      </c>
      <c r="Q358" s="86">
        <v>100.0</v>
      </c>
      <c r="R358" s="86">
        <v>1.0</v>
      </c>
      <c r="S358" s="86" t="s">
        <v>3657</v>
      </c>
      <c r="T358" s="86">
        <v>14.0</v>
      </c>
      <c r="U358" s="86">
        <v>0.5</v>
      </c>
      <c r="V358" s="86">
        <v>1000.0</v>
      </c>
      <c r="W358" s="86">
        <v>4225.0</v>
      </c>
      <c r="X358" s="86">
        <v>1.0</v>
      </c>
      <c r="Y358" s="86">
        <v>2006.0</v>
      </c>
      <c r="Z358" s="86">
        <v>1.0</v>
      </c>
      <c r="AA358" s="86">
        <v>0.03</v>
      </c>
    </row>
    <row r="359" ht="12.75" customHeight="1">
      <c r="A359" s="86">
        <v>1357.0</v>
      </c>
      <c r="B359" s="86" t="s">
        <v>4343</v>
      </c>
      <c r="C359" s="86">
        <v>150.0</v>
      </c>
      <c r="D359" s="86" t="s">
        <v>3654</v>
      </c>
      <c r="E359" s="86">
        <v>1.0</v>
      </c>
      <c r="F359" s="86">
        <v>0.114</v>
      </c>
      <c r="G359" s="86">
        <v>8001.0</v>
      </c>
      <c r="H359" s="86">
        <v>270.0</v>
      </c>
      <c r="I359" s="86">
        <v>1.0</v>
      </c>
      <c r="J359" s="86">
        <v>8000.0</v>
      </c>
      <c r="K359" s="86">
        <v>405.0</v>
      </c>
      <c r="L359" s="86">
        <v>1.0</v>
      </c>
      <c r="M359" s="86">
        <v>2007.0</v>
      </c>
      <c r="N359" s="86">
        <v>1.0</v>
      </c>
      <c r="O359" s="141">
        <v>0.25</v>
      </c>
      <c r="P359" s="86">
        <v>9000.0</v>
      </c>
      <c r="Q359" s="86">
        <v>100.0</v>
      </c>
      <c r="R359" s="86">
        <v>1.0</v>
      </c>
      <c r="S359" s="86" t="s">
        <v>3657</v>
      </c>
      <c r="T359" s="86">
        <v>14.0</v>
      </c>
      <c r="U359" s="86">
        <v>0.5</v>
      </c>
      <c r="V359" s="86">
        <v>1000.0</v>
      </c>
      <c r="W359" s="86">
        <v>4235.0</v>
      </c>
      <c r="X359" s="86">
        <v>1.0</v>
      </c>
      <c r="Y359" s="86">
        <v>2006.0</v>
      </c>
      <c r="Z359" s="86">
        <v>1.0</v>
      </c>
      <c r="AA359" s="86">
        <v>0.03</v>
      </c>
    </row>
    <row r="360" ht="12.75" customHeight="1">
      <c r="A360" s="86">
        <v>1358.0</v>
      </c>
      <c r="B360" s="86" t="s">
        <v>4344</v>
      </c>
      <c r="C360" s="86">
        <v>150.0</v>
      </c>
      <c r="D360" s="86" t="s">
        <v>3654</v>
      </c>
      <c r="E360" s="86">
        <v>1.0</v>
      </c>
      <c r="F360" s="86">
        <v>0.114</v>
      </c>
      <c r="G360" s="86">
        <v>8001.0</v>
      </c>
      <c r="H360" s="86">
        <v>270.0</v>
      </c>
      <c r="I360" s="86">
        <v>1.0</v>
      </c>
      <c r="J360" s="86">
        <v>8000.0</v>
      </c>
      <c r="K360" s="86">
        <v>410.0</v>
      </c>
      <c r="L360" s="86">
        <v>1.0</v>
      </c>
      <c r="M360" s="86">
        <v>2007.0</v>
      </c>
      <c r="N360" s="86">
        <v>1.0</v>
      </c>
      <c r="O360" s="141">
        <v>0.25</v>
      </c>
      <c r="P360" s="86">
        <v>9000.0</v>
      </c>
      <c r="Q360" s="86">
        <v>100.0</v>
      </c>
      <c r="R360" s="86">
        <v>1.0</v>
      </c>
      <c r="S360" s="86" t="s">
        <v>3657</v>
      </c>
      <c r="T360" s="86">
        <v>14.0</v>
      </c>
      <c r="U360" s="86">
        <v>0.5</v>
      </c>
      <c r="V360" s="86">
        <v>1000.0</v>
      </c>
      <c r="W360" s="86">
        <v>4250.0</v>
      </c>
      <c r="X360" s="86">
        <v>1.0</v>
      </c>
      <c r="Y360" s="86">
        <v>2006.0</v>
      </c>
      <c r="Z360" s="86">
        <v>1.0</v>
      </c>
      <c r="AA360" s="86">
        <v>0.03</v>
      </c>
    </row>
    <row r="361" ht="12.75" customHeight="1">
      <c r="A361" s="86">
        <v>1359.0</v>
      </c>
      <c r="B361" s="86" t="s">
        <v>4345</v>
      </c>
      <c r="C361" s="86">
        <v>150.0</v>
      </c>
      <c r="D361" s="86" t="s">
        <v>3654</v>
      </c>
      <c r="E361" s="86">
        <v>1.0</v>
      </c>
      <c r="F361" s="86">
        <v>0.115</v>
      </c>
      <c r="G361" s="86">
        <v>8001.0</v>
      </c>
      <c r="H361" s="86">
        <v>275.0</v>
      </c>
      <c r="I361" s="86">
        <v>1.0</v>
      </c>
      <c r="J361" s="86">
        <v>8000.0</v>
      </c>
      <c r="K361" s="86">
        <v>410.0</v>
      </c>
      <c r="L361" s="86">
        <v>1.0</v>
      </c>
      <c r="M361" s="86">
        <v>2007.0</v>
      </c>
      <c r="N361" s="86">
        <v>1.0</v>
      </c>
      <c r="O361" s="141">
        <v>0.25</v>
      </c>
      <c r="P361" s="86">
        <v>9000.0</v>
      </c>
      <c r="Q361" s="86">
        <v>101.0</v>
      </c>
      <c r="R361" s="86">
        <v>1.0</v>
      </c>
      <c r="S361" s="86" t="s">
        <v>3657</v>
      </c>
      <c r="T361" s="86">
        <v>14.0</v>
      </c>
      <c r="U361" s="86">
        <v>0.5</v>
      </c>
      <c r="V361" s="86">
        <v>1000.0</v>
      </c>
      <c r="W361" s="86">
        <v>4265.0</v>
      </c>
      <c r="X361" s="86">
        <v>1.0</v>
      </c>
      <c r="Y361" s="86">
        <v>2006.0</v>
      </c>
      <c r="Z361" s="86">
        <v>1.0</v>
      </c>
      <c r="AA361" s="86">
        <v>0.03</v>
      </c>
    </row>
    <row r="362" ht="12.75" customHeight="1">
      <c r="A362" s="86">
        <v>1360.0</v>
      </c>
      <c r="B362" s="86" t="s">
        <v>4346</v>
      </c>
      <c r="C362" s="86">
        <v>150.0</v>
      </c>
      <c r="D362" s="86" t="s">
        <v>3654</v>
      </c>
      <c r="E362" s="86">
        <v>1.0</v>
      </c>
      <c r="F362" s="86">
        <v>0.115</v>
      </c>
      <c r="G362" s="86">
        <v>8001.0</v>
      </c>
      <c r="H362" s="86">
        <v>275.0</v>
      </c>
      <c r="I362" s="86">
        <v>1.0</v>
      </c>
      <c r="J362" s="86">
        <v>8000.0</v>
      </c>
      <c r="K362" s="86">
        <v>410.0</v>
      </c>
      <c r="L362" s="86">
        <v>1.0</v>
      </c>
      <c r="M362" s="86">
        <v>2007.0</v>
      </c>
      <c r="N362" s="86">
        <v>1.0</v>
      </c>
      <c r="O362" s="141">
        <v>0.25</v>
      </c>
      <c r="P362" s="86">
        <v>9000.0</v>
      </c>
      <c r="Q362" s="86">
        <v>101.0</v>
      </c>
      <c r="R362" s="86">
        <v>1.0</v>
      </c>
      <c r="S362" s="86" t="s">
        <v>3657</v>
      </c>
      <c r="T362" s="86">
        <v>14.0</v>
      </c>
      <c r="U362" s="86">
        <v>0.5</v>
      </c>
      <c r="V362" s="86">
        <v>1000.0</v>
      </c>
      <c r="W362" s="86">
        <v>4280.0</v>
      </c>
      <c r="X362" s="86">
        <v>1.0</v>
      </c>
      <c r="Y362" s="86">
        <v>2006.0</v>
      </c>
      <c r="Z362" s="86">
        <v>1.0</v>
      </c>
      <c r="AA362" s="86">
        <v>0.03</v>
      </c>
    </row>
    <row r="363" ht="12.75" customHeight="1">
      <c r="A363" s="86">
        <v>1361.0</v>
      </c>
      <c r="B363" s="86" t="s">
        <v>4347</v>
      </c>
      <c r="C363" s="86">
        <v>150.0</v>
      </c>
      <c r="D363" s="86" t="s">
        <v>3654</v>
      </c>
      <c r="E363" s="86">
        <v>1.0</v>
      </c>
      <c r="F363" s="86">
        <v>0.115</v>
      </c>
      <c r="G363" s="86">
        <v>8001.0</v>
      </c>
      <c r="H363" s="86">
        <v>275.0</v>
      </c>
      <c r="I363" s="86">
        <v>1.0</v>
      </c>
      <c r="J363" s="86">
        <v>8000.0</v>
      </c>
      <c r="K363" s="86">
        <v>410.0</v>
      </c>
      <c r="L363" s="86">
        <v>1.0</v>
      </c>
      <c r="M363" s="86">
        <v>2007.0</v>
      </c>
      <c r="N363" s="86">
        <v>1.0</v>
      </c>
      <c r="O363" s="141">
        <v>0.25</v>
      </c>
      <c r="P363" s="86">
        <v>9000.0</v>
      </c>
      <c r="Q363" s="86">
        <v>101.0</v>
      </c>
      <c r="R363" s="86">
        <v>1.0</v>
      </c>
      <c r="S363" s="86" t="s">
        <v>3657</v>
      </c>
      <c r="T363" s="86">
        <v>14.0</v>
      </c>
      <c r="U363" s="86">
        <v>0.5</v>
      </c>
      <c r="V363" s="86">
        <v>1000.0</v>
      </c>
      <c r="W363" s="86">
        <v>4290.0</v>
      </c>
      <c r="X363" s="86">
        <v>1.0</v>
      </c>
      <c r="Y363" s="86">
        <v>2006.0</v>
      </c>
      <c r="Z363" s="86">
        <v>1.0</v>
      </c>
      <c r="AA363" s="86">
        <v>0.03</v>
      </c>
    </row>
    <row r="364" ht="12.75" customHeight="1">
      <c r="A364" s="86">
        <v>1362.0</v>
      </c>
      <c r="B364" s="86" t="s">
        <v>4348</v>
      </c>
      <c r="C364" s="86">
        <v>150.0</v>
      </c>
      <c r="D364" s="86" t="s">
        <v>3654</v>
      </c>
      <c r="E364" s="86">
        <v>1.0</v>
      </c>
      <c r="F364" s="86">
        <v>0.115</v>
      </c>
      <c r="G364" s="86">
        <v>8001.0</v>
      </c>
      <c r="H364" s="86">
        <v>275.0</v>
      </c>
      <c r="I364" s="86">
        <v>1.0</v>
      </c>
      <c r="J364" s="86">
        <v>8000.0</v>
      </c>
      <c r="K364" s="86">
        <v>415.0</v>
      </c>
      <c r="L364" s="86">
        <v>1.0</v>
      </c>
      <c r="M364" s="86">
        <v>2007.0</v>
      </c>
      <c r="N364" s="86">
        <v>1.0</v>
      </c>
      <c r="O364" s="141">
        <v>0.25</v>
      </c>
      <c r="P364" s="86">
        <v>9000.0</v>
      </c>
      <c r="Q364" s="86">
        <v>102.0</v>
      </c>
      <c r="R364" s="86">
        <v>1.0</v>
      </c>
      <c r="S364" s="86" t="s">
        <v>3657</v>
      </c>
      <c r="T364" s="86">
        <v>14.0</v>
      </c>
      <c r="U364" s="86">
        <v>0.5</v>
      </c>
      <c r="V364" s="86">
        <v>1000.0</v>
      </c>
      <c r="W364" s="86">
        <v>4305.0</v>
      </c>
      <c r="X364" s="86">
        <v>1.0</v>
      </c>
      <c r="Y364" s="86">
        <v>2006.0</v>
      </c>
      <c r="Z364" s="86">
        <v>1.0</v>
      </c>
      <c r="AA364" s="86">
        <v>0.03</v>
      </c>
    </row>
    <row r="365" ht="12.75" customHeight="1">
      <c r="A365" s="86">
        <v>1363.0</v>
      </c>
      <c r="B365" s="86" t="s">
        <v>4349</v>
      </c>
      <c r="C365" s="86">
        <v>150.0</v>
      </c>
      <c r="D365" s="86" t="s">
        <v>3654</v>
      </c>
      <c r="E365" s="86">
        <v>1.0</v>
      </c>
      <c r="F365" s="86">
        <v>0.116</v>
      </c>
      <c r="G365" s="86">
        <v>8001.0</v>
      </c>
      <c r="H365" s="86">
        <v>275.0</v>
      </c>
      <c r="I365" s="86">
        <v>1.0</v>
      </c>
      <c r="J365" s="86">
        <v>8000.0</v>
      </c>
      <c r="K365" s="86">
        <v>415.0</v>
      </c>
      <c r="L365" s="86">
        <v>1.0</v>
      </c>
      <c r="M365" s="86">
        <v>2007.0</v>
      </c>
      <c r="N365" s="86">
        <v>1.0</v>
      </c>
      <c r="O365" s="141">
        <v>0.25</v>
      </c>
      <c r="P365" s="86">
        <v>9000.0</v>
      </c>
      <c r="Q365" s="86">
        <v>102.0</v>
      </c>
      <c r="R365" s="86">
        <v>1.0</v>
      </c>
      <c r="S365" s="86" t="s">
        <v>3657</v>
      </c>
      <c r="T365" s="86">
        <v>14.0</v>
      </c>
      <c r="U365" s="86">
        <v>0.5</v>
      </c>
      <c r="V365" s="86">
        <v>1000.0</v>
      </c>
      <c r="W365" s="86">
        <v>4320.0</v>
      </c>
      <c r="X365" s="86">
        <v>1.0</v>
      </c>
      <c r="Y365" s="86">
        <v>2006.0</v>
      </c>
      <c r="Z365" s="86">
        <v>1.0</v>
      </c>
      <c r="AA365" s="86">
        <v>0.03</v>
      </c>
    </row>
    <row r="366" ht="12.75" customHeight="1">
      <c r="A366" s="86">
        <v>1364.0</v>
      </c>
      <c r="B366" s="86" t="s">
        <v>4354</v>
      </c>
      <c r="C366" s="86">
        <v>150.0</v>
      </c>
      <c r="D366" s="86" t="s">
        <v>3654</v>
      </c>
      <c r="E366" s="86">
        <v>1.0</v>
      </c>
      <c r="F366" s="86">
        <v>0.116</v>
      </c>
      <c r="G366" s="86">
        <v>8001.0</v>
      </c>
      <c r="H366" s="86">
        <v>275.0</v>
      </c>
      <c r="I366" s="86">
        <v>1.0</v>
      </c>
      <c r="J366" s="86">
        <v>8000.0</v>
      </c>
      <c r="K366" s="86">
        <v>415.0</v>
      </c>
      <c r="L366" s="86">
        <v>1.0</v>
      </c>
      <c r="M366" s="86">
        <v>2007.0</v>
      </c>
      <c r="N366" s="86">
        <v>1.0</v>
      </c>
      <c r="O366" s="141">
        <v>0.25</v>
      </c>
      <c r="P366" s="86">
        <v>9000.0</v>
      </c>
      <c r="Q366" s="86">
        <v>102.0</v>
      </c>
      <c r="R366" s="86">
        <v>1.0</v>
      </c>
      <c r="S366" s="86" t="s">
        <v>3657</v>
      </c>
      <c r="T366" s="86">
        <v>14.0</v>
      </c>
      <c r="U366" s="86">
        <v>0.5</v>
      </c>
      <c r="V366" s="86">
        <v>1000.0</v>
      </c>
      <c r="W366" s="86">
        <v>4330.0</v>
      </c>
      <c r="X366" s="86">
        <v>1.0</v>
      </c>
      <c r="Y366" s="86">
        <v>2006.0</v>
      </c>
      <c r="Z366" s="86">
        <v>1.0</v>
      </c>
      <c r="AA366" s="86">
        <v>0.03</v>
      </c>
    </row>
    <row r="367" ht="12.75" customHeight="1">
      <c r="A367" s="86">
        <v>1365.0</v>
      </c>
      <c r="B367" s="86" t="s">
        <v>4354</v>
      </c>
      <c r="C367" s="86">
        <v>150.0</v>
      </c>
      <c r="D367" s="86" t="s">
        <v>3654</v>
      </c>
      <c r="E367" s="86">
        <v>1.0</v>
      </c>
      <c r="F367" s="86">
        <v>0.116</v>
      </c>
      <c r="G367" s="86">
        <v>8001.0</v>
      </c>
      <c r="H367" s="86">
        <v>280.0</v>
      </c>
      <c r="I367" s="86">
        <v>1.0</v>
      </c>
      <c r="J367" s="86">
        <v>8000.0</v>
      </c>
      <c r="K367" s="86">
        <v>415.0</v>
      </c>
      <c r="L367" s="86">
        <v>1.0</v>
      </c>
      <c r="M367" s="86">
        <v>2007.0</v>
      </c>
      <c r="N367" s="86">
        <v>1.0</v>
      </c>
      <c r="O367" s="141">
        <v>0.25</v>
      </c>
      <c r="P367" s="86">
        <v>9000.0</v>
      </c>
      <c r="Q367" s="86">
        <v>103.0</v>
      </c>
      <c r="R367" s="86">
        <v>1.0</v>
      </c>
      <c r="S367" s="86" t="s">
        <v>3657</v>
      </c>
      <c r="T367" s="86">
        <v>14.0</v>
      </c>
      <c r="U367" s="86">
        <v>0.5</v>
      </c>
      <c r="V367" s="86">
        <v>1000.0</v>
      </c>
      <c r="W367" s="86">
        <v>4345.0</v>
      </c>
      <c r="X367" s="86">
        <v>1.0</v>
      </c>
      <c r="Y367" s="86">
        <v>2006.0</v>
      </c>
      <c r="Z367" s="86">
        <v>1.0</v>
      </c>
      <c r="AA367" s="86">
        <v>0.03</v>
      </c>
    </row>
    <row r="368" ht="12.75" customHeight="1">
      <c r="A368" s="86">
        <v>1366.0</v>
      </c>
      <c r="B368" s="86" t="s">
        <v>4356</v>
      </c>
      <c r="C368" s="86">
        <v>150.0</v>
      </c>
      <c r="D368" s="86" t="s">
        <v>3654</v>
      </c>
      <c r="E368" s="86">
        <v>1.0</v>
      </c>
      <c r="F368" s="86">
        <v>0.116</v>
      </c>
      <c r="G368" s="86">
        <v>8001.0</v>
      </c>
      <c r="H368" s="86">
        <v>280.0</v>
      </c>
      <c r="I368" s="86">
        <v>1.0</v>
      </c>
      <c r="J368" s="86">
        <v>8000.0</v>
      </c>
      <c r="K368" s="86">
        <v>420.0</v>
      </c>
      <c r="L368" s="86">
        <v>1.0</v>
      </c>
      <c r="M368" s="86">
        <v>2007.0</v>
      </c>
      <c r="N368" s="86">
        <v>1.0</v>
      </c>
      <c r="O368" s="141">
        <v>0.25</v>
      </c>
      <c r="P368" s="86">
        <v>9000.0</v>
      </c>
      <c r="Q368" s="86">
        <v>103.0</v>
      </c>
      <c r="R368" s="86">
        <v>1.0</v>
      </c>
      <c r="S368" s="86" t="s">
        <v>3657</v>
      </c>
      <c r="T368" s="86">
        <v>14.0</v>
      </c>
      <c r="U368" s="86">
        <v>0.5</v>
      </c>
      <c r="V368" s="86">
        <v>1000.0</v>
      </c>
      <c r="W368" s="86">
        <v>4360.0</v>
      </c>
      <c r="X368" s="86">
        <v>1.0</v>
      </c>
      <c r="Y368" s="86">
        <v>2006.0</v>
      </c>
      <c r="Z368" s="86">
        <v>1.0</v>
      </c>
      <c r="AA368" s="86">
        <v>0.03</v>
      </c>
    </row>
    <row r="369" ht="12.75" customHeight="1">
      <c r="A369" s="86">
        <v>1367.0</v>
      </c>
      <c r="B369" s="86" t="s">
        <v>4357</v>
      </c>
      <c r="C369" s="86">
        <v>150.0</v>
      </c>
      <c r="D369" s="86" t="s">
        <v>3654</v>
      </c>
      <c r="E369" s="86">
        <v>1.0</v>
      </c>
      <c r="F369" s="86">
        <v>0.117</v>
      </c>
      <c r="G369" s="86">
        <v>8001.0</v>
      </c>
      <c r="H369" s="86">
        <v>280.0</v>
      </c>
      <c r="I369" s="86">
        <v>1.0</v>
      </c>
      <c r="J369" s="86">
        <v>8000.0</v>
      </c>
      <c r="K369" s="86">
        <v>420.0</v>
      </c>
      <c r="L369" s="86">
        <v>1.0</v>
      </c>
      <c r="M369" s="86">
        <v>2007.0</v>
      </c>
      <c r="N369" s="86">
        <v>1.0</v>
      </c>
      <c r="O369" s="141">
        <v>0.25</v>
      </c>
      <c r="P369" s="86">
        <v>9000.0</v>
      </c>
      <c r="Q369" s="86">
        <v>103.0</v>
      </c>
      <c r="R369" s="86">
        <v>1.0</v>
      </c>
      <c r="S369" s="86" t="s">
        <v>3657</v>
      </c>
      <c r="T369" s="86">
        <v>14.0</v>
      </c>
      <c r="U369" s="86">
        <v>0.5</v>
      </c>
      <c r="V369" s="86">
        <v>1000.0</v>
      </c>
      <c r="W369" s="86">
        <v>4370.0</v>
      </c>
      <c r="X369" s="86">
        <v>1.0</v>
      </c>
      <c r="Y369" s="86">
        <v>2006.0</v>
      </c>
      <c r="Z369" s="86">
        <v>1.0</v>
      </c>
      <c r="AA369" s="86">
        <v>0.03</v>
      </c>
    </row>
    <row r="370" ht="12.75" customHeight="1">
      <c r="A370" s="86">
        <v>1368.0</v>
      </c>
      <c r="B370" s="86" t="s">
        <v>4358</v>
      </c>
      <c r="C370" s="86">
        <v>150.0</v>
      </c>
      <c r="D370" s="86" t="s">
        <v>3654</v>
      </c>
      <c r="E370" s="86">
        <v>1.0</v>
      </c>
      <c r="F370" s="86">
        <v>0.117</v>
      </c>
      <c r="G370" s="86">
        <v>8001.0</v>
      </c>
      <c r="H370" s="86">
        <v>280.0</v>
      </c>
      <c r="I370" s="86">
        <v>1.0</v>
      </c>
      <c r="J370" s="86">
        <v>8000.0</v>
      </c>
      <c r="K370" s="86">
        <v>420.0</v>
      </c>
      <c r="L370" s="86">
        <v>1.0</v>
      </c>
      <c r="M370" s="86">
        <v>2007.0</v>
      </c>
      <c r="N370" s="86">
        <v>1.0</v>
      </c>
      <c r="O370" s="141">
        <v>0.25</v>
      </c>
      <c r="P370" s="86">
        <v>9000.0</v>
      </c>
      <c r="Q370" s="86">
        <v>104.0</v>
      </c>
      <c r="R370" s="86">
        <v>1.0</v>
      </c>
      <c r="S370" s="86" t="s">
        <v>3657</v>
      </c>
      <c r="T370" s="86">
        <v>14.0</v>
      </c>
      <c r="U370" s="86">
        <v>0.5</v>
      </c>
      <c r="V370" s="86">
        <v>1000.0</v>
      </c>
      <c r="W370" s="86">
        <v>4385.0</v>
      </c>
      <c r="X370" s="86">
        <v>1.0</v>
      </c>
      <c r="Y370" s="86">
        <v>2006.0</v>
      </c>
      <c r="Z370" s="86">
        <v>1.0</v>
      </c>
      <c r="AA370" s="86">
        <v>0.03</v>
      </c>
    </row>
    <row r="371" ht="12.75" customHeight="1">
      <c r="A371" s="86">
        <v>1369.0</v>
      </c>
      <c r="B371" s="86" t="s">
        <v>4359</v>
      </c>
      <c r="C371" s="86">
        <v>150.0</v>
      </c>
      <c r="D371" s="86" t="s">
        <v>3654</v>
      </c>
      <c r="E371" s="86">
        <v>1.0</v>
      </c>
      <c r="F371" s="86">
        <v>0.117</v>
      </c>
      <c r="G371" s="86">
        <v>8001.0</v>
      </c>
      <c r="H371" s="86">
        <v>280.0</v>
      </c>
      <c r="I371" s="86">
        <v>1.0</v>
      </c>
      <c r="J371" s="86">
        <v>8000.0</v>
      </c>
      <c r="K371" s="86">
        <v>420.0</v>
      </c>
      <c r="L371" s="86">
        <v>1.0</v>
      </c>
      <c r="M371" s="86">
        <v>2007.0</v>
      </c>
      <c r="N371" s="86">
        <v>1.0</v>
      </c>
      <c r="O371" s="141">
        <v>0.25</v>
      </c>
      <c r="P371" s="86">
        <v>9000.0</v>
      </c>
      <c r="Q371" s="86">
        <v>104.0</v>
      </c>
      <c r="R371" s="86">
        <v>1.0</v>
      </c>
      <c r="S371" s="86" t="s">
        <v>3657</v>
      </c>
      <c r="T371" s="86">
        <v>14.0</v>
      </c>
      <c r="U371" s="86">
        <v>0.5</v>
      </c>
      <c r="V371" s="86">
        <v>1000.0</v>
      </c>
      <c r="W371" s="86">
        <v>4400.0</v>
      </c>
      <c r="X371" s="86">
        <v>1.0</v>
      </c>
      <c r="Y371" s="86">
        <v>2006.0</v>
      </c>
      <c r="Z371" s="86">
        <v>1.0</v>
      </c>
      <c r="AA371" s="86">
        <v>0.03</v>
      </c>
    </row>
    <row r="372" ht="12.75" customHeight="1">
      <c r="A372" s="86">
        <v>1370.0</v>
      </c>
      <c r="B372" s="86" t="s">
        <v>4360</v>
      </c>
      <c r="C372" s="86">
        <v>150.0</v>
      </c>
      <c r="D372" s="86" t="s">
        <v>3654</v>
      </c>
      <c r="E372" s="86">
        <v>1.0</v>
      </c>
      <c r="F372" s="86">
        <v>0.117</v>
      </c>
      <c r="G372" s="86">
        <v>8001.0</v>
      </c>
      <c r="H372" s="86">
        <v>280.0</v>
      </c>
      <c r="I372" s="86">
        <v>1.0</v>
      </c>
      <c r="J372" s="86">
        <v>8000.0</v>
      </c>
      <c r="K372" s="86">
        <v>425.0</v>
      </c>
      <c r="L372" s="86">
        <v>1.0</v>
      </c>
      <c r="M372" s="86">
        <v>2007.0</v>
      </c>
      <c r="N372" s="86">
        <v>1.0</v>
      </c>
      <c r="O372" s="141">
        <v>0.25</v>
      </c>
      <c r="P372" s="86">
        <v>9000.0</v>
      </c>
      <c r="Q372" s="86">
        <v>104.0</v>
      </c>
      <c r="R372" s="86">
        <v>1.0</v>
      </c>
      <c r="S372" s="86" t="s">
        <v>3657</v>
      </c>
      <c r="T372" s="86">
        <v>14.0</v>
      </c>
      <c r="U372" s="86">
        <v>0.5</v>
      </c>
      <c r="V372" s="86">
        <v>1000.0</v>
      </c>
      <c r="W372" s="86">
        <v>4410.0</v>
      </c>
      <c r="X372" s="86">
        <v>1.0</v>
      </c>
      <c r="Y372" s="86">
        <v>2006.0</v>
      </c>
      <c r="Z372" s="86">
        <v>1.0</v>
      </c>
      <c r="AA372" s="86">
        <v>0.03</v>
      </c>
    </row>
    <row r="373" ht="12.75" customHeight="1">
      <c r="A373" s="86">
        <v>1371.0</v>
      </c>
      <c r="B373" s="86" t="s">
        <v>4361</v>
      </c>
      <c r="C373" s="86">
        <v>150.0</v>
      </c>
      <c r="D373" s="86" t="s">
        <v>3654</v>
      </c>
      <c r="E373" s="86">
        <v>1.0</v>
      </c>
      <c r="F373" s="86">
        <v>0.118</v>
      </c>
      <c r="G373" s="86">
        <v>8001.0</v>
      </c>
      <c r="H373" s="86">
        <v>285.0</v>
      </c>
      <c r="I373" s="86">
        <v>1.0</v>
      </c>
      <c r="J373" s="86">
        <v>8000.0</v>
      </c>
      <c r="K373" s="86">
        <v>425.0</v>
      </c>
      <c r="L373" s="86">
        <v>1.0</v>
      </c>
      <c r="M373" s="86">
        <v>2007.0</v>
      </c>
      <c r="N373" s="86">
        <v>1.0</v>
      </c>
      <c r="O373" s="141">
        <v>0.25</v>
      </c>
      <c r="P373" s="86">
        <v>9000.0</v>
      </c>
      <c r="Q373" s="86">
        <v>105.0</v>
      </c>
      <c r="R373" s="86">
        <v>1.0</v>
      </c>
      <c r="S373" s="86" t="s">
        <v>3657</v>
      </c>
      <c r="T373" s="86">
        <v>14.0</v>
      </c>
      <c r="U373" s="86">
        <v>0.5</v>
      </c>
      <c r="V373" s="86">
        <v>1000.0</v>
      </c>
      <c r="W373" s="86">
        <v>4425.0</v>
      </c>
      <c r="X373" s="86">
        <v>1.0</v>
      </c>
      <c r="Y373" s="86">
        <v>2006.0</v>
      </c>
      <c r="Z373" s="86">
        <v>1.0</v>
      </c>
      <c r="AA373" s="86">
        <v>0.03</v>
      </c>
    </row>
    <row r="374" ht="12.75" customHeight="1">
      <c r="A374" s="86">
        <v>1372.0</v>
      </c>
      <c r="B374" s="86" t="s">
        <v>4362</v>
      </c>
      <c r="C374" s="86">
        <v>150.0</v>
      </c>
      <c r="D374" s="86" t="s">
        <v>3654</v>
      </c>
      <c r="E374" s="86">
        <v>1.0</v>
      </c>
      <c r="F374" s="86">
        <v>0.118</v>
      </c>
      <c r="G374" s="86">
        <v>8001.0</v>
      </c>
      <c r="H374" s="86">
        <v>285.0</v>
      </c>
      <c r="I374" s="86">
        <v>1.0</v>
      </c>
      <c r="J374" s="86">
        <v>8000.0</v>
      </c>
      <c r="K374" s="86">
        <v>425.0</v>
      </c>
      <c r="L374" s="86">
        <v>1.0</v>
      </c>
      <c r="M374" s="86">
        <v>2007.0</v>
      </c>
      <c r="N374" s="86">
        <v>1.0</v>
      </c>
      <c r="O374" s="141">
        <v>0.25</v>
      </c>
      <c r="P374" s="86">
        <v>9000.0</v>
      </c>
      <c r="Q374" s="86">
        <v>105.0</v>
      </c>
      <c r="R374" s="86">
        <v>1.0</v>
      </c>
      <c r="S374" s="86" t="s">
        <v>3657</v>
      </c>
      <c r="T374" s="86">
        <v>14.0</v>
      </c>
      <c r="U374" s="86">
        <v>0.5</v>
      </c>
      <c r="V374" s="86">
        <v>1000.0</v>
      </c>
      <c r="W374" s="86">
        <v>4440.0</v>
      </c>
      <c r="X374" s="86">
        <v>1.0</v>
      </c>
      <c r="Y374" s="86">
        <v>2006.0</v>
      </c>
      <c r="Z374" s="86">
        <v>1.0</v>
      </c>
      <c r="AA374" s="86">
        <v>0.03</v>
      </c>
    </row>
    <row r="375" ht="12.75" customHeight="1">
      <c r="A375" s="86">
        <v>1373.0</v>
      </c>
      <c r="B375" s="86" t="s">
        <v>4363</v>
      </c>
      <c r="C375" s="86">
        <v>150.0</v>
      </c>
      <c r="D375" s="86" t="s">
        <v>3654</v>
      </c>
      <c r="E375" s="86">
        <v>1.0</v>
      </c>
      <c r="F375" s="86">
        <v>0.118</v>
      </c>
      <c r="G375" s="86">
        <v>8001.0</v>
      </c>
      <c r="H375" s="86">
        <v>285.0</v>
      </c>
      <c r="I375" s="86">
        <v>1.0</v>
      </c>
      <c r="J375" s="86">
        <v>8000.0</v>
      </c>
      <c r="K375" s="86">
        <v>425.0</v>
      </c>
      <c r="L375" s="86">
        <v>1.0</v>
      </c>
      <c r="M375" s="86">
        <v>2007.0</v>
      </c>
      <c r="N375" s="86">
        <v>1.0</v>
      </c>
      <c r="O375" s="141">
        <v>0.25</v>
      </c>
      <c r="P375" s="86">
        <v>9000.0</v>
      </c>
      <c r="Q375" s="86">
        <v>105.0</v>
      </c>
      <c r="R375" s="86">
        <v>1.0</v>
      </c>
      <c r="S375" s="86" t="s">
        <v>3657</v>
      </c>
      <c r="T375" s="86">
        <v>14.0</v>
      </c>
      <c r="U375" s="86">
        <v>0.5</v>
      </c>
      <c r="V375" s="86">
        <v>1000.0</v>
      </c>
      <c r="W375" s="86">
        <v>4450.0</v>
      </c>
      <c r="X375" s="86">
        <v>1.0</v>
      </c>
      <c r="Y375" s="86">
        <v>2006.0</v>
      </c>
      <c r="Z375" s="86">
        <v>1.0</v>
      </c>
      <c r="AA375" s="86">
        <v>0.03</v>
      </c>
    </row>
    <row r="376" ht="12.75" customHeight="1">
      <c r="A376" s="86">
        <v>1374.0</v>
      </c>
      <c r="B376" s="86" t="s">
        <v>4364</v>
      </c>
      <c r="C376" s="86">
        <v>150.0</v>
      </c>
      <c r="D376" s="86" t="s">
        <v>3654</v>
      </c>
      <c r="E376" s="86">
        <v>1.0</v>
      </c>
      <c r="F376" s="86">
        <v>0.118</v>
      </c>
      <c r="G376" s="86">
        <v>8001.0</v>
      </c>
      <c r="H376" s="86">
        <v>285.0</v>
      </c>
      <c r="I376" s="86">
        <v>1.0</v>
      </c>
      <c r="J376" s="86">
        <v>8000.0</v>
      </c>
      <c r="K376" s="86">
        <v>430.0</v>
      </c>
      <c r="L376" s="86">
        <v>1.0</v>
      </c>
      <c r="M376" s="86">
        <v>2007.0</v>
      </c>
      <c r="N376" s="86">
        <v>1.0</v>
      </c>
      <c r="O376" s="141">
        <v>0.25</v>
      </c>
      <c r="P376" s="86">
        <v>9000.0</v>
      </c>
      <c r="Q376" s="86">
        <v>106.0</v>
      </c>
      <c r="R376" s="86">
        <v>1.0</v>
      </c>
      <c r="S376" s="86" t="s">
        <v>3657</v>
      </c>
      <c r="T376" s="86">
        <v>14.0</v>
      </c>
      <c r="U376" s="86">
        <v>0.5</v>
      </c>
      <c r="V376" s="86">
        <v>1000.0</v>
      </c>
      <c r="W376" s="86">
        <v>4465.0</v>
      </c>
      <c r="X376" s="86">
        <v>1.0</v>
      </c>
      <c r="Y376" s="86">
        <v>2006.0</v>
      </c>
      <c r="Z376" s="86">
        <v>1.0</v>
      </c>
      <c r="AA376" s="86">
        <v>0.03</v>
      </c>
    </row>
    <row r="377" ht="12.75" customHeight="1">
      <c r="A377" s="86">
        <v>1375.0</v>
      </c>
      <c r="B377" s="86" t="s">
        <v>4365</v>
      </c>
      <c r="C377" s="86">
        <v>150.0</v>
      </c>
      <c r="D377" s="86" t="s">
        <v>3654</v>
      </c>
      <c r="E377" s="86">
        <v>1.0</v>
      </c>
      <c r="F377" s="86">
        <v>0.119</v>
      </c>
      <c r="G377" s="86">
        <v>8001.0</v>
      </c>
      <c r="H377" s="86">
        <v>285.0</v>
      </c>
      <c r="I377" s="86">
        <v>1.0</v>
      </c>
      <c r="J377" s="86">
        <v>8000.0</v>
      </c>
      <c r="K377" s="86">
        <v>430.0</v>
      </c>
      <c r="L377" s="86">
        <v>1.0</v>
      </c>
      <c r="M377" s="86">
        <v>2007.0</v>
      </c>
      <c r="N377" s="86">
        <v>1.0</v>
      </c>
      <c r="O377" s="141">
        <v>0.25</v>
      </c>
      <c r="P377" s="86">
        <v>9000.0</v>
      </c>
      <c r="Q377" s="86">
        <v>106.0</v>
      </c>
      <c r="R377" s="86">
        <v>1.0</v>
      </c>
      <c r="S377" s="86" t="s">
        <v>3657</v>
      </c>
      <c r="T377" s="86">
        <v>14.0</v>
      </c>
      <c r="U377" s="86">
        <v>0.5</v>
      </c>
      <c r="V377" s="86">
        <v>1000.0</v>
      </c>
      <c r="W377" s="86">
        <v>4480.0</v>
      </c>
      <c r="X377" s="86">
        <v>1.0</v>
      </c>
      <c r="Y377" s="86">
        <v>2006.0</v>
      </c>
      <c r="Z377" s="86">
        <v>1.0</v>
      </c>
      <c r="AA377" s="86">
        <v>0.03</v>
      </c>
    </row>
    <row r="378" ht="12.75" customHeight="1">
      <c r="A378" s="86">
        <v>1376.0</v>
      </c>
      <c r="B378" s="86" t="s">
        <v>4366</v>
      </c>
      <c r="C378" s="86">
        <v>150.0</v>
      </c>
      <c r="D378" s="86" t="s">
        <v>3654</v>
      </c>
      <c r="E378" s="86">
        <v>1.0</v>
      </c>
      <c r="F378" s="86">
        <v>0.119</v>
      </c>
      <c r="G378" s="86">
        <v>8001.0</v>
      </c>
      <c r="H378" s="86">
        <v>285.0</v>
      </c>
      <c r="I378" s="86">
        <v>1.0</v>
      </c>
      <c r="J378" s="86">
        <v>8000.0</v>
      </c>
      <c r="K378" s="86">
        <v>430.0</v>
      </c>
      <c r="L378" s="86">
        <v>1.0</v>
      </c>
      <c r="M378" s="86">
        <v>2007.0</v>
      </c>
      <c r="N378" s="86">
        <v>1.0</v>
      </c>
      <c r="O378" s="141">
        <v>0.25</v>
      </c>
      <c r="P378" s="86">
        <v>9000.0</v>
      </c>
      <c r="Q378" s="86">
        <v>106.0</v>
      </c>
      <c r="R378" s="86">
        <v>1.0</v>
      </c>
      <c r="S378" s="86" t="s">
        <v>3657</v>
      </c>
      <c r="T378" s="86">
        <v>14.0</v>
      </c>
      <c r="U378" s="86">
        <v>0.5</v>
      </c>
      <c r="V378" s="86">
        <v>1000.0</v>
      </c>
      <c r="W378" s="86">
        <v>4490.0</v>
      </c>
      <c r="X378" s="86">
        <v>1.0</v>
      </c>
      <c r="Y378" s="86">
        <v>2006.0</v>
      </c>
      <c r="Z378" s="86">
        <v>1.0</v>
      </c>
      <c r="AA378" s="86">
        <v>0.03</v>
      </c>
    </row>
    <row r="379" ht="12.75" customHeight="1">
      <c r="A379" s="86">
        <v>1377.0</v>
      </c>
      <c r="B379" s="86" t="s">
        <v>4367</v>
      </c>
      <c r="C379" s="86">
        <v>150.0</v>
      </c>
      <c r="D379" s="86" t="s">
        <v>3654</v>
      </c>
      <c r="E379" s="86">
        <v>1.0</v>
      </c>
      <c r="F379" s="86">
        <v>0.119</v>
      </c>
      <c r="G379" s="86">
        <v>8001.0</v>
      </c>
      <c r="H379" s="86">
        <v>290.0</v>
      </c>
      <c r="I379" s="86">
        <v>1.0</v>
      </c>
      <c r="J379" s="86">
        <v>8000.0</v>
      </c>
      <c r="K379" s="86">
        <v>430.0</v>
      </c>
      <c r="L379" s="86">
        <v>1.0</v>
      </c>
      <c r="M379" s="86">
        <v>2007.0</v>
      </c>
      <c r="N379" s="86">
        <v>1.0</v>
      </c>
      <c r="O379" s="141">
        <v>0.25</v>
      </c>
      <c r="P379" s="86">
        <v>9000.0</v>
      </c>
      <c r="Q379" s="86">
        <v>107.0</v>
      </c>
      <c r="R379" s="86">
        <v>1.0</v>
      </c>
      <c r="S379" s="86" t="s">
        <v>3657</v>
      </c>
      <c r="T379" s="86">
        <v>14.0</v>
      </c>
      <c r="U379" s="86">
        <v>0.5</v>
      </c>
      <c r="V379" s="86">
        <v>1000.0</v>
      </c>
      <c r="W379" s="86">
        <v>4505.0</v>
      </c>
      <c r="X379" s="86">
        <v>1.0</v>
      </c>
      <c r="Y379" s="86">
        <v>2006.0</v>
      </c>
      <c r="Z379" s="86">
        <v>1.0</v>
      </c>
      <c r="AA379" s="86">
        <v>0.03</v>
      </c>
    </row>
    <row r="380" ht="12.75" customHeight="1">
      <c r="A380" s="86">
        <v>1378.0</v>
      </c>
      <c r="B380" s="86" t="s">
        <v>4368</v>
      </c>
      <c r="C380" s="86">
        <v>150.0</v>
      </c>
      <c r="D380" s="86" t="s">
        <v>3654</v>
      </c>
      <c r="E380" s="86">
        <v>1.0</v>
      </c>
      <c r="F380" s="86">
        <v>0.119</v>
      </c>
      <c r="G380" s="86">
        <v>8001.0</v>
      </c>
      <c r="H380" s="86">
        <v>290.0</v>
      </c>
      <c r="I380" s="86">
        <v>1.0</v>
      </c>
      <c r="J380" s="86">
        <v>8000.0</v>
      </c>
      <c r="K380" s="86">
        <v>435.0</v>
      </c>
      <c r="L380" s="86">
        <v>1.0</v>
      </c>
      <c r="M380" s="86">
        <v>2007.0</v>
      </c>
      <c r="N380" s="86">
        <v>1.0</v>
      </c>
      <c r="O380" s="141">
        <v>0.25</v>
      </c>
      <c r="P380" s="86">
        <v>9000.0</v>
      </c>
      <c r="Q380" s="86">
        <v>107.0</v>
      </c>
      <c r="R380" s="86">
        <v>1.0</v>
      </c>
      <c r="S380" s="86" t="s">
        <v>3657</v>
      </c>
      <c r="T380" s="86">
        <v>14.0</v>
      </c>
      <c r="U380" s="86">
        <v>0.5</v>
      </c>
      <c r="V380" s="86">
        <v>1000.0</v>
      </c>
      <c r="W380" s="86">
        <v>4520.0</v>
      </c>
      <c r="X380" s="86">
        <v>1.0</v>
      </c>
      <c r="Y380" s="86">
        <v>2006.0</v>
      </c>
      <c r="Z380" s="86">
        <v>1.0</v>
      </c>
      <c r="AA380" s="86">
        <v>0.03</v>
      </c>
    </row>
    <row r="381" ht="12.75" customHeight="1">
      <c r="A381" s="86">
        <v>1379.0</v>
      </c>
      <c r="B381" s="86" t="s">
        <v>4369</v>
      </c>
      <c r="C381" s="86">
        <v>150.0</v>
      </c>
      <c r="D381" s="86" t="s">
        <v>3654</v>
      </c>
      <c r="E381" s="86">
        <v>1.0</v>
      </c>
      <c r="F381" s="86">
        <v>0.119</v>
      </c>
      <c r="G381" s="86">
        <v>8001.0</v>
      </c>
      <c r="H381" s="86">
        <v>290.0</v>
      </c>
      <c r="I381" s="86">
        <v>1.0</v>
      </c>
      <c r="J381" s="86">
        <v>8000.0</v>
      </c>
      <c r="K381" s="86">
        <v>435.0</v>
      </c>
      <c r="L381" s="86">
        <v>1.0</v>
      </c>
      <c r="M381" s="86">
        <v>2007.0</v>
      </c>
      <c r="N381" s="86">
        <v>1.0</v>
      </c>
      <c r="O381" s="141">
        <v>0.25</v>
      </c>
      <c r="P381" s="86">
        <v>9000.0</v>
      </c>
      <c r="Q381" s="86">
        <v>107.0</v>
      </c>
      <c r="R381" s="86">
        <v>1.0</v>
      </c>
      <c r="S381" s="86" t="s">
        <v>3657</v>
      </c>
      <c r="T381" s="86">
        <v>14.0</v>
      </c>
      <c r="U381" s="86">
        <v>0.5</v>
      </c>
      <c r="V381" s="86">
        <v>1000.0</v>
      </c>
      <c r="W381" s="86">
        <v>4530.0</v>
      </c>
      <c r="X381" s="86">
        <v>1.0</v>
      </c>
      <c r="Y381" s="86">
        <v>2006.0</v>
      </c>
      <c r="Z381" s="86">
        <v>1.0</v>
      </c>
      <c r="AA381" s="86">
        <v>0.03</v>
      </c>
    </row>
    <row r="382" ht="12.75" customHeight="1">
      <c r="A382" s="86">
        <v>1380.0</v>
      </c>
      <c r="B382" s="86" t="s">
        <v>4370</v>
      </c>
      <c r="C382" s="86">
        <v>150.0</v>
      </c>
      <c r="D382" s="86" t="s">
        <v>3654</v>
      </c>
      <c r="E382" s="86">
        <v>1.0</v>
      </c>
      <c r="F382" s="86">
        <v>0.12</v>
      </c>
      <c r="G382" s="86">
        <v>8001.0</v>
      </c>
      <c r="H382" s="86">
        <v>290.0</v>
      </c>
      <c r="I382" s="86">
        <v>1.0</v>
      </c>
      <c r="J382" s="86">
        <v>8000.0</v>
      </c>
      <c r="K382" s="86">
        <v>435.0</v>
      </c>
      <c r="L382" s="86">
        <v>1.0</v>
      </c>
      <c r="M382" s="86">
        <v>2007.0</v>
      </c>
      <c r="N382" s="86">
        <v>1.0</v>
      </c>
      <c r="O382" s="141">
        <v>0.25</v>
      </c>
      <c r="P382" s="86">
        <v>9000.0</v>
      </c>
      <c r="Q382" s="86">
        <v>108.0</v>
      </c>
      <c r="R382" s="86">
        <v>1.0</v>
      </c>
      <c r="S382" s="86" t="s">
        <v>3657</v>
      </c>
      <c r="T382" s="86">
        <v>15.0</v>
      </c>
      <c r="U382" s="86">
        <v>0.5</v>
      </c>
      <c r="V382" s="86">
        <v>1000.0</v>
      </c>
      <c r="W382" s="86">
        <v>4545.0</v>
      </c>
      <c r="X382" s="86">
        <v>1.0</v>
      </c>
      <c r="Y382" s="86">
        <v>2006.0</v>
      </c>
      <c r="Z382" s="86">
        <v>1.0</v>
      </c>
      <c r="AA382" s="86">
        <v>0.03</v>
      </c>
    </row>
    <row r="383" ht="12.75" customHeight="1">
      <c r="A383" s="86">
        <v>1381.0</v>
      </c>
      <c r="B383" s="86" t="s">
        <v>4371</v>
      </c>
      <c r="C383" s="86">
        <v>150.0</v>
      </c>
      <c r="D383" s="86" t="s">
        <v>3654</v>
      </c>
      <c r="E383" s="86">
        <v>1.0</v>
      </c>
      <c r="F383" s="86">
        <v>0.12</v>
      </c>
      <c r="G383" s="86">
        <v>8001.0</v>
      </c>
      <c r="H383" s="86">
        <v>290.0</v>
      </c>
      <c r="I383" s="86">
        <v>1.0</v>
      </c>
      <c r="J383" s="86">
        <v>8000.0</v>
      </c>
      <c r="K383" s="86">
        <v>435.0</v>
      </c>
      <c r="L383" s="86">
        <v>1.0</v>
      </c>
      <c r="M383" s="86">
        <v>2007.0</v>
      </c>
      <c r="N383" s="86">
        <v>1.0</v>
      </c>
      <c r="O383" s="141">
        <v>0.25</v>
      </c>
      <c r="P383" s="86">
        <v>9000.0</v>
      </c>
      <c r="Q383" s="86">
        <v>108.0</v>
      </c>
      <c r="R383" s="86">
        <v>1.0</v>
      </c>
      <c r="S383" s="86" t="s">
        <v>3657</v>
      </c>
      <c r="T383" s="86">
        <v>15.0</v>
      </c>
      <c r="U383" s="86">
        <v>0.5</v>
      </c>
      <c r="V383" s="86">
        <v>1000.0</v>
      </c>
      <c r="W383" s="86">
        <v>4555.0</v>
      </c>
      <c r="X383" s="86">
        <v>1.0</v>
      </c>
      <c r="Y383" s="86">
        <v>2006.0</v>
      </c>
      <c r="Z383" s="86">
        <v>1.0</v>
      </c>
      <c r="AA383" s="86">
        <v>0.03</v>
      </c>
    </row>
    <row r="384" ht="12.75" customHeight="1">
      <c r="A384" s="86">
        <v>1382.0</v>
      </c>
      <c r="B384" s="86" t="s">
        <v>4372</v>
      </c>
      <c r="C384" s="86">
        <v>150.0</v>
      </c>
      <c r="D384" s="86" t="s">
        <v>3654</v>
      </c>
      <c r="E384" s="86">
        <v>1.0</v>
      </c>
      <c r="F384" s="86">
        <v>0.12</v>
      </c>
      <c r="G384" s="86">
        <v>8001.0</v>
      </c>
      <c r="H384" s="86">
        <v>290.0</v>
      </c>
      <c r="I384" s="86">
        <v>1.0</v>
      </c>
      <c r="J384" s="86">
        <v>8000.0</v>
      </c>
      <c r="K384" s="86">
        <v>440.0</v>
      </c>
      <c r="L384" s="86">
        <v>1.0</v>
      </c>
      <c r="M384" s="86">
        <v>2007.0</v>
      </c>
      <c r="N384" s="86">
        <v>1.0</v>
      </c>
      <c r="O384" s="141">
        <v>0.25</v>
      </c>
      <c r="P384" s="86">
        <v>9000.0</v>
      </c>
      <c r="Q384" s="86">
        <v>108.0</v>
      </c>
      <c r="R384" s="86">
        <v>1.0</v>
      </c>
      <c r="S384" s="86" t="s">
        <v>3657</v>
      </c>
      <c r="T384" s="86">
        <v>15.0</v>
      </c>
      <c r="U384" s="86">
        <v>0.5</v>
      </c>
      <c r="V384" s="86">
        <v>1000.0</v>
      </c>
      <c r="W384" s="86">
        <v>4570.0</v>
      </c>
      <c r="X384" s="86">
        <v>1.0</v>
      </c>
      <c r="Y384" s="86">
        <v>2006.0</v>
      </c>
      <c r="Z384" s="86">
        <v>1.0</v>
      </c>
      <c r="AA384" s="86">
        <v>0.03</v>
      </c>
    </row>
    <row r="385" ht="12.75" customHeight="1">
      <c r="A385" s="86">
        <v>1383.0</v>
      </c>
      <c r="B385" s="86" t="s">
        <v>4373</v>
      </c>
      <c r="C385" s="86">
        <v>150.0</v>
      </c>
      <c r="D385" s="86" t="s">
        <v>3654</v>
      </c>
      <c r="E385" s="86">
        <v>1.0</v>
      </c>
      <c r="F385" s="86">
        <v>0.12</v>
      </c>
      <c r="G385" s="86">
        <v>8001.0</v>
      </c>
      <c r="H385" s="86">
        <v>295.0</v>
      </c>
      <c r="I385" s="86">
        <v>1.0</v>
      </c>
      <c r="J385" s="86">
        <v>8000.0</v>
      </c>
      <c r="K385" s="86">
        <v>440.0</v>
      </c>
      <c r="L385" s="86">
        <v>1.0</v>
      </c>
      <c r="M385" s="86">
        <v>2007.0</v>
      </c>
      <c r="N385" s="86">
        <v>1.0</v>
      </c>
      <c r="O385" s="141">
        <v>0.25</v>
      </c>
      <c r="P385" s="86">
        <v>9000.0</v>
      </c>
      <c r="Q385" s="86">
        <v>109.0</v>
      </c>
      <c r="R385" s="86">
        <v>1.0</v>
      </c>
      <c r="S385" s="86" t="s">
        <v>3657</v>
      </c>
      <c r="T385" s="86">
        <v>15.0</v>
      </c>
      <c r="U385" s="86">
        <v>0.5</v>
      </c>
      <c r="V385" s="86">
        <v>1000.0</v>
      </c>
      <c r="W385" s="86">
        <v>4585.0</v>
      </c>
      <c r="X385" s="86">
        <v>1.0</v>
      </c>
      <c r="Y385" s="86">
        <v>2006.0</v>
      </c>
      <c r="Z385" s="86">
        <v>1.0</v>
      </c>
      <c r="AA385" s="86">
        <v>0.03</v>
      </c>
    </row>
    <row r="386" ht="12.75" customHeight="1">
      <c r="A386" s="86">
        <v>1384.0</v>
      </c>
      <c r="B386" s="86" t="s">
        <v>4374</v>
      </c>
      <c r="C386" s="86">
        <v>150.0</v>
      </c>
      <c r="D386" s="86" t="s">
        <v>3654</v>
      </c>
      <c r="E386" s="86">
        <v>1.0</v>
      </c>
      <c r="F386" s="86">
        <v>0.121</v>
      </c>
      <c r="G386" s="86">
        <v>8001.0</v>
      </c>
      <c r="H386" s="86">
        <v>295.0</v>
      </c>
      <c r="I386" s="86">
        <v>1.0</v>
      </c>
      <c r="J386" s="86">
        <v>8000.0</v>
      </c>
      <c r="K386" s="86">
        <v>440.0</v>
      </c>
      <c r="L386" s="86">
        <v>1.0</v>
      </c>
      <c r="M386" s="86">
        <v>2007.0</v>
      </c>
      <c r="N386" s="86">
        <v>1.0</v>
      </c>
      <c r="O386" s="141">
        <v>0.25</v>
      </c>
      <c r="P386" s="86">
        <v>9000.0</v>
      </c>
      <c r="Q386" s="86">
        <v>109.0</v>
      </c>
      <c r="R386" s="86">
        <v>1.0</v>
      </c>
      <c r="S386" s="86" t="s">
        <v>3657</v>
      </c>
      <c r="T386" s="86">
        <v>15.0</v>
      </c>
      <c r="U386" s="86">
        <v>0.5</v>
      </c>
      <c r="V386" s="86">
        <v>1000.0</v>
      </c>
      <c r="W386" s="86">
        <v>4595.0</v>
      </c>
      <c r="X386" s="86">
        <v>1.0</v>
      </c>
      <c r="Y386" s="86">
        <v>2006.0</v>
      </c>
      <c r="Z386" s="86">
        <v>1.0</v>
      </c>
      <c r="AA386" s="86">
        <v>0.03</v>
      </c>
    </row>
    <row r="387" ht="12.75" customHeight="1">
      <c r="A387" s="86">
        <v>1385.0</v>
      </c>
      <c r="B387" s="86" t="s">
        <v>4375</v>
      </c>
      <c r="C387" s="86">
        <v>150.0</v>
      </c>
      <c r="D387" s="86" t="s">
        <v>3654</v>
      </c>
      <c r="E387" s="86">
        <v>1.0</v>
      </c>
      <c r="F387" s="86">
        <v>0.121</v>
      </c>
      <c r="G387" s="86">
        <v>8001.0</v>
      </c>
      <c r="H387" s="86">
        <v>295.0</v>
      </c>
      <c r="I387" s="86">
        <v>1.0</v>
      </c>
      <c r="J387" s="86">
        <v>8000.0</v>
      </c>
      <c r="K387" s="86">
        <v>440.0</v>
      </c>
      <c r="L387" s="86">
        <v>1.0</v>
      </c>
      <c r="M387" s="86">
        <v>2007.0</v>
      </c>
      <c r="N387" s="86">
        <v>1.0</v>
      </c>
      <c r="O387" s="141">
        <v>0.25</v>
      </c>
      <c r="P387" s="86">
        <v>9000.0</v>
      </c>
      <c r="Q387" s="86">
        <v>109.0</v>
      </c>
      <c r="R387" s="86">
        <v>1.0</v>
      </c>
      <c r="S387" s="86" t="s">
        <v>3657</v>
      </c>
      <c r="T387" s="86">
        <v>15.0</v>
      </c>
      <c r="U387" s="86">
        <v>0.5</v>
      </c>
      <c r="V387" s="86">
        <v>1000.0</v>
      </c>
      <c r="W387" s="86">
        <v>4610.0</v>
      </c>
      <c r="X387" s="86">
        <v>1.0</v>
      </c>
      <c r="Y387" s="86">
        <v>2006.0</v>
      </c>
      <c r="Z387" s="86">
        <v>1.0</v>
      </c>
      <c r="AA387" s="86">
        <v>0.03</v>
      </c>
    </row>
    <row r="388" ht="12.75" customHeight="1">
      <c r="A388" s="86">
        <v>1386.0</v>
      </c>
      <c r="B388" s="86" t="s">
        <v>4376</v>
      </c>
      <c r="C388" s="86">
        <v>150.0</v>
      </c>
      <c r="D388" s="86" t="s">
        <v>3654</v>
      </c>
      <c r="E388" s="86">
        <v>1.0</v>
      </c>
      <c r="F388" s="86">
        <v>0.121</v>
      </c>
      <c r="G388" s="86">
        <v>8001.0</v>
      </c>
      <c r="H388" s="86">
        <v>295.0</v>
      </c>
      <c r="I388" s="86">
        <v>1.0</v>
      </c>
      <c r="J388" s="86">
        <v>8000.0</v>
      </c>
      <c r="K388" s="86">
        <v>445.0</v>
      </c>
      <c r="L388" s="86">
        <v>1.0</v>
      </c>
      <c r="M388" s="86">
        <v>2007.0</v>
      </c>
      <c r="N388" s="86">
        <v>1.0</v>
      </c>
      <c r="O388" s="141">
        <v>0.25</v>
      </c>
      <c r="P388" s="86">
        <v>9000.0</v>
      </c>
      <c r="Q388" s="86">
        <v>109.0</v>
      </c>
      <c r="R388" s="86">
        <v>1.0</v>
      </c>
      <c r="S388" s="86" t="s">
        <v>3657</v>
      </c>
      <c r="T388" s="86">
        <v>15.0</v>
      </c>
      <c r="U388" s="86">
        <v>0.5</v>
      </c>
      <c r="V388" s="86">
        <v>1000.0</v>
      </c>
      <c r="W388" s="86">
        <v>4620.0</v>
      </c>
      <c r="X388" s="86">
        <v>1.0</v>
      </c>
      <c r="Y388" s="86">
        <v>2006.0</v>
      </c>
      <c r="Z388" s="86">
        <v>1.0</v>
      </c>
      <c r="AA388" s="86">
        <v>0.03</v>
      </c>
    </row>
    <row r="389" ht="12.75" customHeight="1">
      <c r="A389" s="86">
        <v>1387.0</v>
      </c>
      <c r="B389" s="86" t="s">
        <v>4377</v>
      </c>
      <c r="C389" s="86">
        <v>150.0</v>
      </c>
      <c r="D389" s="86" t="s">
        <v>3654</v>
      </c>
      <c r="E389" s="86">
        <v>1.0</v>
      </c>
      <c r="F389" s="86">
        <v>0.121</v>
      </c>
      <c r="G389" s="86">
        <v>8001.0</v>
      </c>
      <c r="H389" s="86">
        <v>295.0</v>
      </c>
      <c r="I389" s="86">
        <v>1.0</v>
      </c>
      <c r="J389" s="86">
        <v>8000.0</v>
      </c>
      <c r="K389" s="86">
        <v>445.0</v>
      </c>
      <c r="L389" s="86">
        <v>1.0</v>
      </c>
      <c r="M389" s="86">
        <v>2007.0</v>
      </c>
      <c r="N389" s="86">
        <v>1.0</v>
      </c>
      <c r="O389" s="141">
        <v>0.25</v>
      </c>
      <c r="P389" s="86">
        <v>9000.0</v>
      </c>
      <c r="Q389" s="86">
        <v>110.0</v>
      </c>
      <c r="R389" s="86">
        <v>1.0</v>
      </c>
      <c r="S389" s="86" t="s">
        <v>3657</v>
      </c>
      <c r="T389" s="86">
        <v>15.0</v>
      </c>
      <c r="U389" s="86">
        <v>0.5</v>
      </c>
      <c r="V389" s="86">
        <v>1000.0</v>
      </c>
      <c r="W389" s="86">
        <v>4635.0</v>
      </c>
      <c r="X389" s="86">
        <v>1.0</v>
      </c>
      <c r="Y389" s="86">
        <v>2006.0</v>
      </c>
      <c r="Z389" s="86">
        <v>1.0</v>
      </c>
      <c r="AA389" s="86">
        <v>0.03</v>
      </c>
    </row>
    <row r="390" ht="12.75" customHeight="1">
      <c r="A390" s="86">
        <v>1388.0</v>
      </c>
      <c r="B390" s="86" t="s">
        <v>4378</v>
      </c>
      <c r="C390" s="86">
        <v>150.0</v>
      </c>
      <c r="D390" s="86" t="s">
        <v>3654</v>
      </c>
      <c r="E390" s="86">
        <v>1.0</v>
      </c>
      <c r="F390" s="86">
        <v>0.122</v>
      </c>
      <c r="G390" s="86">
        <v>8001.0</v>
      </c>
      <c r="H390" s="86">
        <v>295.0</v>
      </c>
      <c r="I390" s="86">
        <v>1.0</v>
      </c>
      <c r="J390" s="86">
        <v>8000.0</v>
      </c>
      <c r="K390" s="86">
        <v>445.0</v>
      </c>
      <c r="L390" s="86">
        <v>1.0</v>
      </c>
      <c r="M390" s="86">
        <v>2007.0</v>
      </c>
      <c r="N390" s="86">
        <v>1.0</v>
      </c>
      <c r="O390" s="141">
        <v>0.25</v>
      </c>
      <c r="P390" s="86">
        <v>9000.0</v>
      </c>
      <c r="Q390" s="86">
        <v>110.0</v>
      </c>
      <c r="R390" s="86">
        <v>1.0</v>
      </c>
      <c r="S390" s="86" t="s">
        <v>3657</v>
      </c>
      <c r="T390" s="86">
        <v>15.0</v>
      </c>
      <c r="U390" s="86">
        <v>0.5</v>
      </c>
      <c r="V390" s="86">
        <v>1000.0</v>
      </c>
      <c r="W390" s="86">
        <v>4650.0</v>
      </c>
      <c r="X390" s="86">
        <v>1.0</v>
      </c>
      <c r="Y390" s="86">
        <v>2006.0</v>
      </c>
      <c r="Z390" s="86">
        <v>1.0</v>
      </c>
      <c r="AA390" s="86">
        <v>0.03</v>
      </c>
    </row>
    <row r="391" ht="12.75" customHeight="1">
      <c r="A391" s="86">
        <v>1389.0</v>
      </c>
      <c r="B391" s="86" t="s">
        <v>4379</v>
      </c>
      <c r="C391" s="86">
        <v>150.0</v>
      </c>
      <c r="D391" s="86" t="s">
        <v>3654</v>
      </c>
      <c r="E391" s="86">
        <v>1.0</v>
      </c>
      <c r="F391" s="86">
        <v>0.122</v>
      </c>
      <c r="G391" s="86">
        <v>8001.0</v>
      </c>
      <c r="H391" s="86">
        <v>300.0</v>
      </c>
      <c r="I391" s="86">
        <v>1.0</v>
      </c>
      <c r="J391" s="86">
        <v>8000.0</v>
      </c>
      <c r="K391" s="86">
        <v>445.0</v>
      </c>
      <c r="L391" s="86">
        <v>1.0</v>
      </c>
      <c r="M391" s="86">
        <v>2007.0</v>
      </c>
      <c r="N391" s="86">
        <v>1.0</v>
      </c>
      <c r="O391" s="141">
        <v>0.25</v>
      </c>
      <c r="P391" s="86">
        <v>9000.0</v>
      </c>
      <c r="Q391" s="86">
        <v>110.0</v>
      </c>
      <c r="R391" s="86">
        <v>1.0</v>
      </c>
      <c r="S391" s="86" t="s">
        <v>3657</v>
      </c>
      <c r="T391" s="86">
        <v>15.0</v>
      </c>
      <c r="U391" s="86">
        <v>0.5</v>
      </c>
      <c r="V391" s="86">
        <v>1000.0</v>
      </c>
      <c r="W391" s="86">
        <v>4660.0</v>
      </c>
      <c r="X391" s="86">
        <v>1.0</v>
      </c>
      <c r="Y391" s="86">
        <v>2006.0</v>
      </c>
      <c r="Z391" s="86">
        <v>1.0</v>
      </c>
      <c r="AA391" s="86">
        <v>0.03</v>
      </c>
    </row>
    <row r="392" ht="12.75" customHeight="1">
      <c r="A392" s="86">
        <v>1390.0</v>
      </c>
      <c r="B392" s="86" t="s">
        <v>4380</v>
      </c>
      <c r="C392" s="86">
        <v>150.0</v>
      </c>
      <c r="D392" s="86" t="s">
        <v>3654</v>
      </c>
      <c r="E392" s="86">
        <v>1.0</v>
      </c>
      <c r="F392" s="86">
        <v>0.122</v>
      </c>
      <c r="G392" s="86">
        <v>8001.0</v>
      </c>
      <c r="H392" s="86">
        <v>300.0</v>
      </c>
      <c r="I392" s="86">
        <v>1.0</v>
      </c>
      <c r="J392" s="86">
        <v>8000.0</v>
      </c>
      <c r="K392" s="86">
        <v>450.0</v>
      </c>
      <c r="L392" s="86">
        <v>1.0</v>
      </c>
      <c r="M392" s="86">
        <v>2007.0</v>
      </c>
      <c r="N392" s="86">
        <v>1.0</v>
      </c>
      <c r="O392" s="141">
        <v>0.25</v>
      </c>
      <c r="P392" s="86">
        <v>9000.0</v>
      </c>
      <c r="Q392" s="86">
        <v>111.0</v>
      </c>
      <c r="R392" s="86">
        <v>1.0</v>
      </c>
      <c r="S392" s="86" t="s">
        <v>3657</v>
      </c>
      <c r="T392" s="86">
        <v>15.0</v>
      </c>
      <c r="U392" s="86">
        <v>0.5</v>
      </c>
      <c r="V392" s="86">
        <v>1000.0</v>
      </c>
      <c r="W392" s="86">
        <v>4675.0</v>
      </c>
      <c r="X392" s="86">
        <v>1.0</v>
      </c>
      <c r="Y392" s="86">
        <v>2006.0</v>
      </c>
      <c r="Z392" s="86">
        <v>1.0</v>
      </c>
      <c r="AA392" s="86">
        <v>0.03</v>
      </c>
    </row>
    <row r="393" ht="12.75" customHeight="1">
      <c r="A393" s="86">
        <v>1391.0</v>
      </c>
      <c r="B393" s="86" t="s">
        <v>4381</v>
      </c>
      <c r="C393" s="86">
        <v>150.0</v>
      </c>
      <c r="D393" s="86" t="s">
        <v>3654</v>
      </c>
      <c r="E393" s="86">
        <v>1.0</v>
      </c>
      <c r="F393" s="86">
        <v>0.122</v>
      </c>
      <c r="G393" s="86">
        <v>8001.0</v>
      </c>
      <c r="H393" s="86">
        <v>300.0</v>
      </c>
      <c r="I393" s="86">
        <v>1.0</v>
      </c>
      <c r="J393" s="86">
        <v>8000.0</v>
      </c>
      <c r="K393" s="86">
        <v>450.0</v>
      </c>
      <c r="L393" s="86">
        <v>1.0</v>
      </c>
      <c r="M393" s="86">
        <v>2007.0</v>
      </c>
      <c r="N393" s="86">
        <v>1.0</v>
      </c>
      <c r="O393" s="141">
        <v>0.25</v>
      </c>
      <c r="P393" s="86">
        <v>9000.0</v>
      </c>
      <c r="Q393" s="86">
        <v>111.0</v>
      </c>
      <c r="R393" s="86">
        <v>1.0</v>
      </c>
      <c r="S393" s="86" t="s">
        <v>3657</v>
      </c>
      <c r="T393" s="86">
        <v>15.0</v>
      </c>
      <c r="U393" s="86">
        <v>0.5</v>
      </c>
      <c r="V393" s="86">
        <v>1000.0</v>
      </c>
      <c r="W393" s="86">
        <v>4685.0</v>
      </c>
      <c r="X393" s="86">
        <v>1.0</v>
      </c>
      <c r="Y393" s="86">
        <v>2006.0</v>
      </c>
      <c r="Z393" s="86">
        <v>1.0</v>
      </c>
      <c r="AA393" s="86">
        <v>0.03</v>
      </c>
    </row>
    <row r="394" ht="12.75" customHeight="1">
      <c r="A394" s="86">
        <v>1392.0</v>
      </c>
      <c r="B394" s="86" t="s">
        <v>4382</v>
      </c>
      <c r="C394" s="86">
        <v>150.0</v>
      </c>
      <c r="D394" s="86" t="s">
        <v>3654</v>
      </c>
      <c r="E394" s="86">
        <v>1.0</v>
      </c>
      <c r="F394" s="86">
        <v>0.122</v>
      </c>
      <c r="G394" s="86">
        <v>8001.0</v>
      </c>
      <c r="H394" s="86">
        <v>300.0</v>
      </c>
      <c r="I394" s="86">
        <v>1.0</v>
      </c>
      <c r="J394" s="86">
        <v>8000.0</v>
      </c>
      <c r="K394" s="86">
        <v>450.0</v>
      </c>
      <c r="L394" s="86">
        <v>1.0</v>
      </c>
      <c r="M394" s="86">
        <v>2007.0</v>
      </c>
      <c r="N394" s="86">
        <v>1.0</v>
      </c>
      <c r="O394" s="141">
        <v>0.25</v>
      </c>
      <c r="P394" s="86">
        <v>9000.0</v>
      </c>
      <c r="Q394" s="86">
        <v>111.0</v>
      </c>
      <c r="R394" s="86">
        <v>1.0</v>
      </c>
      <c r="S394" s="86" t="s">
        <v>3657</v>
      </c>
      <c r="T394" s="86">
        <v>15.0</v>
      </c>
      <c r="U394" s="86">
        <v>0.5</v>
      </c>
      <c r="V394" s="86">
        <v>1000.0</v>
      </c>
      <c r="W394" s="86">
        <v>4700.0</v>
      </c>
      <c r="X394" s="86">
        <v>1.0</v>
      </c>
      <c r="Y394" s="86">
        <v>2006.0</v>
      </c>
      <c r="Z394" s="86">
        <v>1.0</v>
      </c>
      <c r="AA394" s="86">
        <v>0.03</v>
      </c>
    </row>
    <row r="395" ht="12.75" customHeight="1">
      <c r="A395" s="86">
        <v>1393.0</v>
      </c>
      <c r="B395" s="86" t="s">
        <v>4383</v>
      </c>
      <c r="C395" s="86">
        <v>150.0</v>
      </c>
      <c r="D395" s="86" t="s">
        <v>3654</v>
      </c>
      <c r="E395" s="86">
        <v>1.0</v>
      </c>
      <c r="F395" s="86">
        <v>0.123</v>
      </c>
      <c r="G395" s="86">
        <v>8001.0</v>
      </c>
      <c r="H395" s="86">
        <v>300.0</v>
      </c>
      <c r="I395" s="86">
        <v>1.0</v>
      </c>
      <c r="J395" s="86">
        <v>8000.0</v>
      </c>
      <c r="K395" s="86">
        <v>450.0</v>
      </c>
      <c r="L395" s="86">
        <v>1.0</v>
      </c>
      <c r="M395" s="86">
        <v>2007.0</v>
      </c>
      <c r="N395" s="86">
        <v>1.0</v>
      </c>
      <c r="O395" s="141">
        <v>0.25</v>
      </c>
      <c r="P395" s="86">
        <v>9000.0</v>
      </c>
      <c r="Q395" s="86">
        <v>112.0</v>
      </c>
      <c r="R395" s="86">
        <v>1.0</v>
      </c>
      <c r="S395" s="86" t="s">
        <v>3657</v>
      </c>
      <c r="T395" s="86">
        <v>15.0</v>
      </c>
      <c r="U395" s="86">
        <v>0.5</v>
      </c>
      <c r="V395" s="86">
        <v>1000.0</v>
      </c>
      <c r="W395" s="86">
        <v>4710.0</v>
      </c>
      <c r="X395" s="86">
        <v>1.0</v>
      </c>
      <c r="Y395" s="86">
        <v>2006.0</v>
      </c>
      <c r="Z395" s="86">
        <v>1.0</v>
      </c>
      <c r="AA395" s="86">
        <v>0.03</v>
      </c>
    </row>
    <row r="396" ht="12.75" customHeight="1">
      <c r="A396" s="86">
        <v>1394.0</v>
      </c>
      <c r="B396" s="86" t="s">
        <v>4384</v>
      </c>
      <c r="C396" s="86">
        <v>150.0</v>
      </c>
      <c r="D396" s="86" t="s">
        <v>3654</v>
      </c>
      <c r="E396" s="86">
        <v>1.0</v>
      </c>
      <c r="F396" s="86">
        <v>0.123</v>
      </c>
      <c r="G396" s="86">
        <v>8001.0</v>
      </c>
      <c r="H396" s="86">
        <v>300.0</v>
      </c>
      <c r="I396" s="86">
        <v>1.0</v>
      </c>
      <c r="J396" s="86">
        <v>8000.0</v>
      </c>
      <c r="K396" s="86">
        <v>455.0</v>
      </c>
      <c r="L396" s="86">
        <v>1.0</v>
      </c>
      <c r="M396" s="86">
        <v>2007.0</v>
      </c>
      <c r="N396" s="86">
        <v>1.0</v>
      </c>
      <c r="O396" s="141">
        <v>0.25</v>
      </c>
      <c r="P396" s="86">
        <v>9000.0</v>
      </c>
      <c r="Q396" s="86">
        <v>112.0</v>
      </c>
      <c r="R396" s="86">
        <v>1.0</v>
      </c>
      <c r="S396" s="86" t="s">
        <v>3657</v>
      </c>
      <c r="T396" s="86">
        <v>15.0</v>
      </c>
      <c r="U396" s="86">
        <v>0.5</v>
      </c>
      <c r="V396" s="86">
        <v>1000.0</v>
      </c>
      <c r="W396" s="86">
        <v>4725.0</v>
      </c>
      <c r="X396" s="86">
        <v>1.0</v>
      </c>
      <c r="Y396" s="86">
        <v>2006.0</v>
      </c>
      <c r="Z396" s="86">
        <v>1.0</v>
      </c>
      <c r="AA396" s="86">
        <v>0.03</v>
      </c>
    </row>
    <row r="397" ht="12.75" customHeight="1">
      <c r="A397" s="86">
        <v>1395.0</v>
      </c>
      <c r="B397" s="86" t="s">
        <v>4385</v>
      </c>
      <c r="C397" s="86">
        <v>150.0</v>
      </c>
      <c r="D397" s="86" t="s">
        <v>3654</v>
      </c>
      <c r="E397" s="86">
        <v>1.0</v>
      </c>
      <c r="F397" s="86">
        <v>0.123</v>
      </c>
      <c r="G397" s="86">
        <v>8001.0</v>
      </c>
      <c r="H397" s="86">
        <v>305.0</v>
      </c>
      <c r="I397" s="86">
        <v>1.0</v>
      </c>
      <c r="J397" s="86">
        <v>8000.0</v>
      </c>
      <c r="K397" s="86">
        <v>455.0</v>
      </c>
      <c r="L397" s="86">
        <v>1.0</v>
      </c>
      <c r="M397" s="86">
        <v>2007.0</v>
      </c>
      <c r="N397" s="86">
        <v>1.0</v>
      </c>
      <c r="O397" s="141">
        <v>0.25</v>
      </c>
      <c r="P397" s="86">
        <v>9000.0</v>
      </c>
      <c r="Q397" s="86">
        <v>112.0</v>
      </c>
      <c r="R397" s="86">
        <v>1.0</v>
      </c>
      <c r="S397" s="86" t="s">
        <v>3657</v>
      </c>
      <c r="T397" s="86">
        <v>15.0</v>
      </c>
      <c r="U397" s="86">
        <v>0.5</v>
      </c>
      <c r="V397" s="86">
        <v>1000.0</v>
      </c>
      <c r="W397" s="86">
        <v>4735.0</v>
      </c>
      <c r="X397" s="86">
        <v>1.0</v>
      </c>
      <c r="Y397" s="86">
        <v>2006.0</v>
      </c>
      <c r="Z397" s="86">
        <v>1.0</v>
      </c>
      <c r="AA397" s="86">
        <v>0.03</v>
      </c>
    </row>
    <row r="398" ht="12.75" customHeight="1">
      <c r="A398" s="86">
        <v>1396.0</v>
      </c>
      <c r="B398" s="86" t="s">
        <v>4386</v>
      </c>
      <c r="C398" s="86">
        <v>150.0</v>
      </c>
      <c r="D398" s="86" t="s">
        <v>3654</v>
      </c>
      <c r="E398" s="86">
        <v>1.0</v>
      </c>
      <c r="F398" s="86">
        <v>0.123</v>
      </c>
      <c r="G398" s="86">
        <v>8001.0</v>
      </c>
      <c r="H398" s="86">
        <v>305.0</v>
      </c>
      <c r="I398" s="86">
        <v>1.0</v>
      </c>
      <c r="J398" s="86">
        <v>8000.0</v>
      </c>
      <c r="K398" s="86">
        <v>455.0</v>
      </c>
      <c r="L398" s="86">
        <v>1.0</v>
      </c>
      <c r="M398" s="86">
        <v>2007.0</v>
      </c>
      <c r="N398" s="86">
        <v>1.0</v>
      </c>
      <c r="O398" s="141">
        <v>0.25</v>
      </c>
      <c r="P398" s="86">
        <v>9000.0</v>
      </c>
      <c r="Q398" s="86">
        <v>113.0</v>
      </c>
      <c r="R398" s="86">
        <v>1.0</v>
      </c>
      <c r="S398" s="86" t="s">
        <v>3657</v>
      </c>
      <c r="T398" s="86">
        <v>15.0</v>
      </c>
      <c r="U398" s="86">
        <v>0.5</v>
      </c>
      <c r="V398" s="86">
        <v>1000.0</v>
      </c>
      <c r="W398" s="86">
        <v>4750.0</v>
      </c>
      <c r="X398" s="86">
        <v>1.0</v>
      </c>
      <c r="Y398" s="86">
        <v>2006.0</v>
      </c>
      <c r="Z398" s="86">
        <v>1.0</v>
      </c>
      <c r="AA398" s="86">
        <v>0.03</v>
      </c>
    </row>
    <row r="399" ht="12.75" customHeight="1">
      <c r="A399" s="86">
        <v>1397.0</v>
      </c>
      <c r="B399" s="86" t="s">
        <v>4387</v>
      </c>
      <c r="C399" s="86">
        <v>150.0</v>
      </c>
      <c r="D399" s="86" t="s">
        <v>3654</v>
      </c>
      <c r="E399" s="86">
        <v>1.0</v>
      </c>
      <c r="F399" s="86">
        <v>0.124</v>
      </c>
      <c r="G399" s="86">
        <v>8001.0</v>
      </c>
      <c r="H399" s="86">
        <v>305.0</v>
      </c>
      <c r="I399" s="86">
        <v>1.0</v>
      </c>
      <c r="J399" s="86">
        <v>8000.0</v>
      </c>
      <c r="K399" s="86">
        <v>455.0</v>
      </c>
      <c r="L399" s="86">
        <v>1.0</v>
      </c>
      <c r="M399" s="86">
        <v>2007.0</v>
      </c>
      <c r="N399" s="86">
        <v>1.0</v>
      </c>
      <c r="O399" s="141">
        <v>0.25</v>
      </c>
      <c r="P399" s="86">
        <v>9000.0</v>
      </c>
      <c r="Q399" s="86">
        <v>113.0</v>
      </c>
      <c r="R399" s="86">
        <v>1.0</v>
      </c>
      <c r="S399" s="86" t="s">
        <v>3657</v>
      </c>
      <c r="T399" s="86">
        <v>15.0</v>
      </c>
      <c r="U399" s="86">
        <v>0.5</v>
      </c>
      <c r="V399" s="86">
        <v>1000.0</v>
      </c>
      <c r="W399" s="86">
        <v>4760.0</v>
      </c>
      <c r="X399" s="86">
        <v>1.0</v>
      </c>
      <c r="Y399" s="86">
        <v>2006.0</v>
      </c>
      <c r="Z399" s="86">
        <v>1.0</v>
      </c>
      <c r="AA399" s="86">
        <v>0.03</v>
      </c>
    </row>
    <row r="400" ht="12.75" customHeight="1">
      <c r="A400" s="86">
        <v>1398.0</v>
      </c>
      <c r="B400" s="86" t="s">
        <v>4388</v>
      </c>
      <c r="C400" s="86">
        <v>150.0</v>
      </c>
      <c r="D400" s="86" t="s">
        <v>3654</v>
      </c>
      <c r="E400" s="86">
        <v>1.0</v>
      </c>
      <c r="F400" s="86">
        <v>0.124</v>
      </c>
      <c r="G400" s="86">
        <v>8001.0</v>
      </c>
      <c r="H400" s="86">
        <v>305.0</v>
      </c>
      <c r="I400" s="86">
        <v>1.0</v>
      </c>
      <c r="J400" s="86">
        <v>8000.0</v>
      </c>
      <c r="K400" s="86">
        <v>460.0</v>
      </c>
      <c r="L400" s="86">
        <v>1.0</v>
      </c>
      <c r="M400" s="86">
        <v>2007.0</v>
      </c>
      <c r="N400" s="86">
        <v>1.0</v>
      </c>
      <c r="O400" s="141">
        <v>0.25</v>
      </c>
      <c r="P400" s="86">
        <v>9000.0</v>
      </c>
      <c r="Q400" s="86">
        <v>113.0</v>
      </c>
      <c r="R400" s="86">
        <v>1.0</v>
      </c>
      <c r="S400" s="86" t="s">
        <v>3657</v>
      </c>
      <c r="T400" s="86">
        <v>15.0</v>
      </c>
      <c r="U400" s="86">
        <v>0.5</v>
      </c>
      <c r="V400" s="86">
        <v>1000.0</v>
      </c>
      <c r="W400" s="86">
        <v>4775.0</v>
      </c>
      <c r="X400" s="86">
        <v>1.0</v>
      </c>
      <c r="Y400" s="86">
        <v>2006.0</v>
      </c>
      <c r="Z400" s="86">
        <v>1.0</v>
      </c>
      <c r="AA400" s="86">
        <v>0.03</v>
      </c>
    </row>
    <row r="401" ht="12.75" customHeight="1">
      <c r="A401" s="86">
        <v>1399.0</v>
      </c>
      <c r="B401" s="86" t="s">
        <v>4389</v>
      </c>
      <c r="C401" s="86">
        <v>150.0</v>
      </c>
      <c r="D401" s="86" t="s">
        <v>3654</v>
      </c>
      <c r="E401" s="86">
        <v>1.0</v>
      </c>
      <c r="F401" s="86">
        <v>0.124</v>
      </c>
      <c r="G401" s="86">
        <v>8001.0</v>
      </c>
      <c r="H401" s="86">
        <v>305.0</v>
      </c>
      <c r="I401" s="86">
        <v>1.0</v>
      </c>
      <c r="J401" s="86">
        <v>8000.0</v>
      </c>
      <c r="K401" s="86">
        <v>460.0</v>
      </c>
      <c r="L401" s="86">
        <v>1.0</v>
      </c>
      <c r="M401" s="86">
        <v>2007.0</v>
      </c>
      <c r="N401" s="86">
        <v>1.0</v>
      </c>
      <c r="O401" s="141">
        <v>0.25</v>
      </c>
      <c r="P401" s="86">
        <v>9000.0</v>
      </c>
      <c r="Q401" s="86">
        <v>114.0</v>
      </c>
      <c r="R401" s="86">
        <v>1.0</v>
      </c>
      <c r="S401" s="86" t="s">
        <v>3657</v>
      </c>
      <c r="T401" s="86">
        <v>15.0</v>
      </c>
      <c r="U401" s="86">
        <v>0.5</v>
      </c>
      <c r="V401" s="86">
        <v>1000.0</v>
      </c>
      <c r="W401" s="86">
        <v>4785.0</v>
      </c>
      <c r="X401" s="86">
        <v>1.0</v>
      </c>
      <c r="Y401" s="86">
        <v>2006.0</v>
      </c>
      <c r="Z401" s="86">
        <v>1.0</v>
      </c>
      <c r="AA401" s="86">
        <v>0.03</v>
      </c>
    </row>
    <row r="402" ht="12.75" customHeight="1">
      <c r="A402" s="86">
        <v>1400.0</v>
      </c>
      <c r="B402" s="86" t="s">
        <v>4390</v>
      </c>
      <c r="C402" s="86">
        <v>150.0</v>
      </c>
      <c r="D402" s="86" t="s">
        <v>3654</v>
      </c>
      <c r="E402" s="86">
        <v>1.0</v>
      </c>
      <c r="F402" s="86">
        <v>0.124</v>
      </c>
      <c r="G402" s="86">
        <v>8001.0</v>
      </c>
      <c r="H402" s="86">
        <v>305.0</v>
      </c>
      <c r="I402" s="86">
        <v>1.0</v>
      </c>
      <c r="J402" s="86">
        <v>8000.0</v>
      </c>
      <c r="K402" s="86">
        <v>460.0</v>
      </c>
      <c r="L402" s="86">
        <v>1.0</v>
      </c>
      <c r="M402" s="86">
        <v>2007.0</v>
      </c>
      <c r="N402" s="86">
        <v>1.0</v>
      </c>
      <c r="O402" s="141">
        <v>0.25</v>
      </c>
      <c r="P402" s="86">
        <v>9000.0</v>
      </c>
      <c r="Q402" s="86">
        <v>114.0</v>
      </c>
      <c r="R402" s="86">
        <v>1.0</v>
      </c>
      <c r="S402" s="86" t="s">
        <v>3657</v>
      </c>
      <c r="T402" s="86">
        <v>15.0</v>
      </c>
      <c r="U402" s="86">
        <v>0.5</v>
      </c>
      <c r="V402" s="86">
        <v>1000.0</v>
      </c>
      <c r="W402" s="86">
        <v>4800.0</v>
      </c>
      <c r="X402" s="86">
        <v>1.0</v>
      </c>
      <c r="Y402" s="86">
        <v>2006.0</v>
      </c>
      <c r="Z402" s="86">
        <v>1.0</v>
      </c>
      <c r="AA402" s="86">
        <v>0.03</v>
      </c>
    </row>
    <row r="403" ht="12.75" customHeight="1">
      <c r="A403" s="86">
        <v>1401.0</v>
      </c>
      <c r="B403" s="86" t="s">
        <v>4391</v>
      </c>
      <c r="C403" s="86">
        <v>150.0</v>
      </c>
      <c r="D403" s="86" t="s">
        <v>3654</v>
      </c>
      <c r="E403" s="86">
        <v>1.0</v>
      </c>
      <c r="F403" s="86">
        <v>0.124</v>
      </c>
      <c r="G403" s="86">
        <v>8001.0</v>
      </c>
      <c r="H403" s="86">
        <v>310.0</v>
      </c>
      <c r="I403" s="86">
        <v>1.0</v>
      </c>
      <c r="J403" s="86">
        <v>8000.0</v>
      </c>
      <c r="K403" s="86">
        <v>460.0</v>
      </c>
      <c r="L403" s="86">
        <v>1.0</v>
      </c>
      <c r="M403" s="86">
        <v>2007.0</v>
      </c>
      <c r="N403" s="86">
        <v>1.0</v>
      </c>
      <c r="O403" s="141">
        <v>0.25</v>
      </c>
      <c r="P403" s="86">
        <v>9000.0</v>
      </c>
      <c r="Q403" s="86">
        <v>114.0</v>
      </c>
      <c r="R403" s="86">
        <v>1.0</v>
      </c>
      <c r="S403" s="86" t="s">
        <v>3657</v>
      </c>
      <c r="T403" s="86">
        <v>15.0</v>
      </c>
      <c r="U403" s="86">
        <v>0.5</v>
      </c>
      <c r="V403" s="86">
        <v>1000.0</v>
      </c>
      <c r="W403" s="86">
        <v>4810.0</v>
      </c>
      <c r="X403" s="86">
        <v>1.0</v>
      </c>
      <c r="Y403" s="86">
        <v>2006.0</v>
      </c>
      <c r="Z403" s="86">
        <v>1.0</v>
      </c>
      <c r="AA403" s="86">
        <v>0.03</v>
      </c>
    </row>
    <row r="404" ht="12.75" customHeight="1">
      <c r="A404" s="86">
        <v>1402.0</v>
      </c>
      <c r="B404" s="86" t="s">
        <v>4392</v>
      </c>
      <c r="C404" s="86">
        <v>150.0</v>
      </c>
      <c r="D404" s="86" t="s">
        <v>3654</v>
      </c>
      <c r="E404" s="86">
        <v>1.0</v>
      </c>
      <c r="F404" s="86">
        <v>0.125</v>
      </c>
      <c r="G404" s="86">
        <v>8001.0</v>
      </c>
      <c r="H404" s="86">
        <v>310.0</v>
      </c>
      <c r="I404" s="86">
        <v>1.0</v>
      </c>
      <c r="J404" s="86">
        <v>8000.0</v>
      </c>
      <c r="K404" s="86">
        <v>465.0</v>
      </c>
      <c r="L404" s="86">
        <v>1.0</v>
      </c>
      <c r="M404" s="86">
        <v>2007.0</v>
      </c>
      <c r="N404" s="86">
        <v>1.0</v>
      </c>
      <c r="O404" s="141">
        <v>0.25</v>
      </c>
      <c r="P404" s="86">
        <v>9000.0</v>
      </c>
      <c r="Q404" s="86">
        <v>115.0</v>
      </c>
      <c r="R404" s="86">
        <v>1.0</v>
      </c>
      <c r="S404" s="86" t="s">
        <v>3657</v>
      </c>
      <c r="T404" s="86">
        <v>15.0</v>
      </c>
      <c r="U404" s="86">
        <v>0.5</v>
      </c>
      <c r="V404" s="86">
        <v>1000.0</v>
      </c>
      <c r="W404" s="86">
        <v>4825.0</v>
      </c>
      <c r="X404" s="86">
        <v>1.0</v>
      </c>
      <c r="Y404" s="86">
        <v>2006.0</v>
      </c>
      <c r="Z404" s="86">
        <v>1.0</v>
      </c>
      <c r="AA404" s="86">
        <v>0.03</v>
      </c>
    </row>
    <row r="405" ht="12.75" customHeight="1">
      <c r="A405" s="86">
        <v>1403.0</v>
      </c>
      <c r="B405" s="86" t="s">
        <v>4390</v>
      </c>
      <c r="C405" s="86">
        <v>150.0</v>
      </c>
      <c r="D405" s="86" t="s">
        <v>3654</v>
      </c>
      <c r="E405" s="86">
        <v>1.0</v>
      </c>
      <c r="F405" s="86">
        <v>0.125</v>
      </c>
      <c r="G405" s="86">
        <v>8001.0</v>
      </c>
      <c r="H405" s="86">
        <v>310.0</v>
      </c>
      <c r="I405" s="86">
        <v>1.0</v>
      </c>
      <c r="J405" s="86">
        <v>8000.0</v>
      </c>
      <c r="K405" s="86">
        <v>465.0</v>
      </c>
      <c r="L405" s="86">
        <v>1.0</v>
      </c>
      <c r="M405" s="86">
        <v>2007.0</v>
      </c>
      <c r="N405" s="86">
        <v>1.0</v>
      </c>
      <c r="O405" s="141">
        <v>0.25</v>
      </c>
      <c r="P405" s="86">
        <v>9000.0</v>
      </c>
      <c r="Q405" s="86">
        <v>115.0</v>
      </c>
      <c r="R405" s="86">
        <v>1.0</v>
      </c>
      <c r="S405" s="86" t="s">
        <v>3657</v>
      </c>
      <c r="T405" s="86">
        <v>15.0</v>
      </c>
      <c r="U405" s="86">
        <v>0.5</v>
      </c>
      <c r="V405" s="86">
        <v>1000.0</v>
      </c>
      <c r="W405" s="86">
        <v>4835.0</v>
      </c>
      <c r="X405" s="86">
        <v>1.0</v>
      </c>
      <c r="Y405" s="86">
        <v>2006.0</v>
      </c>
      <c r="Z405" s="86">
        <v>1.0</v>
      </c>
      <c r="AA405" s="86">
        <v>0.03</v>
      </c>
    </row>
    <row r="406" ht="12.75" customHeight="1">
      <c r="A406" s="86">
        <v>1404.0</v>
      </c>
      <c r="B406" s="86" t="s">
        <v>4392</v>
      </c>
      <c r="C406" s="86">
        <v>150.0</v>
      </c>
      <c r="D406" s="86" t="s">
        <v>3654</v>
      </c>
      <c r="E406" s="86">
        <v>1.0</v>
      </c>
      <c r="F406" s="86">
        <v>0.125</v>
      </c>
      <c r="G406" s="86">
        <v>8001.0</v>
      </c>
      <c r="H406" s="86">
        <v>310.0</v>
      </c>
      <c r="I406" s="86">
        <v>1.0</v>
      </c>
      <c r="J406" s="86">
        <v>8000.0</v>
      </c>
      <c r="K406" s="86">
        <v>465.0</v>
      </c>
      <c r="L406" s="86">
        <v>1.0</v>
      </c>
      <c r="M406" s="86">
        <v>2007.0</v>
      </c>
      <c r="N406" s="86">
        <v>1.0</v>
      </c>
      <c r="O406" s="141">
        <v>0.25</v>
      </c>
      <c r="P406" s="86">
        <v>9000.0</v>
      </c>
      <c r="Q406" s="86">
        <v>115.0</v>
      </c>
      <c r="R406" s="86">
        <v>1.0</v>
      </c>
      <c r="S406" s="86" t="s">
        <v>3657</v>
      </c>
      <c r="T406" s="86">
        <v>16.0</v>
      </c>
      <c r="U406" s="86">
        <v>0.5</v>
      </c>
      <c r="V406" s="86">
        <v>1000.0</v>
      </c>
      <c r="W406" s="86">
        <v>4850.0</v>
      </c>
      <c r="X406" s="86">
        <v>1.0</v>
      </c>
      <c r="Y406" s="86">
        <v>2006.0</v>
      </c>
      <c r="Z406" s="86">
        <v>1.0</v>
      </c>
      <c r="AA406" s="86">
        <v>0.03</v>
      </c>
    </row>
    <row r="407" ht="12.75" customHeight="1">
      <c r="A407" s="86">
        <v>1405.0</v>
      </c>
      <c r="B407" s="86" t="s">
        <v>4392</v>
      </c>
      <c r="C407" s="86">
        <v>150.0</v>
      </c>
      <c r="D407" s="86" t="s">
        <v>3654</v>
      </c>
      <c r="E407" s="86">
        <v>1.0</v>
      </c>
      <c r="F407" s="86">
        <v>0.125</v>
      </c>
      <c r="G407" s="86">
        <v>8001.0</v>
      </c>
      <c r="H407" s="86">
        <v>310.0</v>
      </c>
      <c r="I407" s="86">
        <v>1.0</v>
      </c>
      <c r="J407" s="86">
        <v>8000.0</v>
      </c>
      <c r="K407" s="86">
        <v>465.0</v>
      </c>
      <c r="L407" s="86">
        <v>1.0</v>
      </c>
      <c r="M407" s="86">
        <v>2007.0</v>
      </c>
      <c r="N407" s="86">
        <v>1.0</v>
      </c>
      <c r="O407" s="141">
        <v>0.25</v>
      </c>
      <c r="P407" s="86">
        <v>9000.0</v>
      </c>
      <c r="Q407" s="86">
        <v>115.0</v>
      </c>
      <c r="R407" s="86">
        <v>1.0</v>
      </c>
      <c r="S407" s="86" t="s">
        <v>3657</v>
      </c>
      <c r="T407" s="86">
        <v>16.0</v>
      </c>
      <c r="U407" s="86">
        <v>0.5</v>
      </c>
      <c r="V407" s="86">
        <v>1000.0</v>
      </c>
      <c r="W407" s="86">
        <v>4860.0</v>
      </c>
      <c r="X407" s="86">
        <v>1.0</v>
      </c>
      <c r="Y407" s="86">
        <v>2006.0</v>
      </c>
      <c r="Z407" s="86">
        <v>1.0</v>
      </c>
      <c r="AA407" s="86">
        <v>0.03</v>
      </c>
    </row>
    <row r="408" ht="12.75" customHeight="1">
      <c r="A408" s="86">
        <v>1406.0</v>
      </c>
      <c r="B408" s="86" t="s">
        <v>4393</v>
      </c>
      <c r="C408" s="86">
        <v>150.0</v>
      </c>
      <c r="D408" s="86" t="s">
        <v>3654</v>
      </c>
      <c r="E408" s="86">
        <v>1.0</v>
      </c>
      <c r="F408" s="86">
        <v>0.126</v>
      </c>
      <c r="G408" s="86">
        <v>8001.0</v>
      </c>
      <c r="H408" s="86">
        <v>310.0</v>
      </c>
      <c r="I408" s="86">
        <v>1.0</v>
      </c>
      <c r="J408" s="86">
        <v>8000.0</v>
      </c>
      <c r="K408" s="86">
        <v>470.0</v>
      </c>
      <c r="L408" s="86">
        <v>1.0</v>
      </c>
      <c r="M408" s="86">
        <v>2007.0</v>
      </c>
      <c r="N408" s="86">
        <v>1.0</v>
      </c>
      <c r="O408" s="141">
        <v>0.25</v>
      </c>
      <c r="P408" s="86">
        <v>9000.0</v>
      </c>
      <c r="Q408" s="86">
        <v>116.0</v>
      </c>
      <c r="R408" s="86">
        <v>1.0</v>
      </c>
      <c r="S408" s="86" t="s">
        <v>3657</v>
      </c>
      <c r="T408" s="86">
        <v>16.0</v>
      </c>
      <c r="U408" s="86">
        <v>0.5</v>
      </c>
      <c r="V408" s="86">
        <v>1000.0</v>
      </c>
      <c r="W408" s="86">
        <v>4875.0</v>
      </c>
      <c r="X408" s="86">
        <v>1.0</v>
      </c>
      <c r="Y408" s="86">
        <v>2006.0</v>
      </c>
      <c r="Z408" s="86">
        <v>1.0</v>
      </c>
      <c r="AA408" s="86">
        <v>0.03</v>
      </c>
    </row>
    <row r="409" ht="12.75" customHeight="1">
      <c r="A409" s="86">
        <v>1407.0</v>
      </c>
      <c r="B409" s="86" t="s">
        <v>4394</v>
      </c>
      <c r="C409" s="86">
        <v>150.0</v>
      </c>
      <c r="D409" s="86" t="s">
        <v>3654</v>
      </c>
      <c r="E409" s="86">
        <v>1.0</v>
      </c>
      <c r="F409" s="86">
        <v>0.126</v>
      </c>
      <c r="G409" s="86">
        <v>8001.0</v>
      </c>
      <c r="H409" s="86">
        <v>315.0</v>
      </c>
      <c r="I409" s="86">
        <v>1.0</v>
      </c>
      <c r="J409" s="86">
        <v>8000.0</v>
      </c>
      <c r="K409" s="86">
        <v>470.0</v>
      </c>
      <c r="L409" s="86">
        <v>1.0</v>
      </c>
      <c r="M409" s="86">
        <v>2007.0</v>
      </c>
      <c r="N409" s="86">
        <v>1.0</v>
      </c>
      <c r="O409" s="141">
        <v>0.25</v>
      </c>
      <c r="P409" s="86">
        <v>9000.0</v>
      </c>
      <c r="Q409" s="86">
        <v>116.0</v>
      </c>
      <c r="R409" s="86">
        <v>1.0</v>
      </c>
      <c r="S409" s="86" t="s">
        <v>3657</v>
      </c>
      <c r="T409" s="86">
        <v>16.0</v>
      </c>
      <c r="U409" s="86">
        <v>0.5</v>
      </c>
      <c r="V409" s="86">
        <v>1000.0</v>
      </c>
      <c r="W409" s="86">
        <v>4885.0</v>
      </c>
      <c r="X409" s="86">
        <v>1.0</v>
      </c>
      <c r="Y409" s="86">
        <v>2006.0</v>
      </c>
      <c r="Z409" s="86">
        <v>1.0</v>
      </c>
      <c r="AA409" s="86">
        <v>0.03</v>
      </c>
    </row>
    <row r="410" ht="12.75" customHeight="1">
      <c r="A410" s="86">
        <v>1408.0</v>
      </c>
      <c r="B410" s="86" t="s">
        <v>4395</v>
      </c>
      <c r="C410" s="86">
        <v>150.0</v>
      </c>
      <c r="D410" s="86" t="s">
        <v>3654</v>
      </c>
      <c r="E410" s="86">
        <v>1.0</v>
      </c>
      <c r="F410" s="86">
        <v>0.126</v>
      </c>
      <c r="G410" s="86">
        <v>8001.0</v>
      </c>
      <c r="H410" s="86">
        <v>315.0</v>
      </c>
      <c r="I410" s="86">
        <v>1.0</v>
      </c>
      <c r="J410" s="86">
        <v>8000.0</v>
      </c>
      <c r="K410" s="86">
        <v>470.0</v>
      </c>
      <c r="L410" s="86">
        <v>1.0</v>
      </c>
      <c r="M410" s="86">
        <v>2007.0</v>
      </c>
      <c r="N410" s="86">
        <v>1.0</v>
      </c>
      <c r="O410" s="141">
        <v>0.25</v>
      </c>
      <c r="P410" s="86">
        <v>9000.0</v>
      </c>
      <c r="Q410" s="86">
        <v>116.0</v>
      </c>
      <c r="R410" s="86">
        <v>1.0</v>
      </c>
      <c r="S410" s="86" t="s">
        <v>3657</v>
      </c>
      <c r="T410" s="86">
        <v>16.0</v>
      </c>
      <c r="U410" s="86">
        <v>0.5</v>
      </c>
      <c r="V410" s="86">
        <v>1000.0</v>
      </c>
      <c r="W410" s="86">
        <v>4900.0</v>
      </c>
      <c r="X410" s="86">
        <v>1.0</v>
      </c>
      <c r="Y410" s="86">
        <v>2006.0</v>
      </c>
      <c r="Z410" s="86">
        <v>1.0</v>
      </c>
      <c r="AA410" s="86">
        <v>0.03</v>
      </c>
    </row>
    <row r="411" ht="12.75" customHeight="1">
      <c r="A411" s="86">
        <v>1409.0</v>
      </c>
      <c r="B411" s="86" t="s">
        <v>4396</v>
      </c>
      <c r="C411" s="86">
        <v>150.0</v>
      </c>
      <c r="D411" s="86" t="s">
        <v>3654</v>
      </c>
      <c r="E411" s="86">
        <v>1.0</v>
      </c>
      <c r="F411" s="86">
        <v>0.126</v>
      </c>
      <c r="G411" s="86">
        <v>8001.0</v>
      </c>
      <c r="H411" s="86">
        <v>315.0</v>
      </c>
      <c r="I411" s="86">
        <v>1.0</v>
      </c>
      <c r="J411" s="86">
        <v>8000.0</v>
      </c>
      <c r="K411" s="86">
        <v>470.0</v>
      </c>
      <c r="L411" s="86">
        <v>1.0</v>
      </c>
      <c r="M411" s="86">
        <v>2007.0</v>
      </c>
      <c r="N411" s="86">
        <v>1.0</v>
      </c>
      <c r="O411" s="141">
        <v>0.25</v>
      </c>
      <c r="P411" s="86">
        <v>9000.0</v>
      </c>
      <c r="Q411" s="86">
        <v>117.0</v>
      </c>
      <c r="R411" s="86">
        <v>1.0</v>
      </c>
      <c r="S411" s="86" t="s">
        <v>3657</v>
      </c>
      <c r="T411" s="86">
        <v>16.0</v>
      </c>
      <c r="U411" s="86">
        <v>0.5</v>
      </c>
      <c r="V411" s="86">
        <v>1000.0</v>
      </c>
      <c r="W411" s="86">
        <v>4910.0</v>
      </c>
      <c r="X411" s="86">
        <v>1.0</v>
      </c>
      <c r="Y411" s="86">
        <v>2006.0</v>
      </c>
      <c r="Z411" s="86">
        <v>1.0</v>
      </c>
      <c r="AA411" s="86">
        <v>0.03</v>
      </c>
    </row>
    <row r="412" ht="12.75" customHeight="1">
      <c r="A412" s="86">
        <v>1410.0</v>
      </c>
      <c r="B412" s="86" t="s">
        <v>4397</v>
      </c>
      <c r="C412" s="86">
        <v>150.0</v>
      </c>
      <c r="D412" s="86" t="s">
        <v>3654</v>
      </c>
      <c r="E412" s="86">
        <v>1.0</v>
      </c>
      <c r="F412" s="86">
        <v>0.126</v>
      </c>
      <c r="G412" s="86">
        <v>8001.0</v>
      </c>
      <c r="H412" s="86">
        <v>315.0</v>
      </c>
      <c r="I412" s="86">
        <v>1.0</v>
      </c>
      <c r="J412" s="86">
        <v>8000.0</v>
      </c>
      <c r="K412" s="86">
        <v>475.0</v>
      </c>
      <c r="L412" s="86">
        <v>1.0</v>
      </c>
      <c r="M412" s="86">
        <v>2007.0</v>
      </c>
      <c r="N412" s="86">
        <v>1.0</v>
      </c>
      <c r="O412" s="141">
        <v>0.25</v>
      </c>
      <c r="P412" s="86">
        <v>9000.0</v>
      </c>
      <c r="Q412" s="86">
        <v>117.0</v>
      </c>
      <c r="R412" s="86">
        <v>1.0</v>
      </c>
      <c r="S412" s="86" t="s">
        <v>3657</v>
      </c>
      <c r="T412" s="86">
        <v>16.0</v>
      </c>
      <c r="U412" s="86">
        <v>0.5</v>
      </c>
      <c r="V412" s="86">
        <v>1000.0</v>
      </c>
      <c r="W412" s="86">
        <v>4925.0</v>
      </c>
      <c r="X412" s="86">
        <v>1.0</v>
      </c>
      <c r="Y412" s="86">
        <v>2006.0</v>
      </c>
      <c r="Z412" s="86">
        <v>1.0</v>
      </c>
      <c r="AA412" s="86">
        <v>0.03</v>
      </c>
    </row>
    <row r="413" ht="12.75" customHeight="1">
      <c r="A413" s="86">
        <v>1411.0</v>
      </c>
      <c r="B413" s="86" t="s">
        <v>4393</v>
      </c>
      <c r="C413" s="86">
        <v>150.0</v>
      </c>
      <c r="D413" s="86" t="s">
        <v>3654</v>
      </c>
      <c r="E413" s="86">
        <v>1.0</v>
      </c>
      <c r="F413" s="86">
        <v>0.127</v>
      </c>
      <c r="G413" s="86">
        <v>8001.0</v>
      </c>
      <c r="H413" s="86">
        <v>315.0</v>
      </c>
      <c r="I413" s="86">
        <v>1.0</v>
      </c>
      <c r="J413" s="86">
        <v>8000.0</v>
      </c>
      <c r="K413" s="86">
        <v>475.0</v>
      </c>
      <c r="L413" s="86">
        <v>1.0</v>
      </c>
      <c r="M413" s="86">
        <v>2007.0</v>
      </c>
      <c r="N413" s="86">
        <v>1.0</v>
      </c>
      <c r="O413" s="141">
        <v>0.25</v>
      </c>
      <c r="P413" s="86">
        <v>9000.0</v>
      </c>
      <c r="Q413" s="86">
        <v>117.0</v>
      </c>
      <c r="R413" s="86">
        <v>1.0</v>
      </c>
      <c r="S413" s="86" t="s">
        <v>3657</v>
      </c>
      <c r="T413" s="86">
        <v>16.0</v>
      </c>
      <c r="U413" s="86">
        <v>0.5</v>
      </c>
      <c r="V413" s="86">
        <v>1000.0</v>
      </c>
      <c r="W413" s="86">
        <v>4935.0</v>
      </c>
      <c r="X413" s="86">
        <v>1.0</v>
      </c>
      <c r="Y413" s="86">
        <v>2006.0</v>
      </c>
      <c r="Z413" s="86">
        <v>1.0</v>
      </c>
      <c r="AA413" s="86">
        <v>0.03</v>
      </c>
    </row>
    <row r="414" ht="12.75" customHeight="1">
      <c r="A414" s="86">
        <v>1412.0</v>
      </c>
      <c r="B414" s="86" t="s">
        <v>4398</v>
      </c>
      <c r="C414" s="86">
        <v>150.0</v>
      </c>
      <c r="D414" s="86" t="s">
        <v>3654</v>
      </c>
      <c r="E414" s="86">
        <v>1.0</v>
      </c>
      <c r="F414" s="86">
        <v>0.127</v>
      </c>
      <c r="G414" s="86">
        <v>8001.0</v>
      </c>
      <c r="H414" s="86">
        <v>315.0</v>
      </c>
      <c r="I414" s="86">
        <v>1.0</v>
      </c>
      <c r="J414" s="86">
        <v>8000.0</v>
      </c>
      <c r="K414" s="86">
        <v>475.0</v>
      </c>
      <c r="L414" s="86">
        <v>1.0</v>
      </c>
      <c r="M414" s="86">
        <v>2007.0</v>
      </c>
      <c r="N414" s="86">
        <v>1.0</v>
      </c>
      <c r="O414" s="141">
        <v>0.25</v>
      </c>
      <c r="P414" s="86">
        <v>9000.0</v>
      </c>
      <c r="Q414" s="86">
        <v>118.0</v>
      </c>
      <c r="R414" s="86">
        <v>1.0</v>
      </c>
      <c r="S414" s="86" t="s">
        <v>3657</v>
      </c>
      <c r="T414" s="86">
        <v>16.0</v>
      </c>
      <c r="U414" s="86">
        <v>0.5</v>
      </c>
      <c r="V414" s="86">
        <v>1000.0</v>
      </c>
      <c r="W414" s="86">
        <v>4950.0</v>
      </c>
      <c r="X414" s="86">
        <v>1.0</v>
      </c>
      <c r="Y414" s="86">
        <v>2006.0</v>
      </c>
      <c r="Z414" s="86">
        <v>1.0</v>
      </c>
      <c r="AA414" s="86">
        <v>0.03</v>
      </c>
    </row>
    <row r="415" ht="12.75" customHeight="1">
      <c r="A415" s="86">
        <v>1413.0</v>
      </c>
      <c r="B415" s="86" t="s">
        <v>4399</v>
      </c>
      <c r="C415" s="86">
        <v>150.0</v>
      </c>
      <c r="D415" s="86" t="s">
        <v>3654</v>
      </c>
      <c r="E415" s="86">
        <v>1.0</v>
      </c>
      <c r="F415" s="86">
        <v>0.127</v>
      </c>
      <c r="G415" s="86">
        <v>8001.0</v>
      </c>
      <c r="H415" s="86">
        <v>315.0</v>
      </c>
      <c r="I415" s="86">
        <v>1.0</v>
      </c>
      <c r="J415" s="86">
        <v>8000.0</v>
      </c>
      <c r="K415" s="86">
        <v>475.0</v>
      </c>
      <c r="L415" s="86">
        <v>1.0</v>
      </c>
      <c r="M415" s="86">
        <v>2007.0</v>
      </c>
      <c r="N415" s="86">
        <v>1.0</v>
      </c>
      <c r="O415" s="141">
        <v>0.25</v>
      </c>
      <c r="P415" s="86">
        <v>9000.0</v>
      </c>
      <c r="Q415" s="86">
        <v>118.0</v>
      </c>
      <c r="R415" s="86">
        <v>1.0</v>
      </c>
      <c r="S415" s="86" t="s">
        <v>3657</v>
      </c>
      <c r="T415" s="86">
        <v>16.0</v>
      </c>
      <c r="U415" s="86">
        <v>0.5</v>
      </c>
      <c r="V415" s="86">
        <v>1000.0</v>
      </c>
      <c r="W415" s="86">
        <v>4960.0</v>
      </c>
      <c r="X415" s="86">
        <v>1.0</v>
      </c>
      <c r="Y415" s="86">
        <v>2006.0</v>
      </c>
      <c r="Z415" s="86">
        <v>1.0</v>
      </c>
      <c r="AA415" s="86">
        <v>0.03</v>
      </c>
    </row>
    <row r="416" ht="12.75" customHeight="1">
      <c r="A416" s="86">
        <v>1414.0</v>
      </c>
      <c r="B416" s="86" t="s">
        <v>4400</v>
      </c>
      <c r="C416" s="86">
        <v>150.0</v>
      </c>
      <c r="D416" s="86" t="s">
        <v>3654</v>
      </c>
      <c r="E416" s="86">
        <v>1.0</v>
      </c>
      <c r="F416" s="86">
        <v>0.127</v>
      </c>
      <c r="G416" s="86">
        <v>8001.0</v>
      </c>
      <c r="H416" s="86">
        <v>320.0</v>
      </c>
      <c r="I416" s="86">
        <v>1.0</v>
      </c>
      <c r="J416" s="86">
        <v>8000.0</v>
      </c>
      <c r="K416" s="86">
        <v>475.0</v>
      </c>
      <c r="L416" s="86">
        <v>1.0</v>
      </c>
      <c r="M416" s="86">
        <v>2007.0</v>
      </c>
      <c r="N416" s="86">
        <v>1.0</v>
      </c>
      <c r="O416" s="141">
        <v>0.25</v>
      </c>
      <c r="P416" s="86">
        <v>9000.0</v>
      </c>
      <c r="Q416" s="86">
        <v>118.0</v>
      </c>
      <c r="R416" s="86">
        <v>1.0</v>
      </c>
      <c r="S416" s="86" t="s">
        <v>3657</v>
      </c>
      <c r="T416" s="86">
        <v>16.0</v>
      </c>
      <c r="U416" s="86">
        <v>0.5</v>
      </c>
      <c r="V416" s="86">
        <v>1000.0</v>
      </c>
      <c r="W416" s="86">
        <v>4970.0</v>
      </c>
      <c r="X416" s="86">
        <v>1.0</v>
      </c>
      <c r="Y416" s="86">
        <v>2006.0</v>
      </c>
      <c r="Z416" s="86">
        <v>1.0</v>
      </c>
      <c r="AA416" s="86">
        <v>0.03</v>
      </c>
    </row>
    <row r="417" ht="12.75" customHeight="1">
      <c r="A417" s="86">
        <v>1415.0</v>
      </c>
      <c r="B417" s="86" t="s">
        <v>4401</v>
      </c>
      <c r="C417" s="86">
        <v>150.0</v>
      </c>
      <c r="D417" s="86" t="s">
        <v>3654</v>
      </c>
      <c r="E417" s="86">
        <v>1.0</v>
      </c>
      <c r="F417" s="86">
        <v>0.127</v>
      </c>
      <c r="G417" s="86">
        <v>8001.0</v>
      </c>
      <c r="H417" s="86">
        <v>320.0</v>
      </c>
      <c r="I417" s="86">
        <v>1.0</v>
      </c>
      <c r="J417" s="86">
        <v>8000.0</v>
      </c>
      <c r="K417" s="86">
        <v>480.0</v>
      </c>
      <c r="L417" s="86">
        <v>1.0</v>
      </c>
      <c r="M417" s="86">
        <v>2007.0</v>
      </c>
      <c r="N417" s="86">
        <v>1.0</v>
      </c>
      <c r="O417" s="141">
        <v>0.25</v>
      </c>
      <c r="P417" s="86">
        <v>9000.0</v>
      </c>
      <c r="Q417" s="86">
        <v>118.0</v>
      </c>
      <c r="R417" s="86">
        <v>1.0</v>
      </c>
      <c r="S417" s="86" t="s">
        <v>3657</v>
      </c>
      <c r="T417" s="86">
        <v>16.0</v>
      </c>
      <c r="U417" s="86">
        <v>0.5</v>
      </c>
      <c r="V417" s="86">
        <v>1000.0</v>
      </c>
      <c r="W417" s="86">
        <v>4985.0</v>
      </c>
      <c r="X417" s="86">
        <v>1.0</v>
      </c>
      <c r="Y417" s="86">
        <v>2006.0</v>
      </c>
      <c r="Z417" s="86">
        <v>1.0</v>
      </c>
      <c r="AA417" s="86">
        <v>0.03</v>
      </c>
    </row>
    <row r="418" ht="12.75" customHeight="1">
      <c r="A418" s="86">
        <v>1416.0</v>
      </c>
      <c r="B418" s="86" t="s">
        <v>4402</v>
      </c>
      <c r="C418" s="86">
        <v>150.0</v>
      </c>
      <c r="D418" s="86" t="s">
        <v>3654</v>
      </c>
      <c r="E418" s="86">
        <v>1.0</v>
      </c>
      <c r="F418" s="86">
        <v>0.128</v>
      </c>
      <c r="G418" s="86">
        <v>8001.0</v>
      </c>
      <c r="H418" s="86">
        <v>320.0</v>
      </c>
      <c r="I418" s="86">
        <v>1.0</v>
      </c>
      <c r="J418" s="86">
        <v>8000.0</v>
      </c>
      <c r="K418" s="86">
        <v>480.0</v>
      </c>
      <c r="L418" s="86">
        <v>1.0</v>
      </c>
      <c r="M418" s="86">
        <v>2007.0</v>
      </c>
      <c r="N418" s="86">
        <v>1.0</v>
      </c>
      <c r="O418" s="141">
        <v>0.25</v>
      </c>
      <c r="P418" s="86">
        <v>9000.0</v>
      </c>
      <c r="Q418" s="86">
        <v>119.0</v>
      </c>
      <c r="R418" s="86">
        <v>1.0</v>
      </c>
      <c r="S418" s="86" t="s">
        <v>3657</v>
      </c>
      <c r="T418" s="86">
        <v>16.0</v>
      </c>
      <c r="U418" s="86">
        <v>0.5</v>
      </c>
      <c r="V418" s="86">
        <v>1000.0</v>
      </c>
      <c r="W418" s="86">
        <v>4995.0</v>
      </c>
      <c r="X418" s="86">
        <v>1.0</v>
      </c>
      <c r="Y418" s="86">
        <v>2006.0</v>
      </c>
      <c r="Z418" s="86">
        <v>1.0</v>
      </c>
      <c r="AA418" s="86">
        <v>0.03</v>
      </c>
    </row>
    <row r="419" ht="12.75" customHeight="1">
      <c r="A419" s="86">
        <v>1417.0</v>
      </c>
      <c r="B419" s="86" t="s">
        <v>4403</v>
      </c>
      <c r="C419" s="86">
        <v>150.0</v>
      </c>
      <c r="D419" s="86" t="s">
        <v>3654</v>
      </c>
      <c r="E419" s="86">
        <v>1.0</v>
      </c>
      <c r="F419" s="86">
        <v>0.128</v>
      </c>
      <c r="G419" s="86">
        <v>8001.0</v>
      </c>
      <c r="H419" s="86">
        <v>320.0</v>
      </c>
      <c r="I419" s="86">
        <v>1.0</v>
      </c>
      <c r="J419" s="86">
        <v>8000.0</v>
      </c>
      <c r="K419" s="86">
        <v>480.0</v>
      </c>
      <c r="L419" s="86">
        <v>1.0</v>
      </c>
      <c r="M419" s="86">
        <v>2007.0</v>
      </c>
      <c r="N419" s="86">
        <v>1.0</v>
      </c>
      <c r="O419" s="141">
        <v>0.25</v>
      </c>
      <c r="P419" s="86">
        <v>9000.0</v>
      </c>
      <c r="Q419" s="86">
        <v>119.0</v>
      </c>
      <c r="R419" s="86">
        <v>1.0</v>
      </c>
      <c r="S419" s="86" t="s">
        <v>3657</v>
      </c>
      <c r="T419" s="86">
        <v>16.0</v>
      </c>
      <c r="U419" s="86">
        <v>0.5</v>
      </c>
      <c r="V419" s="86">
        <v>1000.0</v>
      </c>
      <c r="W419" s="86">
        <v>5010.0</v>
      </c>
      <c r="X419" s="86">
        <v>1.0</v>
      </c>
      <c r="Y419" s="86">
        <v>2006.0</v>
      </c>
      <c r="Z419" s="86">
        <v>1.0</v>
      </c>
      <c r="AA419" s="86">
        <v>0.03</v>
      </c>
    </row>
    <row r="420" ht="12.75" customHeight="1">
      <c r="A420" s="86">
        <v>1418.0</v>
      </c>
      <c r="B420" s="86" t="s">
        <v>4404</v>
      </c>
      <c r="C420" s="86">
        <v>150.0</v>
      </c>
      <c r="D420" s="86" t="s">
        <v>3654</v>
      </c>
      <c r="E420" s="86">
        <v>1.0</v>
      </c>
      <c r="F420" s="86">
        <v>0.128</v>
      </c>
      <c r="G420" s="86">
        <v>8001.0</v>
      </c>
      <c r="H420" s="86">
        <v>320.0</v>
      </c>
      <c r="I420" s="86">
        <v>1.0</v>
      </c>
      <c r="J420" s="86">
        <v>8000.0</v>
      </c>
      <c r="K420" s="86">
        <v>480.0</v>
      </c>
      <c r="L420" s="86">
        <v>1.0</v>
      </c>
      <c r="M420" s="86">
        <v>2007.0</v>
      </c>
      <c r="N420" s="86">
        <v>1.0</v>
      </c>
      <c r="O420" s="141">
        <v>0.25</v>
      </c>
      <c r="P420" s="86">
        <v>9000.0</v>
      </c>
      <c r="Q420" s="86">
        <v>119.0</v>
      </c>
      <c r="R420" s="86">
        <v>1.0</v>
      </c>
      <c r="S420" s="86" t="s">
        <v>3657</v>
      </c>
      <c r="T420" s="86">
        <v>16.0</v>
      </c>
      <c r="U420" s="86">
        <v>0.5</v>
      </c>
      <c r="V420" s="86">
        <v>1000.0</v>
      </c>
      <c r="W420" s="86">
        <v>5020.0</v>
      </c>
      <c r="X420" s="86">
        <v>1.0</v>
      </c>
      <c r="Y420" s="86">
        <v>2006.0</v>
      </c>
      <c r="Z420" s="86">
        <v>1.0</v>
      </c>
      <c r="AA420" s="86">
        <v>0.03</v>
      </c>
    </row>
    <row r="421" ht="12.75" customHeight="1">
      <c r="A421" s="86">
        <v>1419.0</v>
      </c>
      <c r="B421" s="86" t="s">
        <v>4405</v>
      </c>
      <c r="C421" s="86">
        <v>150.0</v>
      </c>
      <c r="D421" s="86" t="s">
        <v>3654</v>
      </c>
      <c r="E421" s="86">
        <v>1.0</v>
      </c>
      <c r="F421" s="86">
        <v>0.128</v>
      </c>
      <c r="G421" s="86">
        <v>8001.0</v>
      </c>
      <c r="H421" s="86">
        <v>320.0</v>
      </c>
      <c r="I421" s="86">
        <v>1.0</v>
      </c>
      <c r="J421" s="86">
        <v>8000.0</v>
      </c>
      <c r="K421" s="86">
        <v>485.0</v>
      </c>
      <c r="L421" s="86">
        <v>1.0</v>
      </c>
      <c r="M421" s="86">
        <v>2007.0</v>
      </c>
      <c r="N421" s="86">
        <v>1.0</v>
      </c>
      <c r="O421" s="141">
        <v>0.25</v>
      </c>
      <c r="P421" s="86">
        <v>9000.0</v>
      </c>
      <c r="Q421" s="86">
        <v>120.0</v>
      </c>
      <c r="R421" s="86">
        <v>1.0</v>
      </c>
      <c r="S421" s="86" t="s">
        <v>3657</v>
      </c>
      <c r="T421" s="86">
        <v>16.0</v>
      </c>
      <c r="U421" s="86">
        <v>0.5</v>
      </c>
      <c r="V421" s="86">
        <v>1000.0</v>
      </c>
      <c r="W421" s="86">
        <v>5030.0</v>
      </c>
      <c r="X421" s="86">
        <v>1.0</v>
      </c>
      <c r="Y421" s="86">
        <v>2006.0</v>
      </c>
      <c r="Z421" s="86">
        <v>1.0</v>
      </c>
      <c r="AA421" s="86">
        <v>0.03</v>
      </c>
    </row>
    <row r="422" ht="12.75" customHeight="1">
      <c r="A422" s="86">
        <v>1420.0</v>
      </c>
      <c r="B422" s="86" t="s">
        <v>4406</v>
      </c>
      <c r="C422" s="86">
        <v>150.0</v>
      </c>
      <c r="D422" s="86" t="s">
        <v>3654</v>
      </c>
      <c r="E422" s="86">
        <v>1.0</v>
      </c>
      <c r="F422" s="86">
        <v>0.129</v>
      </c>
      <c r="G422" s="86">
        <v>8001.0</v>
      </c>
      <c r="H422" s="86">
        <v>325.0</v>
      </c>
      <c r="I422" s="86">
        <v>1.0</v>
      </c>
      <c r="J422" s="86">
        <v>8000.0</v>
      </c>
      <c r="K422" s="86">
        <v>485.0</v>
      </c>
      <c r="L422" s="86">
        <v>1.0</v>
      </c>
      <c r="M422" s="86">
        <v>2007.0</v>
      </c>
      <c r="N422" s="86">
        <v>1.0</v>
      </c>
      <c r="O422" s="141">
        <v>0.25</v>
      </c>
      <c r="P422" s="86">
        <v>9000.0</v>
      </c>
      <c r="Q422" s="86">
        <v>120.0</v>
      </c>
      <c r="R422" s="86">
        <v>1.0</v>
      </c>
      <c r="S422" s="86" t="s">
        <v>3657</v>
      </c>
      <c r="T422" s="86">
        <v>16.0</v>
      </c>
      <c r="U422" s="86">
        <v>0.5</v>
      </c>
      <c r="V422" s="86">
        <v>1000.0</v>
      </c>
      <c r="W422" s="86">
        <v>5045.0</v>
      </c>
      <c r="X422" s="86">
        <v>1.0</v>
      </c>
      <c r="Y422" s="86">
        <v>2006.0</v>
      </c>
      <c r="Z422" s="86">
        <v>1.0</v>
      </c>
      <c r="AA422" s="86">
        <v>0.03</v>
      </c>
    </row>
    <row r="423" ht="12.75" customHeight="1">
      <c r="A423" s="86">
        <v>1421.0</v>
      </c>
      <c r="B423" s="86" t="s">
        <v>4407</v>
      </c>
      <c r="C423" s="86">
        <v>150.0</v>
      </c>
      <c r="D423" s="86" t="s">
        <v>3654</v>
      </c>
      <c r="E423" s="86">
        <v>1.0</v>
      </c>
      <c r="F423" s="86">
        <v>0.129</v>
      </c>
      <c r="G423" s="86">
        <v>8001.0</v>
      </c>
      <c r="H423" s="86">
        <v>325.0</v>
      </c>
      <c r="I423" s="86">
        <v>1.0</v>
      </c>
      <c r="J423" s="86">
        <v>8000.0</v>
      </c>
      <c r="K423" s="86">
        <v>485.0</v>
      </c>
      <c r="L423" s="86">
        <v>1.0</v>
      </c>
      <c r="M423" s="86">
        <v>2007.0</v>
      </c>
      <c r="N423" s="86">
        <v>1.0</v>
      </c>
      <c r="O423" s="141">
        <v>0.25</v>
      </c>
      <c r="P423" s="86">
        <v>9000.0</v>
      </c>
      <c r="Q423" s="86">
        <v>120.0</v>
      </c>
      <c r="R423" s="86">
        <v>1.0</v>
      </c>
      <c r="S423" s="86" t="s">
        <v>3657</v>
      </c>
      <c r="T423" s="86">
        <v>16.0</v>
      </c>
      <c r="U423" s="86">
        <v>0.5</v>
      </c>
      <c r="V423" s="86">
        <v>1000.0</v>
      </c>
      <c r="W423" s="86">
        <v>5055.0</v>
      </c>
      <c r="X423" s="86">
        <v>1.0</v>
      </c>
      <c r="Y423" s="86">
        <v>2006.0</v>
      </c>
      <c r="Z423" s="86">
        <v>1.0</v>
      </c>
      <c r="AA423" s="86">
        <v>0.03</v>
      </c>
    </row>
    <row r="424" ht="12.75" customHeight="1">
      <c r="A424" s="86">
        <v>1422.0</v>
      </c>
      <c r="B424" s="86" t="s">
        <v>4408</v>
      </c>
      <c r="C424" s="86">
        <v>150.0</v>
      </c>
      <c r="D424" s="86" t="s">
        <v>3654</v>
      </c>
      <c r="E424" s="86">
        <v>1.0</v>
      </c>
      <c r="F424" s="86">
        <v>0.129</v>
      </c>
      <c r="G424" s="86">
        <v>8001.0</v>
      </c>
      <c r="H424" s="86">
        <v>325.0</v>
      </c>
      <c r="I424" s="86">
        <v>1.0</v>
      </c>
      <c r="J424" s="86">
        <v>8000.0</v>
      </c>
      <c r="K424" s="86">
        <v>485.0</v>
      </c>
      <c r="L424" s="86">
        <v>1.0</v>
      </c>
      <c r="M424" s="86">
        <v>2007.0</v>
      </c>
      <c r="N424" s="86">
        <v>1.0</v>
      </c>
      <c r="O424" s="141">
        <v>0.25</v>
      </c>
      <c r="P424" s="86">
        <v>9000.0</v>
      </c>
      <c r="Q424" s="86">
        <v>121.0</v>
      </c>
      <c r="R424" s="86">
        <v>1.0</v>
      </c>
      <c r="S424" s="86" t="s">
        <v>3657</v>
      </c>
      <c r="T424" s="86">
        <v>16.0</v>
      </c>
      <c r="U424" s="86">
        <v>0.5</v>
      </c>
      <c r="V424" s="86">
        <v>1000.0</v>
      </c>
      <c r="W424" s="86">
        <v>5065.0</v>
      </c>
      <c r="X424" s="86">
        <v>1.0</v>
      </c>
      <c r="Y424" s="86">
        <v>2006.0</v>
      </c>
      <c r="Z424" s="86">
        <v>1.0</v>
      </c>
      <c r="AA424" s="86">
        <v>0.03</v>
      </c>
    </row>
    <row r="425" ht="12.75" customHeight="1">
      <c r="A425" s="86">
        <v>1423.0</v>
      </c>
      <c r="B425" s="86" t="s">
        <v>4409</v>
      </c>
      <c r="C425" s="86">
        <v>150.0</v>
      </c>
      <c r="D425" s="86" t="s">
        <v>3654</v>
      </c>
      <c r="E425" s="86">
        <v>1.0</v>
      </c>
      <c r="F425" s="86">
        <v>0.129</v>
      </c>
      <c r="G425" s="86">
        <v>8001.0</v>
      </c>
      <c r="H425" s="86">
        <v>325.0</v>
      </c>
      <c r="I425" s="86">
        <v>1.0</v>
      </c>
      <c r="J425" s="86">
        <v>8000.0</v>
      </c>
      <c r="K425" s="86">
        <v>490.0</v>
      </c>
      <c r="L425" s="86">
        <v>1.0</v>
      </c>
      <c r="M425" s="86">
        <v>2007.0</v>
      </c>
      <c r="N425" s="86">
        <v>1.0</v>
      </c>
      <c r="O425" s="141">
        <v>0.25</v>
      </c>
      <c r="P425" s="86">
        <v>9000.0</v>
      </c>
      <c r="Q425" s="86">
        <v>121.0</v>
      </c>
      <c r="R425" s="86">
        <v>1.0</v>
      </c>
      <c r="S425" s="86" t="s">
        <v>3657</v>
      </c>
      <c r="T425" s="86">
        <v>16.0</v>
      </c>
      <c r="U425" s="86">
        <v>0.5</v>
      </c>
      <c r="V425" s="86">
        <v>1000.0</v>
      </c>
      <c r="W425" s="86">
        <v>5080.0</v>
      </c>
      <c r="X425" s="86">
        <v>1.0</v>
      </c>
      <c r="Y425" s="86">
        <v>2006.0</v>
      </c>
      <c r="Z425" s="86">
        <v>1.0</v>
      </c>
      <c r="AA425" s="86">
        <v>0.03</v>
      </c>
    </row>
    <row r="426" ht="12.75" customHeight="1">
      <c r="A426" s="86">
        <v>1424.0</v>
      </c>
      <c r="B426" s="86" t="s">
        <v>4400</v>
      </c>
      <c r="C426" s="86">
        <v>150.0</v>
      </c>
      <c r="D426" s="86" t="s">
        <v>3654</v>
      </c>
      <c r="E426" s="86">
        <v>1.0</v>
      </c>
      <c r="F426" s="86">
        <v>0.129</v>
      </c>
      <c r="G426" s="86">
        <v>8001.0</v>
      </c>
      <c r="H426" s="86">
        <v>325.0</v>
      </c>
      <c r="I426" s="86">
        <v>1.0</v>
      </c>
      <c r="J426" s="86">
        <v>8000.0</v>
      </c>
      <c r="K426" s="86">
        <v>490.0</v>
      </c>
      <c r="L426" s="86">
        <v>1.0</v>
      </c>
      <c r="M426" s="86">
        <v>2007.0</v>
      </c>
      <c r="N426" s="86">
        <v>1.0</v>
      </c>
      <c r="O426" s="141">
        <v>0.25</v>
      </c>
      <c r="P426" s="86">
        <v>9000.0</v>
      </c>
      <c r="Q426" s="86">
        <v>121.0</v>
      </c>
      <c r="R426" s="86">
        <v>1.0</v>
      </c>
      <c r="S426" s="86" t="s">
        <v>3657</v>
      </c>
      <c r="T426" s="86">
        <v>16.0</v>
      </c>
      <c r="U426" s="86">
        <v>0.5</v>
      </c>
      <c r="V426" s="86">
        <v>1000.0</v>
      </c>
      <c r="W426" s="86">
        <v>5090.0</v>
      </c>
      <c r="X426" s="86">
        <v>1.0</v>
      </c>
      <c r="Y426" s="86">
        <v>2006.0</v>
      </c>
      <c r="Z426" s="86">
        <v>1.0</v>
      </c>
      <c r="AA426" s="86">
        <v>0.03</v>
      </c>
    </row>
    <row r="427" ht="12.75" customHeight="1">
      <c r="A427" s="86">
        <v>1425.0</v>
      </c>
      <c r="B427" s="86" t="s">
        <v>4404</v>
      </c>
      <c r="C427" s="86">
        <v>150.0</v>
      </c>
      <c r="D427" s="86" t="s">
        <v>3654</v>
      </c>
      <c r="E427" s="86">
        <v>1.0</v>
      </c>
      <c r="F427" s="86">
        <v>0.13</v>
      </c>
      <c r="G427" s="86">
        <v>8001.0</v>
      </c>
      <c r="H427" s="86">
        <v>325.0</v>
      </c>
      <c r="I427" s="86">
        <v>1.0</v>
      </c>
      <c r="J427" s="86">
        <v>8000.0</v>
      </c>
      <c r="K427" s="86">
        <v>490.0</v>
      </c>
      <c r="L427" s="86">
        <v>1.0</v>
      </c>
      <c r="M427" s="86">
        <v>2007.0</v>
      </c>
      <c r="N427" s="86">
        <v>1.0</v>
      </c>
      <c r="O427" s="141">
        <v>0.25</v>
      </c>
      <c r="P427" s="86">
        <v>9000.0</v>
      </c>
      <c r="Q427" s="86">
        <v>121.0</v>
      </c>
      <c r="R427" s="86">
        <v>1.0</v>
      </c>
      <c r="S427" s="86" t="s">
        <v>3657</v>
      </c>
      <c r="T427" s="86">
        <v>16.0</v>
      </c>
      <c r="U427" s="86">
        <v>0.5</v>
      </c>
      <c r="V427" s="86">
        <v>1000.0</v>
      </c>
      <c r="W427" s="86">
        <v>5100.0</v>
      </c>
      <c r="X427" s="86">
        <v>1.0</v>
      </c>
      <c r="Y427" s="86">
        <v>2006.0</v>
      </c>
      <c r="Z427" s="86">
        <v>1.0</v>
      </c>
      <c r="AA427" s="86">
        <v>0.03</v>
      </c>
    </row>
    <row r="428" ht="12.75" customHeight="1">
      <c r="A428" s="86">
        <v>1426.0</v>
      </c>
      <c r="B428" s="86" t="s">
        <v>4410</v>
      </c>
      <c r="C428" s="86">
        <v>150.0</v>
      </c>
      <c r="D428" s="86" t="s">
        <v>3654</v>
      </c>
      <c r="E428" s="86">
        <v>1.0</v>
      </c>
      <c r="F428" s="86">
        <v>0.13</v>
      </c>
      <c r="G428" s="86">
        <v>8001.0</v>
      </c>
      <c r="H428" s="86">
        <v>325.0</v>
      </c>
      <c r="I428" s="86">
        <v>1.0</v>
      </c>
      <c r="J428" s="86">
        <v>8000.0</v>
      </c>
      <c r="K428" s="86">
        <v>490.0</v>
      </c>
      <c r="L428" s="86">
        <v>1.0</v>
      </c>
      <c r="M428" s="86">
        <v>2007.0</v>
      </c>
      <c r="N428" s="86">
        <v>1.0</v>
      </c>
      <c r="O428" s="141">
        <v>0.25</v>
      </c>
      <c r="P428" s="86">
        <v>9000.0</v>
      </c>
      <c r="Q428" s="86">
        <v>122.0</v>
      </c>
      <c r="R428" s="86">
        <v>1.0</v>
      </c>
      <c r="S428" s="86" t="s">
        <v>3657</v>
      </c>
      <c r="T428" s="86">
        <v>16.0</v>
      </c>
      <c r="U428" s="86">
        <v>0.5</v>
      </c>
      <c r="V428" s="86">
        <v>1000.0</v>
      </c>
      <c r="W428" s="86">
        <v>5115.0</v>
      </c>
      <c r="X428" s="86">
        <v>1.0</v>
      </c>
      <c r="Y428" s="86">
        <v>2006.0</v>
      </c>
      <c r="Z428" s="86">
        <v>1.0</v>
      </c>
      <c r="AA428" s="86">
        <v>0.03</v>
      </c>
    </row>
    <row r="429" ht="12.75" customHeight="1">
      <c r="A429" s="86">
        <v>1427.0</v>
      </c>
      <c r="B429" s="86" t="s">
        <v>4411</v>
      </c>
      <c r="C429" s="86">
        <v>150.0</v>
      </c>
      <c r="D429" s="86" t="s">
        <v>3654</v>
      </c>
      <c r="E429" s="86">
        <v>1.0</v>
      </c>
      <c r="F429" s="86">
        <v>0.13</v>
      </c>
      <c r="G429" s="86">
        <v>8001.0</v>
      </c>
      <c r="H429" s="86">
        <v>330.0</v>
      </c>
      <c r="I429" s="86">
        <v>1.0</v>
      </c>
      <c r="J429" s="86">
        <v>8000.0</v>
      </c>
      <c r="K429" s="86">
        <v>490.0</v>
      </c>
      <c r="L429" s="86">
        <v>1.0</v>
      </c>
      <c r="M429" s="86">
        <v>2007.0</v>
      </c>
      <c r="N429" s="86">
        <v>1.0</v>
      </c>
      <c r="O429" s="141">
        <v>0.25</v>
      </c>
      <c r="P429" s="86">
        <v>9000.0</v>
      </c>
      <c r="Q429" s="86">
        <v>122.0</v>
      </c>
      <c r="R429" s="86">
        <v>1.0</v>
      </c>
      <c r="S429" s="86" t="s">
        <v>3657</v>
      </c>
      <c r="T429" s="86">
        <v>16.0</v>
      </c>
      <c r="U429" s="86">
        <v>0.5</v>
      </c>
      <c r="V429" s="86">
        <v>1000.0</v>
      </c>
      <c r="W429" s="86">
        <v>5125.0</v>
      </c>
      <c r="X429" s="86">
        <v>1.0</v>
      </c>
      <c r="Y429" s="86">
        <v>2006.0</v>
      </c>
      <c r="Z429" s="86">
        <v>1.0</v>
      </c>
      <c r="AA429" s="86">
        <v>0.03</v>
      </c>
    </row>
    <row r="430" ht="12.75" customHeight="1">
      <c r="A430" s="86">
        <v>1428.0</v>
      </c>
      <c r="B430" s="86" t="s">
        <v>4412</v>
      </c>
      <c r="C430" s="86">
        <v>150.0</v>
      </c>
      <c r="D430" s="86" t="s">
        <v>3654</v>
      </c>
      <c r="E430" s="86">
        <v>1.0</v>
      </c>
      <c r="F430" s="86">
        <v>0.13</v>
      </c>
      <c r="G430" s="86">
        <v>8001.0</v>
      </c>
      <c r="H430" s="86">
        <v>330.0</v>
      </c>
      <c r="I430" s="86">
        <v>1.0</v>
      </c>
      <c r="J430" s="86">
        <v>8000.0</v>
      </c>
      <c r="K430" s="86">
        <v>495.0</v>
      </c>
      <c r="L430" s="86">
        <v>1.0</v>
      </c>
      <c r="M430" s="86">
        <v>2007.0</v>
      </c>
      <c r="N430" s="86">
        <v>1.0</v>
      </c>
      <c r="O430" s="141">
        <v>0.25</v>
      </c>
      <c r="P430" s="86">
        <v>9000.0</v>
      </c>
      <c r="Q430" s="86">
        <v>122.0</v>
      </c>
      <c r="R430" s="86">
        <v>1.0</v>
      </c>
      <c r="S430" s="86" t="s">
        <v>3657</v>
      </c>
      <c r="T430" s="86">
        <v>16.0</v>
      </c>
      <c r="U430" s="86">
        <v>0.5</v>
      </c>
      <c r="V430" s="86">
        <v>1000.0</v>
      </c>
      <c r="W430" s="86">
        <v>5135.0</v>
      </c>
      <c r="X430" s="86">
        <v>1.0</v>
      </c>
      <c r="Y430" s="86">
        <v>2006.0</v>
      </c>
      <c r="Z430" s="86">
        <v>1.0</v>
      </c>
      <c r="AA430" s="86">
        <v>0.03</v>
      </c>
    </row>
    <row r="431" ht="12.75" customHeight="1">
      <c r="A431" s="86">
        <v>1429.0</v>
      </c>
      <c r="B431" s="86" t="s">
        <v>4413</v>
      </c>
      <c r="C431" s="86">
        <v>150.0</v>
      </c>
      <c r="D431" s="86" t="s">
        <v>3654</v>
      </c>
      <c r="E431" s="86">
        <v>1.0</v>
      </c>
      <c r="F431" s="86">
        <v>0.13</v>
      </c>
      <c r="G431" s="86">
        <v>8001.0</v>
      </c>
      <c r="H431" s="86">
        <v>330.0</v>
      </c>
      <c r="I431" s="86">
        <v>1.0</v>
      </c>
      <c r="J431" s="86">
        <v>8000.0</v>
      </c>
      <c r="K431" s="86">
        <v>495.0</v>
      </c>
      <c r="L431" s="86">
        <v>1.0</v>
      </c>
      <c r="M431" s="86">
        <v>2007.0</v>
      </c>
      <c r="N431" s="86">
        <v>1.0</v>
      </c>
      <c r="O431" s="141">
        <v>0.25</v>
      </c>
      <c r="P431" s="86">
        <v>9000.0</v>
      </c>
      <c r="Q431" s="86">
        <v>123.0</v>
      </c>
      <c r="R431" s="86">
        <v>1.0</v>
      </c>
      <c r="S431" s="86" t="s">
        <v>3657</v>
      </c>
      <c r="T431" s="86">
        <v>16.0</v>
      </c>
      <c r="U431" s="86">
        <v>0.5</v>
      </c>
      <c r="V431" s="86">
        <v>1000.0</v>
      </c>
      <c r="W431" s="86">
        <v>5150.0</v>
      </c>
      <c r="X431" s="86">
        <v>1.0</v>
      </c>
      <c r="Y431" s="86">
        <v>2006.0</v>
      </c>
      <c r="Z431" s="86">
        <v>1.0</v>
      </c>
      <c r="AA431" s="86">
        <v>0.03</v>
      </c>
    </row>
    <row r="432" ht="12.75" customHeight="1">
      <c r="A432" s="86">
        <v>1430.0</v>
      </c>
      <c r="B432" s="86" t="s">
        <v>4414</v>
      </c>
      <c r="C432" s="86">
        <v>150.0</v>
      </c>
      <c r="D432" s="86" t="s">
        <v>3654</v>
      </c>
      <c r="E432" s="86">
        <v>1.0</v>
      </c>
      <c r="F432" s="86">
        <v>0.131</v>
      </c>
      <c r="G432" s="86">
        <v>8001.0</v>
      </c>
      <c r="H432" s="86">
        <v>330.0</v>
      </c>
      <c r="I432" s="86">
        <v>1.0</v>
      </c>
      <c r="J432" s="86">
        <v>8000.0</v>
      </c>
      <c r="K432" s="86">
        <v>495.0</v>
      </c>
      <c r="L432" s="86">
        <v>1.0</v>
      </c>
      <c r="M432" s="86">
        <v>2007.0</v>
      </c>
      <c r="N432" s="86">
        <v>1.0</v>
      </c>
      <c r="O432" s="141">
        <v>0.25</v>
      </c>
      <c r="P432" s="86">
        <v>9000.0</v>
      </c>
      <c r="Q432" s="86">
        <v>123.0</v>
      </c>
      <c r="R432" s="86">
        <v>1.0</v>
      </c>
      <c r="S432" s="86" t="s">
        <v>3657</v>
      </c>
      <c r="T432" s="86">
        <v>17.0</v>
      </c>
      <c r="U432" s="86">
        <v>0.5</v>
      </c>
      <c r="V432" s="86">
        <v>1000.0</v>
      </c>
      <c r="W432" s="86">
        <v>5160.0</v>
      </c>
      <c r="X432" s="86">
        <v>1.0</v>
      </c>
      <c r="Y432" s="86">
        <v>2006.0</v>
      </c>
      <c r="Z432" s="86">
        <v>1.0</v>
      </c>
      <c r="AA432" s="86">
        <v>0.03</v>
      </c>
    </row>
    <row r="433" ht="12.75" customHeight="1">
      <c r="A433" s="86">
        <v>1431.0</v>
      </c>
      <c r="B433" s="86" t="s">
        <v>4415</v>
      </c>
      <c r="C433" s="86">
        <v>150.0</v>
      </c>
      <c r="D433" s="86" t="s">
        <v>3654</v>
      </c>
      <c r="E433" s="86">
        <v>1.0</v>
      </c>
      <c r="F433" s="86">
        <v>0.131</v>
      </c>
      <c r="G433" s="86">
        <v>8001.0</v>
      </c>
      <c r="H433" s="86">
        <v>330.0</v>
      </c>
      <c r="I433" s="86">
        <v>1.0</v>
      </c>
      <c r="J433" s="86">
        <v>8000.0</v>
      </c>
      <c r="K433" s="86">
        <v>495.0</v>
      </c>
      <c r="L433" s="86">
        <v>1.0</v>
      </c>
      <c r="M433" s="86">
        <v>2007.0</v>
      </c>
      <c r="N433" s="86">
        <v>1.0</v>
      </c>
      <c r="O433" s="141">
        <v>0.25</v>
      </c>
      <c r="P433" s="86">
        <v>9000.0</v>
      </c>
      <c r="Q433" s="86">
        <v>123.0</v>
      </c>
      <c r="R433" s="86">
        <v>1.0</v>
      </c>
      <c r="S433" s="86" t="s">
        <v>3657</v>
      </c>
      <c r="T433" s="86">
        <v>17.0</v>
      </c>
      <c r="U433" s="86">
        <v>0.5</v>
      </c>
      <c r="V433" s="86">
        <v>1000.0</v>
      </c>
      <c r="W433" s="86">
        <v>5170.0</v>
      </c>
      <c r="X433" s="86">
        <v>1.0</v>
      </c>
      <c r="Y433" s="86">
        <v>2006.0</v>
      </c>
      <c r="Z433" s="86">
        <v>1.0</v>
      </c>
      <c r="AA433" s="86">
        <v>0.03</v>
      </c>
    </row>
    <row r="434" ht="12.75" customHeight="1">
      <c r="A434" s="86">
        <v>1432.0</v>
      </c>
      <c r="B434" s="86" t="s">
        <v>4416</v>
      </c>
      <c r="C434" s="86">
        <v>150.0</v>
      </c>
      <c r="D434" s="86" t="s">
        <v>3654</v>
      </c>
      <c r="E434" s="86">
        <v>1.0</v>
      </c>
      <c r="F434" s="86">
        <v>0.131</v>
      </c>
      <c r="G434" s="86">
        <v>8001.0</v>
      </c>
      <c r="H434" s="86">
        <v>330.0</v>
      </c>
      <c r="I434" s="86">
        <v>1.0</v>
      </c>
      <c r="J434" s="86">
        <v>8000.0</v>
      </c>
      <c r="K434" s="86">
        <v>495.0</v>
      </c>
      <c r="L434" s="86">
        <v>1.0</v>
      </c>
      <c r="M434" s="86">
        <v>2007.0</v>
      </c>
      <c r="N434" s="86">
        <v>1.0</v>
      </c>
      <c r="O434" s="141">
        <v>0.25</v>
      </c>
      <c r="P434" s="86">
        <v>9000.0</v>
      </c>
      <c r="Q434" s="86">
        <v>123.0</v>
      </c>
      <c r="R434" s="86">
        <v>1.0</v>
      </c>
      <c r="S434" s="86" t="s">
        <v>3657</v>
      </c>
      <c r="T434" s="86">
        <v>17.0</v>
      </c>
      <c r="U434" s="86">
        <v>0.5</v>
      </c>
      <c r="V434" s="86">
        <v>1000.0</v>
      </c>
      <c r="W434" s="86">
        <v>5180.0</v>
      </c>
      <c r="X434" s="86">
        <v>1.0</v>
      </c>
      <c r="Y434" s="86">
        <v>2006.0</v>
      </c>
      <c r="Z434" s="86">
        <v>1.0</v>
      </c>
      <c r="AA434" s="86">
        <v>0.03</v>
      </c>
    </row>
    <row r="435" ht="12.75" customHeight="1">
      <c r="A435" s="86">
        <v>1433.0</v>
      </c>
      <c r="B435" s="86" t="s">
        <v>4390</v>
      </c>
      <c r="C435" s="86">
        <v>150.0</v>
      </c>
      <c r="D435" s="86" t="s">
        <v>3654</v>
      </c>
      <c r="E435" s="86">
        <v>1.0</v>
      </c>
      <c r="F435" s="86">
        <v>0.131</v>
      </c>
      <c r="G435" s="86">
        <v>8001.0</v>
      </c>
      <c r="H435" s="86">
        <v>330.0</v>
      </c>
      <c r="I435" s="86">
        <v>1.0</v>
      </c>
      <c r="J435" s="86">
        <v>8000.0</v>
      </c>
      <c r="K435" s="86">
        <v>500.0</v>
      </c>
      <c r="L435" s="86">
        <v>1.0</v>
      </c>
      <c r="M435" s="86">
        <v>2007.0</v>
      </c>
      <c r="N435" s="86">
        <v>1.0</v>
      </c>
      <c r="O435" s="141">
        <v>0.25</v>
      </c>
      <c r="P435" s="86">
        <v>9000.0</v>
      </c>
      <c r="Q435" s="86">
        <v>124.0</v>
      </c>
      <c r="R435" s="86">
        <v>1.0</v>
      </c>
      <c r="S435" s="86" t="s">
        <v>3657</v>
      </c>
      <c r="T435" s="86">
        <v>17.0</v>
      </c>
      <c r="U435" s="86">
        <v>0.5</v>
      </c>
      <c r="V435" s="86">
        <v>1000.0</v>
      </c>
      <c r="W435" s="86">
        <v>5195.0</v>
      </c>
      <c r="X435" s="86">
        <v>1.0</v>
      </c>
      <c r="Y435" s="86">
        <v>2006.0</v>
      </c>
      <c r="Z435" s="86">
        <v>1.0</v>
      </c>
      <c r="AA435" s="86">
        <v>0.03</v>
      </c>
    </row>
    <row r="436" ht="12.75" customHeight="1">
      <c r="A436" s="86">
        <v>1434.0</v>
      </c>
      <c r="B436" s="86" t="s">
        <v>4395</v>
      </c>
      <c r="C436" s="86">
        <v>150.0</v>
      </c>
      <c r="D436" s="86" t="s">
        <v>3654</v>
      </c>
      <c r="E436" s="86">
        <v>1.0</v>
      </c>
      <c r="F436" s="86">
        <v>0.131</v>
      </c>
      <c r="G436" s="86">
        <v>8001.0</v>
      </c>
      <c r="H436" s="86">
        <v>335.0</v>
      </c>
      <c r="I436" s="86">
        <v>1.0</v>
      </c>
      <c r="J436" s="86">
        <v>8000.0</v>
      </c>
      <c r="K436" s="86">
        <v>500.0</v>
      </c>
      <c r="L436" s="86">
        <v>1.0</v>
      </c>
      <c r="M436" s="86">
        <v>2007.0</v>
      </c>
      <c r="N436" s="86">
        <v>1.0</v>
      </c>
      <c r="O436" s="141">
        <v>0.25</v>
      </c>
      <c r="P436" s="86">
        <v>9000.0</v>
      </c>
      <c r="Q436" s="86">
        <v>124.0</v>
      </c>
      <c r="R436" s="86">
        <v>1.0</v>
      </c>
      <c r="S436" s="86" t="s">
        <v>3657</v>
      </c>
      <c r="T436" s="86">
        <v>17.0</v>
      </c>
      <c r="U436" s="86">
        <v>0.5</v>
      </c>
      <c r="V436" s="86">
        <v>1000.0</v>
      </c>
      <c r="W436" s="86">
        <v>5205.0</v>
      </c>
      <c r="X436" s="86">
        <v>1.0</v>
      </c>
      <c r="Y436" s="86">
        <v>2006.0</v>
      </c>
      <c r="Z436" s="86">
        <v>1.0</v>
      </c>
      <c r="AA436" s="86">
        <v>0.03</v>
      </c>
    </row>
    <row r="437" ht="12.75" customHeight="1">
      <c r="A437" s="86">
        <v>1435.0</v>
      </c>
      <c r="B437" s="86" t="s">
        <v>4417</v>
      </c>
      <c r="C437" s="86">
        <v>150.0</v>
      </c>
      <c r="D437" s="86" t="s">
        <v>3654</v>
      </c>
      <c r="E437" s="86">
        <v>1.0</v>
      </c>
      <c r="F437" s="86">
        <v>0.132</v>
      </c>
      <c r="G437" s="86">
        <v>8001.0</v>
      </c>
      <c r="H437" s="86">
        <v>335.0</v>
      </c>
      <c r="I437" s="86">
        <v>1.0</v>
      </c>
      <c r="J437" s="86">
        <v>8000.0</v>
      </c>
      <c r="K437" s="86">
        <v>500.0</v>
      </c>
      <c r="L437" s="86">
        <v>1.0</v>
      </c>
      <c r="M437" s="86">
        <v>2007.0</v>
      </c>
      <c r="N437" s="86">
        <v>1.0</v>
      </c>
      <c r="O437" s="141">
        <v>0.25</v>
      </c>
      <c r="P437" s="86">
        <v>9000.0</v>
      </c>
      <c r="Q437" s="86">
        <v>124.0</v>
      </c>
      <c r="R437" s="86">
        <v>1.0</v>
      </c>
      <c r="S437" s="86" t="s">
        <v>3657</v>
      </c>
      <c r="T437" s="86">
        <v>17.0</v>
      </c>
      <c r="U437" s="86">
        <v>0.5</v>
      </c>
      <c r="V437" s="86">
        <v>1000.0</v>
      </c>
      <c r="W437" s="86">
        <v>5215.0</v>
      </c>
      <c r="X437" s="86">
        <v>1.0</v>
      </c>
      <c r="Y437" s="86">
        <v>2006.0</v>
      </c>
      <c r="Z437" s="86">
        <v>1.0</v>
      </c>
      <c r="AA437" s="86">
        <v>0.03</v>
      </c>
    </row>
    <row r="438" ht="12.75" customHeight="1">
      <c r="A438" s="86">
        <v>1436.0</v>
      </c>
      <c r="B438" s="86" t="s">
        <v>4418</v>
      </c>
      <c r="C438" s="86">
        <v>150.0</v>
      </c>
      <c r="D438" s="86" t="s">
        <v>3654</v>
      </c>
      <c r="E438" s="86">
        <v>1.0</v>
      </c>
      <c r="F438" s="86">
        <v>0.132</v>
      </c>
      <c r="G438" s="86">
        <v>8001.0</v>
      </c>
      <c r="H438" s="86">
        <v>335.0</v>
      </c>
      <c r="I438" s="86">
        <v>1.0</v>
      </c>
      <c r="J438" s="86">
        <v>8000.0</v>
      </c>
      <c r="K438" s="86">
        <v>500.0</v>
      </c>
      <c r="L438" s="86">
        <v>1.0</v>
      </c>
      <c r="M438" s="86">
        <v>2007.0</v>
      </c>
      <c r="N438" s="86">
        <v>1.0</v>
      </c>
      <c r="O438" s="141">
        <v>0.25</v>
      </c>
      <c r="P438" s="86">
        <v>9000.0</v>
      </c>
      <c r="Q438" s="86">
        <v>125.0</v>
      </c>
      <c r="R438" s="86">
        <v>1.0</v>
      </c>
      <c r="S438" s="86" t="s">
        <v>3657</v>
      </c>
      <c r="T438" s="86">
        <v>17.0</v>
      </c>
      <c r="U438" s="86">
        <v>0.5</v>
      </c>
      <c r="V438" s="86">
        <v>1000.0</v>
      </c>
      <c r="W438" s="86">
        <v>5225.0</v>
      </c>
      <c r="X438" s="86">
        <v>1.0</v>
      </c>
      <c r="Y438" s="86">
        <v>2006.0</v>
      </c>
      <c r="Z438" s="86">
        <v>1.0</v>
      </c>
      <c r="AA438" s="86">
        <v>0.03</v>
      </c>
    </row>
    <row r="439" ht="12.75" customHeight="1">
      <c r="A439" s="86">
        <v>1437.0</v>
      </c>
      <c r="B439" s="86" t="s">
        <v>4419</v>
      </c>
      <c r="C439" s="86">
        <v>150.0</v>
      </c>
      <c r="D439" s="86" t="s">
        <v>3654</v>
      </c>
      <c r="E439" s="86">
        <v>1.0</v>
      </c>
      <c r="F439" s="86">
        <v>0.132</v>
      </c>
      <c r="G439" s="86">
        <v>8001.0</v>
      </c>
      <c r="H439" s="86">
        <v>335.0</v>
      </c>
      <c r="I439" s="86">
        <v>1.0</v>
      </c>
      <c r="J439" s="86">
        <v>8000.0</v>
      </c>
      <c r="K439" s="86">
        <v>505.0</v>
      </c>
      <c r="L439" s="86">
        <v>1.0</v>
      </c>
      <c r="M439" s="86">
        <v>2007.0</v>
      </c>
      <c r="N439" s="86">
        <v>1.0</v>
      </c>
      <c r="O439" s="141">
        <v>0.25</v>
      </c>
      <c r="P439" s="86">
        <v>9000.0</v>
      </c>
      <c r="Q439" s="86">
        <v>125.0</v>
      </c>
      <c r="R439" s="86">
        <v>1.0</v>
      </c>
      <c r="S439" s="86" t="s">
        <v>3657</v>
      </c>
      <c r="T439" s="86">
        <v>17.0</v>
      </c>
      <c r="U439" s="86">
        <v>0.5</v>
      </c>
      <c r="V439" s="86">
        <v>1000.0</v>
      </c>
      <c r="W439" s="86">
        <v>5240.0</v>
      </c>
      <c r="X439" s="86">
        <v>1.0</v>
      </c>
      <c r="Y439" s="86">
        <v>2006.0</v>
      </c>
      <c r="Z439" s="86">
        <v>1.0</v>
      </c>
      <c r="AA439" s="86">
        <v>0.03</v>
      </c>
    </row>
    <row r="440" ht="12.75" customHeight="1">
      <c r="A440" s="86">
        <v>1438.0</v>
      </c>
      <c r="B440" s="86" t="s">
        <v>4420</v>
      </c>
      <c r="C440" s="86">
        <v>150.0</v>
      </c>
      <c r="D440" s="86" t="s">
        <v>3654</v>
      </c>
      <c r="E440" s="86">
        <v>1.0</v>
      </c>
      <c r="F440" s="86">
        <v>0.132</v>
      </c>
      <c r="G440" s="86">
        <v>8001.0</v>
      </c>
      <c r="H440" s="86">
        <v>335.0</v>
      </c>
      <c r="I440" s="86">
        <v>1.0</v>
      </c>
      <c r="J440" s="86">
        <v>8000.0</v>
      </c>
      <c r="K440" s="86">
        <v>505.0</v>
      </c>
      <c r="L440" s="86">
        <v>1.0</v>
      </c>
      <c r="M440" s="86">
        <v>2007.0</v>
      </c>
      <c r="N440" s="86">
        <v>1.0</v>
      </c>
      <c r="O440" s="141">
        <v>0.25</v>
      </c>
      <c r="P440" s="86">
        <v>9000.0</v>
      </c>
      <c r="Q440" s="86">
        <v>125.0</v>
      </c>
      <c r="R440" s="86">
        <v>1.0</v>
      </c>
      <c r="S440" s="86" t="s">
        <v>3657</v>
      </c>
      <c r="T440" s="86">
        <v>17.0</v>
      </c>
      <c r="U440" s="86">
        <v>0.5</v>
      </c>
      <c r="V440" s="86">
        <v>1000.0</v>
      </c>
      <c r="W440" s="86">
        <v>5250.0</v>
      </c>
      <c r="X440" s="86">
        <v>1.0</v>
      </c>
      <c r="Y440" s="86">
        <v>2006.0</v>
      </c>
      <c r="Z440" s="86">
        <v>1.0</v>
      </c>
      <c r="AA440" s="86">
        <v>0.03</v>
      </c>
    </row>
    <row r="441" ht="12.75" customHeight="1">
      <c r="A441" s="86">
        <v>1439.0</v>
      </c>
      <c r="B441" s="86" t="s">
        <v>4421</v>
      </c>
      <c r="C441" s="86">
        <v>150.0</v>
      </c>
      <c r="D441" s="86" t="s">
        <v>3654</v>
      </c>
      <c r="E441" s="86">
        <v>1.0</v>
      </c>
      <c r="F441" s="86">
        <v>0.132</v>
      </c>
      <c r="G441" s="86">
        <v>8001.0</v>
      </c>
      <c r="H441" s="86">
        <v>335.0</v>
      </c>
      <c r="I441" s="86">
        <v>1.0</v>
      </c>
      <c r="J441" s="86">
        <v>8000.0</v>
      </c>
      <c r="K441" s="86">
        <v>505.0</v>
      </c>
      <c r="L441" s="86">
        <v>1.0</v>
      </c>
      <c r="M441" s="86">
        <v>2007.0</v>
      </c>
      <c r="N441" s="86">
        <v>1.0</v>
      </c>
      <c r="O441" s="141">
        <v>0.25</v>
      </c>
      <c r="P441" s="86">
        <v>9000.0</v>
      </c>
      <c r="Q441" s="86">
        <v>125.0</v>
      </c>
      <c r="R441" s="86">
        <v>1.0</v>
      </c>
      <c r="S441" s="86" t="s">
        <v>3657</v>
      </c>
      <c r="T441" s="86">
        <v>17.0</v>
      </c>
      <c r="U441" s="86">
        <v>0.5</v>
      </c>
      <c r="V441" s="86">
        <v>1000.0</v>
      </c>
      <c r="W441" s="86">
        <v>5260.0</v>
      </c>
      <c r="X441" s="86">
        <v>1.0</v>
      </c>
      <c r="Y441" s="86">
        <v>2006.0</v>
      </c>
      <c r="Z441" s="86">
        <v>1.0</v>
      </c>
      <c r="AA441" s="86">
        <v>0.03</v>
      </c>
    </row>
    <row r="442" ht="12.75" customHeight="1">
      <c r="A442" s="86">
        <v>1440.0</v>
      </c>
      <c r="B442" s="86" t="s">
        <v>4408</v>
      </c>
      <c r="C442" s="86">
        <v>150.0</v>
      </c>
      <c r="D442" s="86" t="s">
        <v>3654</v>
      </c>
      <c r="E442" s="86">
        <v>1.0</v>
      </c>
      <c r="F442" s="86">
        <v>0.133</v>
      </c>
      <c r="G442" s="86">
        <v>8001.0</v>
      </c>
      <c r="H442" s="86">
        <v>335.0</v>
      </c>
      <c r="I442" s="86">
        <v>1.0</v>
      </c>
      <c r="J442" s="86">
        <v>8000.0</v>
      </c>
      <c r="K442" s="86">
        <v>505.0</v>
      </c>
      <c r="L442" s="86">
        <v>1.0</v>
      </c>
      <c r="M442" s="86">
        <v>2007.0</v>
      </c>
      <c r="N442" s="86">
        <v>1.0</v>
      </c>
      <c r="O442" s="141">
        <v>0.25</v>
      </c>
      <c r="P442" s="86">
        <v>9000.0</v>
      </c>
      <c r="Q442" s="86">
        <v>126.0</v>
      </c>
      <c r="R442" s="86">
        <v>1.0</v>
      </c>
      <c r="S442" s="86" t="s">
        <v>3657</v>
      </c>
      <c r="T442" s="86">
        <v>17.0</v>
      </c>
      <c r="U442" s="86">
        <v>0.5</v>
      </c>
      <c r="V442" s="86">
        <v>1000.0</v>
      </c>
      <c r="W442" s="86">
        <v>5270.0</v>
      </c>
      <c r="X442" s="86">
        <v>1.0</v>
      </c>
      <c r="Y442" s="86">
        <v>2006.0</v>
      </c>
      <c r="Z442" s="86">
        <v>1.0</v>
      </c>
      <c r="AA442" s="86">
        <v>0.03</v>
      </c>
    </row>
    <row r="443" ht="12.75" customHeight="1">
      <c r="A443" s="86">
        <v>1441.0</v>
      </c>
      <c r="B443" s="86" t="s">
        <v>4422</v>
      </c>
      <c r="C443" s="86">
        <v>150.0</v>
      </c>
      <c r="D443" s="86" t="s">
        <v>3654</v>
      </c>
      <c r="E443" s="86">
        <v>1.0</v>
      </c>
      <c r="F443" s="86">
        <v>0.133</v>
      </c>
      <c r="G443" s="86">
        <v>8001.0</v>
      </c>
      <c r="H443" s="86">
        <v>340.0</v>
      </c>
      <c r="I443" s="86">
        <v>1.0</v>
      </c>
      <c r="J443" s="86">
        <v>8000.0</v>
      </c>
      <c r="K443" s="86">
        <v>505.0</v>
      </c>
      <c r="L443" s="86">
        <v>1.0</v>
      </c>
      <c r="M443" s="86">
        <v>2007.0</v>
      </c>
      <c r="N443" s="86">
        <v>1.0</v>
      </c>
      <c r="O443" s="141">
        <v>0.25</v>
      </c>
      <c r="P443" s="86">
        <v>9000.0</v>
      </c>
      <c r="Q443" s="86">
        <v>126.0</v>
      </c>
      <c r="R443" s="86">
        <v>1.0</v>
      </c>
      <c r="S443" s="86" t="s">
        <v>3657</v>
      </c>
      <c r="T443" s="86">
        <v>17.0</v>
      </c>
      <c r="U443" s="86">
        <v>0.5</v>
      </c>
      <c r="V443" s="86">
        <v>1000.0</v>
      </c>
      <c r="W443" s="86">
        <v>5280.0</v>
      </c>
      <c r="X443" s="86">
        <v>1.0</v>
      </c>
      <c r="Y443" s="86">
        <v>2006.0</v>
      </c>
      <c r="Z443" s="86">
        <v>1.0</v>
      </c>
      <c r="AA443" s="86">
        <v>0.03</v>
      </c>
    </row>
    <row r="444" ht="12.75" customHeight="1">
      <c r="A444" s="86">
        <v>1442.0</v>
      </c>
      <c r="B444" s="86" t="s">
        <v>4423</v>
      </c>
      <c r="C444" s="86">
        <v>150.0</v>
      </c>
      <c r="D444" s="86" t="s">
        <v>3654</v>
      </c>
      <c r="E444" s="86">
        <v>1.0</v>
      </c>
      <c r="F444" s="86">
        <v>0.133</v>
      </c>
      <c r="G444" s="86">
        <v>8001.0</v>
      </c>
      <c r="H444" s="86">
        <v>340.0</v>
      </c>
      <c r="I444" s="86">
        <v>1.0</v>
      </c>
      <c r="J444" s="86">
        <v>8000.0</v>
      </c>
      <c r="K444" s="86">
        <v>510.0</v>
      </c>
      <c r="L444" s="86">
        <v>1.0</v>
      </c>
      <c r="M444" s="86">
        <v>2007.0</v>
      </c>
      <c r="N444" s="86">
        <v>1.0</v>
      </c>
      <c r="O444" s="141">
        <v>0.25</v>
      </c>
      <c r="P444" s="86">
        <v>9000.0</v>
      </c>
      <c r="Q444" s="86">
        <v>126.0</v>
      </c>
      <c r="R444" s="86">
        <v>1.0</v>
      </c>
      <c r="S444" s="86" t="s">
        <v>3657</v>
      </c>
      <c r="T444" s="86">
        <v>17.0</v>
      </c>
      <c r="U444" s="86">
        <v>0.5</v>
      </c>
      <c r="V444" s="86">
        <v>1000.0</v>
      </c>
      <c r="W444" s="86">
        <v>5295.0</v>
      </c>
      <c r="X444" s="86">
        <v>1.0</v>
      </c>
      <c r="Y444" s="86">
        <v>2006.0</v>
      </c>
      <c r="Z444" s="86">
        <v>1.0</v>
      </c>
      <c r="AA444" s="86">
        <v>0.03</v>
      </c>
    </row>
    <row r="445" ht="12.75" customHeight="1">
      <c r="A445" s="86">
        <v>1443.0</v>
      </c>
      <c r="B445" s="86" t="s">
        <v>4424</v>
      </c>
      <c r="C445" s="86">
        <v>150.0</v>
      </c>
      <c r="D445" s="86" t="s">
        <v>3654</v>
      </c>
      <c r="E445" s="86">
        <v>1.0</v>
      </c>
      <c r="F445" s="86">
        <v>0.133</v>
      </c>
      <c r="G445" s="86">
        <v>8001.0</v>
      </c>
      <c r="H445" s="86">
        <v>340.0</v>
      </c>
      <c r="I445" s="86">
        <v>1.0</v>
      </c>
      <c r="J445" s="86">
        <v>8000.0</v>
      </c>
      <c r="K445" s="86">
        <v>510.0</v>
      </c>
      <c r="L445" s="86">
        <v>1.0</v>
      </c>
      <c r="M445" s="86">
        <v>2007.0</v>
      </c>
      <c r="N445" s="86">
        <v>1.0</v>
      </c>
      <c r="O445" s="141">
        <v>0.25</v>
      </c>
      <c r="P445" s="86">
        <v>9000.0</v>
      </c>
      <c r="Q445" s="86">
        <v>126.0</v>
      </c>
      <c r="R445" s="86">
        <v>1.0</v>
      </c>
      <c r="S445" s="86" t="s">
        <v>3657</v>
      </c>
      <c r="T445" s="86">
        <v>17.0</v>
      </c>
      <c r="U445" s="86">
        <v>0.5</v>
      </c>
      <c r="V445" s="86">
        <v>1000.0</v>
      </c>
      <c r="W445" s="86">
        <v>5305.0</v>
      </c>
      <c r="X445" s="86">
        <v>1.0</v>
      </c>
      <c r="Y445" s="86">
        <v>2006.0</v>
      </c>
      <c r="Z445" s="86">
        <v>1.0</v>
      </c>
      <c r="AA445" s="86">
        <v>0.03</v>
      </c>
    </row>
    <row r="446" ht="12.75" customHeight="1">
      <c r="A446" s="86">
        <v>1444.0</v>
      </c>
      <c r="B446" s="86" t="s">
        <v>4425</v>
      </c>
      <c r="C446" s="86">
        <v>150.0</v>
      </c>
      <c r="D446" s="86" t="s">
        <v>3654</v>
      </c>
      <c r="E446" s="86">
        <v>1.0</v>
      </c>
      <c r="F446" s="86">
        <v>0.133</v>
      </c>
      <c r="G446" s="86">
        <v>8001.0</v>
      </c>
      <c r="H446" s="86">
        <v>340.0</v>
      </c>
      <c r="I446" s="86">
        <v>1.0</v>
      </c>
      <c r="J446" s="86">
        <v>8000.0</v>
      </c>
      <c r="K446" s="86">
        <v>510.0</v>
      </c>
      <c r="L446" s="86">
        <v>1.0</v>
      </c>
      <c r="M446" s="86">
        <v>2007.0</v>
      </c>
      <c r="N446" s="86">
        <v>1.0</v>
      </c>
      <c r="O446" s="141">
        <v>0.25</v>
      </c>
      <c r="P446" s="86">
        <v>9000.0</v>
      </c>
      <c r="Q446" s="86">
        <v>127.0</v>
      </c>
      <c r="R446" s="86">
        <v>1.0</v>
      </c>
      <c r="S446" s="86" t="s">
        <v>3657</v>
      </c>
      <c r="T446" s="86">
        <v>17.0</v>
      </c>
      <c r="U446" s="86">
        <v>0.5</v>
      </c>
      <c r="V446" s="86">
        <v>1000.0</v>
      </c>
      <c r="W446" s="86">
        <v>5315.0</v>
      </c>
      <c r="X446" s="86">
        <v>1.0</v>
      </c>
      <c r="Y446" s="86">
        <v>2006.0</v>
      </c>
      <c r="Z446" s="86">
        <v>1.0</v>
      </c>
      <c r="AA446" s="86">
        <v>0.03</v>
      </c>
    </row>
    <row r="447" ht="12.75" customHeight="1">
      <c r="A447" s="86">
        <v>1445.0</v>
      </c>
      <c r="B447" s="86" t="s">
        <v>4426</v>
      </c>
      <c r="C447" s="86">
        <v>150.0</v>
      </c>
      <c r="D447" s="86" t="s">
        <v>3654</v>
      </c>
      <c r="E447" s="86">
        <v>1.0</v>
      </c>
      <c r="F447" s="86">
        <v>0.134</v>
      </c>
      <c r="G447" s="86">
        <v>8001.0</v>
      </c>
      <c r="H447" s="86">
        <v>340.0</v>
      </c>
      <c r="I447" s="86">
        <v>1.0</v>
      </c>
      <c r="J447" s="86">
        <v>8000.0</v>
      </c>
      <c r="K447" s="86">
        <v>510.0</v>
      </c>
      <c r="L447" s="86">
        <v>1.0</v>
      </c>
      <c r="M447" s="86">
        <v>2007.0</v>
      </c>
      <c r="N447" s="86">
        <v>1.0</v>
      </c>
      <c r="O447" s="141">
        <v>0.25</v>
      </c>
      <c r="P447" s="86">
        <v>9000.0</v>
      </c>
      <c r="Q447" s="86">
        <v>127.0</v>
      </c>
      <c r="R447" s="86">
        <v>1.0</v>
      </c>
      <c r="S447" s="86" t="s">
        <v>3657</v>
      </c>
      <c r="T447" s="86">
        <v>17.0</v>
      </c>
      <c r="U447" s="86">
        <v>0.5</v>
      </c>
      <c r="V447" s="86">
        <v>1000.0</v>
      </c>
      <c r="W447" s="86">
        <v>5325.0</v>
      </c>
      <c r="X447" s="86">
        <v>1.0</v>
      </c>
      <c r="Y447" s="86">
        <v>2006.0</v>
      </c>
      <c r="Z447" s="86">
        <v>1.0</v>
      </c>
      <c r="AA447" s="86">
        <v>0.03</v>
      </c>
    </row>
    <row r="448" ht="12.75" customHeight="1">
      <c r="A448" s="86">
        <v>1446.0</v>
      </c>
      <c r="B448" s="86" t="s">
        <v>4427</v>
      </c>
      <c r="C448" s="86">
        <v>150.0</v>
      </c>
      <c r="D448" s="86" t="s">
        <v>3654</v>
      </c>
      <c r="E448" s="86">
        <v>1.0</v>
      </c>
      <c r="F448" s="86">
        <v>0.134</v>
      </c>
      <c r="G448" s="86">
        <v>8001.0</v>
      </c>
      <c r="H448" s="86">
        <v>340.0</v>
      </c>
      <c r="I448" s="86">
        <v>1.0</v>
      </c>
      <c r="J448" s="86">
        <v>8000.0</v>
      </c>
      <c r="K448" s="86">
        <v>510.0</v>
      </c>
      <c r="L448" s="86">
        <v>1.0</v>
      </c>
      <c r="M448" s="86">
        <v>2007.0</v>
      </c>
      <c r="N448" s="86">
        <v>1.0</v>
      </c>
      <c r="O448" s="141">
        <v>0.25</v>
      </c>
      <c r="P448" s="86">
        <v>9000.0</v>
      </c>
      <c r="Q448" s="86">
        <v>127.0</v>
      </c>
      <c r="R448" s="86">
        <v>1.0</v>
      </c>
      <c r="S448" s="86" t="s">
        <v>3657</v>
      </c>
      <c r="T448" s="86">
        <v>17.0</v>
      </c>
      <c r="U448" s="86">
        <v>0.5</v>
      </c>
      <c r="V448" s="86">
        <v>1000.0</v>
      </c>
      <c r="W448" s="86">
        <v>5335.0</v>
      </c>
      <c r="X448" s="86">
        <v>1.0</v>
      </c>
      <c r="Y448" s="86">
        <v>2006.0</v>
      </c>
      <c r="Z448" s="86">
        <v>1.0</v>
      </c>
      <c r="AA448" s="86">
        <v>0.03</v>
      </c>
    </row>
    <row r="449" ht="12.75" customHeight="1">
      <c r="A449" s="86">
        <v>1447.0</v>
      </c>
      <c r="B449" s="86" t="s">
        <v>4428</v>
      </c>
      <c r="C449" s="86">
        <v>150.0</v>
      </c>
      <c r="D449" s="86" t="s">
        <v>3654</v>
      </c>
      <c r="E449" s="86">
        <v>1.0</v>
      </c>
      <c r="F449" s="86">
        <v>0.134</v>
      </c>
      <c r="G449" s="86">
        <v>8001.0</v>
      </c>
      <c r="H449" s="86">
        <v>340.0</v>
      </c>
      <c r="I449" s="86">
        <v>1.0</v>
      </c>
      <c r="J449" s="86">
        <v>8000.0</v>
      </c>
      <c r="K449" s="86">
        <v>515.0</v>
      </c>
      <c r="L449" s="86">
        <v>1.0</v>
      </c>
      <c r="M449" s="86">
        <v>2007.0</v>
      </c>
      <c r="N449" s="86">
        <v>1.0</v>
      </c>
      <c r="O449" s="141">
        <v>0.25</v>
      </c>
      <c r="P449" s="86">
        <v>9000.0</v>
      </c>
      <c r="Q449" s="86">
        <v>128.0</v>
      </c>
      <c r="R449" s="86">
        <v>1.0</v>
      </c>
      <c r="S449" s="86" t="s">
        <v>3657</v>
      </c>
      <c r="T449" s="86">
        <v>17.0</v>
      </c>
      <c r="U449" s="86">
        <v>0.5</v>
      </c>
      <c r="V449" s="86">
        <v>1000.0</v>
      </c>
      <c r="W449" s="86">
        <v>5345.0</v>
      </c>
      <c r="X449" s="86">
        <v>1.0</v>
      </c>
      <c r="Y449" s="86">
        <v>2006.0</v>
      </c>
      <c r="Z449" s="86">
        <v>1.0</v>
      </c>
      <c r="AA449" s="86">
        <v>0.03</v>
      </c>
    </row>
    <row r="450" ht="12.75" customHeight="1">
      <c r="A450" s="86">
        <v>1448.0</v>
      </c>
      <c r="B450" s="86" t="s">
        <v>4429</v>
      </c>
      <c r="C450" s="86">
        <v>150.0</v>
      </c>
      <c r="D450" s="86" t="s">
        <v>3654</v>
      </c>
      <c r="E450" s="86">
        <v>1.0</v>
      </c>
      <c r="F450" s="86">
        <v>0.134</v>
      </c>
      <c r="G450" s="86">
        <v>8001.0</v>
      </c>
      <c r="H450" s="86">
        <v>345.0</v>
      </c>
      <c r="I450" s="86">
        <v>1.0</v>
      </c>
      <c r="J450" s="86">
        <v>8000.0</v>
      </c>
      <c r="K450" s="86">
        <v>515.0</v>
      </c>
      <c r="L450" s="86">
        <v>1.0</v>
      </c>
      <c r="M450" s="86">
        <v>2007.0</v>
      </c>
      <c r="N450" s="86">
        <v>1.0</v>
      </c>
      <c r="O450" s="141">
        <v>0.25</v>
      </c>
      <c r="P450" s="86">
        <v>9000.0</v>
      </c>
      <c r="Q450" s="86">
        <v>128.0</v>
      </c>
      <c r="R450" s="86">
        <v>1.0</v>
      </c>
      <c r="S450" s="86" t="s">
        <v>3657</v>
      </c>
      <c r="T450" s="86">
        <v>17.0</v>
      </c>
      <c r="U450" s="86">
        <v>0.5</v>
      </c>
      <c r="V450" s="86">
        <v>1000.0</v>
      </c>
      <c r="W450" s="86">
        <v>5360.0</v>
      </c>
      <c r="X450" s="86">
        <v>1.0</v>
      </c>
      <c r="Y450" s="86">
        <v>2006.0</v>
      </c>
      <c r="Z450" s="86">
        <v>1.0</v>
      </c>
      <c r="AA450" s="86">
        <v>0.03</v>
      </c>
    </row>
    <row r="451" ht="12.75" customHeight="1">
      <c r="A451" s="86">
        <v>1449.0</v>
      </c>
      <c r="B451" s="86" t="s">
        <v>4430</v>
      </c>
      <c r="C451" s="86">
        <v>150.0</v>
      </c>
      <c r="D451" s="86" t="s">
        <v>3654</v>
      </c>
      <c r="E451" s="86">
        <v>1.0</v>
      </c>
      <c r="F451" s="86">
        <v>0.134</v>
      </c>
      <c r="G451" s="86">
        <v>8001.0</v>
      </c>
      <c r="H451" s="86">
        <v>345.0</v>
      </c>
      <c r="I451" s="86">
        <v>1.0</v>
      </c>
      <c r="J451" s="86">
        <v>8000.0</v>
      </c>
      <c r="K451" s="86">
        <v>515.0</v>
      </c>
      <c r="L451" s="86">
        <v>1.0</v>
      </c>
      <c r="M451" s="86">
        <v>2007.0</v>
      </c>
      <c r="N451" s="86">
        <v>1.0</v>
      </c>
      <c r="O451" s="141">
        <v>0.25</v>
      </c>
      <c r="P451" s="86">
        <v>9000.0</v>
      </c>
      <c r="Q451" s="86">
        <v>128.0</v>
      </c>
      <c r="R451" s="86">
        <v>1.0</v>
      </c>
      <c r="S451" s="86" t="s">
        <v>3657</v>
      </c>
      <c r="T451" s="86">
        <v>17.0</v>
      </c>
      <c r="U451" s="86">
        <v>0.5</v>
      </c>
      <c r="V451" s="86">
        <v>1000.0</v>
      </c>
      <c r="W451" s="86">
        <v>5370.0</v>
      </c>
      <c r="X451" s="86">
        <v>1.0</v>
      </c>
      <c r="Y451" s="86">
        <v>2006.0</v>
      </c>
      <c r="Z451" s="86">
        <v>1.0</v>
      </c>
      <c r="AA451" s="86">
        <v>0.03</v>
      </c>
    </row>
    <row r="452" ht="12.75" customHeight="1">
      <c r="A452" s="86">
        <v>1450.0</v>
      </c>
      <c r="B452" s="86" t="s">
        <v>4431</v>
      </c>
      <c r="C452" s="86">
        <v>150.0</v>
      </c>
      <c r="D452" s="86" t="s">
        <v>3654</v>
      </c>
      <c r="E452" s="86">
        <v>1.0</v>
      </c>
      <c r="F452" s="86">
        <v>0.135</v>
      </c>
      <c r="G452" s="86">
        <v>8001.0</v>
      </c>
      <c r="H452" s="86">
        <v>345.0</v>
      </c>
      <c r="I452" s="86">
        <v>1.0</v>
      </c>
      <c r="J452" s="86">
        <v>8000.0</v>
      </c>
      <c r="K452" s="86">
        <v>515.0</v>
      </c>
      <c r="L452" s="86">
        <v>1.0</v>
      </c>
      <c r="M452" s="86">
        <v>2007.0</v>
      </c>
      <c r="N452" s="86">
        <v>1.0</v>
      </c>
      <c r="O452" s="141">
        <v>0.25</v>
      </c>
      <c r="P452" s="86">
        <v>9000.0</v>
      </c>
      <c r="Q452" s="86">
        <v>128.0</v>
      </c>
      <c r="R452" s="86">
        <v>1.0</v>
      </c>
      <c r="S452" s="86" t="s">
        <v>3657</v>
      </c>
      <c r="T452" s="86">
        <v>17.0</v>
      </c>
      <c r="U452" s="86">
        <v>0.5</v>
      </c>
      <c r="V452" s="86">
        <v>1000.0</v>
      </c>
      <c r="W452" s="86">
        <v>5380.0</v>
      </c>
      <c r="X452" s="86">
        <v>1.0</v>
      </c>
      <c r="Y452" s="86">
        <v>2006.0</v>
      </c>
      <c r="Z452" s="86">
        <v>1.0</v>
      </c>
      <c r="AA452" s="86">
        <v>0.03</v>
      </c>
    </row>
    <row r="453" ht="12.75" customHeight="1">
      <c r="A453" s="86">
        <v>1451.0</v>
      </c>
      <c r="B453" s="86" t="s">
        <v>4432</v>
      </c>
      <c r="C453" s="86">
        <v>150.0</v>
      </c>
      <c r="D453" s="86" t="s">
        <v>3654</v>
      </c>
      <c r="E453" s="86">
        <v>1.0</v>
      </c>
      <c r="F453" s="86">
        <v>0.135</v>
      </c>
      <c r="G453" s="86">
        <v>8001.0</v>
      </c>
      <c r="H453" s="86">
        <v>345.0</v>
      </c>
      <c r="I453" s="86">
        <v>1.0</v>
      </c>
      <c r="J453" s="86">
        <v>8000.0</v>
      </c>
      <c r="K453" s="86">
        <v>515.0</v>
      </c>
      <c r="L453" s="86">
        <v>1.0</v>
      </c>
      <c r="M453" s="86">
        <v>2007.0</v>
      </c>
      <c r="N453" s="86">
        <v>1.0</v>
      </c>
      <c r="O453" s="141">
        <v>0.25</v>
      </c>
      <c r="P453" s="86">
        <v>9000.0</v>
      </c>
      <c r="Q453" s="86">
        <v>129.0</v>
      </c>
      <c r="R453" s="86">
        <v>1.0</v>
      </c>
      <c r="S453" s="86" t="s">
        <v>3657</v>
      </c>
      <c r="T453" s="86">
        <v>17.0</v>
      </c>
      <c r="U453" s="86">
        <v>0.5</v>
      </c>
      <c r="V453" s="86">
        <v>1000.0</v>
      </c>
      <c r="W453" s="86">
        <v>5390.0</v>
      </c>
      <c r="X453" s="86">
        <v>1.0</v>
      </c>
      <c r="Y453" s="86">
        <v>2006.0</v>
      </c>
      <c r="Z453" s="86">
        <v>1.0</v>
      </c>
      <c r="AA453" s="86">
        <v>0.03</v>
      </c>
    </row>
    <row r="454" ht="12.75" customHeight="1">
      <c r="A454" s="86">
        <v>1452.0</v>
      </c>
      <c r="B454" s="86" t="s">
        <v>4433</v>
      </c>
      <c r="C454" s="86">
        <v>150.0</v>
      </c>
      <c r="D454" s="86" t="s">
        <v>3654</v>
      </c>
      <c r="E454" s="86">
        <v>1.0</v>
      </c>
      <c r="F454" s="86">
        <v>0.135</v>
      </c>
      <c r="G454" s="86">
        <v>8001.0</v>
      </c>
      <c r="H454" s="86">
        <v>345.0</v>
      </c>
      <c r="I454" s="86">
        <v>1.0</v>
      </c>
      <c r="J454" s="86">
        <v>8000.0</v>
      </c>
      <c r="K454" s="86">
        <v>520.0</v>
      </c>
      <c r="L454" s="86">
        <v>1.0</v>
      </c>
      <c r="M454" s="86">
        <v>2007.0</v>
      </c>
      <c r="N454" s="86">
        <v>1.0</v>
      </c>
      <c r="O454" s="141">
        <v>0.25</v>
      </c>
      <c r="P454" s="86">
        <v>9000.0</v>
      </c>
      <c r="Q454" s="86">
        <v>129.0</v>
      </c>
      <c r="R454" s="86">
        <v>1.0</v>
      </c>
      <c r="S454" s="86" t="s">
        <v>3657</v>
      </c>
      <c r="T454" s="86">
        <v>17.0</v>
      </c>
      <c r="U454" s="86">
        <v>0.5</v>
      </c>
      <c r="V454" s="86">
        <v>1000.0</v>
      </c>
      <c r="W454" s="86">
        <v>5400.0</v>
      </c>
      <c r="X454" s="86">
        <v>1.0</v>
      </c>
      <c r="Y454" s="86">
        <v>2006.0</v>
      </c>
      <c r="Z454" s="86">
        <v>1.0</v>
      </c>
      <c r="AA454" s="86">
        <v>0.03</v>
      </c>
    </row>
    <row r="455" ht="12.75" customHeight="1">
      <c r="A455" s="86">
        <v>1453.0</v>
      </c>
      <c r="B455" s="86" t="s">
        <v>4434</v>
      </c>
      <c r="C455" s="86">
        <v>150.0</v>
      </c>
      <c r="D455" s="86" t="s">
        <v>3654</v>
      </c>
      <c r="E455" s="86">
        <v>1.0</v>
      </c>
      <c r="F455" s="86">
        <v>0.135</v>
      </c>
      <c r="G455" s="86">
        <v>8001.0</v>
      </c>
      <c r="H455" s="86">
        <v>345.0</v>
      </c>
      <c r="I455" s="86">
        <v>1.0</v>
      </c>
      <c r="J455" s="86">
        <v>8000.0</v>
      </c>
      <c r="K455" s="86">
        <v>520.0</v>
      </c>
      <c r="L455" s="86">
        <v>1.0</v>
      </c>
      <c r="M455" s="86">
        <v>2007.0</v>
      </c>
      <c r="N455" s="86">
        <v>1.0</v>
      </c>
      <c r="O455" s="141">
        <v>0.25</v>
      </c>
      <c r="P455" s="86">
        <v>9000.0</v>
      </c>
      <c r="Q455" s="86">
        <v>129.0</v>
      </c>
      <c r="R455" s="86">
        <v>1.0</v>
      </c>
      <c r="S455" s="86" t="s">
        <v>3657</v>
      </c>
      <c r="T455" s="86">
        <v>17.0</v>
      </c>
      <c r="U455" s="86">
        <v>0.5</v>
      </c>
      <c r="V455" s="86">
        <v>1000.0</v>
      </c>
      <c r="W455" s="86">
        <v>5410.0</v>
      </c>
      <c r="X455" s="86">
        <v>1.0</v>
      </c>
      <c r="Y455" s="86">
        <v>2006.0</v>
      </c>
      <c r="Z455" s="86">
        <v>1.0</v>
      </c>
      <c r="AA455" s="86">
        <v>0.03</v>
      </c>
    </row>
    <row r="456" ht="12.75" customHeight="1">
      <c r="A456" s="86">
        <v>1454.0</v>
      </c>
      <c r="B456" s="86" t="s">
        <v>4435</v>
      </c>
      <c r="C456" s="86">
        <v>150.0</v>
      </c>
      <c r="D456" s="86" t="s">
        <v>3654</v>
      </c>
      <c r="E456" s="86">
        <v>1.0</v>
      </c>
      <c r="F456" s="86">
        <v>0.135</v>
      </c>
      <c r="G456" s="86">
        <v>8001.0</v>
      </c>
      <c r="H456" s="86">
        <v>345.0</v>
      </c>
      <c r="I456" s="86">
        <v>1.0</v>
      </c>
      <c r="J456" s="86">
        <v>8000.0</v>
      </c>
      <c r="K456" s="86">
        <v>520.0</v>
      </c>
      <c r="L456" s="86">
        <v>1.0</v>
      </c>
      <c r="M456" s="86">
        <v>2007.0</v>
      </c>
      <c r="N456" s="86">
        <v>1.0</v>
      </c>
      <c r="O456" s="141">
        <v>0.25</v>
      </c>
      <c r="P456" s="86">
        <v>9000.0</v>
      </c>
      <c r="Q456" s="86">
        <v>129.0</v>
      </c>
      <c r="R456" s="86">
        <v>1.0</v>
      </c>
      <c r="S456" s="86" t="s">
        <v>3657</v>
      </c>
      <c r="T456" s="86">
        <v>17.0</v>
      </c>
      <c r="U456" s="86">
        <v>0.5</v>
      </c>
      <c r="V456" s="86">
        <v>1000.0</v>
      </c>
      <c r="W456" s="86">
        <v>5420.0</v>
      </c>
      <c r="X456" s="86">
        <v>1.0</v>
      </c>
      <c r="Y456" s="86">
        <v>2006.0</v>
      </c>
      <c r="Z456" s="86">
        <v>1.0</v>
      </c>
      <c r="AA456" s="86">
        <v>0.03</v>
      </c>
    </row>
    <row r="457" ht="12.75" customHeight="1">
      <c r="A457" s="86">
        <v>1455.0</v>
      </c>
      <c r="B457" s="86" t="s">
        <v>4436</v>
      </c>
      <c r="C457" s="86">
        <v>150.0</v>
      </c>
      <c r="D457" s="86" t="s">
        <v>3654</v>
      </c>
      <c r="E457" s="86">
        <v>1.0</v>
      </c>
      <c r="F457" s="86">
        <v>0.135</v>
      </c>
      <c r="G457" s="86">
        <v>8001.0</v>
      </c>
      <c r="H457" s="86">
        <v>350.0</v>
      </c>
      <c r="I457" s="86">
        <v>1.0</v>
      </c>
      <c r="J457" s="86">
        <v>8000.0</v>
      </c>
      <c r="K457" s="86">
        <v>520.0</v>
      </c>
      <c r="L457" s="86">
        <v>1.0</v>
      </c>
      <c r="M457" s="86">
        <v>2007.0</v>
      </c>
      <c r="N457" s="86">
        <v>1.0</v>
      </c>
      <c r="O457" s="141">
        <v>0.25</v>
      </c>
      <c r="P457" s="86">
        <v>9000.0</v>
      </c>
      <c r="Q457" s="86">
        <v>130.0</v>
      </c>
      <c r="R457" s="86">
        <v>1.0</v>
      </c>
      <c r="S457" s="86" t="s">
        <v>3657</v>
      </c>
      <c r="T457" s="86">
        <v>17.0</v>
      </c>
      <c r="U457" s="86">
        <v>0.5</v>
      </c>
      <c r="V457" s="86">
        <v>1000.0</v>
      </c>
      <c r="W457" s="86">
        <v>5430.0</v>
      </c>
      <c r="X457" s="86">
        <v>1.0</v>
      </c>
      <c r="Y457" s="86">
        <v>2006.0</v>
      </c>
      <c r="Z457" s="86">
        <v>1.0</v>
      </c>
      <c r="AA457" s="86">
        <v>0.03</v>
      </c>
    </row>
    <row r="458" ht="12.75" customHeight="1">
      <c r="A458" s="86">
        <v>1456.0</v>
      </c>
      <c r="B458" s="86" t="s">
        <v>4437</v>
      </c>
      <c r="C458" s="86">
        <v>150.0</v>
      </c>
      <c r="D458" s="86" t="s">
        <v>3654</v>
      </c>
      <c r="E458" s="86">
        <v>1.0</v>
      </c>
      <c r="F458" s="86">
        <v>0.136</v>
      </c>
      <c r="G458" s="86">
        <v>8001.0</v>
      </c>
      <c r="H458" s="86">
        <v>350.0</v>
      </c>
      <c r="I458" s="86">
        <v>1.0</v>
      </c>
      <c r="J458" s="86">
        <v>8000.0</v>
      </c>
      <c r="K458" s="86">
        <v>520.0</v>
      </c>
      <c r="L458" s="86">
        <v>1.0</v>
      </c>
      <c r="M458" s="86">
        <v>2007.0</v>
      </c>
      <c r="N458" s="86">
        <v>1.0</v>
      </c>
      <c r="O458" s="141">
        <v>0.25</v>
      </c>
      <c r="P458" s="86">
        <v>9000.0</v>
      </c>
      <c r="Q458" s="86">
        <v>130.0</v>
      </c>
      <c r="R458" s="86">
        <v>1.0</v>
      </c>
      <c r="S458" s="86" t="s">
        <v>3657</v>
      </c>
      <c r="T458" s="86">
        <v>17.0</v>
      </c>
      <c r="U458" s="86">
        <v>0.5</v>
      </c>
      <c r="V458" s="86">
        <v>1000.0</v>
      </c>
      <c r="W458" s="86">
        <v>5440.0</v>
      </c>
      <c r="X458" s="86">
        <v>1.0</v>
      </c>
      <c r="Y458" s="86">
        <v>2006.0</v>
      </c>
      <c r="Z458" s="86">
        <v>1.0</v>
      </c>
      <c r="AA458" s="86">
        <v>0.03</v>
      </c>
    </row>
    <row r="459" ht="12.75" customHeight="1">
      <c r="A459" s="86">
        <v>1457.0</v>
      </c>
      <c r="B459" s="86" t="s">
        <v>4438</v>
      </c>
      <c r="C459" s="86">
        <v>150.0</v>
      </c>
      <c r="D459" s="86" t="s">
        <v>3654</v>
      </c>
      <c r="E459" s="86">
        <v>1.0</v>
      </c>
      <c r="F459" s="86">
        <v>0.136</v>
      </c>
      <c r="G459" s="86">
        <v>8001.0</v>
      </c>
      <c r="H459" s="86">
        <v>350.0</v>
      </c>
      <c r="I459" s="86">
        <v>1.0</v>
      </c>
      <c r="J459" s="86">
        <v>8000.0</v>
      </c>
      <c r="K459" s="86">
        <v>525.0</v>
      </c>
      <c r="L459" s="86">
        <v>1.0</v>
      </c>
      <c r="M459" s="86">
        <v>2007.0</v>
      </c>
      <c r="N459" s="86">
        <v>1.0</v>
      </c>
      <c r="O459" s="141">
        <v>0.25</v>
      </c>
      <c r="P459" s="86">
        <v>9000.0</v>
      </c>
      <c r="Q459" s="86">
        <v>130.0</v>
      </c>
      <c r="R459" s="86">
        <v>1.0</v>
      </c>
      <c r="S459" s="86" t="s">
        <v>3657</v>
      </c>
      <c r="T459" s="86">
        <v>17.0</v>
      </c>
      <c r="U459" s="86">
        <v>0.5</v>
      </c>
      <c r="V459" s="86">
        <v>1000.0</v>
      </c>
      <c r="W459" s="86">
        <v>5450.0</v>
      </c>
      <c r="X459" s="86">
        <v>1.0</v>
      </c>
      <c r="Y459" s="86">
        <v>2006.0</v>
      </c>
      <c r="Z459" s="86">
        <v>1.0</v>
      </c>
      <c r="AA459" s="86">
        <v>0.03</v>
      </c>
    </row>
    <row r="460" ht="12.75" customHeight="1">
      <c r="A460" s="86">
        <v>1458.0</v>
      </c>
      <c r="B460" s="86" t="s">
        <v>4437</v>
      </c>
      <c r="C460" s="86">
        <v>150.0</v>
      </c>
      <c r="D460" s="86" t="s">
        <v>3654</v>
      </c>
      <c r="E460" s="86">
        <v>1.0</v>
      </c>
      <c r="F460" s="86">
        <v>0.136</v>
      </c>
      <c r="G460" s="86">
        <v>8001.0</v>
      </c>
      <c r="H460" s="86">
        <v>350.0</v>
      </c>
      <c r="I460" s="86">
        <v>1.0</v>
      </c>
      <c r="J460" s="86">
        <v>8000.0</v>
      </c>
      <c r="K460" s="86">
        <v>525.0</v>
      </c>
      <c r="L460" s="86">
        <v>1.0</v>
      </c>
      <c r="M460" s="86">
        <v>2007.0</v>
      </c>
      <c r="N460" s="86">
        <v>1.0</v>
      </c>
      <c r="O460" s="141">
        <v>0.25</v>
      </c>
      <c r="P460" s="86">
        <v>9000.0</v>
      </c>
      <c r="Q460" s="86">
        <v>130.0</v>
      </c>
      <c r="R460" s="86">
        <v>1.0</v>
      </c>
      <c r="S460" s="86" t="s">
        <v>3657</v>
      </c>
      <c r="T460" s="86">
        <v>17.0</v>
      </c>
      <c r="U460" s="86">
        <v>0.5</v>
      </c>
      <c r="V460" s="86">
        <v>1000.0</v>
      </c>
      <c r="W460" s="86">
        <v>5460.0</v>
      </c>
      <c r="X460" s="86">
        <v>1.0</v>
      </c>
      <c r="Y460" s="86">
        <v>2006.0</v>
      </c>
      <c r="Z460" s="86">
        <v>1.0</v>
      </c>
      <c r="AA460" s="86">
        <v>0.03</v>
      </c>
    </row>
    <row r="461" ht="12.75" customHeight="1">
      <c r="A461" s="86">
        <v>1459.0</v>
      </c>
      <c r="B461" s="86" t="s">
        <v>4439</v>
      </c>
      <c r="C461" s="86">
        <v>150.0</v>
      </c>
      <c r="D461" s="86" t="s">
        <v>3654</v>
      </c>
      <c r="E461" s="86">
        <v>1.0</v>
      </c>
      <c r="F461" s="86">
        <v>0.136</v>
      </c>
      <c r="G461" s="86">
        <v>8001.0</v>
      </c>
      <c r="H461" s="86">
        <v>350.0</v>
      </c>
      <c r="I461" s="86">
        <v>1.0</v>
      </c>
      <c r="J461" s="86">
        <v>8000.0</v>
      </c>
      <c r="K461" s="86">
        <v>525.0</v>
      </c>
      <c r="L461" s="86">
        <v>1.0</v>
      </c>
      <c r="M461" s="86">
        <v>2007.0</v>
      </c>
      <c r="N461" s="86">
        <v>1.0</v>
      </c>
      <c r="O461" s="141">
        <v>0.25</v>
      </c>
      <c r="P461" s="86">
        <v>9000.0</v>
      </c>
      <c r="Q461" s="86">
        <v>131.0</v>
      </c>
      <c r="R461" s="86">
        <v>1.0</v>
      </c>
      <c r="S461" s="86" t="s">
        <v>3657</v>
      </c>
      <c r="T461" s="86">
        <v>18.0</v>
      </c>
      <c r="U461" s="86">
        <v>0.5</v>
      </c>
      <c r="V461" s="86">
        <v>1000.0</v>
      </c>
      <c r="W461" s="86">
        <v>5470.0</v>
      </c>
      <c r="X461" s="86">
        <v>1.0</v>
      </c>
      <c r="Y461" s="86">
        <v>2006.0</v>
      </c>
      <c r="Z461" s="86">
        <v>1.0</v>
      </c>
      <c r="AA461" s="86">
        <v>0.03</v>
      </c>
    </row>
    <row r="462" ht="12.75" customHeight="1">
      <c r="A462" s="86">
        <v>1460.0</v>
      </c>
      <c r="B462" s="86" t="s">
        <v>4440</v>
      </c>
      <c r="C462" s="86">
        <v>150.0</v>
      </c>
      <c r="D462" s="86" t="s">
        <v>3654</v>
      </c>
      <c r="E462" s="86">
        <v>1.0</v>
      </c>
      <c r="F462" s="86">
        <v>0.136</v>
      </c>
      <c r="G462" s="86">
        <v>8001.0</v>
      </c>
      <c r="H462" s="86">
        <v>350.0</v>
      </c>
      <c r="I462" s="86">
        <v>1.0</v>
      </c>
      <c r="J462" s="86">
        <v>8000.0</v>
      </c>
      <c r="K462" s="86">
        <v>525.0</v>
      </c>
      <c r="L462" s="86">
        <v>1.0</v>
      </c>
      <c r="M462" s="86">
        <v>2007.0</v>
      </c>
      <c r="N462" s="86">
        <v>1.0</v>
      </c>
      <c r="O462" s="141">
        <v>0.25</v>
      </c>
      <c r="P462" s="86">
        <v>9000.0</v>
      </c>
      <c r="Q462" s="86">
        <v>131.0</v>
      </c>
      <c r="R462" s="86">
        <v>1.0</v>
      </c>
      <c r="S462" s="86" t="s">
        <v>3657</v>
      </c>
      <c r="T462" s="86">
        <v>18.0</v>
      </c>
      <c r="U462" s="86">
        <v>0.5</v>
      </c>
      <c r="V462" s="86">
        <v>1000.0</v>
      </c>
      <c r="W462" s="86">
        <v>5480.0</v>
      </c>
      <c r="X462" s="86">
        <v>1.0</v>
      </c>
      <c r="Y462" s="86">
        <v>2006.0</v>
      </c>
      <c r="Z462" s="86">
        <v>1.0</v>
      </c>
      <c r="AA462" s="86">
        <v>0.03</v>
      </c>
    </row>
    <row r="463" ht="12.75" customHeight="1">
      <c r="A463" s="86">
        <v>1461.0</v>
      </c>
      <c r="B463" s="86" t="s">
        <v>4441</v>
      </c>
      <c r="C463" s="86">
        <v>150.0</v>
      </c>
      <c r="D463" s="86" t="s">
        <v>3654</v>
      </c>
      <c r="E463" s="86">
        <v>1.0</v>
      </c>
      <c r="F463" s="86">
        <v>0.137</v>
      </c>
      <c r="G463" s="86">
        <v>8001.0</v>
      </c>
      <c r="H463" s="86">
        <v>350.0</v>
      </c>
      <c r="I463" s="86">
        <v>1.0</v>
      </c>
      <c r="J463" s="86">
        <v>8000.0</v>
      </c>
      <c r="K463" s="86">
        <v>525.0</v>
      </c>
      <c r="L463" s="86">
        <v>1.0</v>
      </c>
      <c r="M463" s="86">
        <v>2007.0</v>
      </c>
      <c r="N463" s="86">
        <v>1.0</v>
      </c>
      <c r="O463" s="141">
        <v>0.25</v>
      </c>
      <c r="P463" s="86">
        <v>9000.0</v>
      </c>
      <c r="Q463" s="86">
        <v>131.0</v>
      </c>
      <c r="R463" s="86">
        <v>1.0</v>
      </c>
      <c r="S463" s="86" t="s">
        <v>3657</v>
      </c>
      <c r="T463" s="86">
        <v>18.0</v>
      </c>
      <c r="U463" s="86">
        <v>0.5</v>
      </c>
      <c r="V463" s="86">
        <v>1000.0</v>
      </c>
      <c r="W463" s="86">
        <v>5490.0</v>
      </c>
      <c r="X463" s="86">
        <v>1.0</v>
      </c>
      <c r="Y463" s="86">
        <v>2006.0</v>
      </c>
      <c r="Z463" s="86">
        <v>1.0</v>
      </c>
      <c r="AA463" s="86">
        <v>0.03</v>
      </c>
    </row>
    <row r="464" ht="12.75" customHeight="1">
      <c r="A464" s="86">
        <v>1462.0</v>
      </c>
      <c r="B464" s="86" t="s">
        <v>4442</v>
      </c>
      <c r="C464" s="86">
        <v>150.0</v>
      </c>
      <c r="D464" s="86" t="s">
        <v>3654</v>
      </c>
      <c r="E464" s="86">
        <v>1.0</v>
      </c>
      <c r="F464" s="86">
        <v>0.137</v>
      </c>
      <c r="G464" s="86">
        <v>8001.0</v>
      </c>
      <c r="H464" s="86">
        <v>350.0</v>
      </c>
      <c r="I464" s="86">
        <v>1.0</v>
      </c>
      <c r="J464" s="86">
        <v>8000.0</v>
      </c>
      <c r="K464" s="86">
        <v>530.0</v>
      </c>
      <c r="L464" s="86">
        <v>1.0</v>
      </c>
      <c r="M464" s="86">
        <v>2007.0</v>
      </c>
      <c r="N464" s="86">
        <v>1.0</v>
      </c>
      <c r="O464" s="141">
        <v>0.25</v>
      </c>
      <c r="P464" s="86">
        <v>9000.0</v>
      </c>
      <c r="Q464" s="86">
        <v>131.0</v>
      </c>
      <c r="R464" s="86">
        <v>1.0</v>
      </c>
      <c r="S464" s="86" t="s">
        <v>3657</v>
      </c>
      <c r="T464" s="86">
        <v>18.0</v>
      </c>
      <c r="U464" s="86">
        <v>0.5</v>
      </c>
      <c r="V464" s="86">
        <v>1000.0</v>
      </c>
      <c r="W464" s="86">
        <v>5500.0</v>
      </c>
      <c r="X464" s="86">
        <v>1.0</v>
      </c>
      <c r="Y464" s="86">
        <v>2006.0</v>
      </c>
      <c r="Z464" s="86">
        <v>1.0</v>
      </c>
      <c r="AA464" s="86">
        <v>0.03</v>
      </c>
    </row>
    <row r="465" ht="12.75" customHeight="1">
      <c r="A465" s="86">
        <v>1463.0</v>
      </c>
      <c r="B465" s="86" t="s">
        <v>4443</v>
      </c>
      <c r="C465" s="86">
        <v>150.0</v>
      </c>
      <c r="D465" s="86" t="s">
        <v>3654</v>
      </c>
      <c r="E465" s="86">
        <v>1.0</v>
      </c>
      <c r="F465" s="86">
        <v>0.137</v>
      </c>
      <c r="G465" s="86">
        <v>8001.0</v>
      </c>
      <c r="H465" s="86">
        <v>355.0</v>
      </c>
      <c r="I465" s="86">
        <v>1.0</v>
      </c>
      <c r="J465" s="86">
        <v>8000.0</v>
      </c>
      <c r="K465" s="86">
        <v>530.0</v>
      </c>
      <c r="L465" s="86">
        <v>1.0</v>
      </c>
      <c r="M465" s="86">
        <v>2007.0</v>
      </c>
      <c r="N465" s="86">
        <v>1.0</v>
      </c>
      <c r="O465" s="141">
        <v>0.25</v>
      </c>
      <c r="P465" s="86">
        <v>9000.0</v>
      </c>
      <c r="Q465" s="86">
        <v>132.0</v>
      </c>
      <c r="R465" s="86">
        <v>1.0</v>
      </c>
      <c r="S465" s="86" t="s">
        <v>3657</v>
      </c>
      <c r="T465" s="86">
        <v>18.0</v>
      </c>
      <c r="U465" s="86">
        <v>0.5</v>
      </c>
      <c r="V465" s="86">
        <v>1000.0</v>
      </c>
      <c r="W465" s="86">
        <v>5510.0</v>
      </c>
      <c r="X465" s="86">
        <v>1.0</v>
      </c>
      <c r="Y465" s="86">
        <v>2006.0</v>
      </c>
      <c r="Z465" s="86">
        <v>1.0</v>
      </c>
      <c r="AA465" s="86">
        <v>0.03</v>
      </c>
    </row>
    <row r="466" ht="12.75" customHeight="1">
      <c r="A466" s="86">
        <v>1464.0</v>
      </c>
      <c r="B466" s="86" t="s">
        <v>4444</v>
      </c>
      <c r="C466" s="86">
        <v>150.0</v>
      </c>
      <c r="D466" s="86" t="s">
        <v>3654</v>
      </c>
      <c r="E466" s="86">
        <v>1.0</v>
      </c>
      <c r="F466" s="86">
        <v>0.137</v>
      </c>
      <c r="G466" s="86">
        <v>8001.0</v>
      </c>
      <c r="H466" s="86">
        <v>355.0</v>
      </c>
      <c r="I466" s="86">
        <v>1.0</v>
      </c>
      <c r="J466" s="86">
        <v>8000.0</v>
      </c>
      <c r="K466" s="86">
        <v>530.0</v>
      </c>
      <c r="L466" s="86">
        <v>1.0</v>
      </c>
      <c r="M466" s="86">
        <v>2007.0</v>
      </c>
      <c r="N466" s="86">
        <v>1.0</v>
      </c>
      <c r="O466" s="141">
        <v>0.25</v>
      </c>
      <c r="P466" s="86">
        <v>9000.0</v>
      </c>
      <c r="Q466" s="86">
        <v>132.0</v>
      </c>
      <c r="R466" s="86">
        <v>1.0</v>
      </c>
      <c r="S466" s="86" t="s">
        <v>3657</v>
      </c>
      <c r="T466" s="86">
        <v>18.0</v>
      </c>
      <c r="U466" s="86">
        <v>0.5</v>
      </c>
      <c r="V466" s="86">
        <v>1000.0</v>
      </c>
      <c r="W466" s="86">
        <v>5520.0</v>
      </c>
      <c r="X466" s="86">
        <v>1.0</v>
      </c>
      <c r="Y466" s="86">
        <v>2006.0</v>
      </c>
      <c r="Z466" s="86">
        <v>1.0</v>
      </c>
      <c r="AA466" s="86">
        <v>0.03</v>
      </c>
    </row>
    <row r="467" ht="12.75" customHeight="1">
      <c r="A467" s="86">
        <v>1465.0</v>
      </c>
      <c r="B467" s="86" t="s">
        <v>4445</v>
      </c>
      <c r="C467" s="86">
        <v>150.0</v>
      </c>
      <c r="D467" s="86" t="s">
        <v>3654</v>
      </c>
      <c r="E467" s="86">
        <v>1.0</v>
      </c>
      <c r="F467" s="86">
        <v>0.137</v>
      </c>
      <c r="G467" s="86">
        <v>8001.0</v>
      </c>
      <c r="H467" s="86">
        <v>355.0</v>
      </c>
      <c r="I467" s="86">
        <v>1.0</v>
      </c>
      <c r="J467" s="86">
        <v>8000.0</v>
      </c>
      <c r="K467" s="86">
        <v>530.0</v>
      </c>
      <c r="L467" s="86">
        <v>1.0</v>
      </c>
      <c r="M467" s="86">
        <v>2007.0</v>
      </c>
      <c r="N467" s="86">
        <v>1.0</v>
      </c>
      <c r="O467" s="141">
        <v>0.25</v>
      </c>
      <c r="P467" s="86">
        <v>9000.0</v>
      </c>
      <c r="Q467" s="86">
        <v>132.0</v>
      </c>
      <c r="R467" s="86">
        <v>1.0</v>
      </c>
      <c r="S467" s="86" t="s">
        <v>3657</v>
      </c>
      <c r="T467" s="86">
        <v>18.0</v>
      </c>
      <c r="U467" s="86">
        <v>0.5</v>
      </c>
      <c r="V467" s="86">
        <v>1000.0</v>
      </c>
      <c r="W467" s="86">
        <v>5530.0</v>
      </c>
      <c r="X467" s="86">
        <v>1.0</v>
      </c>
      <c r="Y467" s="86">
        <v>2006.0</v>
      </c>
      <c r="Z467" s="86">
        <v>1.0</v>
      </c>
      <c r="AA467" s="86">
        <v>0.03</v>
      </c>
    </row>
    <row r="468" ht="12.75" customHeight="1">
      <c r="A468" s="86">
        <v>1466.0</v>
      </c>
      <c r="B468" s="86" t="s">
        <v>4446</v>
      </c>
      <c r="C468" s="86">
        <v>150.0</v>
      </c>
      <c r="D468" s="86" t="s">
        <v>3654</v>
      </c>
      <c r="E468" s="86">
        <v>1.0</v>
      </c>
      <c r="F468" s="86">
        <v>0.137</v>
      </c>
      <c r="G468" s="86">
        <v>8001.0</v>
      </c>
      <c r="H468" s="86">
        <v>355.0</v>
      </c>
      <c r="I468" s="86">
        <v>1.0</v>
      </c>
      <c r="J468" s="86">
        <v>8000.0</v>
      </c>
      <c r="K468" s="86">
        <v>530.0</v>
      </c>
      <c r="L468" s="86">
        <v>1.0</v>
      </c>
      <c r="M468" s="86">
        <v>2007.0</v>
      </c>
      <c r="N468" s="86">
        <v>1.0</v>
      </c>
      <c r="O468" s="141">
        <v>0.25</v>
      </c>
      <c r="P468" s="86">
        <v>9000.0</v>
      </c>
      <c r="Q468" s="86">
        <v>132.0</v>
      </c>
      <c r="R468" s="86">
        <v>1.0</v>
      </c>
      <c r="S468" s="86" t="s">
        <v>3657</v>
      </c>
      <c r="T468" s="86">
        <v>18.0</v>
      </c>
      <c r="U468" s="86">
        <v>0.5</v>
      </c>
      <c r="V468" s="86">
        <v>1000.0</v>
      </c>
      <c r="W468" s="86">
        <v>5540.0</v>
      </c>
      <c r="X468" s="86">
        <v>1.0</v>
      </c>
      <c r="Y468" s="86">
        <v>2006.0</v>
      </c>
      <c r="Z468" s="86">
        <v>1.0</v>
      </c>
      <c r="AA468" s="86">
        <v>0.03</v>
      </c>
    </row>
    <row r="469" ht="12.75" customHeight="1">
      <c r="A469" s="86">
        <v>1467.0</v>
      </c>
      <c r="B469" s="86" t="s">
        <v>4447</v>
      </c>
      <c r="C469" s="86">
        <v>150.0</v>
      </c>
      <c r="D469" s="86" t="s">
        <v>3654</v>
      </c>
      <c r="E469" s="86">
        <v>1.0</v>
      </c>
      <c r="F469" s="86">
        <v>0.138</v>
      </c>
      <c r="G469" s="86">
        <v>8001.0</v>
      </c>
      <c r="H469" s="86">
        <v>355.0</v>
      </c>
      <c r="I469" s="86">
        <v>1.0</v>
      </c>
      <c r="J469" s="86">
        <v>8000.0</v>
      </c>
      <c r="K469" s="86">
        <v>535.0</v>
      </c>
      <c r="L469" s="86">
        <v>1.0</v>
      </c>
      <c r="M469" s="86">
        <v>2007.0</v>
      </c>
      <c r="N469" s="86">
        <v>1.0</v>
      </c>
      <c r="O469" s="141">
        <v>0.25</v>
      </c>
      <c r="P469" s="86">
        <v>9000.0</v>
      </c>
      <c r="Q469" s="86">
        <v>133.0</v>
      </c>
      <c r="R469" s="86">
        <v>1.0</v>
      </c>
      <c r="S469" s="86" t="s">
        <v>3657</v>
      </c>
      <c r="T469" s="86">
        <v>18.0</v>
      </c>
      <c r="U469" s="86">
        <v>0.5</v>
      </c>
      <c r="V469" s="86">
        <v>1000.0</v>
      </c>
      <c r="W469" s="86">
        <v>5550.0</v>
      </c>
      <c r="X469" s="86">
        <v>1.0</v>
      </c>
      <c r="Y469" s="86">
        <v>2006.0</v>
      </c>
      <c r="Z469" s="86">
        <v>1.0</v>
      </c>
      <c r="AA469" s="86">
        <v>0.03</v>
      </c>
    </row>
    <row r="470" ht="12.75" customHeight="1">
      <c r="A470" s="86">
        <v>1468.0</v>
      </c>
      <c r="B470" s="86" t="s">
        <v>4448</v>
      </c>
      <c r="C470" s="86">
        <v>150.0</v>
      </c>
      <c r="D470" s="86" t="s">
        <v>3654</v>
      </c>
      <c r="E470" s="86">
        <v>1.0</v>
      </c>
      <c r="F470" s="86">
        <v>0.138</v>
      </c>
      <c r="G470" s="86">
        <v>8001.0</v>
      </c>
      <c r="H470" s="86">
        <v>355.0</v>
      </c>
      <c r="I470" s="86">
        <v>1.0</v>
      </c>
      <c r="J470" s="86">
        <v>8000.0</v>
      </c>
      <c r="K470" s="86">
        <v>535.0</v>
      </c>
      <c r="L470" s="86">
        <v>1.0</v>
      </c>
      <c r="M470" s="86">
        <v>2007.0</v>
      </c>
      <c r="N470" s="86">
        <v>1.0</v>
      </c>
      <c r="O470" s="141">
        <v>0.25</v>
      </c>
      <c r="P470" s="86">
        <v>9000.0</v>
      </c>
      <c r="Q470" s="86">
        <v>133.0</v>
      </c>
      <c r="R470" s="86">
        <v>1.0</v>
      </c>
      <c r="S470" s="86" t="s">
        <v>3657</v>
      </c>
      <c r="T470" s="86">
        <v>18.0</v>
      </c>
      <c r="U470" s="86">
        <v>0.5</v>
      </c>
      <c r="V470" s="86">
        <v>1000.0</v>
      </c>
      <c r="W470" s="86">
        <v>5560.0</v>
      </c>
      <c r="X470" s="86">
        <v>1.0</v>
      </c>
      <c r="Y470" s="86">
        <v>2006.0</v>
      </c>
      <c r="Z470" s="86">
        <v>1.0</v>
      </c>
      <c r="AA470" s="86">
        <v>0.03</v>
      </c>
    </row>
    <row r="471" ht="12.75" customHeight="1">
      <c r="A471" s="86">
        <v>1469.0</v>
      </c>
      <c r="B471" s="86" t="s">
        <v>4438</v>
      </c>
      <c r="C471" s="86">
        <v>150.0</v>
      </c>
      <c r="D471" s="86" t="s">
        <v>3654</v>
      </c>
      <c r="E471" s="86">
        <v>1.0</v>
      </c>
      <c r="F471" s="86">
        <v>0.138</v>
      </c>
      <c r="G471" s="86">
        <v>8001.0</v>
      </c>
      <c r="H471" s="86">
        <v>355.0</v>
      </c>
      <c r="I471" s="86">
        <v>1.0</v>
      </c>
      <c r="J471" s="86">
        <v>8000.0</v>
      </c>
      <c r="K471" s="86">
        <v>535.0</v>
      </c>
      <c r="L471" s="86">
        <v>1.0</v>
      </c>
      <c r="M471" s="86">
        <v>2007.0</v>
      </c>
      <c r="N471" s="86">
        <v>1.0</v>
      </c>
      <c r="O471" s="141">
        <v>0.25</v>
      </c>
      <c r="P471" s="86">
        <v>9000.0</v>
      </c>
      <c r="Q471" s="86">
        <v>133.0</v>
      </c>
      <c r="R471" s="86">
        <v>1.0</v>
      </c>
      <c r="S471" s="86" t="s">
        <v>3657</v>
      </c>
      <c r="T471" s="86">
        <v>18.0</v>
      </c>
      <c r="U471" s="86">
        <v>0.5</v>
      </c>
      <c r="V471" s="86">
        <v>1000.0</v>
      </c>
      <c r="W471" s="86">
        <v>5570.0</v>
      </c>
      <c r="X471" s="86">
        <v>1.0</v>
      </c>
      <c r="Y471" s="86">
        <v>2006.0</v>
      </c>
      <c r="Z471" s="86">
        <v>1.0</v>
      </c>
      <c r="AA471" s="86">
        <v>0.03</v>
      </c>
    </row>
    <row r="472" ht="12.75" customHeight="1">
      <c r="A472" s="86">
        <v>1470.0</v>
      </c>
      <c r="B472" s="86" t="s">
        <v>4449</v>
      </c>
      <c r="C472" s="86">
        <v>150.0</v>
      </c>
      <c r="D472" s="86" t="s">
        <v>3654</v>
      </c>
      <c r="E472" s="86">
        <v>1.0</v>
      </c>
      <c r="F472" s="86">
        <v>0.138</v>
      </c>
      <c r="G472" s="86">
        <v>8001.0</v>
      </c>
      <c r="H472" s="86">
        <v>355.0</v>
      </c>
      <c r="I472" s="86">
        <v>1.0</v>
      </c>
      <c r="J472" s="86">
        <v>8000.0</v>
      </c>
      <c r="K472" s="86">
        <v>535.0</v>
      </c>
      <c r="L472" s="86">
        <v>1.0</v>
      </c>
      <c r="M472" s="86">
        <v>2007.0</v>
      </c>
      <c r="N472" s="86">
        <v>1.0</v>
      </c>
      <c r="O472" s="141">
        <v>0.25</v>
      </c>
      <c r="P472" s="86">
        <v>9000.0</v>
      </c>
      <c r="Q472" s="86">
        <v>133.0</v>
      </c>
      <c r="R472" s="86">
        <v>1.0</v>
      </c>
      <c r="S472" s="86" t="s">
        <v>3657</v>
      </c>
      <c r="T472" s="86">
        <v>18.0</v>
      </c>
      <c r="U472" s="86">
        <v>0.5</v>
      </c>
      <c r="V472" s="86">
        <v>1000.0</v>
      </c>
      <c r="W472" s="86">
        <v>5580.0</v>
      </c>
      <c r="X472" s="86">
        <v>1.0</v>
      </c>
      <c r="Y472" s="86">
        <v>2006.0</v>
      </c>
      <c r="Z472" s="86">
        <v>1.0</v>
      </c>
      <c r="AA472" s="86">
        <v>0.03</v>
      </c>
    </row>
    <row r="473" ht="12.75" customHeight="1">
      <c r="A473" s="86">
        <v>1471.0</v>
      </c>
      <c r="B473" s="86" t="s">
        <v>4450</v>
      </c>
      <c r="C473" s="86">
        <v>150.0</v>
      </c>
      <c r="D473" s="86" t="s">
        <v>3654</v>
      </c>
      <c r="E473" s="86">
        <v>1.0</v>
      </c>
      <c r="F473" s="86">
        <v>0.138</v>
      </c>
      <c r="G473" s="86">
        <v>8001.0</v>
      </c>
      <c r="H473" s="86">
        <v>360.0</v>
      </c>
      <c r="I473" s="86">
        <v>1.0</v>
      </c>
      <c r="J473" s="86">
        <v>8000.0</v>
      </c>
      <c r="K473" s="86">
        <v>535.0</v>
      </c>
      <c r="L473" s="86">
        <v>1.0</v>
      </c>
      <c r="M473" s="86">
        <v>2007.0</v>
      </c>
      <c r="N473" s="86">
        <v>1.0</v>
      </c>
      <c r="O473" s="141">
        <v>0.25</v>
      </c>
      <c r="P473" s="86">
        <v>9000.0</v>
      </c>
      <c r="Q473" s="86">
        <v>134.0</v>
      </c>
      <c r="R473" s="86">
        <v>1.0</v>
      </c>
      <c r="S473" s="86" t="s">
        <v>3657</v>
      </c>
      <c r="T473" s="86">
        <v>18.0</v>
      </c>
      <c r="U473" s="86">
        <v>0.5</v>
      </c>
      <c r="V473" s="86">
        <v>1000.0</v>
      </c>
      <c r="W473" s="86">
        <v>5590.0</v>
      </c>
      <c r="X473" s="86">
        <v>1.0</v>
      </c>
      <c r="Y473" s="86">
        <v>2006.0</v>
      </c>
      <c r="Z473" s="86">
        <v>1.0</v>
      </c>
      <c r="AA473" s="86">
        <v>0.03</v>
      </c>
    </row>
    <row r="474" ht="12.75" customHeight="1">
      <c r="A474" s="86">
        <v>1472.0</v>
      </c>
      <c r="B474" s="86" t="s">
        <v>4448</v>
      </c>
      <c r="C474" s="86">
        <v>150.0</v>
      </c>
      <c r="D474" s="86" t="s">
        <v>3654</v>
      </c>
      <c r="E474" s="86">
        <v>1.0</v>
      </c>
      <c r="F474" s="86">
        <v>0.138</v>
      </c>
      <c r="G474" s="86">
        <v>8001.0</v>
      </c>
      <c r="H474" s="86">
        <v>360.0</v>
      </c>
      <c r="I474" s="86">
        <v>1.0</v>
      </c>
      <c r="J474" s="86">
        <v>8000.0</v>
      </c>
      <c r="K474" s="86">
        <v>535.0</v>
      </c>
      <c r="L474" s="86">
        <v>1.0</v>
      </c>
      <c r="M474" s="86">
        <v>2007.0</v>
      </c>
      <c r="N474" s="86">
        <v>1.0</v>
      </c>
      <c r="O474" s="141">
        <v>0.25</v>
      </c>
      <c r="P474" s="86">
        <v>9000.0</v>
      </c>
      <c r="Q474" s="86">
        <v>134.0</v>
      </c>
      <c r="R474" s="86">
        <v>1.0</v>
      </c>
      <c r="S474" s="86" t="s">
        <v>3657</v>
      </c>
      <c r="T474" s="86">
        <v>18.0</v>
      </c>
      <c r="U474" s="86">
        <v>0.5</v>
      </c>
      <c r="V474" s="86">
        <v>1000.0</v>
      </c>
      <c r="W474" s="86">
        <v>5600.0</v>
      </c>
      <c r="X474" s="86">
        <v>1.0</v>
      </c>
      <c r="Y474" s="86">
        <v>2006.0</v>
      </c>
      <c r="Z474" s="86">
        <v>1.0</v>
      </c>
      <c r="AA474" s="86">
        <v>0.03</v>
      </c>
    </row>
    <row r="475" ht="12.75" customHeight="1">
      <c r="A475" s="86">
        <v>1473.0</v>
      </c>
      <c r="B475" s="86" t="s">
        <v>4451</v>
      </c>
      <c r="C475" s="86">
        <v>150.0</v>
      </c>
      <c r="D475" s="86" t="s">
        <v>3654</v>
      </c>
      <c r="E475" s="86">
        <v>1.0</v>
      </c>
      <c r="F475" s="86">
        <v>0.139</v>
      </c>
      <c r="G475" s="86">
        <v>8001.0</v>
      </c>
      <c r="H475" s="86">
        <v>360.0</v>
      </c>
      <c r="I475" s="86">
        <v>1.0</v>
      </c>
      <c r="J475" s="86">
        <v>8000.0</v>
      </c>
      <c r="K475" s="86">
        <v>540.0</v>
      </c>
      <c r="L475" s="86">
        <v>1.0</v>
      </c>
      <c r="M475" s="86">
        <v>2007.0</v>
      </c>
      <c r="N475" s="86">
        <v>1.0</v>
      </c>
      <c r="O475" s="141">
        <v>0.25</v>
      </c>
      <c r="P475" s="86">
        <v>9000.0</v>
      </c>
      <c r="Q475" s="86">
        <v>134.0</v>
      </c>
      <c r="R475" s="86">
        <v>1.0</v>
      </c>
      <c r="S475" s="86" t="s">
        <v>3657</v>
      </c>
      <c r="T475" s="86">
        <v>18.0</v>
      </c>
      <c r="U475" s="86">
        <v>0.5</v>
      </c>
      <c r="V475" s="86">
        <v>1000.0</v>
      </c>
      <c r="W475" s="86">
        <v>5610.0</v>
      </c>
      <c r="X475" s="86">
        <v>1.0</v>
      </c>
      <c r="Y475" s="86">
        <v>2006.0</v>
      </c>
      <c r="Z475" s="86">
        <v>1.0</v>
      </c>
      <c r="AA475" s="86">
        <v>0.03</v>
      </c>
    </row>
    <row r="476" ht="12.75" customHeight="1">
      <c r="A476" s="86">
        <v>1474.0</v>
      </c>
      <c r="B476" s="86" t="s">
        <v>4452</v>
      </c>
      <c r="C476" s="86">
        <v>150.0</v>
      </c>
      <c r="D476" s="86" t="s">
        <v>3654</v>
      </c>
      <c r="E476" s="86">
        <v>1.0</v>
      </c>
      <c r="F476" s="86">
        <v>0.139</v>
      </c>
      <c r="G476" s="86">
        <v>8001.0</v>
      </c>
      <c r="H476" s="86">
        <v>360.0</v>
      </c>
      <c r="I476" s="86">
        <v>1.0</v>
      </c>
      <c r="J476" s="86">
        <v>8000.0</v>
      </c>
      <c r="K476" s="86">
        <v>540.0</v>
      </c>
      <c r="L476" s="86">
        <v>1.0</v>
      </c>
      <c r="M476" s="86">
        <v>2007.0</v>
      </c>
      <c r="N476" s="86">
        <v>1.0</v>
      </c>
      <c r="O476" s="141">
        <v>0.25</v>
      </c>
      <c r="P476" s="86">
        <v>9000.0</v>
      </c>
      <c r="Q476" s="86">
        <v>134.0</v>
      </c>
      <c r="R476" s="86">
        <v>1.0</v>
      </c>
      <c r="S476" s="86" t="s">
        <v>3657</v>
      </c>
      <c r="T476" s="86">
        <v>18.0</v>
      </c>
      <c r="U476" s="86">
        <v>0.5</v>
      </c>
      <c r="V476" s="86">
        <v>1000.0</v>
      </c>
      <c r="W476" s="86">
        <v>5615.0</v>
      </c>
      <c r="X476" s="86">
        <v>1.0</v>
      </c>
      <c r="Y476" s="86">
        <v>2006.0</v>
      </c>
      <c r="Z476" s="86">
        <v>1.0</v>
      </c>
      <c r="AA476" s="86">
        <v>0.03</v>
      </c>
    </row>
    <row r="477" ht="12.75" customHeight="1">
      <c r="A477" s="86">
        <v>1475.0</v>
      </c>
      <c r="B477" s="86" t="s">
        <v>4453</v>
      </c>
      <c r="C477" s="86">
        <v>150.0</v>
      </c>
      <c r="D477" s="86" t="s">
        <v>3654</v>
      </c>
      <c r="E477" s="86">
        <v>1.0</v>
      </c>
      <c r="F477" s="86">
        <v>0.139</v>
      </c>
      <c r="G477" s="86">
        <v>8001.0</v>
      </c>
      <c r="H477" s="86">
        <v>360.0</v>
      </c>
      <c r="I477" s="86">
        <v>1.0</v>
      </c>
      <c r="J477" s="86">
        <v>8000.0</v>
      </c>
      <c r="K477" s="86">
        <v>540.0</v>
      </c>
      <c r="L477" s="86">
        <v>1.0</v>
      </c>
      <c r="M477" s="86">
        <v>2007.0</v>
      </c>
      <c r="N477" s="86">
        <v>1.0</v>
      </c>
      <c r="O477" s="141">
        <v>0.25</v>
      </c>
      <c r="P477" s="86">
        <v>9000.0</v>
      </c>
      <c r="Q477" s="86">
        <v>134.0</v>
      </c>
      <c r="R477" s="86">
        <v>1.0</v>
      </c>
      <c r="S477" s="86" t="s">
        <v>3657</v>
      </c>
      <c r="T477" s="86">
        <v>18.0</v>
      </c>
      <c r="U477" s="86">
        <v>0.5</v>
      </c>
      <c r="V477" s="86">
        <v>1000.0</v>
      </c>
      <c r="W477" s="86">
        <v>5625.0</v>
      </c>
      <c r="X477" s="86">
        <v>1.0</v>
      </c>
      <c r="Y477" s="86">
        <v>2006.0</v>
      </c>
      <c r="Z477" s="86">
        <v>1.0</v>
      </c>
      <c r="AA477" s="86">
        <v>0.03</v>
      </c>
    </row>
    <row r="478" ht="12.75" customHeight="1">
      <c r="A478" s="86">
        <v>1476.0</v>
      </c>
      <c r="B478" s="86" t="s">
        <v>4454</v>
      </c>
      <c r="C478" s="86">
        <v>150.0</v>
      </c>
      <c r="D478" s="86" t="s">
        <v>3654</v>
      </c>
      <c r="E478" s="86">
        <v>1.0</v>
      </c>
      <c r="F478" s="86">
        <v>0.139</v>
      </c>
      <c r="G478" s="86">
        <v>8001.0</v>
      </c>
      <c r="H478" s="86">
        <v>360.0</v>
      </c>
      <c r="I478" s="86">
        <v>1.0</v>
      </c>
      <c r="J478" s="86">
        <v>8000.0</v>
      </c>
      <c r="K478" s="86">
        <v>540.0</v>
      </c>
      <c r="L478" s="86">
        <v>1.0</v>
      </c>
      <c r="M478" s="86">
        <v>2007.0</v>
      </c>
      <c r="N478" s="86">
        <v>1.0</v>
      </c>
      <c r="O478" s="141">
        <v>0.25</v>
      </c>
      <c r="P478" s="86">
        <v>9000.0</v>
      </c>
      <c r="Q478" s="86">
        <v>135.0</v>
      </c>
      <c r="R478" s="86">
        <v>1.0</v>
      </c>
      <c r="S478" s="86" t="s">
        <v>3657</v>
      </c>
      <c r="T478" s="86">
        <v>18.0</v>
      </c>
      <c r="U478" s="86">
        <v>0.5</v>
      </c>
      <c r="V478" s="86">
        <v>1000.0</v>
      </c>
      <c r="W478" s="86">
        <v>5635.0</v>
      </c>
      <c r="X478" s="86">
        <v>1.0</v>
      </c>
      <c r="Y478" s="86">
        <v>2006.0</v>
      </c>
      <c r="Z478" s="86">
        <v>1.0</v>
      </c>
      <c r="AA478" s="86">
        <v>0.03</v>
      </c>
    </row>
    <row r="479" ht="12.75" customHeight="1">
      <c r="A479" s="86">
        <v>1477.0</v>
      </c>
      <c r="B479" s="86" t="s">
        <v>4455</v>
      </c>
      <c r="C479" s="86">
        <v>150.0</v>
      </c>
      <c r="D479" s="86" t="s">
        <v>3654</v>
      </c>
      <c r="E479" s="86">
        <v>1.0</v>
      </c>
      <c r="F479" s="86">
        <v>0.139</v>
      </c>
      <c r="G479" s="86">
        <v>8001.0</v>
      </c>
      <c r="H479" s="86">
        <v>360.0</v>
      </c>
      <c r="I479" s="86">
        <v>1.0</v>
      </c>
      <c r="J479" s="86">
        <v>8000.0</v>
      </c>
      <c r="K479" s="86">
        <v>540.0</v>
      </c>
      <c r="L479" s="86">
        <v>1.0</v>
      </c>
      <c r="M479" s="86">
        <v>2007.0</v>
      </c>
      <c r="N479" s="86">
        <v>1.0</v>
      </c>
      <c r="O479" s="141">
        <v>0.25</v>
      </c>
      <c r="P479" s="86">
        <v>9000.0</v>
      </c>
      <c r="Q479" s="86">
        <v>135.0</v>
      </c>
      <c r="R479" s="86">
        <v>1.0</v>
      </c>
      <c r="S479" s="86" t="s">
        <v>3657</v>
      </c>
      <c r="T479" s="86">
        <v>18.0</v>
      </c>
      <c r="U479" s="86">
        <v>0.5</v>
      </c>
      <c r="V479" s="86">
        <v>1000.0</v>
      </c>
      <c r="W479" s="86">
        <v>5645.0</v>
      </c>
      <c r="X479" s="86">
        <v>1.0</v>
      </c>
      <c r="Y479" s="86">
        <v>2006.0</v>
      </c>
      <c r="Z479" s="86">
        <v>1.0</v>
      </c>
      <c r="AA479" s="86">
        <v>0.03</v>
      </c>
    </row>
    <row r="480" ht="12.75" customHeight="1">
      <c r="A480" s="86">
        <v>1478.0</v>
      </c>
      <c r="B480" s="86" t="s">
        <v>4443</v>
      </c>
      <c r="C480" s="86">
        <v>150.0</v>
      </c>
      <c r="D480" s="86" t="s">
        <v>3654</v>
      </c>
      <c r="E480" s="86">
        <v>1.0</v>
      </c>
      <c r="F480" s="86">
        <v>0.139</v>
      </c>
      <c r="G480" s="86">
        <v>8001.0</v>
      </c>
      <c r="H480" s="86">
        <v>360.0</v>
      </c>
      <c r="I480" s="86">
        <v>1.0</v>
      </c>
      <c r="J480" s="86">
        <v>8000.0</v>
      </c>
      <c r="K480" s="86">
        <v>545.0</v>
      </c>
      <c r="L480" s="86">
        <v>1.0</v>
      </c>
      <c r="M480" s="86">
        <v>2007.0</v>
      </c>
      <c r="N480" s="86">
        <v>1.0</v>
      </c>
      <c r="O480" s="141">
        <v>0.25</v>
      </c>
      <c r="P480" s="86">
        <v>9000.0</v>
      </c>
      <c r="Q480" s="86">
        <v>135.0</v>
      </c>
      <c r="R480" s="86">
        <v>1.0</v>
      </c>
      <c r="S480" s="86" t="s">
        <v>3657</v>
      </c>
      <c r="T480" s="86">
        <v>18.0</v>
      </c>
      <c r="U480" s="86">
        <v>0.5</v>
      </c>
      <c r="V480" s="86">
        <v>1000.0</v>
      </c>
      <c r="W480" s="86">
        <v>5655.0</v>
      </c>
      <c r="X480" s="86">
        <v>1.0</v>
      </c>
      <c r="Y480" s="86">
        <v>2006.0</v>
      </c>
      <c r="Z480" s="86">
        <v>1.0</v>
      </c>
      <c r="AA480" s="86">
        <v>0.03</v>
      </c>
    </row>
    <row r="481" ht="12.75" customHeight="1">
      <c r="A481" s="86">
        <v>1479.0</v>
      </c>
      <c r="B481" s="86" t="s">
        <v>4456</v>
      </c>
      <c r="C481" s="86">
        <v>150.0</v>
      </c>
      <c r="D481" s="86" t="s">
        <v>3654</v>
      </c>
      <c r="E481" s="86">
        <v>1.0</v>
      </c>
      <c r="F481" s="86">
        <v>0.14</v>
      </c>
      <c r="G481" s="86">
        <v>8001.0</v>
      </c>
      <c r="H481" s="86">
        <v>360.0</v>
      </c>
      <c r="I481" s="86">
        <v>1.0</v>
      </c>
      <c r="J481" s="86">
        <v>8000.0</v>
      </c>
      <c r="K481" s="86">
        <v>545.0</v>
      </c>
      <c r="L481" s="86">
        <v>1.0</v>
      </c>
      <c r="M481" s="86">
        <v>2007.0</v>
      </c>
      <c r="N481" s="86">
        <v>1.0</v>
      </c>
      <c r="O481" s="141">
        <v>0.25</v>
      </c>
      <c r="P481" s="86">
        <v>9000.0</v>
      </c>
      <c r="Q481" s="86">
        <v>135.0</v>
      </c>
      <c r="R481" s="86">
        <v>1.0</v>
      </c>
      <c r="S481" s="86" t="s">
        <v>3657</v>
      </c>
      <c r="T481" s="86">
        <v>18.0</v>
      </c>
      <c r="U481" s="86">
        <v>0.5</v>
      </c>
      <c r="V481" s="86">
        <v>1000.0</v>
      </c>
      <c r="W481" s="86">
        <v>5665.0</v>
      </c>
      <c r="X481" s="86">
        <v>1.0</v>
      </c>
      <c r="Y481" s="86">
        <v>2006.0</v>
      </c>
      <c r="Z481" s="86">
        <v>1.0</v>
      </c>
      <c r="AA481" s="86">
        <v>0.03</v>
      </c>
    </row>
    <row r="482" ht="12.75" customHeight="1">
      <c r="A482" s="86">
        <v>1480.0</v>
      </c>
      <c r="B482" s="86" t="s">
        <v>4457</v>
      </c>
      <c r="C482" s="86">
        <v>150.0</v>
      </c>
      <c r="D482" s="86" t="s">
        <v>3654</v>
      </c>
      <c r="E482" s="86">
        <v>1.0</v>
      </c>
      <c r="F482" s="86">
        <v>0.14</v>
      </c>
      <c r="G482" s="86">
        <v>8001.0</v>
      </c>
      <c r="H482" s="86">
        <v>365.0</v>
      </c>
      <c r="I482" s="86">
        <v>1.0</v>
      </c>
      <c r="J482" s="86">
        <v>8000.0</v>
      </c>
      <c r="K482" s="86">
        <v>545.0</v>
      </c>
      <c r="L482" s="86">
        <v>1.0</v>
      </c>
      <c r="M482" s="86">
        <v>2007.0</v>
      </c>
      <c r="N482" s="86">
        <v>1.0</v>
      </c>
      <c r="O482" s="141">
        <v>0.25</v>
      </c>
      <c r="P482" s="86">
        <v>9000.0</v>
      </c>
      <c r="Q482" s="86">
        <v>136.0</v>
      </c>
      <c r="R482" s="86">
        <v>1.0</v>
      </c>
      <c r="S482" s="86" t="s">
        <v>3657</v>
      </c>
      <c r="T482" s="86">
        <v>18.0</v>
      </c>
      <c r="U482" s="86">
        <v>0.5</v>
      </c>
      <c r="V482" s="86">
        <v>1000.0</v>
      </c>
      <c r="W482" s="86">
        <v>5670.0</v>
      </c>
      <c r="X482" s="86">
        <v>1.0</v>
      </c>
      <c r="Y482" s="86">
        <v>2006.0</v>
      </c>
      <c r="Z482" s="86">
        <v>1.0</v>
      </c>
      <c r="AA482" s="86">
        <v>0.03</v>
      </c>
    </row>
    <row r="483" ht="12.75" customHeight="1">
      <c r="A483" s="86">
        <v>1481.0</v>
      </c>
      <c r="B483" s="86" t="s">
        <v>4458</v>
      </c>
      <c r="C483" s="86">
        <v>150.0</v>
      </c>
      <c r="D483" s="86" t="s">
        <v>3654</v>
      </c>
      <c r="E483" s="86">
        <v>1.0</v>
      </c>
      <c r="F483" s="86">
        <v>0.14</v>
      </c>
      <c r="G483" s="86">
        <v>8001.0</v>
      </c>
      <c r="H483" s="86">
        <v>365.0</v>
      </c>
      <c r="I483" s="86">
        <v>1.0</v>
      </c>
      <c r="J483" s="86">
        <v>8000.0</v>
      </c>
      <c r="K483" s="86">
        <v>545.0</v>
      </c>
      <c r="L483" s="86">
        <v>1.0</v>
      </c>
      <c r="M483" s="86">
        <v>2007.0</v>
      </c>
      <c r="N483" s="86">
        <v>1.0</v>
      </c>
      <c r="O483" s="141">
        <v>0.25</v>
      </c>
      <c r="P483" s="86">
        <v>9000.0</v>
      </c>
      <c r="Q483" s="86">
        <v>136.0</v>
      </c>
      <c r="R483" s="86">
        <v>1.0</v>
      </c>
      <c r="S483" s="86" t="s">
        <v>3657</v>
      </c>
      <c r="T483" s="86">
        <v>18.0</v>
      </c>
      <c r="U483" s="86">
        <v>0.5</v>
      </c>
      <c r="V483" s="86">
        <v>1000.0</v>
      </c>
      <c r="W483" s="86">
        <v>5680.0</v>
      </c>
      <c r="X483" s="86">
        <v>1.0</v>
      </c>
      <c r="Y483" s="86">
        <v>2006.0</v>
      </c>
      <c r="Z483" s="86">
        <v>1.0</v>
      </c>
      <c r="AA483" s="86">
        <v>0.03</v>
      </c>
    </row>
    <row r="484" ht="12.75" customHeight="1">
      <c r="A484" s="86">
        <v>1482.0</v>
      </c>
      <c r="B484" s="86" t="s">
        <v>4459</v>
      </c>
      <c r="C484" s="86">
        <v>150.0</v>
      </c>
      <c r="D484" s="86" t="s">
        <v>3654</v>
      </c>
      <c r="E484" s="86">
        <v>1.0</v>
      </c>
      <c r="F484" s="86">
        <v>0.14</v>
      </c>
      <c r="G484" s="86">
        <v>8001.0</v>
      </c>
      <c r="H484" s="86">
        <v>365.0</v>
      </c>
      <c r="I484" s="86">
        <v>1.0</v>
      </c>
      <c r="J484" s="86">
        <v>8000.0</v>
      </c>
      <c r="K484" s="86">
        <v>545.0</v>
      </c>
      <c r="L484" s="86">
        <v>1.0</v>
      </c>
      <c r="M484" s="86">
        <v>2007.0</v>
      </c>
      <c r="N484" s="86">
        <v>1.0</v>
      </c>
      <c r="O484" s="141">
        <v>0.25</v>
      </c>
      <c r="P484" s="86">
        <v>9000.0</v>
      </c>
      <c r="Q484" s="86">
        <v>136.0</v>
      </c>
      <c r="R484" s="86">
        <v>1.0</v>
      </c>
      <c r="S484" s="86" t="s">
        <v>3657</v>
      </c>
      <c r="T484" s="86">
        <v>18.0</v>
      </c>
      <c r="U484" s="86">
        <v>0.5</v>
      </c>
      <c r="V484" s="86">
        <v>1000.0</v>
      </c>
      <c r="W484" s="86">
        <v>5690.0</v>
      </c>
      <c r="X484" s="86">
        <v>1.0</v>
      </c>
      <c r="Y484" s="86">
        <v>2006.0</v>
      </c>
      <c r="Z484" s="86">
        <v>1.0</v>
      </c>
      <c r="AA484" s="86">
        <v>0.03</v>
      </c>
    </row>
    <row r="485" ht="12.75" customHeight="1">
      <c r="A485" s="86">
        <v>1483.0</v>
      </c>
      <c r="B485" s="86" t="s">
        <v>4460</v>
      </c>
      <c r="C485" s="86">
        <v>150.0</v>
      </c>
      <c r="D485" s="86" t="s">
        <v>3654</v>
      </c>
      <c r="E485" s="86">
        <v>1.0</v>
      </c>
      <c r="F485" s="86">
        <v>0.14</v>
      </c>
      <c r="G485" s="86">
        <v>8001.0</v>
      </c>
      <c r="H485" s="86">
        <v>365.0</v>
      </c>
      <c r="I485" s="86">
        <v>1.0</v>
      </c>
      <c r="J485" s="86">
        <v>8000.0</v>
      </c>
      <c r="K485" s="86">
        <v>545.0</v>
      </c>
      <c r="L485" s="86">
        <v>1.0</v>
      </c>
      <c r="M485" s="86">
        <v>2007.0</v>
      </c>
      <c r="N485" s="86">
        <v>1.0</v>
      </c>
      <c r="O485" s="141">
        <v>0.25</v>
      </c>
      <c r="P485" s="86">
        <v>9000.0</v>
      </c>
      <c r="Q485" s="86">
        <v>136.0</v>
      </c>
      <c r="R485" s="86">
        <v>1.0</v>
      </c>
      <c r="S485" s="86" t="s">
        <v>3657</v>
      </c>
      <c r="T485" s="86">
        <v>18.0</v>
      </c>
      <c r="U485" s="86">
        <v>0.5</v>
      </c>
      <c r="V485" s="86">
        <v>1000.0</v>
      </c>
      <c r="W485" s="86">
        <v>5700.0</v>
      </c>
      <c r="X485" s="86">
        <v>1.0</v>
      </c>
      <c r="Y485" s="86">
        <v>2006.0</v>
      </c>
      <c r="Z485" s="86">
        <v>1.0</v>
      </c>
      <c r="AA485" s="86">
        <v>0.03</v>
      </c>
    </row>
    <row r="486" ht="12.75" customHeight="1">
      <c r="A486" s="86">
        <v>1484.0</v>
      </c>
      <c r="B486" s="86" t="s">
        <v>4454</v>
      </c>
      <c r="C486" s="86">
        <v>150.0</v>
      </c>
      <c r="D486" s="86" t="s">
        <v>3654</v>
      </c>
      <c r="E486" s="86">
        <v>1.0</v>
      </c>
      <c r="F486" s="86">
        <v>0.14</v>
      </c>
      <c r="G486" s="86">
        <v>8001.0</v>
      </c>
      <c r="H486" s="86">
        <v>365.0</v>
      </c>
      <c r="I486" s="86">
        <v>1.0</v>
      </c>
      <c r="J486" s="86">
        <v>8000.0</v>
      </c>
      <c r="K486" s="86">
        <v>550.0</v>
      </c>
      <c r="L486" s="86">
        <v>1.0</v>
      </c>
      <c r="M486" s="86">
        <v>2007.0</v>
      </c>
      <c r="N486" s="86">
        <v>1.0</v>
      </c>
      <c r="O486" s="141">
        <v>0.25</v>
      </c>
      <c r="P486" s="86">
        <v>9000.0</v>
      </c>
      <c r="Q486" s="86">
        <v>137.0</v>
      </c>
      <c r="R486" s="86">
        <v>1.0</v>
      </c>
      <c r="S486" s="86" t="s">
        <v>3657</v>
      </c>
      <c r="T486" s="86">
        <v>18.0</v>
      </c>
      <c r="U486" s="86">
        <v>0.5</v>
      </c>
      <c r="V486" s="86">
        <v>1000.0</v>
      </c>
      <c r="W486" s="86">
        <v>5710.0</v>
      </c>
      <c r="X486" s="86">
        <v>1.0</v>
      </c>
      <c r="Y486" s="86">
        <v>2006.0</v>
      </c>
      <c r="Z486" s="86">
        <v>1.0</v>
      </c>
      <c r="AA486" s="86">
        <v>0.03</v>
      </c>
    </row>
    <row r="487" ht="12.75" customHeight="1">
      <c r="A487" s="86">
        <v>1485.0</v>
      </c>
      <c r="B487" s="86" t="s">
        <v>4461</v>
      </c>
      <c r="C487" s="86">
        <v>150.0</v>
      </c>
      <c r="D487" s="86" t="s">
        <v>3654</v>
      </c>
      <c r="E487" s="86">
        <v>1.0</v>
      </c>
      <c r="F487" s="86">
        <v>0.141</v>
      </c>
      <c r="G487" s="86">
        <v>8001.0</v>
      </c>
      <c r="H487" s="86">
        <v>365.0</v>
      </c>
      <c r="I487" s="86">
        <v>1.0</v>
      </c>
      <c r="J487" s="86">
        <v>8000.0</v>
      </c>
      <c r="K487" s="86">
        <v>550.0</v>
      </c>
      <c r="L487" s="86">
        <v>1.0</v>
      </c>
      <c r="M487" s="86">
        <v>2007.0</v>
      </c>
      <c r="N487" s="86">
        <v>1.0</v>
      </c>
      <c r="O487" s="141">
        <v>0.25</v>
      </c>
      <c r="P487" s="86">
        <v>9000.0</v>
      </c>
      <c r="Q487" s="86">
        <v>137.0</v>
      </c>
      <c r="R487" s="86">
        <v>1.0</v>
      </c>
      <c r="S487" s="86" t="s">
        <v>3657</v>
      </c>
      <c r="T487" s="86">
        <v>18.0</v>
      </c>
      <c r="U487" s="86">
        <v>0.5</v>
      </c>
      <c r="V487" s="86">
        <v>1000.0</v>
      </c>
      <c r="W487" s="86">
        <v>5715.0</v>
      </c>
      <c r="X487" s="86">
        <v>1.0</v>
      </c>
      <c r="Y487" s="86">
        <v>2006.0</v>
      </c>
      <c r="Z487" s="86">
        <v>1.0</v>
      </c>
      <c r="AA487" s="86">
        <v>0.03</v>
      </c>
    </row>
    <row r="488" ht="12.75" customHeight="1">
      <c r="A488" s="86">
        <v>1486.0</v>
      </c>
      <c r="B488" s="86" t="s">
        <v>4462</v>
      </c>
      <c r="C488" s="86">
        <v>150.0</v>
      </c>
      <c r="D488" s="86" t="s">
        <v>3654</v>
      </c>
      <c r="E488" s="86">
        <v>1.0</v>
      </c>
      <c r="F488" s="86">
        <v>0.141</v>
      </c>
      <c r="G488" s="86">
        <v>8001.0</v>
      </c>
      <c r="H488" s="86">
        <v>365.0</v>
      </c>
      <c r="I488" s="86">
        <v>1.0</v>
      </c>
      <c r="J488" s="86">
        <v>8000.0</v>
      </c>
      <c r="K488" s="86">
        <v>550.0</v>
      </c>
      <c r="L488" s="86">
        <v>1.0</v>
      </c>
      <c r="M488" s="86">
        <v>2007.0</v>
      </c>
      <c r="N488" s="86">
        <v>1.0</v>
      </c>
      <c r="O488" s="141">
        <v>0.25</v>
      </c>
      <c r="P488" s="86">
        <v>9000.0</v>
      </c>
      <c r="Q488" s="86">
        <v>137.0</v>
      </c>
      <c r="R488" s="86">
        <v>1.0</v>
      </c>
      <c r="S488" s="86" t="s">
        <v>3657</v>
      </c>
      <c r="T488" s="86">
        <v>18.0</v>
      </c>
      <c r="U488" s="86">
        <v>0.5</v>
      </c>
      <c r="V488" s="86">
        <v>1000.0</v>
      </c>
      <c r="W488" s="86">
        <v>5725.0</v>
      </c>
      <c r="X488" s="86">
        <v>1.0</v>
      </c>
      <c r="Y488" s="86">
        <v>2006.0</v>
      </c>
      <c r="Z488" s="86">
        <v>1.0</v>
      </c>
      <c r="AA488" s="86">
        <v>0.03</v>
      </c>
    </row>
    <row r="489" ht="12.75" customHeight="1">
      <c r="A489" s="86">
        <v>1487.0</v>
      </c>
      <c r="B489" s="86" t="s">
        <v>4463</v>
      </c>
      <c r="C489" s="86">
        <v>150.0</v>
      </c>
      <c r="D489" s="86" t="s">
        <v>3654</v>
      </c>
      <c r="E489" s="86">
        <v>1.0</v>
      </c>
      <c r="F489" s="86">
        <v>0.141</v>
      </c>
      <c r="G489" s="86">
        <v>8001.0</v>
      </c>
      <c r="H489" s="86">
        <v>365.0</v>
      </c>
      <c r="I489" s="86">
        <v>1.0</v>
      </c>
      <c r="J489" s="86">
        <v>8000.0</v>
      </c>
      <c r="K489" s="86">
        <v>550.0</v>
      </c>
      <c r="L489" s="86">
        <v>1.0</v>
      </c>
      <c r="M489" s="86">
        <v>2007.0</v>
      </c>
      <c r="N489" s="86">
        <v>1.0</v>
      </c>
      <c r="O489" s="141">
        <v>0.25</v>
      </c>
      <c r="P489" s="86">
        <v>9000.0</v>
      </c>
      <c r="Q489" s="86">
        <v>137.0</v>
      </c>
      <c r="R489" s="86">
        <v>1.0</v>
      </c>
      <c r="S489" s="86" t="s">
        <v>3657</v>
      </c>
      <c r="T489" s="86">
        <v>18.0</v>
      </c>
      <c r="U489" s="86">
        <v>0.5</v>
      </c>
      <c r="V489" s="86">
        <v>1000.0</v>
      </c>
      <c r="W489" s="86">
        <v>5735.0</v>
      </c>
      <c r="X489" s="86">
        <v>1.0</v>
      </c>
      <c r="Y489" s="86">
        <v>2006.0</v>
      </c>
      <c r="Z489" s="86">
        <v>1.0</v>
      </c>
      <c r="AA489" s="86">
        <v>0.03</v>
      </c>
    </row>
    <row r="490" ht="12.75" customHeight="1">
      <c r="A490" s="86">
        <v>1488.0</v>
      </c>
      <c r="B490" s="86" t="s">
        <v>4464</v>
      </c>
      <c r="C490" s="86">
        <v>150.0</v>
      </c>
      <c r="D490" s="86" t="s">
        <v>3654</v>
      </c>
      <c r="E490" s="86">
        <v>1.0</v>
      </c>
      <c r="F490" s="86">
        <v>0.141</v>
      </c>
      <c r="G490" s="86">
        <v>8001.0</v>
      </c>
      <c r="H490" s="86">
        <v>365.0</v>
      </c>
      <c r="I490" s="86">
        <v>1.0</v>
      </c>
      <c r="J490" s="86">
        <v>8000.0</v>
      </c>
      <c r="K490" s="86">
        <v>550.0</v>
      </c>
      <c r="L490" s="86">
        <v>1.0</v>
      </c>
      <c r="M490" s="86">
        <v>2007.0</v>
      </c>
      <c r="N490" s="86">
        <v>1.0</v>
      </c>
      <c r="O490" s="141">
        <v>0.25</v>
      </c>
      <c r="P490" s="86">
        <v>9000.0</v>
      </c>
      <c r="Q490" s="86">
        <v>137.0</v>
      </c>
      <c r="R490" s="86">
        <v>1.0</v>
      </c>
      <c r="S490" s="86" t="s">
        <v>3657</v>
      </c>
      <c r="T490" s="86">
        <v>18.0</v>
      </c>
      <c r="U490" s="86">
        <v>0.5</v>
      </c>
      <c r="V490" s="86">
        <v>1000.0</v>
      </c>
      <c r="W490" s="86">
        <v>5740.0</v>
      </c>
      <c r="X490" s="86">
        <v>1.0</v>
      </c>
      <c r="Y490" s="86">
        <v>2006.0</v>
      </c>
      <c r="Z490" s="86">
        <v>1.0</v>
      </c>
      <c r="AA490" s="86">
        <v>0.03</v>
      </c>
    </row>
    <row r="491" ht="12.75" customHeight="1">
      <c r="A491" s="86">
        <v>1489.0</v>
      </c>
      <c r="B491" s="86" t="s">
        <v>4465</v>
      </c>
      <c r="C491" s="86">
        <v>150.0</v>
      </c>
      <c r="D491" s="86" t="s">
        <v>3654</v>
      </c>
      <c r="E491" s="86">
        <v>1.0</v>
      </c>
      <c r="F491" s="86">
        <v>0.141</v>
      </c>
      <c r="G491" s="86">
        <v>8001.0</v>
      </c>
      <c r="H491" s="86">
        <v>370.0</v>
      </c>
      <c r="I491" s="86">
        <v>1.0</v>
      </c>
      <c r="J491" s="86">
        <v>8000.0</v>
      </c>
      <c r="K491" s="86">
        <v>550.0</v>
      </c>
      <c r="L491" s="86">
        <v>1.0</v>
      </c>
      <c r="M491" s="86">
        <v>2007.0</v>
      </c>
      <c r="N491" s="86">
        <v>1.0</v>
      </c>
      <c r="O491" s="141">
        <v>0.25</v>
      </c>
      <c r="P491" s="86">
        <v>9000.0</v>
      </c>
      <c r="Q491" s="86">
        <v>138.0</v>
      </c>
      <c r="R491" s="86">
        <v>1.0</v>
      </c>
      <c r="S491" s="86" t="s">
        <v>3657</v>
      </c>
      <c r="T491" s="86">
        <v>18.0</v>
      </c>
      <c r="U491" s="86">
        <v>0.5</v>
      </c>
      <c r="V491" s="86">
        <v>1000.0</v>
      </c>
      <c r="W491" s="86">
        <v>5750.0</v>
      </c>
      <c r="X491" s="86">
        <v>1.0</v>
      </c>
      <c r="Y491" s="86">
        <v>2006.0</v>
      </c>
      <c r="Z491" s="86">
        <v>1.0</v>
      </c>
      <c r="AA491" s="86">
        <v>0.03</v>
      </c>
    </row>
    <row r="492" ht="12.75" customHeight="1">
      <c r="A492" s="86">
        <v>1490.0</v>
      </c>
      <c r="B492" s="86" t="s">
        <v>4466</v>
      </c>
      <c r="C492" s="86">
        <v>150.0</v>
      </c>
      <c r="D492" s="86" t="s">
        <v>3654</v>
      </c>
      <c r="E492" s="86">
        <v>1.0</v>
      </c>
      <c r="F492" s="86">
        <v>0.141</v>
      </c>
      <c r="G492" s="86">
        <v>8001.0</v>
      </c>
      <c r="H492" s="86">
        <v>370.0</v>
      </c>
      <c r="I492" s="86">
        <v>1.0</v>
      </c>
      <c r="J492" s="86">
        <v>8000.0</v>
      </c>
      <c r="K492" s="86">
        <v>555.0</v>
      </c>
      <c r="L492" s="86">
        <v>1.0</v>
      </c>
      <c r="M492" s="86">
        <v>2007.0</v>
      </c>
      <c r="N492" s="86">
        <v>1.0</v>
      </c>
      <c r="O492" s="141">
        <v>0.25</v>
      </c>
      <c r="P492" s="86">
        <v>9000.0</v>
      </c>
      <c r="Q492" s="86">
        <v>138.0</v>
      </c>
      <c r="R492" s="86">
        <v>1.0</v>
      </c>
      <c r="S492" s="86" t="s">
        <v>3657</v>
      </c>
      <c r="T492" s="86">
        <v>18.0</v>
      </c>
      <c r="U492" s="86">
        <v>0.5</v>
      </c>
      <c r="V492" s="86">
        <v>1000.0</v>
      </c>
      <c r="W492" s="86">
        <v>5760.0</v>
      </c>
      <c r="X492" s="86">
        <v>1.0</v>
      </c>
      <c r="Y492" s="86">
        <v>2006.0</v>
      </c>
      <c r="Z492" s="86">
        <v>1.0</v>
      </c>
      <c r="AA492" s="86">
        <v>0.03</v>
      </c>
    </row>
    <row r="493" ht="12.75" customHeight="1">
      <c r="A493" s="86">
        <v>1491.0</v>
      </c>
      <c r="B493" s="86" t="s">
        <v>4467</v>
      </c>
      <c r="C493" s="86">
        <v>150.0</v>
      </c>
      <c r="D493" s="86" t="s">
        <v>3654</v>
      </c>
      <c r="E493" s="86">
        <v>1.0</v>
      </c>
      <c r="F493" s="86">
        <v>0.141</v>
      </c>
      <c r="G493" s="86">
        <v>8001.0</v>
      </c>
      <c r="H493" s="86">
        <v>370.0</v>
      </c>
      <c r="I493" s="86">
        <v>1.0</v>
      </c>
      <c r="J493" s="86">
        <v>8000.0</v>
      </c>
      <c r="K493" s="86">
        <v>555.0</v>
      </c>
      <c r="L493" s="86">
        <v>1.0</v>
      </c>
      <c r="M493" s="86">
        <v>2007.0</v>
      </c>
      <c r="N493" s="86">
        <v>1.0</v>
      </c>
      <c r="O493" s="141">
        <v>0.25</v>
      </c>
      <c r="P493" s="86">
        <v>9000.0</v>
      </c>
      <c r="Q493" s="86">
        <v>138.0</v>
      </c>
      <c r="R493" s="86">
        <v>1.0</v>
      </c>
      <c r="S493" s="86" t="s">
        <v>3657</v>
      </c>
      <c r="T493" s="86">
        <v>18.0</v>
      </c>
      <c r="U493" s="86">
        <v>0.5</v>
      </c>
      <c r="V493" s="86">
        <v>1000.0</v>
      </c>
      <c r="W493" s="86">
        <v>5765.0</v>
      </c>
      <c r="X493" s="86">
        <v>1.0</v>
      </c>
      <c r="Y493" s="86">
        <v>2006.0</v>
      </c>
      <c r="Z493" s="86">
        <v>1.0</v>
      </c>
      <c r="AA493" s="86">
        <v>0.03</v>
      </c>
    </row>
    <row r="494" ht="12.75" customHeight="1">
      <c r="A494" s="86">
        <v>1492.0</v>
      </c>
      <c r="B494" s="86" t="s">
        <v>4468</v>
      </c>
      <c r="C494" s="86">
        <v>150.0</v>
      </c>
      <c r="D494" s="86" t="s">
        <v>3654</v>
      </c>
      <c r="E494" s="86">
        <v>1.0</v>
      </c>
      <c r="F494" s="86">
        <v>0.142</v>
      </c>
      <c r="G494" s="86">
        <v>8001.0</v>
      </c>
      <c r="H494" s="86">
        <v>370.0</v>
      </c>
      <c r="I494" s="86">
        <v>1.0</v>
      </c>
      <c r="J494" s="86">
        <v>8000.0</v>
      </c>
      <c r="K494" s="86">
        <v>555.0</v>
      </c>
      <c r="L494" s="86">
        <v>1.0</v>
      </c>
      <c r="M494" s="86">
        <v>2007.0</v>
      </c>
      <c r="N494" s="86">
        <v>1.0</v>
      </c>
      <c r="O494" s="141">
        <v>0.25</v>
      </c>
      <c r="P494" s="86">
        <v>9000.0</v>
      </c>
      <c r="Q494" s="86">
        <v>138.0</v>
      </c>
      <c r="R494" s="86">
        <v>1.0</v>
      </c>
      <c r="S494" s="86" t="s">
        <v>3657</v>
      </c>
      <c r="T494" s="86">
        <v>18.0</v>
      </c>
      <c r="U494" s="86">
        <v>0.5</v>
      </c>
      <c r="V494" s="86">
        <v>1000.0</v>
      </c>
      <c r="W494" s="86">
        <v>5775.0</v>
      </c>
      <c r="X494" s="86">
        <v>1.0</v>
      </c>
      <c r="Y494" s="86">
        <v>2006.0</v>
      </c>
      <c r="Z494" s="86">
        <v>1.0</v>
      </c>
      <c r="AA494" s="86">
        <v>0.03</v>
      </c>
    </row>
    <row r="495" ht="12.75" customHeight="1">
      <c r="A495" s="86">
        <v>1493.0</v>
      </c>
      <c r="B495" s="86" t="s">
        <v>4469</v>
      </c>
      <c r="C495" s="86">
        <v>150.0</v>
      </c>
      <c r="D495" s="86" t="s">
        <v>3654</v>
      </c>
      <c r="E495" s="86">
        <v>1.0</v>
      </c>
      <c r="F495" s="86">
        <v>0.142</v>
      </c>
      <c r="G495" s="86">
        <v>8001.0</v>
      </c>
      <c r="H495" s="86">
        <v>370.0</v>
      </c>
      <c r="I495" s="86">
        <v>1.0</v>
      </c>
      <c r="J495" s="86">
        <v>8000.0</v>
      </c>
      <c r="K495" s="86">
        <v>555.0</v>
      </c>
      <c r="L495" s="86">
        <v>1.0</v>
      </c>
      <c r="M495" s="86">
        <v>2007.0</v>
      </c>
      <c r="N495" s="86">
        <v>1.0</v>
      </c>
      <c r="O495" s="141">
        <v>0.25</v>
      </c>
      <c r="P495" s="86">
        <v>9000.0</v>
      </c>
      <c r="Q495" s="86">
        <v>138.0</v>
      </c>
      <c r="R495" s="86">
        <v>1.0</v>
      </c>
      <c r="S495" s="86" t="s">
        <v>3657</v>
      </c>
      <c r="T495" s="86">
        <v>19.0</v>
      </c>
      <c r="U495" s="86">
        <v>0.5</v>
      </c>
      <c r="V495" s="86">
        <v>1000.0</v>
      </c>
      <c r="W495" s="86">
        <v>5785.0</v>
      </c>
      <c r="X495" s="86">
        <v>1.0</v>
      </c>
      <c r="Y495" s="86">
        <v>2006.0</v>
      </c>
      <c r="Z495" s="86">
        <v>1.0</v>
      </c>
      <c r="AA495" s="86">
        <v>0.03</v>
      </c>
    </row>
    <row r="496" ht="12.75" customHeight="1">
      <c r="A496" s="86">
        <v>1494.0</v>
      </c>
      <c r="B496" s="86" t="s">
        <v>4470</v>
      </c>
      <c r="C496" s="86">
        <v>150.0</v>
      </c>
      <c r="D496" s="86" t="s">
        <v>3654</v>
      </c>
      <c r="E496" s="86">
        <v>1.0</v>
      </c>
      <c r="F496" s="86">
        <v>0.142</v>
      </c>
      <c r="G496" s="86">
        <v>8001.0</v>
      </c>
      <c r="H496" s="86">
        <v>370.0</v>
      </c>
      <c r="I496" s="86">
        <v>1.0</v>
      </c>
      <c r="J496" s="86">
        <v>8000.0</v>
      </c>
      <c r="K496" s="86">
        <v>555.0</v>
      </c>
      <c r="L496" s="86">
        <v>1.0</v>
      </c>
      <c r="M496" s="86">
        <v>2007.0</v>
      </c>
      <c r="N496" s="86">
        <v>1.0</v>
      </c>
      <c r="O496" s="141">
        <v>0.25</v>
      </c>
      <c r="P496" s="86">
        <v>9000.0</v>
      </c>
      <c r="Q496" s="86">
        <v>139.0</v>
      </c>
      <c r="R496" s="86">
        <v>1.0</v>
      </c>
      <c r="S496" s="86" t="s">
        <v>3657</v>
      </c>
      <c r="T496" s="86">
        <v>19.0</v>
      </c>
      <c r="U496" s="86">
        <v>0.5</v>
      </c>
      <c r="V496" s="86">
        <v>1000.0</v>
      </c>
      <c r="W496" s="86">
        <v>5790.0</v>
      </c>
      <c r="X496" s="86">
        <v>1.0</v>
      </c>
      <c r="Y496" s="86">
        <v>2006.0</v>
      </c>
      <c r="Z496" s="86">
        <v>1.0</v>
      </c>
      <c r="AA496" s="86">
        <v>0.03</v>
      </c>
    </row>
    <row r="497" ht="12.75" customHeight="1">
      <c r="A497" s="86">
        <v>1495.0</v>
      </c>
      <c r="B497" s="86" t="s">
        <v>4471</v>
      </c>
      <c r="C497" s="86">
        <v>150.0</v>
      </c>
      <c r="D497" s="86" t="s">
        <v>3654</v>
      </c>
      <c r="E497" s="86">
        <v>1.0</v>
      </c>
      <c r="F497" s="86">
        <v>0.142</v>
      </c>
      <c r="G497" s="86">
        <v>8001.0</v>
      </c>
      <c r="H497" s="86">
        <v>370.0</v>
      </c>
      <c r="I497" s="86">
        <v>1.0</v>
      </c>
      <c r="J497" s="86">
        <v>8000.0</v>
      </c>
      <c r="K497" s="86">
        <v>555.0</v>
      </c>
      <c r="L497" s="86">
        <v>1.0</v>
      </c>
      <c r="M497" s="86">
        <v>2007.0</v>
      </c>
      <c r="N497" s="86">
        <v>1.0</v>
      </c>
      <c r="O497" s="141">
        <v>0.25</v>
      </c>
      <c r="P497" s="86">
        <v>9000.0</v>
      </c>
      <c r="Q497" s="86">
        <v>139.0</v>
      </c>
      <c r="R497" s="86">
        <v>1.0</v>
      </c>
      <c r="S497" s="86" t="s">
        <v>3657</v>
      </c>
      <c r="T497" s="86">
        <v>19.0</v>
      </c>
      <c r="U497" s="86">
        <v>0.5</v>
      </c>
      <c r="V497" s="86">
        <v>1000.0</v>
      </c>
      <c r="W497" s="86">
        <v>5800.0</v>
      </c>
      <c r="X497" s="86">
        <v>1.0</v>
      </c>
      <c r="Y497" s="86">
        <v>2006.0</v>
      </c>
      <c r="Z497" s="86">
        <v>1.0</v>
      </c>
      <c r="AA497" s="86">
        <v>0.03</v>
      </c>
    </row>
    <row r="498" ht="12.75" customHeight="1">
      <c r="A498" s="86">
        <v>1496.0</v>
      </c>
      <c r="B498" s="86" t="s">
        <v>4472</v>
      </c>
      <c r="C498" s="86">
        <v>150.0</v>
      </c>
      <c r="D498" s="86" t="s">
        <v>3654</v>
      </c>
      <c r="E498" s="86">
        <v>1.0</v>
      </c>
      <c r="F498" s="86">
        <v>0.142</v>
      </c>
      <c r="G498" s="86">
        <v>8001.0</v>
      </c>
      <c r="H498" s="86">
        <v>370.0</v>
      </c>
      <c r="I498" s="86">
        <v>1.0</v>
      </c>
      <c r="J498" s="86">
        <v>8000.0</v>
      </c>
      <c r="K498" s="86">
        <v>560.0</v>
      </c>
      <c r="L498" s="86">
        <v>1.0</v>
      </c>
      <c r="M498" s="86">
        <v>2007.0</v>
      </c>
      <c r="N498" s="86">
        <v>1.0</v>
      </c>
      <c r="O498" s="141">
        <v>0.25</v>
      </c>
      <c r="P498" s="86">
        <v>9000.0</v>
      </c>
      <c r="Q498" s="86">
        <v>139.0</v>
      </c>
      <c r="R498" s="86">
        <v>1.0</v>
      </c>
      <c r="S498" s="86" t="s">
        <v>3657</v>
      </c>
      <c r="T498" s="86">
        <v>19.0</v>
      </c>
      <c r="U498" s="86">
        <v>0.5</v>
      </c>
      <c r="V498" s="86">
        <v>1000.0</v>
      </c>
      <c r="W498" s="86">
        <v>5810.0</v>
      </c>
      <c r="X498" s="86">
        <v>1.0</v>
      </c>
      <c r="Y498" s="86">
        <v>2006.0</v>
      </c>
      <c r="Z498" s="86">
        <v>1.0</v>
      </c>
      <c r="AA498" s="86">
        <v>0.03</v>
      </c>
    </row>
    <row r="499" ht="12.75" customHeight="1">
      <c r="A499" s="86">
        <v>1497.0</v>
      </c>
      <c r="B499" s="86" t="s">
        <v>4456</v>
      </c>
      <c r="C499" s="86">
        <v>150.0</v>
      </c>
      <c r="D499" s="86" t="s">
        <v>3654</v>
      </c>
      <c r="E499" s="86">
        <v>1.0</v>
      </c>
      <c r="F499" s="86">
        <v>0.142</v>
      </c>
      <c r="G499" s="86">
        <v>8001.0</v>
      </c>
      <c r="H499" s="86">
        <v>370.0</v>
      </c>
      <c r="I499" s="86">
        <v>1.0</v>
      </c>
      <c r="J499" s="86">
        <v>8000.0</v>
      </c>
      <c r="K499" s="86">
        <v>560.0</v>
      </c>
      <c r="L499" s="86">
        <v>1.0</v>
      </c>
      <c r="M499" s="86">
        <v>2007.0</v>
      </c>
      <c r="N499" s="86">
        <v>1.0</v>
      </c>
      <c r="O499" s="141">
        <v>0.25</v>
      </c>
      <c r="P499" s="86">
        <v>9000.0</v>
      </c>
      <c r="Q499" s="86">
        <v>139.0</v>
      </c>
      <c r="R499" s="86">
        <v>1.0</v>
      </c>
      <c r="S499" s="86" t="s">
        <v>3657</v>
      </c>
      <c r="T499" s="86">
        <v>19.0</v>
      </c>
      <c r="U499" s="86">
        <v>0.5</v>
      </c>
      <c r="V499" s="86">
        <v>1000.0</v>
      </c>
      <c r="W499" s="86">
        <v>5815.0</v>
      </c>
      <c r="X499" s="86">
        <v>1.0</v>
      </c>
      <c r="Y499" s="86">
        <v>2006.0</v>
      </c>
      <c r="Z499" s="86">
        <v>1.0</v>
      </c>
      <c r="AA499" s="86">
        <v>0.03</v>
      </c>
    </row>
    <row r="500" ht="12.75" customHeight="1">
      <c r="A500" s="86">
        <v>1498.0</v>
      </c>
      <c r="B500" s="86" t="s">
        <v>4473</v>
      </c>
      <c r="C500" s="86">
        <v>150.0</v>
      </c>
      <c r="D500" s="86" t="s">
        <v>3654</v>
      </c>
      <c r="E500" s="86">
        <v>1.0</v>
      </c>
      <c r="F500" s="86">
        <v>0.142</v>
      </c>
      <c r="G500" s="86">
        <v>8001.0</v>
      </c>
      <c r="H500" s="86">
        <v>375.0</v>
      </c>
      <c r="I500" s="86">
        <v>1.0</v>
      </c>
      <c r="J500" s="86">
        <v>8000.0</v>
      </c>
      <c r="K500" s="86">
        <v>560.0</v>
      </c>
      <c r="L500" s="86">
        <v>1.0</v>
      </c>
      <c r="M500" s="86">
        <v>2007.0</v>
      </c>
      <c r="N500" s="86">
        <v>1.0</v>
      </c>
      <c r="O500" s="141">
        <v>0.25</v>
      </c>
      <c r="P500" s="86">
        <v>9000.0</v>
      </c>
      <c r="Q500" s="86">
        <v>139.0</v>
      </c>
      <c r="R500" s="86">
        <v>1.0</v>
      </c>
      <c r="S500" s="86" t="s">
        <v>3657</v>
      </c>
      <c r="T500" s="86">
        <v>19.0</v>
      </c>
      <c r="U500" s="86">
        <v>0.5</v>
      </c>
      <c r="V500" s="86">
        <v>1000.0</v>
      </c>
      <c r="W500" s="86">
        <v>5825.0</v>
      </c>
      <c r="X500" s="86">
        <v>1.0</v>
      </c>
      <c r="Y500" s="86">
        <v>2006.0</v>
      </c>
      <c r="Z500" s="86">
        <v>1.0</v>
      </c>
      <c r="AA500" s="86">
        <v>0.03</v>
      </c>
    </row>
    <row r="501" ht="12.75" customHeight="1">
      <c r="A501" s="86">
        <v>1499.0</v>
      </c>
      <c r="B501" s="86" t="s">
        <v>4474</v>
      </c>
      <c r="C501" s="86">
        <v>150.0</v>
      </c>
      <c r="D501" s="86" t="s">
        <v>3654</v>
      </c>
      <c r="E501" s="86">
        <v>1.0</v>
      </c>
      <c r="F501" s="86">
        <v>0.143</v>
      </c>
      <c r="G501" s="86">
        <v>8001.0</v>
      </c>
      <c r="H501" s="86">
        <v>375.0</v>
      </c>
      <c r="I501" s="86">
        <v>1.0</v>
      </c>
      <c r="J501" s="86">
        <v>8000.0</v>
      </c>
      <c r="K501" s="86">
        <v>560.0</v>
      </c>
      <c r="L501" s="86">
        <v>1.0</v>
      </c>
      <c r="M501" s="86">
        <v>2007.0</v>
      </c>
      <c r="N501" s="86">
        <v>1.0</v>
      </c>
      <c r="O501" s="141">
        <v>0.25</v>
      </c>
      <c r="P501" s="86">
        <v>9000.0</v>
      </c>
      <c r="Q501" s="86">
        <v>140.0</v>
      </c>
      <c r="R501" s="86">
        <v>1.0</v>
      </c>
      <c r="S501" s="86" t="s">
        <v>3657</v>
      </c>
      <c r="T501" s="86">
        <v>19.0</v>
      </c>
      <c r="U501" s="86">
        <v>0.5</v>
      </c>
      <c r="V501" s="86">
        <v>1000.0</v>
      </c>
      <c r="W501" s="86">
        <v>5830.0</v>
      </c>
      <c r="X501" s="86">
        <v>1.0</v>
      </c>
      <c r="Y501" s="86">
        <v>2006.0</v>
      </c>
      <c r="Z501" s="86">
        <v>1.0</v>
      </c>
      <c r="AA501" s="86">
        <v>0.03</v>
      </c>
    </row>
    <row r="502" ht="12.75" customHeight="1">
      <c r="A502" s="86">
        <v>1500.0</v>
      </c>
      <c r="B502" s="86" t="s">
        <v>4475</v>
      </c>
      <c r="C502" s="86">
        <v>150.0</v>
      </c>
      <c r="D502" s="86" t="s">
        <v>3654</v>
      </c>
      <c r="E502" s="86">
        <v>1.0</v>
      </c>
      <c r="F502" s="86">
        <v>0.143</v>
      </c>
      <c r="G502" s="86">
        <v>8001.0</v>
      </c>
      <c r="H502" s="86">
        <v>375.0</v>
      </c>
      <c r="I502" s="86">
        <v>1.0</v>
      </c>
      <c r="J502" s="86">
        <v>8000.0</v>
      </c>
      <c r="K502" s="86">
        <v>560.0</v>
      </c>
      <c r="L502" s="86">
        <v>1.0</v>
      </c>
      <c r="M502" s="86">
        <v>2007.0</v>
      </c>
      <c r="N502" s="86">
        <v>1.0</v>
      </c>
      <c r="O502" s="141">
        <v>0.25</v>
      </c>
      <c r="P502" s="86">
        <v>9000.0</v>
      </c>
      <c r="Q502" s="86">
        <v>140.0</v>
      </c>
      <c r="R502" s="86">
        <v>1.0</v>
      </c>
      <c r="S502" s="86" t="s">
        <v>3657</v>
      </c>
      <c r="T502" s="86">
        <v>19.0</v>
      </c>
      <c r="U502" s="86">
        <v>0.5</v>
      </c>
      <c r="V502" s="86">
        <v>1000.0</v>
      </c>
      <c r="W502" s="86">
        <v>5840.0</v>
      </c>
      <c r="X502" s="86">
        <v>1.0</v>
      </c>
      <c r="Y502" s="86">
        <v>2006.0</v>
      </c>
      <c r="Z502" s="86">
        <v>1.0</v>
      </c>
      <c r="AA502" s="86">
        <v>0.03</v>
      </c>
    </row>
    <row r="503" ht="12.75" customHeight="1">
      <c r="A503" s="86">
        <v>1501.0</v>
      </c>
      <c r="B503" s="86" t="s">
        <v>4476</v>
      </c>
      <c r="C503" s="86">
        <v>150.0</v>
      </c>
      <c r="D503" s="86" t="s">
        <v>3654</v>
      </c>
      <c r="E503" s="86">
        <v>1.0</v>
      </c>
      <c r="F503" s="86">
        <v>0.143</v>
      </c>
      <c r="G503" s="86">
        <v>8001.0</v>
      </c>
      <c r="H503" s="86">
        <v>375.0</v>
      </c>
      <c r="I503" s="86">
        <v>1.0</v>
      </c>
      <c r="J503" s="86">
        <v>8000.0</v>
      </c>
      <c r="K503" s="86">
        <v>560.0</v>
      </c>
      <c r="L503" s="86">
        <v>1.0</v>
      </c>
      <c r="M503" s="86">
        <v>2007.0</v>
      </c>
      <c r="N503" s="86">
        <v>1.0</v>
      </c>
      <c r="O503" s="141">
        <v>0.25</v>
      </c>
      <c r="P503" s="86">
        <v>9000.0</v>
      </c>
      <c r="Q503" s="86">
        <v>140.0</v>
      </c>
      <c r="R503" s="86">
        <v>1.0</v>
      </c>
      <c r="S503" s="86" t="s">
        <v>3657</v>
      </c>
      <c r="T503" s="86">
        <v>19.0</v>
      </c>
      <c r="U503" s="86">
        <v>0.5</v>
      </c>
      <c r="V503" s="86">
        <v>1000.0</v>
      </c>
      <c r="W503" s="86">
        <v>5850.0</v>
      </c>
      <c r="X503" s="86">
        <v>1.0</v>
      </c>
      <c r="Y503" s="86">
        <v>2006.0</v>
      </c>
      <c r="Z503" s="86">
        <v>1.0</v>
      </c>
      <c r="AA503" s="86">
        <v>0.03</v>
      </c>
    </row>
    <row r="504" ht="12.75" customHeight="1">
      <c r="A504" s="86">
        <v>1502.0</v>
      </c>
      <c r="B504" s="86" t="s">
        <v>4477</v>
      </c>
      <c r="C504" s="86">
        <v>150.0</v>
      </c>
      <c r="D504" s="86" t="s">
        <v>3654</v>
      </c>
      <c r="E504" s="86">
        <v>1.0</v>
      </c>
      <c r="F504" s="86">
        <v>0.143</v>
      </c>
      <c r="G504" s="86">
        <v>8001.0</v>
      </c>
      <c r="H504" s="86">
        <v>375.0</v>
      </c>
      <c r="I504" s="86">
        <v>1.0</v>
      </c>
      <c r="J504" s="86">
        <v>8000.0</v>
      </c>
      <c r="K504" s="86">
        <v>560.0</v>
      </c>
      <c r="L504" s="86">
        <v>1.0</v>
      </c>
      <c r="M504" s="86">
        <v>2007.0</v>
      </c>
      <c r="N504" s="86">
        <v>1.0</v>
      </c>
      <c r="O504" s="141">
        <v>0.25</v>
      </c>
      <c r="P504" s="86">
        <v>9000.0</v>
      </c>
      <c r="Q504" s="86">
        <v>140.0</v>
      </c>
      <c r="R504" s="86">
        <v>1.0</v>
      </c>
      <c r="S504" s="86" t="s">
        <v>3657</v>
      </c>
      <c r="T504" s="86">
        <v>19.0</v>
      </c>
      <c r="U504" s="86">
        <v>0.5</v>
      </c>
      <c r="V504" s="86">
        <v>1000.0</v>
      </c>
      <c r="W504" s="86">
        <v>5855.0</v>
      </c>
      <c r="X504" s="86">
        <v>1.0</v>
      </c>
      <c r="Y504" s="86">
        <v>2006.0</v>
      </c>
      <c r="Z504" s="86">
        <v>1.0</v>
      </c>
      <c r="AA504" s="86">
        <v>0.03</v>
      </c>
    </row>
    <row r="505" ht="12.75" customHeight="1">
      <c r="A505" s="86">
        <v>1503.0</v>
      </c>
      <c r="B505" s="86" t="s">
        <v>4478</v>
      </c>
      <c r="C505" s="86">
        <v>150.0</v>
      </c>
      <c r="D505" s="86" t="s">
        <v>3654</v>
      </c>
      <c r="E505" s="86">
        <v>1.0</v>
      </c>
      <c r="F505" s="86">
        <v>0.143</v>
      </c>
      <c r="G505" s="86">
        <v>8001.0</v>
      </c>
      <c r="H505" s="86">
        <v>375.0</v>
      </c>
      <c r="I505" s="86">
        <v>1.0</v>
      </c>
      <c r="J505" s="86">
        <v>8000.0</v>
      </c>
      <c r="K505" s="86">
        <v>565.0</v>
      </c>
      <c r="L505" s="86">
        <v>1.0</v>
      </c>
      <c r="M505" s="86">
        <v>2007.0</v>
      </c>
      <c r="N505" s="86">
        <v>1.0</v>
      </c>
      <c r="O505" s="141">
        <v>0.25</v>
      </c>
      <c r="P505" s="86">
        <v>9000.0</v>
      </c>
      <c r="Q505" s="86">
        <v>140.0</v>
      </c>
      <c r="R505" s="86">
        <v>1.0</v>
      </c>
      <c r="S505" s="86" t="s">
        <v>3657</v>
      </c>
      <c r="T505" s="86">
        <v>19.0</v>
      </c>
      <c r="U505" s="86">
        <v>0.5</v>
      </c>
      <c r="V505" s="86">
        <v>1000.0</v>
      </c>
      <c r="W505" s="86">
        <v>5865.0</v>
      </c>
      <c r="X505" s="86">
        <v>1.0</v>
      </c>
      <c r="Y505" s="86">
        <v>2006.0</v>
      </c>
      <c r="Z505" s="86">
        <v>1.0</v>
      </c>
      <c r="AA505" s="86">
        <v>0.03</v>
      </c>
    </row>
    <row r="506" ht="12.75" customHeight="1">
      <c r="A506" s="86">
        <v>1504.0</v>
      </c>
      <c r="B506" s="86" t="s">
        <v>4479</v>
      </c>
      <c r="C506" s="86">
        <v>150.0</v>
      </c>
      <c r="D506" s="86" t="s">
        <v>3654</v>
      </c>
      <c r="E506" s="86">
        <v>1.0</v>
      </c>
      <c r="F506" s="86">
        <v>0.143</v>
      </c>
      <c r="G506" s="86">
        <v>8001.0</v>
      </c>
      <c r="H506" s="86">
        <v>375.0</v>
      </c>
      <c r="I506" s="86">
        <v>1.0</v>
      </c>
      <c r="J506" s="86">
        <v>8000.0</v>
      </c>
      <c r="K506" s="86">
        <v>565.0</v>
      </c>
      <c r="L506" s="86">
        <v>1.0</v>
      </c>
      <c r="M506" s="86">
        <v>2007.0</v>
      </c>
      <c r="N506" s="86">
        <v>1.0</v>
      </c>
      <c r="O506" s="141">
        <v>0.25</v>
      </c>
      <c r="P506" s="86">
        <v>9000.0</v>
      </c>
      <c r="Q506" s="86">
        <v>141.0</v>
      </c>
      <c r="R506" s="86">
        <v>1.0</v>
      </c>
      <c r="S506" s="86" t="s">
        <v>3657</v>
      </c>
      <c r="T506" s="86">
        <v>19.0</v>
      </c>
      <c r="U506" s="86">
        <v>0.5</v>
      </c>
      <c r="V506" s="86">
        <v>1000.0</v>
      </c>
      <c r="W506" s="86">
        <v>5870.0</v>
      </c>
      <c r="X506" s="86">
        <v>1.0</v>
      </c>
      <c r="Y506" s="86">
        <v>2006.0</v>
      </c>
      <c r="Z506" s="86">
        <v>1.0</v>
      </c>
      <c r="AA506" s="86">
        <v>0.03</v>
      </c>
    </row>
    <row r="507" ht="12.75" customHeight="1">
      <c r="A507" s="86">
        <v>1505.0</v>
      </c>
      <c r="B507" s="86" t="s">
        <v>4480</v>
      </c>
      <c r="C507" s="86">
        <v>150.0</v>
      </c>
      <c r="D507" s="86" t="s">
        <v>3654</v>
      </c>
      <c r="E507" s="86">
        <v>1.0</v>
      </c>
      <c r="F507" s="86">
        <v>0.143</v>
      </c>
      <c r="G507" s="86">
        <v>8001.0</v>
      </c>
      <c r="H507" s="86">
        <v>375.0</v>
      </c>
      <c r="I507" s="86">
        <v>1.0</v>
      </c>
      <c r="J507" s="86">
        <v>8000.0</v>
      </c>
      <c r="K507" s="86">
        <v>565.0</v>
      </c>
      <c r="L507" s="86">
        <v>1.0</v>
      </c>
      <c r="M507" s="86">
        <v>2007.0</v>
      </c>
      <c r="N507" s="86">
        <v>1.0</v>
      </c>
      <c r="O507" s="141">
        <v>0.25</v>
      </c>
      <c r="P507" s="86">
        <v>9000.0</v>
      </c>
      <c r="Q507" s="86">
        <v>141.0</v>
      </c>
      <c r="R507" s="86">
        <v>1.0</v>
      </c>
      <c r="S507" s="86" t="s">
        <v>3657</v>
      </c>
      <c r="T507" s="86">
        <v>19.0</v>
      </c>
      <c r="U507" s="86">
        <v>0.5</v>
      </c>
      <c r="V507" s="86">
        <v>1000.0</v>
      </c>
      <c r="W507" s="86">
        <v>5880.0</v>
      </c>
      <c r="X507" s="86">
        <v>1.0</v>
      </c>
      <c r="Y507" s="86">
        <v>2006.0</v>
      </c>
      <c r="Z507" s="86">
        <v>1.0</v>
      </c>
      <c r="AA507" s="86">
        <v>0.03</v>
      </c>
    </row>
    <row r="508" ht="12.75" customHeight="1">
      <c r="A508" s="86">
        <v>1506.0</v>
      </c>
      <c r="B508" s="86" t="s">
        <v>4481</v>
      </c>
      <c r="C508" s="86">
        <v>150.0</v>
      </c>
      <c r="D508" s="86" t="s">
        <v>3654</v>
      </c>
      <c r="E508" s="86">
        <v>1.0</v>
      </c>
      <c r="F508" s="86">
        <v>0.144</v>
      </c>
      <c r="G508" s="86">
        <v>8001.0</v>
      </c>
      <c r="H508" s="86">
        <v>375.0</v>
      </c>
      <c r="I508" s="86">
        <v>1.0</v>
      </c>
      <c r="J508" s="86">
        <v>8000.0</v>
      </c>
      <c r="K508" s="86">
        <v>565.0</v>
      </c>
      <c r="L508" s="86">
        <v>1.0</v>
      </c>
      <c r="M508" s="86">
        <v>2007.0</v>
      </c>
      <c r="N508" s="86">
        <v>1.0</v>
      </c>
      <c r="O508" s="141">
        <v>0.25</v>
      </c>
      <c r="P508" s="86">
        <v>9000.0</v>
      </c>
      <c r="Q508" s="86">
        <v>141.0</v>
      </c>
      <c r="R508" s="86">
        <v>1.0</v>
      </c>
      <c r="S508" s="86" t="s">
        <v>3657</v>
      </c>
      <c r="T508" s="86">
        <v>19.0</v>
      </c>
      <c r="U508" s="86">
        <v>0.5</v>
      </c>
      <c r="V508" s="86">
        <v>1000.0</v>
      </c>
      <c r="W508" s="86">
        <v>5885.0</v>
      </c>
      <c r="X508" s="86">
        <v>1.0</v>
      </c>
      <c r="Y508" s="86">
        <v>2006.0</v>
      </c>
      <c r="Z508" s="86">
        <v>1.0</v>
      </c>
      <c r="AA508" s="86">
        <v>0.03</v>
      </c>
    </row>
    <row r="509" ht="12.75" customHeight="1">
      <c r="A509" s="86">
        <v>1507.0</v>
      </c>
      <c r="B509" s="86" t="s">
        <v>4482</v>
      </c>
      <c r="C509" s="86">
        <v>150.0</v>
      </c>
      <c r="D509" s="86" t="s">
        <v>3654</v>
      </c>
      <c r="E509" s="86">
        <v>1.0</v>
      </c>
      <c r="F509" s="86">
        <v>0.144</v>
      </c>
      <c r="G509" s="86">
        <v>8001.0</v>
      </c>
      <c r="H509" s="86">
        <v>375.0</v>
      </c>
      <c r="I509" s="86">
        <v>1.0</v>
      </c>
      <c r="J509" s="86">
        <v>8000.0</v>
      </c>
      <c r="K509" s="86">
        <v>565.0</v>
      </c>
      <c r="L509" s="86">
        <v>1.0</v>
      </c>
      <c r="M509" s="86">
        <v>2007.0</v>
      </c>
      <c r="N509" s="86">
        <v>1.0</v>
      </c>
      <c r="O509" s="141">
        <v>0.25</v>
      </c>
      <c r="P509" s="86">
        <v>9000.0</v>
      </c>
      <c r="Q509" s="86">
        <v>141.0</v>
      </c>
      <c r="R509" s="86">
        <v>1.0</v>
      </c>
      <c r="S509" s="86" t="s">
        <v>3657</v>
      </c>
      <c r="T509" s="86">
        <v>19.0</v>
      </c>
      <c r="U509" s="86">
        <v>0.5</v>
      </c>
      <c r="V509" s="86">
        <v>1000.0</v>
      </c>
      <c r="W509" s="86">
        <v>5895.0</v>
      </c>
      <c r="X509" s="86">
        <v>1.0</v>
      </c>
      <c r="Y509" s="86">
        <v>2006.0</v>
      </c>
      <c r="Z509" s="86">
        <v>1.0</v>
      </c>
      <c r="AA509" s="86">
        <v>0.03</v>
      </c>
    </row>
    <row r="510" ht="12.75" customHeight="1">
      <c r="A510" s="86">
        <v>1508.0</v>
      </c>
      <c r="B510" s="86" t="s">
        <v>4483</v>
      </c>
      <c r="C510" s="86">
        <v>150.0</v>
      </c>
      <c r="D510" s="86" t="s">
        <v>3654</v>
      </c>
      <c r="E510" s="86">
        <v>1.0</v>
      </c>
      <c r="F510" s="86">
        <v>0.144</v>
      </c>
      <c r="G510" s="86">
        <v>8001.0</v>
      </c>
      <c r="H510" s="86">
        <v>380.0</v>
      </c>
      <c r="I510" s="86">
        <v>1.0</v>
      </c>
      <c r="J510" s="86">
        <v>8000.0</v>
      </c>
      <c r="K510" s="86">
        <v>565.0</v>
      </c>
      <c r="L510" s="86">
        <v>1.0</v>
      </c>
      <c r="M510" s="86">
        <v>2007.0</v>
      </c>
      <c r="N510" s="86">
        <v>1.0</v>
      </c>
      <c r="O510" s="141">
        <v>0.25</v>
      </c>
      <c r="P510" s="86">
        <v>9000.0</v>
      </c>
      <c r="Q510" s="86">
        <v>141.0</v>
      </c>
      <c r="R510" s="86">
        <v>1.0</v>
      </c>
      <c r="S510" s="86" t="s">
        <v>3657</v>
      </c>
      <c r="T510" s="86">
        <v>19.0</v>
      </c>
      <c r="U510" s="86">
        <v>0.5</v>
      </c>
      <c r="V510" s="86">
        <v>1000.0</v>
      </c>
      <c r="W510" s="86">
        <v>5900.0</v>
      </c>
      <c r="X510" s="86">
        <v>1.0</v>
      </c>
      <c r="Y510" s="86">
        <v>2006.0</v>
      </c>
      <c r="Z510" s="86">
        <v>1.0</v>
      </c>
      <c r="AA510" s="86">
        <v>0.03</v>
      </c>
    </row>
    <row r="511" ht="12.75" customHeight="1">
      <c r="A511" s="86">
        <v>1509.0</v>
      </c>
      <c r="B511" s="86" t="s">
        <v>4480</v>
      </c>
      <c r="C511" s="86">
        <v>150.0</v>
      </c>
      <c r="D511" s="86" t="s">
        <v>3654</v>
      </c>
      <c r="E511" s="86">
        <v>1.0</v>
      </c>
      <c r="F511" s="86">
        <v>0.144</v>
      </c>
      <c r="G511" s="86">
        <v>8001.0</v>
      </c>
      <c r="H511" s="86">
        <v>380.0</v>
      </c>
      <c r="I511" s="86">
        <v>1.0</v>
      </c>
      <c r="J511" s="86">
        <v>8000.0</v>
      </c>
      <c r="K511" s="86">
        <v>565.0</v>
      </c>
      <c r="L511" s="86">
        <v>1.0</v>
      </c>
      <c r="M511" s="86">
        <v>2007.0</v>
      </c>
      <c r="N511" s="86">
        <v>1.0</v>
      </c>
      <c r="O511" s="141">
        <v>0.25</v>
      </c>
      <c r="P511" s="86">
        <v>9000.0</v>
      </c>
      <c r="Q511" s="86">
        <v>141.0</v>
      </c>
      <c r="R511" s="86">
        <v>1.0</v>
      </c>
      <c r="S511" s="86" t="s">
        <v>3657</v>
      </c>
      <c r="T511" s="86">
        <v>19.0</v>
      </c>
      <c r="U511" s="86">
        <v>0.5</v>
      </c>
      <c r="V511" s="86">
        <v>1000.0</v>
      </c>
      <c r="W511" s="86">
        <v>5905.0</v>
      </c>
      <c r="X511" s="86">
        <v>1.0</v>
      </c>
      <c r="Y511" s="86">
        <v>2006.0</v>
      </c>
      <c r="Z511" s="86">
        <v>1.0</v>
      </c>
      <c r="AA511" s="86">
        <v>0.03</v>
      </c>
    </row>
    <row r="512" ht="12.75" customHeight="1">
      <c r="A512" s="86">
        <v>1510.0</v>
      </c>
      <c r="B512" s="86" t="s">
        <v>4484</v>
      </c>
      <c r="C512" s="86">
        <v>150.0</v>
      </c>
      <c r="D512" s="86" t="s">
        <v>3654</v>
      </c>
      <c r="E512" s="86">
        <v>1.0</v>
      </c>
      <c r="F512" s="86">
        <v>0.144</v>
      </c>
      <c r="G512" s="86">
        <v>8001.0</v>
      </c>
      <c r="H512" s="86">
        <v>380.0</v>
      </c>
      <c r="I512" s="86">
        <v>1.0</v>
      </c>
      <c r="J512" s="86">
        <v>8000.0</v>
      </c>
      <c r="K512" s="86">
        <v>570.0</v>
      </c>
      <c r="L512" s="86">
        <v>1.0</v>
      </c>
      <c r="M512" s="86">
        <v>2007.0</v>
      </c>
      <c r="N512" s="86">
        <v>1.0</v>
      </c>
      <c r="O512" s="141">
        <v>0.25</v>
      </c>
      <c r="P512" s="86">
        <v>9000.0</v>
      </c>
      <c r="Q512" s="86">
        <v>142.0</v>
      </c>
      <c r="R512" s="86">
        <v>1.0</v>
      </c>
      <c r="S512" s="86" t="s">
        <v>3657</v>
      </c>
      <c r="T512" s="86">
        <v>19.0</v>
      </c>
      <c r="U512" s="86">
        <v>0.5</v>
      </c>
      <c r="V512" s="86">
        <v>1000.0</v>
      </c>
      <c r="W512" s="86">
        <v>5915.0</v>
      </c>
      <c r="X512" s="86">
        <v>1.0</v>
      </c>
      <c r="Y512" s="86">
        <v>2006.0</v>
      </c>
      <c r="Z512" s="86">
        <v>1.0</v>
      </c>
      <c r="AA512" s="86">
        <v>0.03</v>
      </c>
    </row>
    <row r="513" ht="12.75" customHeight="1">
      <c r="A513" s="86">
        <v>1511.0</v>
      </c>
      <c r="B513" s="86" t="s">
        <v>4485</v>
      </c>
      <c r="C513" s="86">
        <v>150.0</v>
      </c>
      <c r="D513" s="86" t="s">
        <v>3654</v>
      </c>
      <c r="E513" s="86">
        <v>1.0</v>
      </c>
      <c r="F513" s="86">
        <v>0.144</v>
      </c>
      <c r="G513" s="86">
        <v>8001.0</v>
      </c>
      <c r="H513" s="86">
        <v>380.0</v>
      </c>
      <c r="I513" s="86">
        <v>1.0</v>
      </c>
      <c r="J513" s="86">
        <v>8000.0</v>
      </c>
      <c r="K513" s="86">
        <v>570.0</v>
      </c>
      <c r="L513" s="86">
        <v>1.0</v>
      </c>
      <c r="M513" s="86">
        <v>2007.0</v>
      </c>
      <c r="N513" s="86">
        <v>1.0</v>
      </c>
      <c r="O513" s="141">
        <v>0.25</v>
      </c>
      <c r="P513" s="86">
        <v>9000.0</v>
      </c>
      <c r="Q513" s="86">
        <v>142.0</v>
      </c>
      <c r="R513" s="86">
        <v>1.0</v>
      </c>
      <c r="S513" s="86" t="s">
        <v>3657</v>
      </c>
      <c r="T513" s="86">
        <v>19.0</v>
      </c>
      <c r="U513" s="86">
        <v>0.5</v>
      </c>
      <c r="V513" s="86">
        <v>1000.0</v>
      </c>
      <c r="W513" s="86">
        <v>5920.0</v>
      </c>
      <c r="X513" s="86">
        <v>1.0</v>
      </c>
      <c r="Y513" s="86">
        <v>2006.0</v>
      </c>
      <c r="Z513" s="86">
        <v>1.0</v>
      </c>
      <c r="AA513" s="86">
        <v>0.03</v>
      </c>
    </row>
    <row r="514" ht="12.75" customHeight="1">
      <c r="A514" s="86">
        <v>1512.0</v>
      </c>
      <c r="B514" s="86" t="s">
        <v>4486</v>
      </c>
      <c r="C514" s="86">
        <v>150.0</v>
      </c>
      <c r="D514" s="86" t="s">
        <v>3654</v>
      </c>
      <c r="E514" s="86">
        <v>1.0</v>
      </c>
      <c r="F514" s="86">
        <v>0.144</v>
      </c>
      <c r="G514" s="86">
        <v>8001.0</v>
      </c>
      <c r="H514" s="86">
        <v>380.0</v>
      </c>
      <c r="I514" s="86">
        <v>1.0</v>
      </c>
      <c r="J514" s="86">
        <v>8000.0</v>
      </c>
      <c r="K514" s="86">
        <v>570.0</v>
      </c>
      <c r="L514" s="86">
        <v>1.0</v>
      </c>
      <c r="M514" s="86">
        <v>2007.0</v>
      </c>
      <c r="N514" s="86">
        <v>1.0</v>
      </c>
      <c r="O514" s="141">
        <v>0.25</v>
      </c>
      <c r="P514" s="86">
        <v>9000.0</v>
      </c>
      <c r="Q514" s="86">
        <v>142.0</v>
      </c>
      <c r="R514" s="86">
        <v>1.0</v>
      </c>
      <c r="S514" s="86" t="s">
        <v>3657</v>
      </c>
      <c r="T514" s="86">
        <v>19.0</v>
      </c>
      <c r="U514" s="86">
        <v>0.5</v>
      </c>
      <c r="V514" s="86">
        <v>1000.0</v>
      </c>
      <c r="W514" s="86">
        <v>5930.0</v>
      </c>
      <c r="X514" s="86">
        <v>1.0</v>
      </c>
      <c r="Y514" s="86">
        <v>2006.0</v>
      </c>
      <c r="Z514" s="86">
        <v>1.0</v>
      </c>
      <c r="AA514" s="86">
        <v>0.03</v>
      </c>
    </row>
    <row r="515" ht="12.75" customHeight="1">
      <c r="A515" s="86">
        <v>1513.0</v>
      </c>
      <c r="B515" s="86" t="s">
        <v>4480</v>
      </c>
      <c r="C515" s="86">
        <v>150.0</v>
      </c>
      <c r="D515" s="86" t="s">
        <v>3654</v>
      </c>
      <c r="E515" s="86">
        <v>1.0</v>
      </c>
      <c r="F515" s="86">
        <v>0.144</v>
      </c>
      <c r="G515" s="86">
        <v>8001.0</v>
      </c>
      <c r="H515" s="86">
        <v>380.0</v>
      </c>
      <c r="I515" s="86">
        <v>1.0</v>
      </c>
      <c r="J515" s="86">
        <v>8000.0</v>
      </c>
      <c r="K515" s="86">
        <v>570.0</v>
      </c>
      <c r="L515" s="86">
        <v>1.0</v>
      </c>
      <c r="M515" s="86">
        <v>2007.0</v>
      </c>
      <c r="N515" s="86">
        <v>1.0</v>
      </c>
      <c r="O515" s="141">
        <v>0.25</v>
      </c>
      <c r="P515" s="86">
        <v>9000.0</v>
      </c>
      <c r="Q515" s="86">
        <v>142.0</v>
      </c>
      <c r="R515" s="86">
        <v>1.0</v>
      </c>
      <c r="S515" s="86" t="s">
        <v>3657</v>
      </c>
      <c r="T515" s="86">
        <v>19.0</v>
      </c>
      <c r="U515" s="86">
        <v>0.5</v>
      </c>
      <c r="V515" s="86">
        <v>1000.0</v>
      </c>
      <c r="W515" s="86">
        <v>5935.0</v>
      </c>
      <c r="X515" s="86">
        <v>1.0</v>
      </c>
      <c r="Y515" s="86">
        <v>2006.0</v>
      </c>
      <c r="Z515" s="86">
        <v>1.0</v>
      </c>
      <c r="AA515" s="86">
        <v>0.03</v>
      </c>
    </row>
    <row r="516" ht="12.75" customHeight="1">
      <c r="A516" s="86">
        <v>1514.0</v>
      </c>
      <c r="B516" s="86" t="s">
        <v>4487</v>
      </c>
      <c r="C516" s="86">
        <v>150.0</v>
      </c>
      <c r="D516" s="86" t="s">
        <v>3654</v>
      </c>
      <c r="E516" s="86">
        <v>1.0</v>
      </c>
      <c r="F516" s="86">
        <v>0.145</v>
      </c>
      <c r="G516" s="86">
        <v>8001.0</v>
      </c>
      <c r="H516" s="86">
        <v>380.0</v>
      </c>
      <c r="I516" s="86">
        <v>1.0</v>
      </c>
      <c r="J516" s="86">
        <v>8000.0</v>
      </c>
      <c r="K516" s="86">
        <v>570.0</v>
      </c>
      <c r="L516" s="86">
        <v>1.0</v>
      </c>
      <c r="M516" s="86">
        <v>2007.0</v>
      </c>
      <c r="N516" s="86">
        <v>1.0</v>
      </c>
      <c r="O516" s="141">
        <v>0.25</v>
      </c>
      <c r="P516" s="86">
        <v>9000.0</v>
      </c>
      <c r="Q516" s="86">
        <v>142.0</v>
      </c>
      <c r="R516" s="86">
        <v>1.0</v>
      </c>
      <c r="S516" s="86" t="s">
        <v>3657</v>
      </c>
      <c r="T516" s="86">
        <v>19.0</v>
      </c>
      <c r="U516" s="86">
        <v>0.5</v>
      </c>
      <c r="V516" s="86">
        <v>1000.0</v>
      </c>
      <c r="W516" s="86">
        <v>5940.0</v>
      </c>
      <c r="X516" s="86">
        <v>1.0</v>
      </c>
      <c r="Y516" s="86">
        <v>2006.0</v>
      </c>
      <c r="Z516" s="86">
        <v>1.0</v>
      </c>
      <c r="AA516" s="86">
        <v>0.03</v>
      </c>
    </row>
    <row r="517" ht="12.75" customHeight="1">
      <c r="A517" s="86">
        <v>1515.0</v>
      </c>
      <c r="B517" s="86" t="s">
        <v>4488</v>
      </c>
      <c r="C517" s="86">
        <v>150.0</v>
      </c>
      <c r="D517" s="86" t="s">
        <v>3654</v>
      </c>
      <c r="E517" s="86">
        <v>1.0</v>
      </c>
      <c r="F517" s="86">
        <v>0.145</v>
      </c>
      <c r="G517" s="86">
        <v>8001.0</v>
      </c>
      <c r="H517" s="86">
        <v>380.0</v>
      </c>
      <c r="I517" s="86">
        <v>1.0</v>
      </c>
      <c r="J517" s="86">
        <v>8000.0</v>
      </c>
      <c r="K517" s="86">
        <v>570.0</v>
      </c>
      <c r="L517" s="86">
        <v>1.0</v>
      </c>
      <c r="M517" s="86">
        <v>2007.0</v>
      </c>
      <c r="N517" s="86">
        <v>1.0</v>
      </c>
      <c r="O517" s="141">
        <v>0.25</v>
      </c>
      <c r="P517" s="86">
        <v>9000.0</v>
      </c>
      <c r="Q517" s="86">
        <v>143.0</v>
      </c>
      <c r="R517" s="86">
        <v>1.0</v>
      </c>
      <c r="S517" s="86" t="s">
        <v>3657</v>
      </c>
      <c r="T517" s="86">
        <v>19.0</v>
      </c>
      <c r="U517" s="86">
        <v>0.5</v>
      </c>
      <c r="V517" s="86">
        <v>1000.0</v>
      </c>
      <c r="W517" s="86">
        <v>5950.0</v>
      </c>
      <c r="X517" s="86">
        <v>1.0</v>
      </c>
      <c r="Y517" s="86">
        <v>2006.0</v>
      </c>
      <c r="Z517" s="86">
        <v>1.0</v>
      </c>
      <c r="AA517" s="86">
        <v>0.03</v>
      </c>
    </row>
    <row r="518" ht="12.75" customHeight="1">
      <c r="A518" s="86">
        <v>1516.0</v>
      </c>
      <c r="B518" s="86" t="s">
        <v>4489</v>
      </c>
      <c r="C518" s="86">
        <v>150.0</v>
      </c>
      <c r="D518" s="86" t="s">
        <v>3654</v>
      </c>
      <c r="E518" s="86">
        <v>1.0</v>
      </c>
      <c r="F518" s="86">
        <v>0.145</v>
      </c>
      <c r="G518" s="86">
        <v>8001.0</v>
      </c>
      <c r="H518" s="86">
        <v>380.0</v>
      </c>
      <c r="I518" s="86">
        <v>1.0</v>
      </c>
      <c r="J518" s="86">
        <v>8000.0</v>
      </c>
      <c r="K518" s="86">
        <v>570.0</v>
      </c>
      <c r="L518" s="86">
        <v>1.0</v>
      </c>
      <c r="M518" s="86">
        <v>2007.0</v>
      </c>
      <c r="N518" s="86">
        <v>1.0</v>
      </c>
      <c r="O518" s="141">
        <v>0.25</v>
      </c>
      <c r="P518" s="86">
        <v>9000.0</v>
      </c>
      <c r="Q518" s="86">
        <v>143.0</v>
      </c>
      <c r="R518" s="86">
        <v>1.0</v>
      </c>
      <c r="S518" s="86" t="s">
        <v>3657</v>
      </c>
      <c r="T518" s="86">
        <v>19.0</v>
      </c>
      <c r="U518" s="86">
        <v>0.5</v>
      </c>
      <c r="V518" s="86">
        <v>1000.0</v>
      </c>
      <c r="W518" s="86">
        <v>5955.0</v>
      </c>
      <c r="X518" s="86">
        <v>1.0</v>
      </c>
      <c r="Y518" s="86">
        <v>2006.0</v>
      </c>
      <c r="Z518" s="86">
        <v>1.0</v>
      </c>
      <c r="AA518" s="86">
        <v>0.03</v>
      </c>
    </row>
    <row r="519" ht="12.75" customHeight="1">
      <c r="A519" s="86">
        <v>1517.0</v>
      </c>
      <c r="B519" s="86" t="s">
        <v>4490</v>
      </c>
      <c r="C519" s="86">
        <v>150.0</v>
      </c>
      <c r="D519" s="86" t="s">
        <v>3654</v>
      </c>
      <c r="E519" s="86">
        <v>1.0</v>
      </c>
      <c r="F519" s="86">
        <v>0.145</v>
      </c>
      <c r="G519" s="86">
        <v>8001.0</v>
      </c>
      <c r="H519" s="86">
        <v>380.0</v>
      </c>
      <c r="I519" s="86">
        <v>1.0</v>
      </c>
      <c r="J519" s="86">
        <v>8000.0</v>
      </c>
      <c r="K519" s="86">
        <v>570.0</v>
      </c>
      <c r="L519" s="86">
        <v>1.0</v>
      </c>
      <c r="M519" s="86">
        <v>2007.0</v>
      </c>
      <c r="N519" s="86">
        <v>1.0</v>
      </c>
      <c r="O519" s="141">
        <v>0.25</v>
      </c>
      <c r="P519" s="86">
        <v>9000.0</v>
      </c>
      <c r="Q519" s="86">
        <v>143.0</v>
      </c>
      <c r="R519" s="86">
        <v>1.0</v>
      </c>
      <c r="S519" s="86" t="s">
        <v>3657</v>
      </c>
      <c r="T519" s="86">
        <v>19.0</v>
      </c>
      <c r="U519" s="86">
        <v>0.5</v>
      </c>
      <c r="V519" s="86">
        <v>1000.0</v>
      </c>
      <c r="W519" s="86">
        <v>5965.0</v>
      </c>
      <c r="X519" s="86">
        <v>1.0</v>
      </c>
      <c r="Y519" s="86">
        <v>2006.0</v>
      </c>
      <c r="Z519" s="86">
        <v>1.0</v>
      </c>
      <c r="AA519" s="86">
        <v>0.03</v>
      </c>
    </row>
    <row r="520" ht="12.75" customHeight="1">
      <c r="A520" s="86">
        <v>1518.0</v>
      </c>
      <c r="B520" s="86" t="s">
        <v>4491</v>
      </c>
      <c r="C520" s="86">
        <v>150.0</v>
      </c>
      <c r="D520" s="86" t="s">
        <v>3654</v>
      </c>
      <c r="E520" s="86">
        <v>1.0</v>
      </c>
      <c r="F520" s="86">
        <v>0.145</v>
      </c>
      <c r="G520" s="86">
        <v>8001.0</v>
      </c>
      <c r="H520" s="86">
        <v>380.0</v>
      </c>
      <c r="I520" s="86">
        <v>1.0</v>
      </c>
      <c r="J520" s="86">
        <v>8000.0</v>
      </c>
      <c r="K520" s="86">
        <v>575.0</v>
      </c>
      <c r="L520" s="86">
        <v>1.0</v>
      </c>
      <c r="M520" s="86">
        <v>2007.0</v>
      </c>
      <c r="N520" s="86">
        <v>1.0</v>
      </c>
      <c r="O520" s="141">
        <v>0.25</v>
      </c>
      <c r="P520" s="86">
        <v>9000.0</v>
      </c>
      <c r="Q520" s="86">
        <v>143.0</v>
      </c>
      <c r="R520" s="86">
        <v>1.0</v>
      </c>
      <c r="S520" s="86" t="s">
        <v>3657</v>
      </c>
      <c r="T520" s="86">
        <v>19.0</v>
      </c>
      <c r="U520" s="86">
        <v>0.5</v>
      </c>
      <c r="V520" s="86">
        <v>1000.0</v>
      </c>
      <c r="W520" s="86">
        <v>5970.0</v>
      </c>
      <c r="X520" s="86">
        <v>1.0</v>
      </c>
      <c r="Y520" s="86">
        <v>2006.0</v>
      </c>
      <c r="Z520" s="86">
        <v>1.0</v>
      </c>
      <c r="AA520" s="86">
        <v>0.03</v>
      </c>
    </row>
    <row r="521" ht="12.75" customHeight="1">
      <c r="A521" s="86">
        <v>1519.0</v>
      </c>
      <c r="B521" s="86" t="s">
        <v>4489</v>
      </c>
      <c r="C521" s="86">
        <v>150.0</v>
      </c>
      <c r="D521" s="86" t="s">
        <v>3654</v>
      </c>
      <c r="E521" s="86">
        <v>1.0</v>
      </c>
      <c r="F521" s="86">
        <v>0.145</v>
      </c>
      <c r="G521" s="86">
        <v>8001.0</v>
      </c>
      <c r="H521" s="86">
        <v>380.0</v>
      </c>
      <c r="I521" s="86">
        <v>1.0</v>
      </c>
      <c r="J521" s="86">
        <v>8000.0</v>
      </c>
      <c r="K521" s="86">
        <v>575.0</v>
      </c>
      <c r="L521" s="86">
        <v>1.0</v>
      </c>
      <c r="M521" s="86">
        <v>2007.0</v>
      </c>
      <c r="N521" s="86">
        <v>1.0</v>
      </c>
      <c r="O521" s="141">
        <v>0.25</v>
      </c>
      <c r="P521" s="86">
        <v>9000.0</v>
      </c>
      <c r="Q521" s="86">
        <v>143.0</v>
      </c>
      <c r="R521" s="86">
        <v>1.0</v>
      </c>
      <c r="S521" s="86" t="s">
        <v>3657</v>
      </c>
      <c r="T521" s="86">
        <v>19.0</v>
      </c>
      <c r="U521" s="86">
        <v>0.5</v>
      </c>
      <c r="V521" s="86">
        <v>1000.0</v>
      </c>
      <c r="W521" s="86">
        <v>5975.0</v>
      </c>
      <c r="X521" s="86">
        <v>1.0</v>
      </c>
      <c r="Y521" s="86">
        <v>2006.0</v>
      </c>
      <c r="Z521" s="86">
        <v>1.0</v>
      </c>
      <c r="AA521" s="86">
        <v>0.03</v>
      </c>
    </row>
    <row r="522" ht="12.75" customHeight="1">
      <c r="A522" s="86">
        <v>1520.0</v>
      </c>
      <c r="B522" s="86" t="s">
        <v>4492</v>
      </c>
      <c r="C522" s="86">
        <v>150.0</v>
      </c>
      <c r="D522" s="86" t="s">
        <v>3654</v>
      </c>
      <c r="E522" s="86">
        <v>1.0</v>
      </c>
      <c r="F522" s="86">
        <v>0.145</v>
      </c>
      <c r="G522" s="86">
        <v>8001.0</v>
      </c>
      <c r="H522" s="86">
        <v>385.0</v>
      </c>
      <c r="I522" s="86">
        <v>1.0</v>
      </c>
      <c r="J522" s="86">
        <v>8000.0</v>
      </c>
      <c r="K522" s="86">
        <v>575.0</v>
      </c>
      <c r="L522" s="86">
        <v>1.0</v>
      </c>
      <c r="M522" s="86">
        <v>2007.0</v>
      </c>
      <c r="N522" s="86">
        <v>1.0</v>
      </c>
      <c r="O522" s="141">
        <v>0.25</v>
      </c>
      <c r="P522" s="86">
        <v>9000.0</v>
      </c>
      <c r="Q522" s="86">
        <v>143.0</v>
      </c>
      <c r="R522" s="86">
        <v>1.0</v>
      </c>
      <c r="S522" s="86" t="s">
        <v>3657</v>
      </c>
      <c r="T522" s="86">
        <v>19.0</v>
      </c>
      <c r="U522" s="86">
        <v>0.5</v>
      </c>
      <c r="V522" s="86">
        <v>1000.0</v>
      </c>
      <c r="W522" s="86">
        <v>5980.0</v>
      </c>
      <c r="X522" s="86">
        <v>1.0</v>
      </c>
      <c r="Y522" s="86">
        <v>2006.0</v>
      </c>
      <c r="Z522" s="86">
        <v>1.0</v>
      </c>
      <c r="AA522" s="86">
        <v>0.03</v>
      </c>
    </row>
    <row r="523" ht="12.75" customHeight="1">
      <c r="A523" s="86">
        <v>1521.0</v>
      </c>
      <c r="B523" s="86" t="s">
        <v>4493</v>
      </c>
      <c r="C523" s="86">
        <v>150.0</v>
      </c>
      <c r="D523" s="86" t="s">
        <v>3654</v>
      </c>
      <c r="E523" s="86">
        <v>1.0</v>
      </c>
      <c r="F523" s="86">
        <v>0.145</v>
      </c>
      <c r="G523" s="86">
        <v>8001.0</v>
      </c>
      <c r="H523" s="86">
        <v>385.0</v>
      </c>
      <c r="I523" s="86">
        <v>1.0</v>
      </c>
      <c r="J523" s="86">
        <v>8000.0</v>
      </c>
      <c r="K523" s="86">
        <v>575.0</v>
      </c>
      <c r="L523" s="86">
        <v>1.0</v>
      </c>
      <c r="M523" s="86">
        <v>2007.0</v>
      </c>
      <c r="N523" s="86">
        <v>1.0</v>
      </c>
      <c r="O523" s="141">
        <v>0.25</v>
      </c>
      <c r="P523" s="86">
        <v>9000.0</v>
      </c>
      <c r="Q523" s="86">
        <v>143.0</v>
      </c>
      <c r="R523" s="86">
        <v>1.0</v>
      </c>
      <c r="S523" s="86" t="s">
        <v>3657</v>
      </c>
      <c r="T523" s="86">
        <v>19.0</v>
      </c>
      <c r="U523" s="86">
        <v>0.5</v>
      </c>
      <c r="V523" s="86">
        <v>1000.0</v>
      </c>
      <c r="W523" s="86">
        <v>5990.0</v>
      </c>
      <c r="X523" s="86">
        <v>1.0</v>
      </c>
      <c r="Y523" s="86">
        <v>2006.0</v>
      </c>
      <c r="Z523" s="86">
        <v>1.0</v>
      </c>
      <c r="AA523" s="86">
        <v>0.03</v>
      </c>
    </row>
    <row r="524" ht="12.75" customHeight="1">
      <c r="A524" s="86">
        <v>1522.0</v>
      </c>
      <c r="B524" s="86" t="s">
        <v>4494</v>
      </c>
      <c r="C524" s="86">
        <v>150.0</v>
      </c>
      <c r="D524" s="86" t="s">
        <v>3654</v>
      </c>
      <c r="E524" s="86">
        <v>1.0</v>
      </c>
      <c r="F524" s="86">
        <v>0.145</v>
      </c>
      <c r="G524" s="86">
        <v>8001.0</v>
      </c>
      <c r="H524" s="86">
        <v>385.0</v>
      </c>
      <c r="I524" s="86">
        <v>1.0</v>
      </c>
      <c r="J524" s="86">
        <v>8000.0</v>
      </c>
      <c r="K524" s="86">
        <v>575.0</v>
      </c>
      <c r="L524" s="86">
        <v>1.0</v>
      </c>
      <c r="M524" s="86">
        <v>2007.0</v>
      </c>
      <c r="N524" s="86">
        <v>1.0</v>
      </c>
      <c r="O524" s="141">
        <v>0.25</v>
      </c>
      <c r="P524" s="86">
        <v>9000.0</v>
      </c>
      <c r="Q524" s="86">
        <v>144.0</v>
      </c>
      <c r="R524" s="86">
        <v>1.0</v>
      </c>
      <c r="S524" s="86" t="s">
        <v>3657</v>
      </c>
      <c r="T524" s="86">
        <v>19.0</v>
      </c>
      <c r="U524" s="86">
        <v>0.5</v>
      </c>
      <c r="V524" s="86">
        <v>1000.0</v>
      </c>
      <c r="W524" s="86">
        <v>5995.0</v>
      </c>
      <c r="X524" s="86">
        <v>1.0</v>
      </c>
      <c r="Y524" s="86">
        <v>2006.0</v>
      </c>
      <c r="Z524" s="86">
        <v>1.0</v>
      </c>
      <c r="AA524" s="86">
        <v>0.03</v>
      </c>
    </row>
    <row r="525" ht="12.75" customHeight="1">
      <c r="A525" s="86">
        <v>1523.0</v>
      </c>
      <c r="B525" s="86" t="s">
        <v>4481</v>
      </c>
      <c r="C525" s="86">
        <v>150.0</v>
      </c>
      <c r="D525" s="86" t="s">
        <v>3654</v>
      </c>
      <c r="E525" s="86">
        <v>1.0</v>
      </c>
      <c r="F525" s="86">
        <v>0.146</v>
      </c>
      <c r="G525" s="86">
        <v>8001.0</v>
      </c>
      <c r="H525" s="86">
        <v>385.0</v>
      </c>
      <c r="I525" s="86">
        <v>1.0</v>
      </c>
      <c r="J525" s="86">
        <v>8000.0</v>
      </c>
      <c r="K525" s="86">
        <v>575.0</v>
      </c>
      <c r="L525" s="86">
        <v>1.0</v>
      </c>
      <c r="M525" s="86">
        <v>2007.0</v>
      </c>
      <c r="N525" s="86">
        <v>1.0</v>
      </c>
      <c r="O525" s="141">
        <v>0.25</v>
      </c>
      <c r="P525" s="86">
        <v>9000.0</v>
      </c>
      <c r="Q525" s="86">
        <v>144.0</v>
      </c>
      <c r="R525" s="86">
        <v>1.0</v>
      </c>
      <c r="S525" s="86" t="s">
        <v>3657</v>
      </c>
      <c r="T525" s="86">
        <v>19.0</v>
      </c>
      <c r="U525" s="86">
        <v>0.5</v>
      </c>
      <c r="V525" s="86">
        <v>1000.0</v>
      </c>
      <c r="W525" s="86">
        <v>6000.0</v>
      </c>
      <c r="X525" s="86">
        <v>1.0</v>
      </c>
      <c r="Y525" s="86">
        <v>2006.0</v>
      </c>
      <c r="Z525" s="86">
        <v>1.0</v>
      </c>
      <c r="AA525" s="86">
        <v>0.03</v>
      </c>
    </row>
    <row r="526" ht="12.75" customHeight="1">
      <c r="A526" s="86">
        <v>1524.0</v>
      </c>
      <c r="B526" s="86" t="s">
        <v>4495</v>
      </c>
      <c r="C526" s="86">
        <v>150.0</v>
      </c>
      <c r="D526" s="86" t="s">
        <v>3654</v>
      </c>
      <c r="E526" s="86">
        <v>1.0</v>
      </c>
      <c r="F526" s="86">
        <v>0.146</v>
      </c>
      <c r="G526" s="86">
        <v>8001.0</v>
      </c>
      <c r="H526" s="86">
        <v>385.0</v>
      </c>
      <c r="I526" s="86">
        <v>1.0</v>
      </c>
      <c r="J526" s="86">
        <v>8000.0</v>
      </c>
      <c r="K526" s="86">
        <v>575.0</v>
      </c>
      <c r="L526" s="86">
        <v>1.0</v>
      </c>
      <c r="M526" s="86">
        <v>2007.0</v>
      </c>
      <c r="N526" s="86">
        <v>1.0</v>
      </c>
      <c r="O526" s="141">
        <v>0.25</v>
      </c>
      <c r="P526" s="86">
        <v>9000.0</v>
      </c>
      <c r="Q526" s="86">
        <v>144.0</v>
      </c>
      <c r="R526" s="86">
        <v>1.0</v>
      </c>
      <c r="S526" s="86" t="s">
        <v>3657</v>
      </c>
      <c r="T526" s="86">
        <v>19.0</v>
      </c>
      <c r="U526" s="86">
        <v>0.5</v>
      </c>
      <c r="V526" s="86">
        <v>1000.0</v>
      </c>
      <c r="W526" s="86">
        <v>6010.0</v>
      </c>
      <c r="X526" s="86">
        <v>1.0</v>
      </c>
      <c r="Y526" s="86">
        <v>2006.0</v>
      </c>
      <c r="Z526" s="86">
        <v>1.0</v>
      </c>
      <c r="AA526" s="86">
        <v>0.03</v>
      </c>
    </row>
    <row r="527" ht="12.75" customHeight="1">
      <c r="A527" s="86">
        <v>1525.0</v>
      </c>
      <c r="B527" s="86" t="s">
        <v>4488</v>
      </c>
      <c r="C527" s="86">
        <v>150.0</v>
      </c>
      <c r="D527" s="86" t="s">
        <v>3654</v>
      </c>
      <c r="E527" s="86">
        <v>1.0</v>
      </c>
      <c r="F527" s="86">
        <v>0.146</v>
      </c>
      <c r="G527" s="86">
        <v>8001.0</v>
      </c>
      <c r="H527" s="86">
        <v>385.0</v>
      </c>
      <c r="I527" s="86">
        <v>1.0</v>
      </c>
      <c r="J527" s="86">
        <v>8000.0</v>
      </c>
      <c r="K527" s="86">
        <v>575.0</v>
      </c>
      <c r="L527" s="86">
        <v>1.0</v>
      </c>
      <c r="M527" s="86">
        <v>2007.0</v>
      </c>
      <c r="N527" s="86">
        <v>1.0</v>
      </c>
      <c r="O527" s="141">
        <v>0.25</v>
      </c>
      <c r="P527" s="86">
        <v>9000.0</v>
      </c>
      <c r="Q527" s="86">
        <v>144.0</v>
      </c>
      <c r="R527" s="86">
        <v>1.0</v>
      </c>
      <c r="S527" s="86" t="s">
        <v>3657</v>
      </c>
      <c r="T527" s="86">
        <v>19.0</v>
      </c>
      <c r="U527" s="86">
        <v>0.5</v>
      </c>
      <c r="V527" s="86">
        <v>1000.0</v>
      </c>
      <c r="W527" s="86">
        <v>6015.0</v>
      </c>
      <c r="X527" s="86">
        <v>1.0</v>
      </c>
      <c r="Y527" s="86">
        <v>2006.0</v>
      </c>
      <c r="Z527" s="86">
        <v>1.0</v>
      </c>
      <c r="AA527" s="86">
        <v>0.03</v>
      </c>
    </row>
    <row r="528" ht="12.75" customHeight="1">
      <c r="A528" s="86">
        <v>1526.0</v>
      </c>
      <c r="B528" s="86" t="s">
        <v>4496</v>
      </c>
      <c r="C528" s="86">
        <v>150.0</v>
      </c>
      <c r="D528" s="86" t="s">
        <v>3654</v>
      </c>
      <c r="E528" s="86">
        <v>1.0</v>
      </c>
      <c r="F528" s="86">
        <v>0.146</v>
      </c>
      <c r="G528" s="86">
        <v>8001.0</v>
      </c>
      <c r="H528" s="86">
        <v>385.0</v>
      </c>
      <c r="I528" s="86">
        <v>1.0</v>
      </c>
      <c r="J528" s="86">
        <v>8000.0</v>
      </c>
      <c r="K528" s="86">
        <v>580.0</v>
      </c>
      <c r="L528" s="86">
        <v>1.0</v>
      </c>
      <c r="M528" s="86">
        <v>2007.0</v>
      </c>
      <c r="N528" s="86">
        <v>1.0</v>
      </c>
      <c r="O528" s="141">
        <v>0.25</v>
      </c>
      <c r="P528" s="86">
        <v>9000.0</v>
      </c>
      <c r="Q528" s="86">
        <v>144.0</v>
      </c>
      <c r="R528" s="86">
        <v>1.0</v>
      </c>
      <c r="S528" s="86" t="s">
        <v>3657</v>
      </c>
      <c r="T528" s="86">
        <v>19.0</v>
      </c>
      <c r="U528" s="86">
        <v>0.5</v>
      </c>
      <c r="V528" s="86">
        <v>1000.0</v>
      </c>
      <c r="W528" s="86">
        <v>6020.0</v>
      </c>
      <c r="X528" s="86">
        <v>1.0</v>
      </c>
      <c r="Y528" s="86">
        <v>2006.0</v>
      </c>
      <c r="Z528" s="86">
        <v>1.0</v>
      </c>
      <c r="AA528" s="86">
        <v>0.03</v>
      </c>
    </row>
    <row r="529" ht="12.75" customHeight="1">
      <c r="A529" s="86">
        <v>1527.0</v>
      </c>
      <c r="B529" s="86" t="s">
        <v>4495</v>
      </c>
      <c r="C529" s="86">
        <v>150.0</v>
      </c>
      <c r="D529" s="86" t="s">
        <v>3654</v>
      </c>
      <c r="E529" s="86">
        <v>1.0</v>
      </c>
      <c r="F529" s="86">
        <v>0.146</v>
      </c>
      <c r="G529" s="86">
        <v>8001.0</v>
      </c>
      <c r="H529" s="86">
        <v>385.0</v>
      </c>
      <c r="I529" s="86">
        <v>1.0</v>
      </c>
      <c r="J529" s="86">
        <v>8000.0</v>
      </c>
      <c r="K529" s="86">
        <v>580.0</v>
      </c>
      <c r="L529" s="86">
        <v>1.0</v>
      </c>
      <c r="M529" s="86">
        <v>2007.0</v>
      </c>
      <c r="N529" s="86">
        <v>1.0</v>
      </c>
      <c r="O529" s="141">
        <v>0.25</v>
      </c>
      <c r="P529" s="86">
        <v>9000.0</v>
      </c>
      <c r="Q529" s="86">
        <v>144.0</v>
      </c>
      <c r="R529" s="86">
        <v>1.0</v>
      </c>
      <c r="S529" s="86" t="s">
        <v>3657</v>
      </c>
      <c r="T529" s="86">
        <v>19.0</v>
      </c>
      <c r="U529" s="86">
        <v>0.5</v>
      </c>
      <c r="V529" s="86">
        <v>1000.0</v>
      </c>
      <c r="W529" s="86">
        <v>6025.0</v>
      </c>
      <c r="X529" s="86">
        <v>1.0</v>
      </c>
      <c r="Y529" s="86">
        <v>2006.0</v>
      </c>
      <c r="Z529" s="86">
        <v>1.0</v>
      </c>
      <c r="AA529" s="86">
        <v>0.03</v>
      </c>
    </row>
    <row r="530" ht="12.75" customHeight="1">
      <c r="A530" s="86">
        <v>1528.0</v>
      </c>
      <c r="B530" s="86" t="s">
        <v>4497</v>
      </c>
      <c r="C530" s="86">
        <v>150.0</v>
      </c>
      <c r="D530" s="86" t="s">
        <v>3654</v>
      </c>
      <c r="E530" s="86">
        <v>1.0</v>
      </c>
      <c r="F530" s="86">
        <v>0.146</v>
      </c>
      <c r="G530" s="86">
        <v>8001.0</v>
      </c>
      <c r="H530" s="86">
        <v>385.0</v>
      </c>
      <c r="I530" s="86">
        <v>1.0</v>
      </c>
      <c r="J530" s="86">
        <v>8000.0</v>
      </c>
      <c r="K530" s="86">
        <v>580.0</v>
      </c>
      <c r="L530" s="86">
        <v>1.0</v>
      </c>
      <c r="M530" s="86">
        <v>2007.0</v>
      </c>
      <c r="N530" s="86">
        <v>1.0</v>
      </c>
      <c r="O530" s="141">
        <v>0.25</v>
      </c>
      <c r="P530" s="86">
        <v>9000.0</v>
      </c>
      <c r="Q530" s="86">
        <v>145.0</v>
      </c>
      <c r="R530" s="86">
        <v>1.0</v>
      </c>
      <c r="S530" s="86" t="s">
        <v>3657</v>
      </c>
      <c r="T530" s="86">
        <v>19.0</v>
      </c>
      <c r="U530" s="86">
        <v>0.5</v>
      </c>
      <c r="V530" s="86">
        <v>1000.0</v>
      </c>
      <c r="W530" s="86">
        <v>6030.0</v>
      </c>
      <c r="X530" s="86">
        <v>1.0</v>
      </c>
      <c r="Y530" s="86">
        <v>2006.0</v>
      </c>
      <c r="Z530" s="86">
        <v>1.0</v>
      </c>
      <c r="AA530" s="86">
        <v>0.03</v>
      </c>
    </row>
    <row r="531" ht="12.75" customHeight="1">
      <c r="A531" s="86">
        <v>1529.0</v>
      </c>
      <c r="B531" s="86" t="s">
        <v>4489</v>
      </c>
      <c r="C531" s="86">
        <v>150.0</v>
      </c>
      <c r="D531" s="86" t="s">
        <v>3654</v>
      </c>
      <c r="E531" s="86">
        <v>1.0</v>
      </c>
      <c r="F531" s="86">
        <v>0.146</v>
      </c>
      <c r="G531" s="86">
        <v>8001.0</v>
      </c>
      <c r="H531" s="86">
        <v>385.0</v>
      </c>
      <c r="I531" s="86">
        <v>1.0</v>
      </c>
      <c r="J531" s="86">
        <v>8000.0</v>
      </c>
      <c r="K531" s="86">
        <v>580.0</v>
      </c>
      <c r="L531" s="86">
        <v>1.0</v>
      </c>
      <c r="M531" s="86">
        <v>2007.0</v>
      </c>
      <c r="N531" s="86">
        <v>1.0</v>
      </c>
      <c r="O531" s="141">
        <v>0.25</v>
      </c>
      <c r="P531" s="86">
        <v>9000.0</v>
      </c>
      <c r="Q531" s="86">
        <v>145.0</v>
      </c>
      <c r="R531" s="86">
        <v>1.0</v>
      </c>
      <c r="S531" s="86" t="s">
        <v>3657</v>
      </c>
      <c r="T531" s="86">
        <v>19.0</v>
      </c>
      <c r="U531" s="86">
        <v>0.5</v>
      </c>
      <c r="V531" s="86">
        <v>1000.0</v>
      </c>
      <c r="W531" s="86">
        <v>6035.0</v>
      </c>
      <c r="X531" s="86">
        <v>1.0</v>
      </c>
      <c r="Y531" s="86">
        <v>2006.0</v>
      </c>
      <c r="Z531" s="86">
        <v>1.0</v>
      </c>
      <c r="AA531" s="86">
        <v>0.03</v>
      </c>
    </row>
    <row r="532" ht="12.75" customHeight="1">
      <c r="A532" s="86">
        <v>1530.0</v>
      </c>
      <c r="B532" s="86" t="s">
        <v>4484</v>
      </c>
      <c r="C532" s="86">
        <v>150.0</v>
      </c>
      <c r="D532" s="86" t="s">
        <v>3654</v>
      </c>
      <c r="E532" s="86">
        <v>1.0</v>
      </c>
      <c r="F532" s="86">
        <v>0.146</v>
      </c>
      <c r="G532" s="86">
        <v>8001.0</v>
      </c>
      <c r="H532" s="86">
        <v>385.0</v>
      </c>
      <c r="I532" s="86">
        <v>1.0</v>
      </c>
      <c r="J532" s="86">
        <v>8000.0</v>
      </c>
      <c r="K532" s="86">
        <v>580.0</v>
      </c>
      <c r="L532" s="86">
        <v>1.0</v>
      </c>
      <c r="M532" s="86">
        <v>2007.0</v>
      </c>
      <c r="N532" s="86">
        <v>1.0</v>
      </c>
      <c r="O532" s="141">
        <v>0.25</v>
      </c>
      <c r="P532" s="86">
        <v>9000.0</v>
      </c>
      <c r="Q532" s="86">
        <v>145.0</v>
      </c>
      <c r="R532" s="86">
        <v>1.0</v>
      </c>
      <c r="S532" s="86" t="s">
        <v>3657</v>
      </c>
      <c r="T532" s="86">
        <v>19.0</v>
      </c>
      <c r="U532" s="86">
        <v>0.5</v>
      </c>
      <c r="V532" s="86">
        <v>1000.0</v>
      </c>
      <c r="W532" s="86">
        <v>6045.0</v>
      </c>
      <c r="X532" s="86">
        <v>1.0</v>
      </c>
      <c r="Y532" s="86">
        <v>2006.0</v>
      </c>
      <c r="Z532" s="86">
        <v>1.0</v>
      </c>
      <c r="AA532" s="86">
        <v>0.03</v>
      </c>
    </row>
    <row r="533" ht="12.75" customHeight="1">
      <c r="A533" s="86">
        <v>1531.0</v>
      </c>
      <c r="B533" s="86" t="s">
        <v>4498</v>
      </c>
      <c r="C533" s="86">
        <v>150.0</v>
      </c>
      <c r="D533" s="86" t="s">
        <v>3654</v>
      </c>
      <c r="E533" s="86">
        <v>1.0</v>
      </c>
      <c r="F533" s="86">
        <v>0.146</v>
      </c>
      <c r="G533" s="86">
        <v>8001.0</v>
      </c>
      <c r="H533" s="86">
        <v>385.0</v>
      </c>
      <c r="I533" s="86">
        <v>1.0</v>
      </c>
      <c r="J533" s="86">
        <v>8000.0</v>
      </c>
      <c r="K533" s="86">
        <v>580.0</v>
      </c>
      <c r="L533" s="86">
        <v>1.0</v>
      </c>
      <c r="M533" s="86">
        <v>2007.0</v>
      </c>
      <c r="N533" s="86">
        <v>1.0</v>
      </c>
      <c r="O533" s="141">
        <v>0.25</v>
      </c>
      <c r="P533" s="86">
        <v>9000.0</v>
      </c>
      <c r="Q533" s="86">
        <v>145.0</v>
      </c>
      <c r="R533" s="86">
        <v>1.0</v>
      </c>
      <c r="S533" s="86" t="s">
        <v>3657</v>
      </c>
      <c r="T533" s="86">
        <v>19.0</v>
      </c>
      <c r="U533" s="86">
        <v>0.5</v>
      </c>
      <c r="V533" s="86">
        <v>1000.0</v>
      </c>
      <c r="W533" s="86">
        <v>6050.0</v>
      </c>
      <c r="X533" s="86">
        <v>1.0</v>
      </c>
      <c r="Y533" s="86">
        <v>2006.0</v>
      </c>
      <c r="Z533" s="86">
        <v>1.0</v>
      </c>
      <c r="AA533" s="86">
        <v>0.03</v>
      </c>
    </row>
    <row r="534" ht="12.75" customHeight="1">
      <c r="A534" s="86">
        <v>1532.0</v>
      </c>
      <c r="B534" s="86" t="s">
        <v>4499</v>
      </c>
      <c r="C534" s="86">
        <v>150.0</v>
      </c>
      <c r="D534" s="86" t="s">
        <v>3654</v>
      </c>
      <c r="E534" s="86">
        <v>1.0</v>
      </c>
      <c r="F534" s="86">
        <v>0.147</v>
      </c>
      <c r="G534" s="86">
        <v>8001.0</v>
      </c>
      <c r="H534" s="86">
        <v>385.0</v>
      </c>
      <c r="I534" s="86">
        <v>1.0</v>
      </c>
      <c r="J534" s="86">
        <v>8000.0</v>
      </c>
      <c r="K534" s="86">
        <v>580.0</v>
      </c>
      <c r="L534" s="86">
        <v>1.0</v>
      </c>
      <c r="M534" s="86">
        <v>2007.0</v>
      </c>
      <c r="N534" s="86">
        <v>1.0</v>
      </c>
      <c r="O534" s="141">
        <v>0.25</v>
      </c>
      <c r="P534" s="86">
        <v>9000.0</v>
      </c>
      <c r="Q534" s="86">
        <v>145.0</v>
      </c>
      <c r="R534" s="86">
        <v>1.0</v>
      </c>
      <c r="S534" s="86" t="s">
        <v>3657</v>
      </c>
      <c r="T534" s="86">
        <v>19.0</v>
      </c>
      <c r="U534" s="86">
        <v>0.5</v>
      </c>
      <c r="V534" s="86">
        <v>1000.0</v>
      </c>
      <c r="W534" s="86">
        <v>6055.0</v>
      </c>
      <c r="X534" s="86">
        <v>1.0</v>
      </c>
      <c r="Y534" s="86">
        <v>2006.0</v>
      </c>
      <c r="Z534" s="86">
        <v>1.0</v>
      </c>
      <c r="AA534" s="86">
        <v>0.03</v>
      </c>
    </row>
    <row r="535" ht="12.75" customHeight="1">
      <c r="A535" s="86">
        <v>1533.0</v>
      </c>
      <c r="B535" s="86" t="s">
        <v>4500</v>
      </c>
      <c r="C535" s="86">
        <v>150.0</v>
      </c>
      <c r="D535" s="86" t="s">
        <v>3654</v>
      </c>
      <c r="E535" s="86">
        <v>1.0</v>
      </c>
      <c r="F535" s="86">
        <v>0.147</v>
      </c>
      <c r="G535" s="86">
        <v>8001.0</v>
      </c>
      <c r="H535" s="86">
        <v>390.0</v>
      </c>
      <c r="I535" s="86">
        <v>1.0</v>
      </c>
      <c r="J535" s="86">
        <v>8000.0</v>
      </c>
      <c r="K535" s="86">
        <v>580.0</v>
      </c>
      <c r="L535" s="86">
        <v>1.0</v>
      </c>
      <c r="M535" s="86">
        <v>2007.0</v>
      </c>
      <c r="N535" s="86">
        <v>1.0</v>
      </c>
      <c r="O535" s="141">
        <v>0.25</v>
      </c>
      <c r="P535" s="86">
        <v>9000.0</v>
      </c>
      <c r="Q535" s="86">
        <v>145.0</v>
      </c>
      <c r="R535" s="86">
        <v>1.0</v>
      </c>
      <c r="S535" s="86" t="s">
        <v>3657</v>
      </c>
      <c r="T535" s="86">
        <v>19.0</v>
      </c>
      <c r="U535" s="86">
        <v>0.5</v>
      </c>
      <c r="V535" s="86">
        <v>1000.0</v>
      </c>
      <c r="W535" s="86">
        <v>6060.0</v>
      </c>
      <c r="X535" s="86">
        <v>1.0</v>
      </c>
      <c r="Y535" s="86">
        <v>2006.0</v>
      </c>
      <c r="Z535" s="86">
        <v>1.0</v>
      </c>
      <c r="AA535" s="86">
        <v>0.03</v>
      </c>
    </row>
    <row r="536" ht="12.75" customHeight="1">
      <c r="A536" s="86">
        <v>1534.0</v>
      </c>
      <c r="B536" s="86" t="s">
        <v>4501</v>
      </c>
      <c r="C536" s="86">
        <v>150.0</v>
      </c>
      <c r="D536" s="86" t="s">
        <v>3654</v>
      </c>
      <c r="E536" s="86">
        <v>1.0</v>
      </c>
      <c r="F536" s="86">
        <v>0.147</v>
      </c>
      <c r="G536" s="86">
        <v>8001.0</v>
      </c>
      <c r="H536" s="86">
        <v>390.0</v>
      </c>
      <c r="I536" s="86">
        <v>1.0</v>
      </c>
      <c r="J536" s="86">
        <v>8000.0</v>
      </c>
      <c r="K536" s="86">
        <v>580.0</v>
      </c>
      <c r="L536" s="86">
        <v>1.0</v>
      </c>
      <c r="M536" s="86">
        <v>2007.0</v>
      </c>
      <c r="N536" s="86">
        <v>1.0</v>
      </c>
      <c r="O536" s="141">
        <v>0.25</v>
      </c>
      <c r="P536" s="86">
        <v>9000.0</v>
      </c>
      <c r="Q536" s="86">
        <v>145.0</v>
      </c>
      <c r="R536" s="86">
        <v>1.0</v>
      </c>
      <c r="S536" s="86" t="s">
        <v>3657</v>
      </c>
      <c r="T536" s="86">
        <v>19.0</v>
      </c>
      <c r="U536" s="86">
        <v>0.5</v>
      </c>
      <c r="V536" s="86">
        <v>1000.0</v>
      </c>
      <c r="W536" s="86">
        <v>6065.0</v>
      </c>
      <c r="X536" s="86">
        <v>1.0</v>
      </c>
      <c r="Y536" s="86">
        <v>2006.0</v>
      </c>
      <c r="Z536" s="86">
        <v>1.0</v>
      </c>
      <c r="AA536" s="86">
        <v>0.03</v>
      </c>
    </row>
    <row r="537" ht="12.75" customHeight="1">
      <c r="A537" s="86">
        <v>1535.0</v>
      </c>
      <c r="B537" s="86" t="s">
        <v>4502</v>
      </c>
      <c r="C537" s="86">
        <v>150.0</v>
      </c>
      <c r="D537" s="86" t="s">
        <v>3654</v>
      </c>
      <c r="E537" s="86">
        <v>1.0</v>
      </c>
      <c r="F537" s="86">
        <v>0.147</v>
      </c>
      <c r="G537" s="86">
        <v>8001.0</v>
      </c>
      <c r="H537" s="86">
        <v>390.0</v>
      </c>
      <c r="I537" s="86">
        <v>1.0</v>
      </c>
      <c r="J537" s="86">
        <v>8000.0</v>
      </c>
      <c r="K537" s="86">
        <v>585.0</v>
      </c>
      <c r="L537" s="86">
        <v>1.0</v>
      </c>
      <c r="M537" s="86">
        <v>2007.0</v>
      </c>
      <c r="N537" s="86">
        <v>1.0</v>
      </c>
      <c r="O537" s="141">
        <v>0.25</v>
      </c>
      <c r="P537" s="86">
        <v>9000.0</v>
      </c>
      <c r="Q537" s="86">
        <v>146.0</v>
      </c>
      <c r="R537" s="86">
        <v>1.0</v>
      </c>
      <c r="S537" s="86" t="s">
        <v>3657</v>
      </c>
      <c r="T537" s="86">
        <v>19.0</v>
      </c>
      <c r="U537" s="86">
        <v>0.5</v>
      </c>
      <c r="V537" s="86">
        <v>1000.0</v>
      </c>
      <c r="W537" s="86">
        <v>6070.0</v>
      </c>
      <c r="X537" s="86">
        <v>1.0</v>
      </c>
      <c r="Y537" s="86">
        <v>2006.0</v>
      </c>
      <c r="Z537" s="86">
        <v>1.0</v>
      </c>
      <c r="AA537" s="86">
        <v>0.03</v>
      </c>
    </row>
    <row r="538" ht="12.75" customHeight="1">
      <c r="A538" s="86">
        <v>1536.0</v>
      </c>
      <c r="B538" s="86" t="s">
        <v>4503</v>
      </c>
      <c r="C538" s="86">
        <v>150.0</v>
      </c>
      <c r="D538" s="86" t="s">
        <v>3654</v>
      </c>
      <c r="E538" s="86">
        <v>1.0</v>
      </c>
      <c r="F538" s="86">
        <v>0.147</v>
      </c>
      <c r="G538" s="86">
        <v>8001.0</v>
      </c>
      <c r="H538" s="86">
        <v>390.0</v>
      </c>
      <c r="I538" s="86">
        <v>1.0</v>
      </c>
      <c r="J538" s="86">
        <v>8000.0</v>
      </c>
      <c r="K538" s="86">
        <v>585.0</v>
      </c>
      <c r="L538" s="86">
        <v>1.0</v>
      </c>
      <c r="M538" s="86">
        <v>2007.0</v>
      </c>
      <c r="N538" s="86">
        <v>1.0</v>
      </c>
      <c r="O538" s="141">
        <v>0.25</v>
      </c>
      <c r="P538" s="86">
        <v>9000.0</v>
      </c>
      <c r="Q538" s="86">
        <v>146.0</v>
      </c>
      <c r="R538" s="86">
        <v>1.0</v>
      </c>
      <c r="S538" s="86" t="s">
        <v>3657</v>
      </c>
      <c r="T538" s="86">
        <v>19.0</v>
      </c>
      <c r="U538" s="86">
        <v>0.5</v>
      </c>
      <c r="V538" s="86">
        <v>1000.0</v>
      </c>
      <c r="W538" s="86">
        <v>6075.0</v>
      </c>
      <c r="X538" s="86">
        <v>1.0</v>
      </c>
      <c r="Y538" s="86">
        <v>2006.0</v>
      </c>
      <c r="Z538" s="86">
        <v>1.0</v>
      </c>
      <c r="AA538" s="86">
        <v>0.03</v>
      </c>
    </row>
    <row r="539" ht="12.75" customHeight="1">
      <c r="A539" s="86">
        <v>1537.0</v>
      </c>
      <c r="B539" s="86" t="s">
        <v>4504</v>
      </c>
      <c r="C539" s="86">
        <v>150.0</v>
      </c>
      <c r="D539" s="86" t="s">
        <v>3654</v>
      </c>
      <c r="E539" s="86">
        <v>1.0</v>
      </c>
      <c r="F539" s="86">
        <v>0.147</v>
      </c>
      <c r="G539" s="86">
        <v>8001.0</v>
      </c>
      <c r="H539" s="86">
        <v>390.0</v>
      </c>
      <c r="I539" s="86">
        <v>1.0</v>
      </c>
      <c r="J539" s="86">
        <v>8000.0</v>
      </c>
      <c r="K539" s="86">
        <v>585.0</v>
      </c>
      <c r="L539" s="86">
        <v>1.0</v>
      </c>
      <c r="M539" s="86">
        <v>2007.0</v>
      </c>
      <c r="N539" s="86">
        <v>1.0</v>
      </c>
      <c r="O539" s="141">
        <v>0.25</v>
      </c>
      <c r="P539" s="86">
        <v>9000.0</v>
      </c>
      <c r="Q539" s="86">
        <v>146.0</v>
      </c>
      <c r="R539" s="86">
        <v>1.0</v>
      </c>
      <c r="S539" s="86" t="s">
        <v>3657</v>
      </c>
      <c r="T539" s="86">
        <v>19.0</v>
      </c>
      <c r="U539" s="86">
        <v>0.5</v>
      </c>
      <c r="V539" s="86">
        <v>1000.0</v>
      </c>
      <c r="W539" s="86">
        <v>6080.0</v>
      </c>
      <c r="X539" s="86">
        <v>1.0</v>
      </c>
      <c r="Y539" s="86">
        <v>2006.0</v>
      </c>
      <c r="Z539" s="86">
        <v>1.0</v>
      </c>
      <c r="AA539" s="86">
        <v>0.03</v>
      </c>
    </row>
    <row r="540" ht="12.75" customHeight="1">
      <c r="A540" s="86">
        <v>1538.0</v>
      </c>
      <c r="B540" s="86" t="s">
        <v>4505</v>
      </c>
      <c r="C540" s="86">
        <v>150.0</v>
      </c>
      <c r="D540" s="86" t="s">
        <v>3654</v>
      </c>
      <c r="E540" s="86">
        <v>1.0</v>
      </c>
      <c r="F540" s="86">
        <v>0.147</v>
      </c>
      <c r="G540" s="86">
        <v>8001.0</v>
      </c>
      <c r="H540" s="86">
        <v>390.0</v>
      </c>
      <c r="I540" s="86">
        <v>1.0</v>
      </c>
      <c r="J540" s="86">
        <v>8000.0</v>
      </c>
      <c r="K540" s="86">
        <v>585.0</v>
      </c>
      <c r="L540" s="86">
        <v>1.0</v>
      </c>
      <c r="M540" s="86">
        <v>2007.0</v>
      </c>
      <c r="N540" s="86">
        <v>1.0</v>
      </c>
      <c r="O540" s="141">
        <v>0.25</v>
      </c>
      <c r="P540" s="86">
        <v>9000.0</v>
      </c>
      <c r="Q540" s="86">
        <v>146.0</v>
      </c>
      <c r="R540" s="86">
        <v>1.0</v>
      </c>
      <c r="S540" s="86" t="s">
        <v>3657</v>
      </c>
      <c r="T540" s="86">
        <v>19.0</v>
      </c>
      <c r="U540" s="86">
        <v>0.5</v>
      </c>
      <c r="V540" s="86">
        <v>1000.0</v>
      </c>
      <c r="W540" s="86">
        <v>6085.0</v>
      </c>
      <c r="X540" s="86">
        <v>1.0</v>
      </c>
      <c r="Y540" s="86">
        <v>2006.0</v>
      </c>
      <c r="Z540" s="86">
        <v>1.0</v>
      </c>
      <c r="AA540" s="86">
        <v>0.03</v>
      </c>
    </row>
    <row r="541" ht="12.75" customHeight="1">
      <c r="A541" s="86">
        <v>1539.0</v>
      </c>
      <c r="B541" s="86" t="s">
        <v>4488</v>
      </c>
      <c r="C541" s="86">
        <v>150.0</v>
      </c>
      <c r="D541" s="86" t="s">
        <v>3654</v>
      </c>
      <c r="E541" s="86">
        <v>1.0</v>
      </c>
      <c r="F541" s="86">
        <v>0.147</v>
      </c>
      <c r="G541" s="86">
        <v>8001.0</v>
      </c>
      <c r="H541" s="86">
        <v>390.0</v>
      </c>
      <c r="I541" s="86">
        <v>1.0</v>
      </c>
      <c r="J541" s="86">
        <v>8000.0</v>
      </c>
      <c r="K541" s="86">
        <v>585.0</v>
      </c>
      <c r="L541" s="86">
        <v>1.0</v>
      </c>
      <c r="M541" s="86">
        <v>2007.0</v>
      </c>
      <c r="N541" s="86">
        <v>1.0</v>
      </c>
      <c r="O541" s="141">
        <v>0.25</v>
      </c>
      <c r="P541" s="86">
        <v>9000.0</v>
      </c>
      <c r="Q541" s="86">
        <v>146.0</v>
      </c>
      <c r="R541" s="86">
        <v>1.0</v>
      </c>
      <c r="S541" s="86" t="s">
        <v>3657</v>
      </c>
      <c r="T541" s="86">
        <v>19.0</v>
      </c>
      <c r="U541" s="86">
        <v>0.5</v>
      </c>
      <c r="V541" s="86">
        <v>1000.0</v>
      </c>
      <c r="W541" s="86">
        <v>6090.0</v>
      </c>
      <c r="X541" s="86">
        <v>1.0</v>
      </c>
      <c r="Y541" s="86">
        <v>2006.0</v>
      </c>
      <c r="Z541" s="86">
        <v>1.0</v>
      </c>
      <c r="AA541" s="86">
        <v>0.03</v>
      </c>
    </row>
    <row r="542" ht="12.75" customHeight="1">
      <c r="A542" s="86">
        <v>1540.0</v>
      </c>
      <c r="B542" s="86" t="s">
        <v>4506</v>
      </c>
      <c r="C542" s="86">
        <v>150.0</v>
      </c>
      <c r="D542" s="86" t="s">
        <v>3654</v>
      </c>
      <c r="E542" s="86">
        <v>1.0</v>
      </c>
      <c r="F542" s="86">
        <v>0.147</v>
      </c>
      <c r="G542" s="86">
        <v>8001.0</v>
      </c>
      <c r="H542" s="86">
        <v>390.0</v>
      </c>
      <c r="I542" s="86">
        <v>1.0</v>
      </c>
      <c r="J542" s="86">
        <v>8000.0</v>
      </c>
      <c r="K542" s="86">
        <v>585.0</v>
      </c>
      <c r="L542" s="86">
        <v>1.0</v>
      </c>
      <c r="M542" s="86">
        <v>2007.0</v>
      </c>
      <c r="N542" s="86">
        <v>1.0</v>
      </c>
      <c r="O542" s="141">
        <v>0.25</v>
      </c>
      <c r="P542" s="86">
        <v>9000.0</v>
      </c>
      <c r="Q542" s="86">
        <v>146.0</v>
      </c>
      <c r="R542" s="86">
        <v>1.0</v>
      </c>
      <c r="S542" s="86" t="s">
        <v>3657</v>
      </c>
      <c r="T542" s="86">
        <v>20.0</v>
      </c>
      <c r="U542" s="86">
        <v>0.5</v>
      </c>
      <c r="V542" s="86">
        <v>1000.0</v>
      </c>
      <c r="W542" s="86">
        <v>6095.0</v>
      </c>
      <c r="X542" s="86">
        <v>1.0</v>
      </c>
      <c r="Y542" s="86">
        <v>2006.0</v>
      </c>
      <c r="Z542" s="86">
        <v>1.0</v>
      </c>
      <c r="AA542" s="86">
        <v>0.03</v>
      </c>
    </row>
    <row r="543" ht="12.75" customHeight="1">
      <c r="A543" s="86">
        <v>1541.0</v>
      </c>
      <c r="B543" s="86" t="s">
        <v>4507</v>
      </c>
      <c r="C543" s="86">
        <v>150.0</v>
      </c>
      <c r="D543" s="86" t="s">
        <v>3654</v>
      </c>
      <c r="E543" s="86">
        <v>1.0</v>
      </c>
      <c r="F543" s="86">
        <v>0.147</v>
      </c>
      <c r="G543" s="86">
        <v>8001.0</v>
      </c>
      <c r="H543" s="86">
        <v>390.0</v>
      </c>
      <c r="I543" s="86">
        <v>1.0</v>
      </c>
      <c r="J543" s="86">
        <v>8000.0</v>
      </c>
      <c r="K543" s="86">
        <v>585.0</v>
      </c>
      <c r="L543" s="86">
        <v>1.0</v>
      </c>
      <c r="M543" s="86">
        <v>2007.0</v>
      </c>
      <c r="N543" s="86">
        <v>1.0</v>
      </c>
      <c r="O543" s="141">
        <v>0.25</v>
      </c>
      <c r="P543" s="86">
        <v>9000.0</v>
      </c>
      <c r="Q543" s="86">
        <v>146.0</v>
      </c>
      <c r="R543" s="86">
        <v>1.0</v>
      </c>
      <c r="S543" s="86" t="s">
        <v>3657</v>
      </c>
      <c r="T543" s="86">
        <v>20.0</v>
      </c>
      <c r="U543" s="86">
        <v>0.5</v>
      </c>
      <c r="V543" s="86">
        <v>1000.0</v>
      </c>
      <c r="W543" s="86">
        <v>6100.0</v>
      </c>
      <c r="X543" s="86">
        <v>1.0</v>
      </c>
      <c r="Y543" s="86">
        <v>2006.0</v>
      </c>
      <c r="Z543" s="86">
        <v>1.0</v>
      </c>
      <c r="AA543" s="86">
        <v>0.03</v>
      </c>
    </row>
    <row r="544" ht="12.75" customHeight="1">
      <c r="A544" s="86">
        <v>1542.0</v>
      </c>
      <c r="B544" s="86" t="s">
        <v>4508</v>
      </c>
      <c r="C544" s="86">
        <v>150.0</v>
      </c>
      <c r="D544" s="86" t="s">
        <v>3654</v>
      </c>
      <c r="E544" s="86">
        <v>1.0</v>
      </c>
      <c r="F544" s="86">
        <v>0.147</v>
      </c>
      <c r="G544" s="86">
        <v>8001.0</v>
      </c>
      <c r="H544" s="86">
        <v>390.0</v>
      </c>
      <c r="I544" s="86">
        <v>1.0</v>
      </c>
      <c r="J544" s="86">
        <v>8000.0</v>
      </c>
      <c r="K544" s="86">
        <v>585.0</v>
      </c>
      <c r="L544" s="86">
        <v>1.0</v>
      </c>
      <c r="M544" s="86">
        <v>2007.0</v>
      </c>
      <c r="N544" s="86">
        <v>1.0</v>
      </c>
      <c r="O544" s="141">
        <v>0.25</v>
      </c>
      <c r="P544" s="86">
        <v>9000.0</v>
      </c>
      <c r="Q544" s="86">
        <v>146.0</v>
      </c>
      <c r="R544" s="86">
        <v>1.0</v>
      </c>
      <c r="S544" s="86" t="s">
        <v>3657</v>
      </c>
      <c r="T544" s="86">
        <v>20.0</v>
      </c>
      <c r="U544" s="86">
        <v>0.5</v>
      </c>
      <c r="V544" s="86">
        <v>1000.0</v>
      </c>
      <c r="W544" s="86">
        <v>6105.0</v>
      </c>
      <c r="X544" s="86">
        <v>1.0</v>
      </c>
      <c r="Y544" s="86">
        <v>2006.0</v>
      </c>
      <c r="Z544" s="86">
        <v>1.0</v>
      </c>
      <c r="AA544" s="86">
        <v>0.03</v>
      </c>
    </row>
    <row r="545" ht="12.75" customHeight="1">
      <c r="A545" s="86">
        <v>1543.0</v>
      </c>
      <c r="B545" s="86" t="s">
        <v>4509</v>
      </c>
      <c r="C545" s="86">
        <v>150.0</v>
      </c>
      <c r="D545" s="86" t="s">
        <v>3654</v>
      </c>
      <c r="E545" s="86">
        <v>1.0</v>
      </c>
      <c r="F545" s="86">
        <v>0.148</v>
      </c>
      <c r="G545" s="86">
        <v>8001.0</v>
      </c>
      <c r="H545" s="86">
        <v>390.0</v>
      </c>
      <c r="I545" s="86">
        <v>1.0</v>
      </c>
      <c r="J545" s="86">
        <v>8000.0</v>
      </c>
      <c r="K545" s="86">
        <v>585.0</v>
      </c>
      <c r="L545" s="86">
        <v>1.0</v>
      </c>
      <c r="M545" s="86">
        <v>2007.0</v>
      </c>
      <c r="N545" s="86">
        <v>1.0</v>
      </c>
      <c r="O545" s="141">
        <v>0.25</v>
      </c>
      <c r="P545" s="86">
        <v>9000.0</v>
      </c>
      <c r="Q545" s="86">
        <v>147.0</v>
      </c>
      <c r="R545" s="86">
        <v>1.0</v>
      </c>
      <c r="S545" s="86" t="s">
        <v>3657</v>
      </c>
      <c r="T545" s="86">
        <v>20.0</v>
      </c>
      <c r="U545" s="86">
        <v>0.5</v>
      </c>
      <c r="V545" s="86">
        <v>1000.0</v>
      </c>
      <c r="W545" s="86">
        <v>6110.0</v>
      </c>
      <c r="X545" s="86">
        <v>1.0</v>
      </c>
      <c r="Y545" s="86">
        <v>2006.0</v>
      </c>
      <c r="Z545" s="86">
        <v>1.0</v>
      </c>
      <c r="AA545" s="86">
        <v>0.03</v>
      </c>
    </row>
    <row r="546" ht="12.75" customHeight="1">
      <c r="A546" s="86">
        <v>1544.0</v>
      </c>
      <c r="B546" s="86" t="s">
        <v>4497</v>
      </c>
      <c r="C546" s="86">
        <v>150.0</v>
      </c>
      <c r="D546" s="86" t="s">
        <v>3654</v>
      </c>
      <c r="E546" s="86">
        <v>1.0</v>
      </c>
      <c r="F546" s="86">
        <v>0.148</v>
      </c>
      <c r="G546" s="86">
        <v>8001.0</v>
      </c>
      <c r="H546" s="86">
        <v>390.0</v>
      </c>
      <c r="I546" s="86">
        <v>1.0</v>
      </c>
      <c r="J546" s="86">
        <v>8000.0</v>
      </c>
      <c r="K546" s="86">
        <v>585.0</v>
      </c>
      <c r="L546" s="86">
        <v>1.0</v>
      </c>
      <c r="M546" s="86">
        <v>2007.0</v>
      </c>
      <c r="N546" s="86">
        <v>1.0</v>
      </c>
      <c r="O546" s="141">
        <v>0.25</v>
      </c>
      <c r="P546" s="86">
        <v>9000.0</v>
      </c>
      <c r="Q546" s="86">
        <v>147.0</v>
      </c>
      <c r="R546" s="86">
        <v>1.0</v>
      </c>
      <c r="S546" s="86" t="s">
        <v>3657</v>
      </c>
      <c r="T546" s="86">
        <v>20.0</v>
      </c>
      <c r="U546" s="86">
        <v>0.5</v>
      </c>
      <c r="V546" s="86">
        <v>1000.0</v>
      </c>
      <c r="W546" s="86">
        <v>6115.0</v>
      </c>
      <c r="X546" s="86">
        <v>1.0</v>
      </c>
      <c r="Y546" s="86">
        <v>2006.0</v>
      </c>
      <c r="Z546" s="86">
        <v>1.0</v>
      </c>
      <c r="AA546" s="86">
        <v>0.03</v>
      </c>
    </row>
    <row r="547" ht="12.75" customHeight="1">
      <c r="A547" s="86">
        <v>1545.0</v>
      </c>
      <c r="B547" s="86" t="s">
        <v>4510</v>
      </c>
      <c r="C547" s="86">
        <v>150.0</v>
      </c>
      <c r="D547" s="86" t="s">
        <v>3654</v>
      </c>
      <c r="E547" s="86">
        <v>1.0</v>
      </c>
      <c r="F547" s="86">
        <v>0.148</v>
      </c>
      <c r="G547" s="86">
        <v>8001.0</v>
      </c>
      <c r="H547" s="86">
        <v>390.0</v>
      </c>
      <c r="I547" s="86">
        <v>1.0</v>
      </c>
      <c r="J547" s="86">
        <v>8000.0</v>
      </c>
      <c r="K547" s="86">
        <v>590.0</v>
      </c>
      <c r="L547" s="86">
        <v>1.0</v>
      </c>
      <c r="M547" s="86">
        <v>2007.0</v>
      </c>
      <c r="N547" s="86">
        <v>1.0</v>
      </c>
      <c r="O547" s="141">
        <v>0.25</v>
      </c>
      <c r="P547" s="86">
        <v>9000.0</v>
      </c>
      <c r="Q547" s="86">
        <v>147.0</v>
      </c>
      <c r="R547" s="86">
        <v>1.0</v>
      </c>
      <c r="S547" s="86" t="s">
        <v>3657</v>
      </c>
      <c r="T547" s="86">
        <v>20.0</v>
      </c>
      <c r="U547" s="86">
        <v>0.5</v>
      </c>
      <c r="V547" s="86">
        <v>1000.0</v>
      </c>
      <c r="W547" s="86">
        <v>6120.0</v>
      </c>
      <c r="X547" s="86">
        <v>1.0</v>
      </c>
      <c r="Y547" s="86">
        <v>2006.0</v>
      </c>
      <c r="Z547" s="86">
        <v>1.0</v>
      </c>
      <c r="AA547" s="86">
        <v>0.03</v>
      </c>
    </row>
    <row r="548" ht="12.75" customHeight="1">
      <c r="A548" s="86">
        <v>1546.0</v>
      </c>
      <c r="B548" s="86" t="s">
        <v>4511</v>
      </c>
      <c r="C548" s="86">
        <v>150.0</v>
      </c>
      <c r="D548" s="86" t="s">
        <v>3654</v>
      </c>
      <c r="E548" s="86">
        <v>1.0</v>
      </c>
      <c r="F548" s="86">
        <v>0.148</v>
      </c>
      <c r="G548" s="86">
        <v>8001.0</v>
      </c>
      <c r="H548" s="86">
        <v>390.0</v>
      </c>
      <c r="I548" s="86">
        <v>1.0</v>
      </c>
      <c r="J548" s="86">
        <v>8000.0</v>
      </c>
      <c r="K548" s="86">
        <v>590.0</v>
      </c>
      <c r="L548" s="86">
        <v>1.0</v>
      </c>
      <c r="M548" s="86">
        <v>2007.0</v>
      </c>
      <c r="N548" s="86">
        <v>1.0</v>
      </c>
      <c r="O548" s="141">
        <v>0.25</v>
      </c>
      <c r="P548" s="86">
        <v>9000.0</v>
      </c>
      <c r="Q548" s="86">
        <v>147.0</v>
      </c>
      <c r="R548" s="86">
        <v>1.0</v>
      </c>
      <c r="S548" s="86" t="s">
        <v>3657</v>
      </c>
      <c r="T548" s="86">
        <v>20.0</v>
      </c>
      <c r="U548" s="86">
        <v>0.5</v>
      </c>
      <c r="V548" s="86">
        <v>1000.0</v>
      </c>
      <c r="W548" s="86">
        <v>6125.0</v>
      </c>
      <c r="X548" s="86">
        <v>1.0</v>
      </c>
      <c r="Y548" s="86">
        <v>2006.0</v>
      </c>
      <c r="Z548" s="86">
        <v>1.0</v>
      </c>
      <c r="AA548" s="86">
        <v>0.03</v>
      </c>
    </row>
    <row r="549" ht="12.75" customHeight="1">
      <c r="A549" s="86">
        <v>1547.0</v>
      </c>
      <c r="B549" s="86" t="s">
        <v>4507</v>
      </c>
      <c r="C549" s="86">
        <v>150.0</v>
      </c>
      <c r="D549" s="86" t="s">
        <v>3654</v>
      </c>
      <c r="E549" s="86">
        <v>1.0</v>
      </c>
      <c r="F549" s="86">
        <v>0.148</v>
      </c>
      <c r="G549" s="86">
        <v>8001.0</v>
      </c>
      <c r="H549" s="86">
        <v>390.0</v>
      </c>
      <c r="I549" s="86">
        <v>1.0</v>
      </c>
      <c r="J549" s="86">
        <v>8000.0</v>
      </c>
      <c r="K549" s="86">
        <v>590.0</v>
      </c>
      <c r="L549" s="86">
        <v>1.0</v>
      </c>
      <c r="M549" s="86">
        <v>2007.0</v>
      </c>
      <c r="N549" s="86">
        <v>1.0</v>
      </c>
      <c r="O549" s="141">
        <v>0.25</v>
      </c>
      <c r="P549" s="86">
        <v>9000.0</v>
      </c>
      <c r="Q549" s="86">
        <v>147.0</v>
      </c>
      <c r="R549" s="86">
        <v>1.0</v>
      </c>
      <c r="S549" s="86" t="s">
        <v>3657</v>
      </c>
      <c r="T549" s="86">
        <v>20.0</v>
      </c>
      <c r="U549" s="86">
        <v>0.5</v>
      </c>
      <c r="V549" s="86">
        <v>1000.0</v>
      </c>
      <c r="W549" s="86">
        <v>6130.0</v>
      </c>
      <c r="X549" s="86">
        <v>1.0</v>
      </c>
      <c r="Y549" s="86">
        <v>2006.0</v>
      </c>
      <c r="Z549" s="86">
        <v>1.0</v>
      </c>
      <c r="AA549" s="86">
        <v>0.03</v>
      </c>
    </row>
    <row r="550" ht="12.75" customHeight="1">
      <c r="A550" s="86">
        <v>1548.0</v>
      </c>
      <c r="B550" s="86" t="s">
        <v>4512</v>
      </c>
      <c r="C550" s="86">
        <v>150.0</v>
      </c>
      <c r="D550" s="86" t="s">
        <v>3654</v>
      </c>
      <c r="E550" s="86">
        <v>1.0</v>
      </c>
      <c r="F550" s="86">
        <v>0.148</v>
      </c>
      <c r="G550" s="86">
        <v>8001.0</v>
      </c>
      <c r="H550" s="86">
        <v>395.0</v>
      </c>
      <c r="I550" s="86">
        <v>1.0</v>
      </c>
      <c r="J550" s="86">
        <v>8000.0</v>
      </c>
      <c r="K550" s="86">
        <v>590.0</v>
      </c>
      <c r="L550" s="86">
        <v>1.0</v>
      </c>
      <c r="M550" s="86">
        <v>2007.0</v>
      </c>
      <c r="N550" s="86">
        <v>1.0</v>
      </c>
      <c r="O550" s="141">
        <v>0.25</v>
      </c>
      <c r="P550" s="86">
        <v>9000.0</v>
      </c>
      <c r="Q550" s="86">
        <v>147.0</v>
      </c>
      <c r="R550" s="86">
        <v>1.0</v>
      </c>
      <c r="S550" s="86" t="s">
        <v>3657</v>
      </c>
      <c r="T550" s="86">
        <v>20.0</v>
      </c>
      <c r="U550" s="86">
        <v>0.5</v>
      </c>
      <c r="V550" s="86">
        <v>1000.0</v>
      </c>
      <c r="W550" s="86">
        <v>6135.0</v>
      </c>
      <c r="X550" s="86">
        <v>1.0</v>
      </c>
      <c r="Y550" s="86">
        <v>2006.0</v>
      </c>
      <c r="Z550" s="86">
        <v>1.0</v>
      </c>
      <c r="AA550" s="86">
        <v>0.03</v>
      </c>
    </row>
    <row r="551" ht="12.75" customHeight="1">
      <c r="A551" s="86">
        <v>1549.0</v>
      </c>
      <c r="B551" s="86" t="s">
        <v>4513</v>
      </c>
      <c r="C551" s="86">
        <v>150.0</v>
      </c>
      <c r="D551" s="86" t="s">
        <v>3654</v>
      </c>
      <c r="E551" s="86">
        <v>1.0</v>
      </c>
      <c r="F551" s="86">
        <v>0.148</v>
      </c>
      <c r="G551" s="86">
        <v>8001.0</v>
      </c>
      <c r="H551" s="86">
        <v>395.0</v>
      </c>
      <c r="I551" s="86">
        <v>1.0</v>
      </c>
      <c r="J551" s="86">
        <v>8000.0</v>
      </c>
      <c r="K551" s="86">
        <v>590.0</v>
      </c>
      <c r="L551" s="86">
        <v>1.0</v>
      </c>
      <c r="M551" s="86">
        <v>2007.0</v>
      </c>
      <c r="N551" s="86">
        <v>1.0</v>
      </c>
      <c r="O551" s="141">
        <v>0.25</v>
      </c>
      <c r="P551" s="86">
        <v>9000.0</v>
      </c>
      <c r="Q551" s="86">
        <v>147.0</v>
      </c>
      <c r="R551" s="86">
        <v>1.0</v>
      </c>
      <c r="S551" s="86" t="s">
        <v>3657</v>
      </c>
      <c r="T551" s="86">
        <v>20.0</v>
      </c>
      <c r="U551" s="86">
        <v>0.5</v>
      </c>
      <c r="V551" s="86">
        <v>1000.0</v>
      </c>
      <c r="W551" s="86">
        <v>6140.0</v>
      </c>
      <c r="X551" s="86">
        <v>1.0</v>
      </c>
      <c r="Y551" s="86">
        <v>2006.0</v>
      </c>
      <c r="Z551" s="86">
        <v>1.0</v>
      </c>
      <c r="AA551" s="86">
        <v>0.03</v>
      </c>
    </row>
    <row r="552" ht="12.75" customHeight="1">
      <c r="A552" s="86">
        <v>1550.0</v>
      </c>
      <c r="B552" s="86" t="s">
        <v>4514</v>
      </c>
      <c r="C552" s="86">
        <v>150.0</v>
      </c>
      <c r="D552" s="86" t="s">
        <v>3654</v>
      </c>
      <c r="E552" s="86">
        <v>1.0</v>
      </c>
      <c r="F552" s="86">
        <v>0.148</v>
      </c>
      <c r="G552" s="86">
        <v>8001.0</v>
      </c>
      <c r="H552" s="86">
        <v>395.0</v>
      </c>
      <c r="I552" s="86">
        <v>1.0</v>
      </c>
      <c r="J552" s="86">
        <v>8000.0</v>
      </c>
      <c r="K552" s="86">
        <v>590.0</v>
      </c>
      <c r="L552" s="86">
        <v>1.0</v>
      </c>
      <c r="M552" s="86">
        <v>2007.0</v>
      </c>
      <c r="N552" s="86">
        <v>1.0</v>
      </c>
      <c r="O552" s="141">
        <v>0.25</v>
      </c>
      <c r="P552" s="86">
        <v>9000.0</v>
      </c>
      <c r="Q552" s="86">
        <v>147.0</v>
      </c>
      <c r="R552" s="86">
        <v>1.0</v>
      </c>
      <c r="S552" s="86" t="s">
        <v>3657</v>
      </c>
      <c r="T552" s="86">
        <v>20.0</v>
      </c>
      <c r="U552" s="86">
        <v>0.5</v>
      </c>
      <c r="V552" s="86">
        <v>1000.0</v>
      </c>
      <c r="W552" s="86">
        <v>6145.0</v>
      </c>
      <c r="X552" s="86">
        <v>1.0</v>
      </c>
      <c r="Y552" s="86">
        <v>2006.0</v>
      </c>
      <c r="Z552" s="86">
        <v>1.0</v>
      </c>
      <c r="AA552" s="86">
        <v>0.03</v>
      </c>
    </row>
    <row r="553" ht="12.75" customHeight="1">
      <c r="A553" s="86">
        <v>1551.0</v>
      </c>
      <c r="B553" s="86" t="s">
        <v>4515</v>
      </c>
      <c r="C553" s="86">
        <v>150.0</v>
      </c>
      <c r="D553" s="86" t="s">
        <v>3654</v>
      </c>
      <c r="E553" s="86">
        <v>1.0</v>
      </c>
      <c r="F553" s="86">
        <v>0.148</v>
      </c>
      <c r="G553" s="86">
        <v>8001.0</v>
      </c>
      <c r="H553" s="86">
        <v>395.0</v>
      </c>
      <c r="I553" s="86">
        <v>1.0</v>
      </c>
      <c r="J553" s="86">
        <v>8000.0</v>
      </c>
      <c r="K553" s="86">
        <v>590.0</v>
      </c>
      <c r="L553" s="86">
        <v>1.0</v>
      </c>
      <c r="M553" s="86">
        <v>2007.0</v>
      </c>
      <c r="N553" s="86">
        <v>1.0</v>
      </c>
      <c r="O553" s="141">
        <v>0.25</v>
      </c>
      <c r="P553" s="86">
        <v>9000.0</v>
      </c>
      <c r="Q553" s="86">
        <v>147.0</v>
      </c>
      <c r="R553" s="86">
        <v>1.0</v>
      </c>
      <c r="S553" s="86" t="s">
        <v>3657</v>
      </c>
      <c r="T553" s="86">
        <v>20.0</v>
      </c>
      <c r="U553" s="86">
        <v>0.5</v>
      </c>
      <c r="V553" s="86">
        <v>1000.0</v>
      </c>
      <c r="W553" s="86">
        <v>6145.0</v>
      </c>
      <c r="X553" s="86">
        <v>1.0</v>
      </c>
      <c r="Y553" s="86">
        <v>2006.0</v>
      </c>
      <c r="Z553" s="86">
        <v>1.0</v>
      </c>
      <c r="AA553" s="86">
        <v>0.03</v>
      </c>
    </row>
    <row r="554" ht="12.75" customHeight="1">
      <c r="A554" s="86">
        <v>1552.0</v>
      </c>
      <c r="B554" s="86" t="s">
        <v>4516</v>
      </c>
      <c r="C554" s="86">
        <v>150.0</v>
      </c>
      <c r="D554" s="86" t="s">
        <v>3654</v>
      </c>
      <c r="E554" s="86">
        <v>1.0</v>
      </c>
      <c r="F554" s="86">
        <v>0.148</v>
      </c>
      <c r="G554" s="86">
        <v>8001.0</v>
      </c>
      <c r="H554" s="86">
        <v>395.0</v>
      </c>
      <c r="I554" s="86">
        <v>1.0</v>
      </c>
      <c r="J554" s="86">
        <v>8000.0</v>
      </c>
      <c r="K554" s="86">
        <v>590.0</v>
      </c>
      <c r="L554" s="86">
        <v>1.0</v>
      </c>
      <c r="M554" s="86">
        <v>2007.0</v>
      </c>
      <c r="N554" s="86">
        <v>1.0</v>
      </c>
      <c r="O554" s="141">
        <v>0.25</v>
      </c>
      <c r="P554" s="86">
        <v>9000.0</v>
      </c>
      <c r="Q554" s="86">
        <v>148.0</v>
      </c>
      <c r="R554" s="86">
        <v>1.0</v>
      </c>
      <c r="S554" s="86" t="s">
        <v>3657</v>
      </c>
      <c r="T554" s="86">
        <v>20.0</v>
      </c>
      <c r="U554" s="86">
        <v>0.5</v>
      </c>
      <c r="V554" s="86">
        <v>1000.0</v>
      </c>
      <c r="W554" s="86">
        <v>6150.0</v>
      </c>
      <c r="X554" s="86">
        <v>1.0</v>
      </c>
      <c r="Y554" s="86">
        <v>2006.0</v>
      </c>
      <c r="Z554" s="86">
        <v>1.0</v>
      </c>
      <c r="AA554" s="86">
        <v>0.03</v>
      </c>
    </row>
    <row r="555" ht="12.75" customHeight="1">
      <c r="A555" s="86">
        <v>1553.0</v>
      </c>
      <c r="B555" s="86" t="s">
        <v>4517</v>
      </c>
      <c r="C555" s="86">
        <v>150.0</v>
      </c>
      <c r="D555" s="86" t="s">
        <v>3654</v>
      </c>
      <c r="E555" s="86">
        <v>1.0</v>
      </c>
      <c r="F555" s="86">
        <v>0.148</v>
      </c>
      <c r="G555" s="86">
        <v>8001.0</v>
      </c>
      <c r="H555" s="86">
        <v>395.0</v>
      </c>
      <c r="I555" s="86">
        <v>1.0</v>
      </c>
      <c r="J555" s="86">
        <v>8000.0</v>
      </c>
      <c r="K555" s="86">
        <v>590.0</v>
      </c>
      <c r="L555" s="86">
        <v>1.0</v>
      </c>
      <c r="M555" s="86">
        <v>2007.0</v>
      </c>
      <c r="N555" s="86">
        <v>1.0</v>
      </c>
      <c r="O555" s="141">
        <v>0.25</v>
      </c>
      <c r="P555" s="86">
        <v>9000.0</v>
      </c>
      <c r="Q555" s="86">
        <v>148.0</v>
      </c>
      <c r="R555" s="86">
        <v>1.0</v>
      </c>
      <c r="S555" s="86" t="s">
        <v>3657</v>
      </c>
      <c r="T555" s="86">
        <v>20.0</v>
      </c>
      <c r="U555" s="86">
        <v>0.5</v>
      </c>
      <c r="V555" s="86">
        <v>1000.0</v>
      </c>
      <c r="W555" s="86">
        <v>6155.0</v>
      </c>
      <c r="X555" s="86">
        <v>1.0</v>
      </c>
      <c r="Y555" s="86">
        <v>2006.0</v>
      </c>
      <c r="Z555" s="86">
        <v>1.0</v>
      </c>
      <c r="AA555" s="86">
        <v>0.03</v>
      </c>
    </row>
    <row r="556" ht="12.75" customHeight="1">
      <c r="A556" s="86">
        <v>1554.0</v>
      </c>
      <c r="B556" s="86" t="s">
        <v>4515</v>
      </c>
      <c r="C556" s="86">
        <v>150.0</v>
      </c>
      <c r="D556" s="86" t="s">
        <v>3654</v>
      </c>
      <c r="E556" s="86">
        <v>1.0</v>
      </c>
      <c r="F556" s="86">
        <v>0.148</v>
      </c>
      <c r="G556" s="86">
        <v>8001.0</v>
      </c>
      <c r="H556" s="86">
        <v>395.0</v>
      </c>
      <c r="I556" s="86">
        <v>1.0</v>
      </c>
      <c r="J556" s="86">
        <v>8000.0</v>
      </c>
      <c r="K556" s="86">
        <v>590.0</v>
      </c>
      <c r="L556" s="86">
        <v>1.0</v>
      </c>
      <c r="M556" s="86">
        <v>2007.0</v>
      </c>
      <c r="N556" s="86">
        <v>1.0</v>
      </c>
      <c r="O556" s="141">
        <v>0.25</v>
      </c>
      <c r="P556" s="86">
        <v>9000.0</v>
      </c>
      <c r="Q556" s="86">
        <v>148.0</v>
      </c>
      <c r="R556" s="86">
        <v>1.0</v>
      </c>
      <c r="S556" s="86" t="s">
        <v>3657</v>
      </c>
      <c r="T556" s="86">
        <v>20.0</v>
      </c>
      <c r="U556" s="86">
        <v>0.5</v>
      </c>
      <c r="V556" s="86">
        <v>1000.0</v>
      </c>
      <c r="W556" s="86">
        <v>6160.0</v>
      </c>
      <c r="X556" s="86">
        <v>1.0</v>
      </c>
      <c r="Y556" s="86">
        <v>2006.0</v>
      </c>
      <c r="Z556" s="86">
        <v>1.0</v>
      </c>
      <c r="AA556" s="86">
        <v>0.03</v>
      </c>
    </row>
    <row r="557" ht="12.75" customHeight="1">
      <c r="A557" s="86">
        <v>1555.0</v>
      </c>
      <c r="B557" s="86" t="s">
        <v>4518</v>
      </c>
      <c r="C557" s="86">
        <v>150.0</v>
      </c>
      <c r="D557" s="86" t="s">
        <v>3654</v>
      </c>
      <c r="E557" s="86">
        <v>1.0</v>
      </c>
      <c r="F557" s="86">
        <v>0.148</v>
      </c>
      <c r="G557" s="86">
        <v>8001.0</v>
      </c>
      <c r="H557" s="86">
        <v>395.0</v>
      </c>
      <c r="I557" s="86">
        <v>1.0</v>
      </c>
      <c r="J557" s="86">
        <v>8000.0</v>
      </c>
      <c r="K557" s="86">
        <v>590.0</v>
      </c>
      <c r="L557" s="86">
        <v>1.0</v>
      </c>
      <c r="M557" s="86">
        <v>2007.0</v>
      </c>
      <c r="N557" s="86">
        <v>1.0</v>
      </c>
      <c r="O557" s="141">
        <v>0.25</v>
      </c>
      <c r="P557" s="86">
        <v>9000.0</v>
      </c>
      <c r="Q557" s="86">
        <v>148.0</v>
      </c>
      <c r="R557" s="86">
        <v>1.0</v>
      </c>
      <c r="S557" s="86" t="s">
        <v>3657</v>
      </c>
      <c r="T557" s="86">
        <v>20.0</v>
      </c>
      <c r="U557" s="86">
        <v>0.5</v>
      </c>
      <c r="V557" s="86">
        <v>1000.0</v>
      </c>
      <c r="W557" s="86">
        <v>6165.0</v>
      </c>
      <c r="X557" s="86">
        <v>1.0</v>
      </c>
      <c r="Y557" s="86">
        <v>2006.0</v>
      </c>
      <c r="Z557" s="86">
        <v>1.0</v>
      </c>
      <c r="AA557" s="86">
        <v>0.03</v>
      </c>
    </row>
    <row r="558" ht="12.75" customHeight="1">
      <c r="A558" s="86">
        <v>1556.0</v>
      </c>
      <c r="B558" s="86" t="s">
        <v>4515</v>
      </c>
      <c r="C558" s="86">
        <v>150.0</v>
      </c>
      <c r="D558" s="86" t="s">
        <v>3654</v>
      </c>
      <c r="E558" s="86">
        <v>1.0</v>
      </c>
      <c r="F558" s="86">
        <v>0.149</v>
      </c>
      <c r="G558" s="86">
        <v>8001.0</v>
      </c>
      <c r="H558" s="86">
        <v>395.0</v>
      </c>
      <c r="I558" s="86">
        <v>1.0</v>
      </c>
      <c r="J558" s="86">
        <v>8000.0</v>
      </c>
      <c r="K558" s="86">
        <v>590.0</v>
      </c>
      <c r="L558" s="86">
        <v>1.0</v>
      </c>
      <c r="M558" s="86">
        <v>2007.0</v>
      </c>
      <c r="N558" s="86">
        <v>1.0</v>
      </c>
      <c r="O558" s="141">
        <v>0.25</v>
      </c>
      <c r="P558" s="86">
        <v>9000.0</v>
      </c>
      <c r="Q558" s="86">
        <v>148.0</v>
      </c>
      <c r="R558" s="86">
        <v>1.0</v>
      </c>
      <c r="S558" s="86" t="s">
        <v>3657</v>
      </c>
      <c r="T558" s="86">
        <v>20.0</v>
      </c>
      <c r="U558" s="86">
        <v>0.5</v>
      </c>
      <c r="V558" s="86">
        <v>1000.0</v>
      </c>
      <c r="W558" s="86">
        <v>6165.0</v>
      </c>
      <c r="X558" s="86">
        <v>1.0</v>
      </c>
      <c r="Y558" s="86">
        <v>2006.0</v>
      </c>
      <c r="Z558" s="86">
        <v>1.0</v>
      </c>
      <c r="AA558" s="86">
        <v>0.03</v>
      </c>
    </row>
    <row r="559" ht="12.75" customHeight="1">
      <c r="A559" s="86">
        <v>1557.0</v>
      </c>
      <c r="B559" s="86" t="s">
        <v>4519</v>
      </c>
      <c r="C559" s="86">
        <v>150.0</v>
      </c>
      <c r="D559" s="86" t="s">
        <v>3654</v>
      </c>
      <c r="E559" s="86">
        <v>1.0</v>
      </c>
      <c r="F559" s="86">
        <v>0.149</v>
      </c>
      <c r="G559" s="86">
        <v>8001.0</v>
      </c>
      <c r="H559" s="86">
        <v>395.0</v>
      </c>
      <c r="I559" s="86">
        <v>1.0</v>
      </c>
      <c r="J559" s="86">
        <v>8000.0</v>
      </c>
      <c r="K559" s="86">
        <v>590.0</v>
      </c>
      <c r="L559" s="86">
        <v>1.0</v>
      </c>
      <c r="M559" s="86">
        <v>2007.0</v>
      </c>
      <c r="N559" s="86">
        <v>1.0</v>
      </c>
      <c r="O559" s="141">
        <v>0.25</v>
      </c>
      <c r="P559" s="86">
        <v>9000.0</v>
      </c>
      <c r="Q559" s="86">
        <v>148.0</v>
      </c>
      <c r="R559" s="86">
        <v>1.0</v>
      </c>
      <c r="S559" s="86" t="s">
        <v>3657</v>
      </c>
      <c r="T559" s="86">
        <v>20.0</v>
      </c>
      <c r="U559" s="86">
        <v>0.5</v>
      </c>
      <c r="V559" s="86">
        <v>1000.0</v>
      </c>
      <c r="W559" s="86">
        <v>6170.0</v>
      </c>
      <c r="X559" s="86">
        <v>1.0</v>
      </c>
      <c r="Y559" s="86">
        <v>2006.0</v>
      </c>
      <c r="Z559" s="86">
        <v>1.0</v>
      </c>
      <c r="AA559" s="86">
        <v>0.03</v>
      </c>
    </row>
    <row r="560" ht="12.75" customHeight="1">
      <c r="A560" s="86">
        <v>1558.0</v>
      </c>
      <c r="B560" s="86" t="s">
        <v>4520</v>
      </c>
      <c r="C560" s="86">
        <v>150.0</v>
      </c>
      <c r="D560" s="86" t="s">
        <v>3654</v>
      </c>
      <c r="E560" s="86">
        <v>1.0</v>
      </c>
      <c r="F560" s="86">
        <v>0.149</v>
      </c>
      <c r="G560" s="86">
        <v>8001.0</v>
      </c>
      <c r="H560" s="86">
        <v>395.0</v>
      </c>
      <c r="I560" s="86">
        <v>1.0</v>
      </c>
      <c r="J560" s="86">
        <v>8000.0</v>
      </c>
      <c r="K560" s="86">
        <v>595.0</v>
      </c>
      <c r="L560" s="86">
        <v>1.0</v>
      </c>
      <c r="M560" s="86">
        <v>2007.0</v>
      </c>
      <c r="N560" s="86">
        <v>1.0</v>
      </c>
      <c r="O560" s="141">
        <v>0.25</v>
      </c>
      <c r="P560" s="86">
        <v>9000.0</v>
      </c>
      <c r="Q560" s="86">
        <v>148.0</v>
      </c>
      <c r="R560" s="86">
        <v>1.0</v>
      </c>
      <c r="S560" s="86" t="s">
        <v>3657</v>
      </c>
      <c r="T560" s="86">
        <v>20.0</v>
      </c>
      <c r="U560" s="86">
        <v>0.5</v>
      </c>
      <c r="V560" s="86">
        <v>1000.0</v>
      </c>
      <c r="W560" s="86">
        <v>6175.0</v>
      </c>
      <c r="X560" s="86">
        <v>1.0</v>
      </c>
      <c r="Y560" s="86">
        <v>2006.0</v>
      </c>
      <c r="Z560" s="86">
        <v>1.0</v>
      </c>
      <c r="AA560" s="86">
        <v>0.03</v>
      </c>
    </row>
    <row r="561" ht="12.75" customHeight="1">
      <c r="A561" s="86">
        <v>1559.0</v>
      </c>
      <c r="B561" s="86" t="s">
        <v>4521</v>
      </c>
      <c r="C561" s="86">
        <v>150.0</v>
      </c>
      <c r="D561" s="86" t="s">
        <v>3654</v>
      </c>
      <c r="E561" s="86">
        <v>1.0</v>
      </c>
      <c r="F561" s="86">
        <v>0.149</v>
      </c>
      <c r="G561" s="86">
        <v>8001.0</v>
      </c>
      <c r="H561" s="86">
        <v>395.0</v>
      </c>
      <c r="I561" s="86">
        <v>1.0</v>
      </c>
      <c r="J561" s="86">
        <v>8000.0</v>
      </c>
      <c r="K561" s="86">
        <v>595.0</v>
      </c>
      <c r="L561" s="86">
        <v>1.0</v>
      </c>
      <c r="M561" s="86">
        <v>2007.0</v>
      </c>
      <c r="N561" s="86">
        <v>1.0</v>
      </c>
      <c r="O561" s="141">
        <v>0.25</v>
      </c>
      <c r="P561" s="86">
        <v>9000.0</v>
      </c>
      <c r="Q561" s="86">
        <v>148.0</v>
      </c>
      <c r="R561" s="86">
        <v>1.0</v>
      </c>
      <c r="S561" s="86" t="s">
        <v>3657</v>
      </c>
      <c r="T561" s="86">
        <v>20.0</v>
      </c>
      <c r="U561" s="86">
        <v>0.5</v>
      </c>
      <c r="V561" s="86">
        <v>1000.0</v>
      </c>
      <c r="W561" s="86">
        <v>6180.0</v>
      </c>
      <c r="X561" s="86">
        <v>1.0</v>
      </c>
      <c r="Y561" s="86">
        <v>2006.0</v>
      </c>
      <c r="Z561" s="86">
        <v>1.0</v>
      </c>
      <c r="AA561" s="86">
        <v>0.03</v>
      </c>
    </row>
    <row r="562" ht="12.75" customHeight="1">
      <c r="A562" s="86">
        <v>1560.0</v>
      </c>
      <c r="B562" s="86" t="s">
        <v>4522</v>
      </c>
      <c r="C562" s="86">
        <v>150.0</v>
      </c>
      <c r="D562" s="86" t="s">
        <v>3654</v>
      </c>
      <c r="E562" s="86">
        <v>1.0</v>
      </c>
      <c r="F562" s="86">
        <v>0.149</v>
      </c>
      <c r="G562" s="86">
        <v>8001.0</v>
      </c>
      <c r="H562" s="86">
        <v>395.0</v>
      </c>
      <c r="I562" s="86">
        <v>1.0</v>
      </c>
      <c r="J562" s="86">
        <v>8000.0</v>
      </c>
      <c r="K562" s="86">
        <v>595.0</v>
      </c>
      <c r="L562" s="86">
        <v>1.0</v>
      </c>
      <c r="M562" s="86">
        <v>2007.0</v>
      </c>
      <c r="N562" s="86">
        <v>1.0</v>
      </c>
      <c r="O562" s="141">
        <v>0.25</v>
      </c>
      <c r="P562" s="86">
        <v>9000.0</v>
      </c>
      <c r="Q562" s="86">
        <v>148.0</v>
      </c>
      <c r="R562" s="86">
        <v>1.0</v>
      </c>
      <c r="S562" s="86" t="s">
        <v>3657</v>
      </c>
      <c r="T562" s="86">
        <v>20.0</v>
      </c>
      <c r="U562" s="86">
        <v>0.5</v>
      </c>
      <c r="V562" s="86">
        <v>1000.0</v>
      </c>
      <c r="W562" s="86">
        <v>6180.0</v>
      </c>
      <c r="X562" s="86">
        <v>1.0</v>
      </c>
      <c r="Y562" s="86">
        <v>2006.0</v>
      </c>
      <c r="Z562" s="86">
        <v>1.0</v>
      </c>
      <c r="AA562" s="86">
        <v>0.03</v>
      </c>
    </row>
    <row r="563" ht="12.75" customHeight="1">
      <c r="A563" s="86">
        <v>1561.0</v>
      </c>
      <c r="B563" s="86" t="s">
        <v>4523</v>
      </c>
      <c r="C563" s="86">
        <v>150.0</v>
      </c>
      <c r="D563" s="86" t="s">
        <v>3654</v>
      </c>
      <c r="E563" s="86">
        <v>1.0</v>
      </c>
      <c r="F563" s="86">
        <v>0.149</v>
      </c>
      <c r="G563" s="86">
        <v>8001.0</v>
      </c>
      <c r="H563" s="86">
        <v>395.0</v>
      </c>
      <c r="I563" s="86">
        <v>1.0</v>
      </c>
      <c r="J563" s="86">
        <v>8000.0</v>
      </c>
      <c r="K563" s="86">
        <v>595.0</v>
      </c>
      <c r="L563" s="86">
        <v>1.0</v>
      </c>
      <c r="M563" s="86">
        <v>2007.0</v>
      </c>
      <c r="N563" s="86">
        <v>1.0</v>
      </c>
      <c r="O563" s="141">
        <v>0.25</v>
      </c>
      <c r="P563" s="86">
        <v>9000.0</v>
      </c>
      <c r="Q563" s="86">
        <v>148.0</v>
      </c>
      <c r="R563" s="86">
        <v>1.0</v>
      </c>
      <c r="S563" s="86" t="s">
        <v>3657</v>
      </c>
      <c r="T563" s="86">
        <v>20.0</v>
      </c>
      <c r="U563" s="86">
        <v>0.5</v>
      </c>
      <c r="V563" s="86">
        <v>1000.0</v>
      </c>
      <c r="W563" s="86">
        <v>6185.0</v>
      </c>
      <c r="X563" s="86">
        <v>1.0</v>
      </c>
      <c r="Y563" s="86">
        <v>2006.0</v>
      </c>
      <c r="Z563" s="86">
        <v>1.0</v>
      </c>
      <c r="AA563" s="86">
        <v>0.03</v>
      </c>
    </row>
    <row r="564" ht="12.75" customHeight="1">
      <c r="A564" s="86">
        <v>1562.0</v>
      </c>
      <c r="B564" s="86" t="s">
        <v>4524</v>
      </c>
      <c r="C564" s="86">
        <v>150.0</v>
      </c>
      <c r="D564" s="86" t="s">
        <v>3654</v>
      </c>
      <c r="E564" s="86">
        <v>1.0</v>
      </c>
      <c r="F564" s="86">
        <v>0.149</v>
      </c>
      <c r="G564" s="86">
        <v>8001.0</v>
      </c>
      <c r="H564" s="86">
        <v>395.0</v>
      </c>
      <c r="I564" s="86">
        <v>1.0</v>
      </c>
      <c r="J564" s="86">
        <v>8000.0</v>
      </c>
      <c r="K564" s="86">
        <v>595.0</v>
      </c>
      <c r="L564" s="86">
        <v>1.0</v>
      </c>
      <c r="M564" s="86">
        <v>2007.0</v>
      </c>
      <c r="N564" s="86">
        <v>1.0</v>
      </c>
      <c r="O564" s="141">
        <v>0.25</v>
      </c>
      <c r="P564" s="86">
        <v>9000.0</v>
      </c>
      <c r="Q564" s="86">
        <v>148.0</v>
      </c>
      <c r="R564" s="86">
        <v>1.0</v>
      </c>
      <c r="S564" s="86" t="s">
        <v>3657</v>
      </c>
      <c r="T564" s="86">
        <v>20.0</v>
      </c>
      <c r="U564" s="86">
        <v>0.5</v>
      </c>
      <c r="V564" s="86">
        <v>1000.0</v>
      </c>
      <c r="W564" s="86">
        <v>6190.0</v>
      </c>
      <c r="X564" s="86">
        <v>1.0</v>
      </c>
      <c r="Y564" s="86">
        <v>2006.0</v>
      </c>
      <c r="Z564" s="86">
        <v>1.0</v>
      </c>
      <c r="AA564" s="86">
        <v>0.03</v>
      </c>
    </row>
    <row r="565" ht="12.75" customHeight="1">
      <c r="A565" s="86">
        <v>1563.0</v>
      </c>
      <c r="B565" s="86" t="s">
        <v>4525</v>
      </c>
      <c r="C565" s="86">
        <v>150.0</v>
      </c>
      <c r="D565" s="86" t="s">
        <v>3654</v>
      </c>
      <c r="E565" s="86">
        <v>1.0</v>
      </c>
      <c r="F565" s="86">
        <v>0.149</v>
      </c>
      <c r="G565" s="86">
        <v>8001.0</v>
      </c>
      <c r="H565" s="86">
        <v>395.0</v>
      </c>
      <c r="I565" s="86">
        <v>1.0</v>
      </c>
      <c r="J565" s="86">
        <v>8000.0</v>
      </c>
      <c r="K565" s="86">
        <v>595.0</v>
      </c>
      <c r="L565" s="86">
        <v>1.0</v>
      </c>
      <c r="M565" s="86">
        <v>2007.0</v>
      </c>
      <c r="N565" s="86">
        <v>1.0</v>
      </c>
      <c r="O565" s="141">
        <v>0.25</v>
      </c>
      <c r="P565" s="86">
        <v>9000.0</v>
      </c>
      <c r="Q565" s="86">
        <v>149.0</v>
      </c>
      <c r="R565" s="86">
        <v>1.0</v>
      </c>
      <c r="S565" s="86" t="s">
        <v>3657</v>
      </c>
      <c r="T565" s="86">
        <v>20.0</v>
      </c>
      <c r="U565" s="86">
        <v>0.5</v>
      </c>
      <c r="V565" s="86">
        <v>1000.0</v>
      </c>
      <c r="W565" s="86">
        <v>6190.0</v>
      </c>
      <c r="X565" s="86">
        <v>1.0</v>
      </c>
      <c r="Y565" s="86">
        <v>2006.0</v>
      </c>
      <c r="Z565" s="86">
        <v>1.0</v>
      </c>
      <c r="AA565" s="86">
        <v>0.03</v>
      </c>
    </row>
    <row r="566" ht="12.75" customHeight="1">
      <c r="A566" s="86">
        <v>1564.0</v>
      </c>
      <c r="B566" s="86" t="s">
        <v>4526</v>
      </c>
      <c r="C566" s="86">
        <v>150.0</v>
      </c>
      <c r="D566" s="86" t="s">
        <v>3654</v>
      </c>
      <c r="E566" s="86">
        <v>1.0</v>
      </c>
      <c r="F566" s="86">
        <v>0.149</v>
      </c>
      <c r="G566" s="86">
        <v>8001.0</v>
      </c>
      <c r="H566" s="86">
        <v>395.0</v>
      </c>
      <c r="I566" s="86">
        <v>1.0</v>
      </c>
      <c r="J566" s="86">
        <v>8000.0</v>
      </c>
      <c r="K566" s="86">
        <v>595.0</v>
      </c>
      <c r="L566" s="86">
        <v>1.0</v>
      </c>
      <c r="M566" s="86">
        <v>2007.0</v>
      </c>
      <c r="N566" s="86">
        <v>1.0</v>
      </c>
      <c r="O566" s="141">
        <v>0.25</v>
      </c>
      <c r="P566" s="86">
        <v>9000.0</v>
      </c>
      <c r="Q566" s="86">
        <v>149.0</v>
      </c>
      <c r="R566" s="86">
        <v>1.0</v>
      </c>
      <c r="S566" s="86" t="s">
        <v>3657</v>
      </c>
      <c r="T566" s="86">
        <v>20.0</v>
      </c>
      <c r="U566" s="86">
        <v>0.5</v>
      </c>
      <c r="V566" s="86">
        <v>1000.0</v>
      </c>
      <c r="W566" s="86">
        <v>6195.0</v>
      </c>
      <c r="X566" s="86">
        <v>1.0</v>
      </c>
      <c r="Y566" s="86">
        <v>2006.0</v>
      </c>
      <c r="Z566" s="86">
        <v>1.0</v>
      </c>
      <c r="AA566" s="86">
        <v>0.03</v>
      </c>
    </row>
    <row r="567" ht="12.75" customHeight="1">
      <c r="A567" s="86">
        <v>1565.0</v>
      </c>
      <c r="B567" s="86" t="s">
        <v>4527</v>
      </c>
      <c r="C567" s="86">
        <v>150.0</v>
      </c>
      <c r="D567" s="86" t="s">
        <v>3654</v>
      </c>
      <c r="E567" s="86">
        <v>1.0</v>
      </c>
      <c r="F567" s="86">
        <v>0.149</v>
      </c>
      <c r="G567" s="86">
        <v>8001.0</v>
      </c>
      <c r="H567" s="86">
        <v>395.0</v>
      </c>
      <c r="I567" s="86">
        <v>1.0</v>
      </c>
      <c r="J567" s="86">
        <v>8000.0</v>
      </c>
      <c r="K567" s="86">
        <v>595.0</v>
      </c>
      <c r="L567" s="86">
        <v>1.0</v>
      </c>
      <c r="M567" s="86">
        <v>2007.0</v>
      </c>
      <c r="N567" s="86">
        <v>1.0</v>
      </c>
      <c r="O567" s="141">
        <v>0.25</v>
      </c>
      <c r="P567" s="86">
        <v>9000.0</v>
      </c>
      <c r="Q567" s="86">
        <v>149.0</v>
      </c>
      <c r="R567" s="86">
        <v>1.0</v>
      </c>
      <c r="S567" s="86" t="s">
        <v>3657</v>
      </c>
      <c r="T567" s="86">
        <v>20.0</v>
      </c>
      <c r="U567" s="86">
        <v>0.5</v>
      </c>
      <c r="V567" s="86">
        <v>1000.0</v>
      </c>
      <c r="W567" s="86">
        <v>6200.0</v>
      </c>
      <c r="X567" s="86">
        <v>1.0</v>
      </c>
      <c r="Y567" s="86">
        <v>2006.0</v>
      </c>
      <c r="Z567" s="86">
        <v>1.0</v>
      </c>
      <c r="AA567" s="86">
        <v>0.03</v>
      </c>
    </row>
    <row r="568" ht="12.75" customHeight="1">
      <c r="A568" s="86">
        <v>1566.0</v>
      </c>
      <c r="B568" s="86" t="s">
        <v>4528</v>
      </c>
      <c r="C568" s="86">
        <v>150.0</v>
      </c>
      <c r="D568" s="86" t="s">
        <v>3654</v>
      </c>
      <c r="E568" s="86">
        <v>1.0</v>
      </c>
      <c r="F568" s="86">
        <v>0.149</v>
      </c>
      <c r="G568" s="86">
        <v>8001.0</v>
      </c>
      <c r="H568" s="86">
        <v>395.0</v>
      </c>
      <c r="I568" s="86">
        <v>1.0</v>
      </c>
      <c r="J568" s="86">
        <v>8000.0</v>
      </c>
      <c r="K568" s="86">
        <v>595.0</v>
      </c>
      <c r="L568" s="86">
        <v>1.0</v>
      </c>
      <c r="M568" s="86">
        <v>2007.0</v>
      </c>
      <c r="N568" s="86">
        <v>1.0</v>
      </c>
      <c r="O568" s="141">
        <v>0.25</v>
      </c>
      <c r="P568" s="86">
        <v>9000.0</v>
      </c>
      <c r="Q568" s="86">
        <v>149.0</v>
      </c>
      <c r="R568" s="86">
        <v>1.0</v>
      </c>
      <c r="S568" s="86" t="s">
        <v>3657</v>
      </c>
      <c r="T568" s="86">
        <v>20.0</v>
      </c>
      <c r="U568" s="86">
        <v>0.5</v>
      </c>
      <c r="V568" s="86">
        <v>1000.0</v>
      </c>
      <c r="W568" s="86">
        <v>6200.0</v>
      </c>
      <c r="X568" s="86">
        <v>1.0</v>
      </c>
      <c r="Y568" s="86">
        <v>2006.0</v>
      </c>
      <c r="Z568" s="86">
        <v>1.0</v>
      </c>
      <c r="AA568" s="86">
        <v>0.03</v>
      </c>
    </row>
    <row r="569" ht="12.75" customHeight="1">
      <c r="A569" s="86">
        <v>1567.0</v>
      </c>
      <c r="B569" s="86" t="s">
        <v>4529</v>
      </c>
      <c r="C569" s="86">
        <v>150.0</v>
      </c>
      <c r="D569" s="86" t="s">
        <v>3654</v>
      </c>
      <c r="E569" s="86">
        <v>1.0</v>
      </c>
      <c r="F569" s="86">
        <v>0.149</v>
      </c>
      <c r="G569" s="86">
        <v>8001.0</v>
      </c>
      <c r="H569" s="86">
        <v>395.0</v>
      </c>
      <c r="I569" s="86">
        <v>1.0</v>
      </c>
      <c r="J569" s="86">
        <v>8000.0</v>
      </c>
      <c r="K569" s="86">
        <v>595.0</v>
      </c>
      <c r="L569" s="86">
        <v>1.0</v>
      </c>
      <c r="M569" s="86">
        <v>2007.0</v>
      </c>
      <c r="N569" s="86">
        <v>1.0</v>
      </c>
      <c r="O569" s="141">
        <v>0.25</v>
      </c>
      <c r="P569" s="86">
        <v>9000.0</v>
      </c>
      <c r="Q569" s="86">
        <v>149.0</v>
      </c>
      <c r="R569" s="86">
        <v>1.0</v>
      </c>
      <c r="S569" s="86" t="s">
        <v>3657</v>
      </c>
      <c r="T569" s="86">
        <v>20.0</v>
      </c>
      <c r="U569" s="86">
        <v>0.5</v>
      </c>
      <c r="V569" s="86">
        <v>1000.0</v>
      </c>
      <c r="W569" s="86">
        <v>6205.0</v>
      </c>
      <c r="X569" s="86">
        <v>1.0</v>
      </c>
      <c r="Y569" s="86">
        <v>2006.0</v>
      </c>
      <c r="Z569" s="86">
        <v>1.0</v>
      </c>
      <c r="AA569" s="86">
        <v>0.03</v>
      </c>
    </row>
    <row r="570" ht="12.75" customHeight="1">
      <c r="A570" s="86">
        <v>1568.0</v>
      </c>
      <c r="B570" s="86" t="s">
        <v>4530</v>
      </c>
      <c r="C570" s="86">
        <v>150.0</v>
      </c>
      <c r="D570" s="86" t="s">
        <v>3654</v>
      </c>
      <c r="E570" s="86">
        <v>1.0</v>
      </c>
      <c r="F570" s="86">
        <v>0.149</v>
      </c>
      <c r="G570" s="86">
        <v>8001.0</v>
      </c>
      <c r="H570" s="86">
        <v>395.0</v>
      </c>
      <c r="I570" s="86">
        <v>1.0</v>
      </c>
      <c r="J570" s="86">
        <v>8000.0</v>
      </c>
      <c r="K570" s="86">
        <v>595.0</v>
      </c>
      <c r="L570" s="86">
        <v>1.0</v>
      </c>
      <c r="M570" s="86">
        <v>2007.0</v>
      </c>
      <c r="N570" s="86">
        <v>1.0</v>
      </c>
      <c r="O570" s="141">
        <v>0.25</v>
      </c>
      <c r="P570" s="86">
        <v>9000.0</v>
      </c>
      <c r="Q570" s="86">
        <v>149.0</v>
      </c>
      <c r="R570" s="86">
        <v>1.0</v>
      </c>
      <c r="S570" s="86" t="s">
        <v>3657</v>
      </c>
      <c r="T570" s="86">
        <v>20.0</v>
      </c>
      <c r="U570" s="86">
        <v>0.5</v>
      </c>
      <c r="V570" s="86">
        <v>1000.0</v>
      </c>
      <c r="W570" s="86">
        <v>6205.0</v>
      </c>
      <c r="X570" s="86">
        <v>1.0</v>
      </c>
      <c r="Y570" s="86">
        <v>2006.0</v>
      </c>
      <c r="Z570" s="86">
        <v>1.0</v>
      </c>
      <c r="AA570" s="86">
        <v>0.03</v>
      </c>
    </row>
    <row r="571" ht="12.75" customHeight="1">
      <c r="A571" s="86">
        <v>1569.0</v>
      </c>
      <c r="B571" s="86" t="s">
        <v>4531</v>
      </c>
      <c r="C571" s="86">
        <v>150.0</v>
      </c>
      <c r="D571" s="86" t="s">
        <v>3654</v>
      </c>
      <c r="E571" s="86">
        <v>1.0</v>
      </c>
      <c r="F571" s="86">
        <v>0.149</v>
      </c>
      <c r="G571" s="86">
        <v>8001.0</v>
      </c>
      <c r="H571" s="86">
        <v>395.0</v>
      </c>
      <c r="I571" s="86">
        <v>1.0</v>
      </c>
      <c r="J571" s="86">
        <v>8000.0</v>
      </c>
      <c r="K571" s="86">
        <v>595.0</v>
      </c>
      <c r="L571" s="86">
        <v>1.0</v>
      </c>
      <c r="M571" s="86">
        <v>2007.0</v>
      </c>
      <c r="N571" s="86">
        <v>1.0</v>
      </c>
      <c r="O571" s="141">
        <v>0.25</v>
      </c>
      <c r="P571" s="86">
        <v>9000.0</v>
      </c>
      <c r="Q571" s="86">
        <v>149.0</v>
      </c>
      <c r="R571" s="86">
        <v>1.0</v>
      </c>
      <c r="S571" s="86" t="s">
        <v>3657</v>
      </c>
      <c r="T571" s="86">
        <v>20.0</v>
      </c>
      <c r="U571" s="86">
        <v>0.5</v>
      </c>
      <c r="V571" s="86">
        <v>1000.0</v>
      </c>
      <c r="W571" s="86">
        <v>6210.0</v>
      </c>
      <c r="X571" s="86">
        <v>1.0</v>
      </c>
      <c r="Y571" s="86">
        <v>2006.0</v>
      </c>
      <c r="Z571" s="86">
        <v>1.0</v>
      </c>
      <c r="AA571" s="86">
        <v>0.03</v>
      </c>
    </row>
    <row r="572" ht="12.75" customHeight="1">
      <c r="A572" s="86">
        <v>1570.0</v>
      </c>
      <c r="B572" s="86" t="s">
        <v>4532</v>
      </c>
      <c r="C572" s="86">
        <v>150.0</v>
      </c>
      <c r="D572" s="86" t="s">
        <v>3654</v>
      </c>
      <c r="E572" s="86">
        <v>1.0</v>
      </c>
      <c r="F572" s="86">
        <v>0.149</v>
      </c>
      <c r="G572" s="86">
        <v>8001.0</v>
      </c>
      <c r="H572" s="86">
        <v>400.0</v>
      </c>
      <c r="I572" s="86">
        <v>1.0</v>
      </c>
      <c r="J572" s="86">
        <v>8000.0</v>
      </c>
      <c r="K572" s="86">
        <v>595.0</v>
      </c>
      <c r="L572" s="86">
        <v>1.0</v>
      </c>
      <c r="M572" s="86">
        <v>2007.0</v>
      </c>
      <c r="N572" s="86">
        <v>1.0</v>
      </c>
      <c r="O572" s="141">
        <v>0.25</v>
      </c>
      <c r="P572" s="86">
        <v>9000.0</v>
      </c>
      <c r="Q572" s="86">
        <v>149.0</v>
      </c>
      <c r="R572" s="86">
        <v>1.0</v>
      </c>
      <c r="S572" s="86" t="s">
        <v>3657</v>
      </c>
      <c r="T572" s="86">
        <v>20.0</v>
      </c>
      <c r="U572" s="86">
        <v>0.5</v>
      </c>
      <c r="V572" s="86">
        <v>1000.0</v>
      </c>
      <c r="W572" s="86">
        <v>6210.0</v>
      </c>
      <c r="X572" s="86">
        <v>1.0</v>
      </c>
      <c r="Y572" s="86">
        <v>2006.0</v>
      </c>
      <c r="Z572" s="86">
        <v>1.0</v>
      </c>
      <c r="AA572" s="86">
        <v>0.03</v>
      </c>
    </row>
    <row r="573" ht="12.75" customHeight="1">
      <c r="A573" s="86">
        <v>1571.0</v>
      </c>
      <c r="B573" s="86" t="s">
        <v>4533</v>
      </c>
      <c r="C573" s="86">
        <v>150.0</v>
      </c>
      <c r="D573" s="86" t="s">
        <v>3654</v>
      </c>
      <c r="E573" s="86">
        <v>1.0</v>
      </c>
      <c r="F573" s="86">
        <v>0.149</v>
      </c>
      <c r="G573" s="86">
        <v>8001.0</v>
      </c>
      <c r="H573" s="86">
        <v>400.0</v>
      </c>
      <c r="I573" s="86">
        <v>1.0</v>
      </c>
      <c r="J573" s="86">
        <v>8000.0</v>
      </c>
      <c r="K573" s="86">
        <v>595.0</v>
      </c>
      <c r="L573" s="86">
        <v>1.0</v>
      </c>
      <c r="M573" s="86">
        <v>2007.0</v>
      </c>
      <c r="N573" s="86">
        <v>1.0</v>
      </c>
      <c r="O573" s="141">
        <v>0.25</v>
      </c>
      <c r="P573" s="86">
        <v>9000.0</v>
      </c>
      <c r="Q573" s="86">
        <v>149.0</v>
      </c>
      <c r="R573" s="86">
        <v>1.0</v>
      </c>
      <c r="S573" s="86" t="s">
        <v>3657</v>
      </c>
      <c r="T573" s="86">
        <v>20.0</v>
      </c>
      <c r="U573" s="86">
        <v>0.5</v>
      </c>
      <c r="V573" s="86">
        <v>1000.0</v>
      </c>
      <c r="W573" s="86">
        <v>6215.0</v>
      </c>
      <c r="X573" s="86">
        <v>1.0</v>
      </c>
      <c r="Y573" s="86">
        <v>2006.0</v>
      </c>
      <c r="Z573" s="86">
        <v>1.0</v>
      </c>
      <c r="AA573" s="86">
        <v>0.03</v>
      </c>
    </row>
    <row r="574" ht="12.75" customHeight="1">
      <c r="A574" s="86">
        <v>1572.0</v>
      </c>
      <c r="B574" s="86" t="s">
        <v>4534</v>
      </c>
      <c r="C574" s="86">
        <v>150.0</v>
      </c>
      <c r="D574" s="86" t="s">
        <v>3654</v>
      </c>
      <c r="E574" s="86">
        <v>1.0</v>
      </c>
      <c r="F574" s="86">
        <v>0.149</v>
      </c>
      <c r="G574" s="86">
        <v>8001.0</v>
      </c>
      <c r="H574" s="86">
        <v>400.0</v>
      </c>
      <c r="I574" s="86">
        <v>1.0</v>
      </c>
      <c r="J574" s="86">
        <v>8000.0</v>
      </c>
      <c r="K574" s="86">
        <v>595.0</v>
      </c>
      <c r="L574" s="86">
        <v>1.0</v>
      </c>
      <c r="M574" s="86">
        <v>2007.0</v>
      </c>
      <c r="N574" s="86">
        <v>1.0</v>
      </c>
      <c r="O574" s="141">
        <v>0.25</v>
      </c>
      <c r="P574" s="86">
        <v>9000.0</v>
      </c>
      <c r="Q574" s="86">
        <v>149.0</v>
      </c>
      <c r="R574" s="86">
        <v>1.0</v>
      </c>
      <c r="S574" s="86" t="s">
        <v>3657</v>
      </c>
      <c r="T574" s="86">
        <v>20.0</v>
      </c>
      <c r="U574" s="86">
        <v>0.5</v>
      </c>
      <c r="V574" s="86">
        <v>1000.0</v>
      </c>
      <c r="W574" s="86">
        <v>6215.0</v>
      </c>
      <c r="X574" s="86">
        <v>1.0</v>
      </c>
      <c r="Y574" s="86">
        <v>2006.0</v>
      </c>
      <c r="Z574" s="86">
        <v>1.0</v>
      </c>
      <c r="AA574" s="86">
        <v>0.03</v>
      </c>
    </row>
    <row r="575" ht="12.75" customHeight="1">
      <c r="A575" s="86">
        <v>1573.0</v>
      </c>
      <c r="B575" s="86" t="s">
        <v>4535</v>
      </c>
      <c r="C575" s="86">
        <v>150.0</v>
      </c>
      <c r="D575" s="86" t="s">
        <v>3654</v>
      </c>
      <c r="E575" s="86">
        <v>1.0</v>
      </c>
      <c r="F575" s="86">
        <v>0.149</v>
      </c>
      <c r="G575" s="86">
        <v>8001.0</v>
      </c>
      <c r="H575" s="86">
        <v>400.0</v>
      </c>
      <c r="I575" s="86">
        <v>1.0</v>
      </c>
      <c r="J575" s="86">
        <v>8000.0</v>
      </c>
      <c r="K575" s="86">
        <v>595.0</v>
      </c>
      <c r="L575" s="86">
        <v>1.0</v>
      </c>
      <c r="M575" s="86">
        <v>2007.0</v>
      </c>
      <c r="N575" s="86">
        <v>1.0</v>
      </c>
      <c r="O575" s="141">
        <v>0.25</v>
      </c>
      <c r="P575" s="86">
        <v>9000.0</v>
      </c>
      <c r="Q575" s="86">
        <v>149.0</v>
      </c>
      <c r="R575" s="86">
        <v>1.0</v>
      </c>
      <c r="S575" s="86" t="s">
        <v>3657</v>
      </c>
      <c r="T575" s="86">
        <v>20.0</v>
      </c>
      <c r="U575" s="86">
        <v>0.5</v>
      </c>
      <c r="V575" s="86">
        <v>1000.0</v>
      </c>
      <c r="W575" s="86">
        <v>6220.0</v>
      </c>
      <c r="X575" s="86">
        <v>1.0</v>
      </c>
      <c r="Y575" s="86">
        <v>2006.0</v>
      </c>
      <c r="Z575" s="86">
        <v>1.0</v>
      </c>
      <c r="AA575" s="86">
        <v>0.03</v>
      </c>
    </row>
    <row r="576" ht="12.75" customHeight="1">
      <c r="A576" s="86">
        <v>1574.0</v>
      </c>
      <c r="B576" s="86" t="s">
        <v>4536</v>
      </c>
      <c r="C576" s="86">
        <v>150.0</v>
      </c>
      <c r="D576" s="86" t="s">
        <v>3654</v>
      </c>
      <c r="E576" s="86">
        <v>1.0</v>
      </c>
      <c r="F576" s="86">
        <v>0.149</v>
      </c>
      <c r="G576" s="86">
        <v>8001.0</v>
      </c>
      <c r="H576" s="86">
        <v>400.0</v>
      </c>
      <c r="I576" s="86">
        <v>1.0</v>
      </c>
      <c r="J576" s="86">
        <v>8000.0</v>
      </c>
      <c r="K576" s="86">
        <v>595.0</v>
      </c>
      <c r="L576" s="86">
        <v>1.0</v>
      </c>
      <c r="M576" s="86">
        <v>2007.0</v>
      </c>
      <c r="N576" s="86">
        <v>1.0</v>
      </c>
      <c r="O576" s="141">
        <v>0.25</v>
      </c>
      <c r="P576" s="86">
        <v>9000.0</v>
      </c>
      <c r="Q576" s="86">
        <v>149.0</v>
      </c>
      <c r="R576" s="86">
        <v>1.0</v>
      </c>
      <c r="S576" s="86" t="s">
        <v>3657</v>
      </c>
      <c r="T576" s="86">
        <v>20.0</v>
      </c>
      <c r="U576" s="86">
        <v>0.5</v>
      </c>
      <c r="V576" s="86">
        <v>1000.0</v>
      </c>
      <c r="W576" s="86">
        <v>6220.0</v>
      </c>
      <c r="X576" s="86">
        <v>1.0</v>
      </c>
      <c r="Y576" s="86">
        <v>2006.0</v>
      </c>
      <c r="Z576" s="86">
        <v>1.0</v>
      </c>
      <c r="AA576" s="86">
        <v>0.03</v>
      </c>
    </row>
    <row r="577" ht="12.75" customHeight="1">
      <c r="A577" s="86">
        <v>1575.0</v>
      </c>
      <c r="B577" s="86" t="s">
        <v>4537</v>
      </c>
      <c r="C577" s="86">
        <v>150.0</v>
      </c>
      <c r="D577" s="86" t="s">
        <v>3654</v>
      </c>
      <c r="E577" s="86">
        <v>1.0</v>
      </c>
      <c r="F577" s="86">
        <v>0.15</v>
      </c>
      <c r="G577" s="86">
        <v>8001.0</v>
      </c>
      <c r="H577" s="86">
        <v>400.0</v>
      </c>
      <c r="I577" s="86">
        <v>1.0</v>
      </c>
      <c r="J577" s="86">
        <v>8000.0</v>
      </c>
      <c r="K577" s="86">
        <v>595.0</v>
      </c>
      <c r="L577" s="86">
        <v>1.0</v>
      </c>
      <c r="M577" s="86">
        <v>2007.0</v>
      </c>
      <c r="N577" s="86">
        <v>1.0</v>
      </c>
      <c r="O577" s="141">
        <v>0.25</v>
      </c>
      <c r="P577" s="86">
        <v>9000.0</v>
      </c>
      <c r="Q577" s="86">
        <v>149.0</v>
      </c>
      <c r="R577" s="86">
        <v>1.0</v>
      </c>
      <c r="S577" s="86" t="s">
        <v>3657</v>
      </c>
      <c r="T577" s="86">
        <v>20.0</v>
      </c>
      <c r="U577" s="86">
        <v>0.5</v>
      </c>
      <c r="V577" s="86">
        <v>1000.0</v>
      </c>
      <c r="W577" s="86">
        <v>6225.0</v>
      </c>
      <c r="X577" s="86">
        <v>1.0</v>
      </c>
      <c r="Y577" s="86">
        <v>2006.0</v>
      </c>
      <c r="Z577" s="86">
        <v>1.0</v>
      </c>
      <c r="AA577" s="86">
        <v>0.03</v>
      </c>
    </row>
    <row r="578" ht="12.75" customHeight="1">
      <c r="A578" s="86">
        <v>1576.0</v>
      </c>
      <c r="B578" s="86" t="s">
        <v>4538</v>
      </c>
      <c r="C578" s="86">
        <v>150.0</v>
      </c>
      <c r="D578" s="86" t="s">
        <v>3654</v>
      </c>
      <c r="E578" s="86">
        <v>1.0</v>
      </c>
      <c r="F578" s="86">
        <v>0.15</v>
      </c>
      <c r="G578" s="86">
        <v>8001.0</v>
      </c>
      <c r="H578" s="86">
        <v>400.0</v>
      </c>
      <c r="I578" s="86">
        <v>1.0</v>
      </c>
      <c r="J578" s="86">
        <v>8000.0</v>
      </c>
      <c r="K578" s="86">
        <v>600.0</v>
      </c>
      <c r="L578" s="86">
        <v>1.0</v>
      </c>
      <c r="M578" s="86">
        <v>2007.0</v>
      </c>
      <c r="N578" s="86">
        <v>1.0</v>
      </c>
      <c r="O578" s="141">
        <v>0.25</v>
      </c>
      <c r="P578" s="86">
        <v>9000.0</v>
      </c>
      <c r="Q578" s="86">
        <v>149.0</v>
      </c>
      <c r="R578" s="86">
        <v>1.0</v>
      </c>
      <c r="S578" s="86" t="s">
        <v>3657</v>
      </c>
      <c r="T578" s="86">
        <v>20.0</v>
      </c>
      <c r="U578" s="86">
        <v>0.5</v>
      </c>
      <c r="V578" s="86">
        <v>1000.0</v>
      </c>
      <c r="W578" s="86">
        <v>6225.0</v>
      </c>
      <c r="X578" s="86">
        <v>1.0</v>
      </c>
      <c r="Y578" s="86">
        <v>2006.0</v>
      </c>
      <c r="Z578" s="86">
        <v>1.0</v>
      </c>
      <c r="AA578" s="86">
        <v>0.03</v>
      </c>
    </row>
    <row r="579" ht="12.75" customHeight="1">
      <c r="A579" s="86">
        <v>1577.0</v>
      </c>
      <c r="B579" s="86" t="s">
        <v>4539</v>
      </c>
      <c r="C579" s="86">
        <v>150.0</v>
      </c>
      <c r="D579" s="86" t="s">
        <v>3654</v>
      </c>
      <c r="E579" s="86">
        <v>1.0</v>
      </c>
      <c r="F579" s="86">
        <v>0.15</v>
      </c>
      <c r="G579" s="86">
        <v>8001.0</v>
      </c>
      <c r="H579" s="86">
        <v>400.0</v>
      </c>
      <c r="I579" s="86">
        <v>1.0</v>
      </c>
      <c r="J579" s="86">
        <v>8000.0</v>
      </c>
      <c r="K579" s="86">
        <v>600.0</v>
      </c>
      <c r="L579" s="86">
        <v>1.0</v>
      </c>
      <c r="M579" s="86">
        <v>2007.0</v>
      </c>
      <c r="N579" s="86">
        <v>1.0</v>
      </c>
      <c r="O579" s="141">
        <v>0.25</v>
      </c>
      <c r="P579" s="86">
        <v>9000.0</v>
      </c>
      <c r="Q579" s="86">
        <v>149.0</v>
      </c>
      <c r="R579" s="86">
        <v>1.0</v>
      </c>
      <c r="S579" s="86" t="s">
        <v>3657</v>
      </c>
      <c r="T579" s="86">
        <v>20.0</v>
      </c>
      <c r="U579" s="86">
        <v>0.5</v>
      </c>
      <c r="V579" s="86">
        <v>1000.0</v>
      </c>
      <c r="W579" s="86">
        <v>6230.0</v>
      </c>
      <c r="X579" s="86">
        <v>1.0</v>
      </c>
      <c r="Y579" s="86">
        <v>2006.0</v>
      </c>
      <c r="Z579" s="86">
        <v>1.0</v>
      </c>
      <c r="AA579" s="86">
        <v>0.03</v>
      </c>
    </row>
    <row r="580" ht="12.75" customHeight="1">
      <c r="A580" s="86">
        <v>1578.0</v>
      </c>
      <c r="B580" s="86" t="s">
        <v>4540</v>
      </c>
      <c r="C580" s="86">
        <v>150.0</v>
      </c>
      <c r="D580" s="86" t="s">
        <v>3654</v>
      </c>
      <c r="E580" s="86">
        <v>1.0</v>
      </c>
      <c r="F580" s="86">
        <v>0.15</v>
      </c>
      <c r="G580" s="86">
        <v>8001.0</v>
      </c>
      <c r="H580" s="86">
        <v>400.0</v>
      </c>
      <c r="I580" s="86">
        <v>1.0</v>
      </c>
      <c r="J580" s="86">
        <v>8000.0</v>
      </c>
      <c r="K580" s="86">
        <v>600.0</v>
      </c>
      <c r="L580" s="86">
        <v>1.0</v>
      </c>
      <c r="M580" s="86">
        <v>2007.0</v>
      </c>
      <c r="N580" s="86">
        <v>1.0</v>
      </c>
      <c r="O580" s="141">
        <v>0.25</v>
      </c>
      <c r="P580" s="86">
        <v>9000.0</v>
      </c>
      <c r="Q580" s="86">
        <v>149.0</v>
      </c>
      <c r="R580" s="86">
        <v>1.0</v>
      </c>
      <c r="S580" s="86" t="s">
        <v>3657</v>
      </c>
      <c r="T580" s="86">
        <v>20.0</v>
      </c>
      <c r="U580" s="86">
        <v>0.5</v>
      </c>
      <c r="V580" s="86">
        <v>1000.0</v>
      </c>
      <c r="W580" s="86">
        <v>6230.0</v>
      </c>
      <c r="X580" s="86">
        <v>1.0</v>
      </c>
      <c r="Y580" s="86">
        <v>2006.0</v>
      </c>
      <c r="Z580" s="86">
        <v>1.0</v>
      </c>
      <c r="AA580" s="86">
        <v>0.03</v>
      </c>
    </row>
    <row r="581" ht="12.75" customHeight="1">
      <c r="A581" s="86">
        <v>1579.0</v>
      </c>
      <c r="B581" s="86" t="s">
        <v>4541</v>
      </c>
      <c r="C581" s="86">
        <v>150.0</v>
      </c>
      <c r="D581" s="86" t="s">
        <v>3654</v>
      </c>
      <c r="E581" s="86">
        <v>1.0</v>
      </c>
      <c r="F581" s="86">
        <v>0.15</v>
      </c>
      <c r="G581" s="86">
        <v>8001.0</v>
      </c>
      <c r="H581" s="86">
        <v>400.0</v>
      </c>
      <c r="I581" s="86">
        <v>1.0</v>
      </c>
      <c r="J581" s="86">
        <v>8000.0</v>
      </c>
      <c r="K581" s="86">
        <v>600.0</v>
      </c>
      <c r="L581" s="86">
        <v>1.0</v>
      </c>
      <c r="M581" s="86">
        <v>2007.0</v>
      </c>
      <c r="N581" s="86">
        <v>1.0</v>
      </c>
      <c r="O581" s="141">
        <v>0.25</v>
      </c>
      <c r="P581" s="86">
        <v>9000.0</v>
      </c>
      <c r="Q581" s="86">
        <v>150.0</v>
      </c>
      <c r="R581" s="86">
        <v>1.0</v>
      </c>
      <c r="S581" s="86" t="s">
        <v>3657</v>
      </c>
      <c r="T581" s="86">
        <v>20.0</v>
      </c>
      <c r="U581" s="86">
        <v>0.5</v>
      </c>
      <c r="V581" s="86">
        <v>1000.0</v>
      </c>
      <c r="W581" s="86">
        <v>6230.0</v>
      </c>
      <c r="X581" s="86">
        <v>1.0</v>
      </c>
      <c r="Y581" s="86">
        <v>2006.0</v>
      </c>
      <c r="Z581" s="86">
        <v>1.0</v>
      </c>
      <c r="AA581" s="86">
        <v>0.03</v>
      </c>
    </row>
    <row r="582" ht="12.75" customHeight="1">
      <c r="A582" s="86">
        <v>1580.0</v>
      </c>
      <c r="B582" s="86" t="s">
        <v>4527</v>
      </c>
      <c r="C582" s="86">
        <v>150.0</v>
      </c>
      <c r="D582" s="86" t="s">
        <v>3654</v>
      </c>
      <c r="E582" s="86">
        <v>1.0</v>
      </c>
      <c r="F582" s="86">
        <v>0.15</v>
      </c>
      <c r="G582" s="86">
        <v>8001.0</v>
      </c>
      <c r="H582" s="86">
        <v>400.0</v>
      </c>
      <c r="I582" s="86">
        <v>1.0</v>
      </c>
      <c r="J582" s="86">
        <v>8000.0</v>
      </c>
      <c r="K582" s="86">
        <v>600.0</v>
      </c>
      <c r="L582" s="86">
        <v>1.0</v>
      </c>
      <c r="M582" s="86">
        <v>2007.0</v>
      </c>
      <c r="N582" s="86">
        <v>1.0</v>
      </c>
      <c r="O582" s="141">
        <v>0.25</v>
      </c>
      <c r="P582" s="86">
        <v>9000.0</v>
      </c>
      <c r="Q582" s="86">
        <v>150.0</v>
      </c>
      <c r="R582" s="86">
        <v>1.0</v>
      </c>
      <c r="S582" s="86" t="s">
        <v>3657</v>
      </c>
      <c r="T582" s="86">
        <v>20.0</v>
      </c>
      <c r="U582" s="86">
        <v>0.5</v>
      </c>
      <c r="V582" s="86">
        <v>1000.0</v>
      </c>
      <c r="W582" s="86">
        <v>6235.0</v>
      </c>
      <c r="X582" s="86">
        <v>1.0</v>
      </c>
      <c r="Y582" s="86">
        <v>2006.0</v>
      </c>
      <c r="Z582" s="86">
        <v>1.0</v>
      </c>
      <c r="AA582" s="86">
        <v>0.03</v>
      </c>
    </row>
    <row r="583" ht="12.75" customHeight="1">
      <c r="A583" s="86">
        <v>1581.0</v>
      </c>
      <c r="B583" s="86" t="s">
        <v>4542</v>
      </c>
      <c r="C583" s="86">
        <v>150.0</v>
      </c>
      <c r="D583" s="86" t="s">
        <v>3654</v>
      </c>
      <c r="E583" s="86">
        <v>1.0</v>
      </c>
      <c r="F583" s="86">
        <v>0.15</v>
      </c>
      <c r="G583" s="86">
        <v>8001.0</v>
      </c>
      <c r="H583" s="86">
        <v>400.0</v>
      </c>
      <c r="I583" s="86">
        <v>1.0</v>
      </c>
      <c r="J583" s="86">
        <v>8000.0</v>
      </c>
      <c r="K583" s="86">
        <v>600.0</v>
      </c>
      <c r="L583" s="86">
        <v>1.0</v>
      </c>
      <c r="M583" s="86">
        <v>2007.0</v>
      </c>
      <c r="N583" s="86">
        <v>1.0</v>
      </c>
      <c r="O583" s="141">
        <v>0.25</v>
      </c>
      <c r="P583" s="86">
        <v>9000.0</v>
      </c>
      <c r="Q583" s="86">
        <v>150.0</v>
      </c>
      <c r="R583" s="86">
        <v>1.0</v>
      </c>
      <c r="S583" s="86" t="s">
        <v>3657</v>
      </c>
      <c r="T583" s="86">
        <v>20.0</v>
      </c>
      <c r="U583" s="86">
        <v>0.5</v>
      </c>
      <c r="V583" s="86">
        <v>1000.0</v>
      </c>
      <c r="W583" s="86">
        <v>6235.0</v>
      </c>
      <c r="X583" s="86">
        <v>1.0</v>
      </c>
      <c r="Y583" s="86">
        <v>2006.0</v>
      </c>
      <c r="Z583" s="86">
        <v>1.0</v>
      </c>
      <c r="AA583" s="86">
        <v>0.03</v>
      </c>
    </row>
    <row r="584" ht="12.75" customHeight="1">
      <c r="A584" s="86">
        <v>1582.0</v>
      </c>
      <c r="B584" s="86" t="s">
        <v>4543</v>
      </c>
      <c r="C584" s="86">
        <v>150.0</v>
      </c>
      <c r="D584" s="86" t="s">
        <v>3654</v>
      </c>
      <c r="E584" s="86">
        <v>1.0</v>
      </c>
      <c r="F584" s="86">
        <v>0.15</v>
      </c>
      <c r="G584" s="86">
        <v>8001.0</v>
      </c>
      <c r="H584" s="86">
        <v>400.0</v>
      </c>
      <c r="I584" s="86">
        <v>1.0</v>
      </c>
      <c r="J584" s="86">
        <v>8000.0</v>
      </c>
      <c r="K584" s="86">
        <v>600.0</v>
      </c>
      <c r="L584" s="86">
        <v>1.0</v>
      </c>
      <c r="M584" s="86">
        <v>2007.0</v>
      </c>
      <c r="N584" s="86">
        <v>1.0</v>
      </c>
      <c r="O584" s="141">
        <v>0.25</v>
      </c>
      <c r="P584" s="86">
        <v>9000.0</v>
      </c>
      <c r="Q584" s="86">
        <v>150.0</v>
      </c>
      <c r="R584" s="86">
        <v>1.0</v>
      </c>
      <c r="S584" s="86" t="s">
        <v>3657</v>
      </c>
      <c r="T584" s="86">
        <v>20.0</v>
      </c>
      <c r="U584" s="86">
        <v>0.5</v>
      </c>
      <c r="V584" s="86">
        <v>1000.0</v>
      </c>
      <c r="W584" s="86">
        <v>6235.0</v>
      </c>
      <c r="X584" s="86">
        <v>1.0</v>
      </c>
      <c r="Y584" s="86">
        <v>2006.0</v>
      </c>
      <c r="Z584" s="86">
        <v>1.0</v>
      </c>
      <c r="AA584" s="86">
        <v>0.03</v>
      </c>
    </row>
    <row r="585" ht="12.75" customHeight="1">
      <c r="A585" s="86">
        <v>1583.0</v>
      </c>
      <c r="B585" s="86" t="s">
        <v>4544</v>
      </c>
      <c r="C585" s="86">
        <v>150.0</v>
      </c>
      <c r="D585" s="86" t="s">
        <v>3654</v>
      </c>
      <c r="E585" s="86">
        <v>1.0</v>
      </c>
      <c r="F585" s="86">
        <v>0.15</v>
      </c>
      <c r="G585" s="86">
        <v>8001.0</v>
      </c>
      <c r="H585" s="86">
        <v>400.0</v>
      </c>
      <c r="I585" s="86">
        <v>1.0</v>
      </c>
      <c r="J585" s="86">
        <v>8000.0</v>
      </c>
      <c r="K585" s="86">
        <v>600.0</v>
      </c>
      <c r="L585" s="86">
        <v>1.0</v>
      </c>
      <c r="M585" s="86">
        <v>2007.0</v>
      </c>
      <c r="N585" s="86">
        <v>1.0</v>
      </c>
      <c r="O585" s="141">
        <v>0.25</v>
      </c>
      <c r="P585" s="86">
        <v>9000.0</v>
      </c>
      <c r="Q585" s="86">
        <v>150.0</v>
      </c>
      <c r="R585" s="86">
        <v>1.0</v>
      </c>
      <c r="S585" s="86" t="s">
        <v>3657</v>
      </c>
      <c r="T585" s="86">
        <v>20.0</v>
      </c>
      <c r="U585" s="86">
        <v>0.5</v>
      </c>
      <c r="V585" s="86">
        <v>1000.0</v>
      </c>
      <c r="W585" s="86">
        <v>6240.0</v>
      </c>
      <c r="X585" s="86">
        <v>1.0</v>
      </c>
      <c r="Y585" s="86">
        <v>2006.0</v>
      </c>
      <c r="Z585" s="86">
        <v>1.0</v>
      </c>
      <c r="AA585" s="86">
        <v>0.03</v>
      </c>
    </row>
    <row r="586" ht="12.75" customHeight="1">
      <c r="A586" s="86">
        <v>1584.0</v>
      </c>
      <c r="B586" s="86" t="s">
        <v>4545</v>
      </c>
      <c r="C586" s="86">
        <v>150.0</v>
      </c>
      <c r="D586" s="86" t="s">
        <v>3654</v>
      </c>
      <c r="E586" s="86">
        <v>1.0</v>
      </c>
      <c r="F586" s="86">
        <v>0.15</v>
      </c>
      <c r="G586" s="86">
        <v>8001.0</v>
      </c>
      <c r="H586" s="86">
        <v>400.0</v>
      </c>
      <c r="I586" s="86">
        <v>1.0</v>
      </c>
      <c r="J586" s="86">
        <v>8000.0</v>
      </c>
      <c r="K586" s="86">
        <v>600.0</v>
      </c>
      <c r="L586" s="86">
        <v>1.0</v>
      </c>
      <c r="M586" s="86">
        <v>2007.0</v>
      </c>
      <c r="N586" s="86">
        <v>1.0</v>
      </c>
      <c r="O586" s="141">
        <v>0.25</v>
      </c>
      <c r="P586" s="86">
        <v>9000.0</v>
      </c>
      <c r="Q586" s="86">
        <v>150.0</v>
      </c>
      <c r="R586" s="86">
        <v>1.0</v>
      </c>
      <c r="S586" s="86" t="s">
        <v>3657</v>
      </c>
      <c r="T586" s="86">
        <v>20.0</v>
      </c>
      <c r="U586" s="86">
        <v>0.5</v>
      </c>
      <c r="V586" s="86">
        <v>1000.0</v>
      </c>
      <c r="W586" s="86">
        <v>6240.0</v>
      </c>
      <c r="X586" s="86">
        <v>1.0</v>
      </c>
      <c r="Y586" s="86">
        <v>2006.0</v>
      </c>
      <c r="Z586" s="86">
        <v>1.0</v>
      </c>
      <c r="AA586" s="86">
        <v>0.03</v>
      </c>
    </row>
    <row r="587" ht="12.75" customHeight="1">
      <c r="A587" s="86">
        <v>1585.0</v>
      </c>
      <c r="B587" s="86" t="s">
        <v>4546</v>
      </c>
      <c r="C587" s="86">
        <v>150.0</v>
      </c>
      <c r="D587" s="86" t="s">
        <v>3654</v>
      </c>
      <c r="E587" s="86">
        <v>1.0</v>
      </c>
      <c r="F587" s="86">
        <v>0.15</v>
      </c>
      <c r="G587" s="86">
        <v>8001.0</v>
      </c>
      <c r="H587" s="86">
        <v>400.0</v>
      </c>
      <c r="I587" s="86">
        <v>1.0</v>
      </c>
      <c r="J587" s="86">
        <v>8000.0</v>
      </c>
      <c r="K587" s="86">
        <v>600.0</v>
      </c>
      <c r="L587" s="86">
        <v>1.0</v>
      </c>
      <c r="M587" s="86">
        <v>2007.0</v>
      </c>
      <c r="N587" s="86">
        <v>1.0</v>
      </c>
      <c r="O587" s="141">
        <v>0.25</v>
      </c>
      <c r="P587" s="86">
        <v>9000.0</v>
      </c>
      <c r="Q587" s="86">
        <v>150.0</v>
      </c>
      <c r="R587" s="86">
        <v>1.0</v>
      </c>
      <c r="S587" s="86" t="s">
        <v>3657</v>
      </c>
      <c r="T587" s="86">
        <v>20.0</v>
      </c>
      <c r="U587" s="86">
        <v>0.5</v>
      </c>
      <c r="V587" s="86">
        <v>1000.0</v>
      </c>
      <c r="W587" s="86">
        <v>6240.0</v>
      </c>
      <c r="X587" s="86">
        <v>1.0</v>
      </c>
      <c r="Y587" s="86">
        <v>2006.0</v>
      </c>
      <c r="Z587" s="86">
        <v>1.0</v>
      </c>
      <c r="AA587" s="86">
        <v>0.03</v>
      </c>
    </row>
    <row r="588" ht="12.75" customHeight="1">
      <c r="A588" s="86">
        <v>1586.0</v>
      </c>
      <c r="B588" s="86" t="s">
        <v>4547</v>
      </c>
      <c r="C588" s="86">
        <v>150.0</v>
      </c>
      <c r="D588" s="86" t="s">
        <v>3654</v>
      </c>
      <c r="E588" s="86">
        <v>1.0</v>
      </c>
      <c r="F588" s="86">
        <v>0.15</v>
      </c>
      <c r="G588" s="86">
        <v>8001.0</v>
      </c>
      <c r="H588" s="86">
        <v>400.0</v>
      </c>
      <c r="I588" s="86">
        <v>1.0</v>
      </c>
      <c r="J588" s="86">
        <v>8000.0</v>
      </c>
      <c r="K588" s="86">
        <v>600.0</v>
      </c>
      <c r="L588" s="86">
        <v>1.0</v>
      </c>
      <c r="M588" s="86">
        <v>2007.0</v>
      </c>
      <c r="N588" s="86">
        <v>1.0</v>
      </c>
      <c r="O588" s="141">
        <v>0.25</v>
      </c>
      <c r="P588" s="86">
        <v>9000.0</v>
      </c>
      <c r="Q588" s="86">
        <v>150.0</v>
      </c>
      <c r="R588" s="86">
        <v>1.0</v>
      </c>
      <c r="S588" s="86" t="s">
        <v>3657</v>
      </c>
      <c r="T588" s="86">
        <v>20.0</v>
      </c>
      <c r="U588" s="86">
        <v>0.5</v>
      </c>
      <c r="V588" s="86">
        <v>1000.0</v>
      </c>
      <c r="W588" s="86">
        <v>6240.0</v>
      </c>
      <c r="X588" s="86">
        <v>1.0</v>
      </c>
      <c r="Y588" s="86">
        <v>2006.0</v>
      </c>
      <c r="Z588" s="86">
        <v>1.0</v>
      </c>
      <c r="AA588" s="86">
        <v>0.03</v>
      </c>
    </row>
    <row r="589" ht="12.75" customHeight="1">
      <c r="A589" s="86">
        <v>1587.0</v>
      </c>
      <c r="B589" s="86" t="s">
        <v>4548</v>
      </c>
      <c r="C589" s="86">
        <v>150.0</v>
      </c>
      <c r="D589" s="86" t="s">
        <v>3654</v>
      </c>
      <c r="E589" s="86">
        <v>1.0</v>
      </c>
      <c r="F589" s="86">
        <v>0.15</v>
      </c>
      <c r="G589" s="86">
        <v>8001.0</v>
      </c>
      <c r="H589" s="86">
        <v>400.0</v>
      </c>
      <c r="I589" s="86">
        <v>1.0</v>
      </c>
      <c r="J589" s="86">
        <v>8000.0</v>
      </c>
      <c r="K589" s="86">
        <v>600.0</v>
      </c>
      <c r="L589" s="86">
        <v>1.0</v>
      </c>
      <c r="M589" s="86">
        <v>2007.0</v>
      </c>
      <c r="N589" s="86">
        <v>1.0</v>
      </c>
      <c r="O589" s="141">
        <v>0.25</v>
      </c>
      <c r="P589" s="86">
        <v>9000.0</v>
      </c>
      <c r="Q589" s="86">
        <v>150.0</v>
      </c>
      <c r="R589" s="86">
        <v>1.0</v>
      </c>
      <c r="S589" s="86" t="s">
        <v>3657</v>
      </c>
      <c r="T589" s="86">
        <v>20.0</v>
      </c>
      <c r="U589" s="86">
        <v>0.5</v>
      </c>
      <c r="V589" s="86">
        <v>1000.0</v>
      </c>
      <c r="W589" s="86">
        <v>6245.0</v>
      </c>
      <c r="X589" s="86">
        <v>1.0</v>
      </c>
      <c r="Y589" s="86">
        <v>2006.0</v>
      </c>
      <c r="Z589" s="86">
        <v>1.0</v>
      </c>
      <c r="AA589" s="86">
        <v>0.03</v>
      </c>
    </row>
    <row r="590" ht="12.75" customHeight="1">
      <c r="A590" s="86">
        <v>1588.0</v>
      </c>
      <c r="B590" s="86" t="s">
        <v>4549</v>
      </c>
      <c r="C590" s="86">
        <v>150.0</v>
      </c>
      <c r="D590" s="86" t="s">
        <v>3654</v>
      </c>
      <c r="E590" s="86">
        <v>1.0</v>
      </c>
      <c r="F590" s="86">
        <v>0.15</v>
      </c>
      <c r="G590" s="86">
        <v>8001.0</v>
      </c>
      <c r="H590" s="86">
        <v>400.0</v>
      </c>
      <c r="I590" s="86">
        <v>1.0</v>
      </c>
      <c r="J590" s="86">
        <v>8000.0</v>
      </c>
      <c r="K590" s="86">
        <v>600.0</v>
      </c>
      <c r="L590" s="86">
        <v>1.0</v>
      </c>
      <c r="M590" s="86">
        <v>2007.0</v>
      </c>
      <c r="N590" s="86">
        <v>1.0</v>
      </c>
      <c r="O590" s="141">
        <v>0.25</v>
      </c>
      <c r="P590" s="86">
        <v>9000.0</v>
      </c>
      <c r="Q590" s="86">
        <v>150.0</v>
      </c>
      <c r="R590" s="86">
        <v>1.0</v>
      </c>
      <c r="S590" s="86" t="s">
        <v>3657</v>
      </c>
      <c r="T590" s="86">
        <v>20.0</v>
      </c>
      <c r="U590" s="86">
        <v>0.5</v>
      </c>
      <c r="V590" s="86">
        <v>1000.0</v>
      </c>
      <c r="W590" s="86">
        <v>6245.0</v>
      </c>
      <c r="X590" s="86">
        <v>1.0</v>
      </c>
      <c r="Y590" s="86">
        <v>2006.0</v>
      </c>
      <c r="Z590" s="86">
        <v>1.0</v>
      </c>
      <c r="AA590" s="86">
        <v>0.03</v>
      </c>
    </row>
    <row r="591" ht="12.75" customHeight="1">
      <c r="A591" s="86">
        <v>1589.0</v>
      </c>
      <c r="B591" s="86" t="s">
        <v>4550</v>
      </c>
      <c r="C591" s="86">
        <v>150.0</v>
      </c>
      <c r="D591" s="86" t="s">
        <v>3654</v>
      </c>
      <c r="E591" s="86">
        <v>1.0</v>
      </c>
      <c r="F591" s="86">
        <v>0.15</v>
      </c>
      <c r="G591" s="86">
        <v>8001.0</v>
      </c>
      <c r="H591" s="86">
        <v>400.0</v>
      </c>
      <c r="I591" s="86">
        <v>1.0</v>
      </c>
      <c r="J591" s="86">
        <v>8000.0</v>
      </c>
      <c r="K591" s="86">
        <v>600.0</v>
      </c>
      <c r="L591" s="86">
        <v>1.0</v>
      </c>
      <c r="M591" s="86">
        <v>2007.0</v>
      </c>
      <c r="N591" s="86">
        <v>1.0</v>
      </c>
      <c r="O591" s="141">
        <v>0.25</v>
      </c>
      <c r="P591" s="86">
        <v>9000.0</v>
      </c>
      <c r="Q591" s="86">
        <v>150.0</v>
      </c>
      <c r="R591" s="86">
        <v>1.0</v>
      </c>
      <c r="S591" s="86" t="s">
        <v>3657</v>
      </c>
      <c r="T591" s="86">
        <v>20.0</v>
      </c>
      <c r="U591" s="86">
        <v>0.5</v>
      </c>
      <c r="V591" s="86">
        <v>1000.0</v>
      </c>
      <c r="W591" s="86">
        <v>6245.0</v>
      </c>
      <c r="X591" s="86">
        <v>1.0</v>
      </c>
      <c r="Y591" s="86">
        <v>2006.0</v>
      </c>
      <c r="Z591" s="86">
        <v>1.0</v>
      </c>
      <c r="AA591" s="86">
        <v>0.03</v>
      </c>
    </row>
    <row r="592" ht="12.75" customHeight="1">
      <c r="A592" s="86">
        <v>1590.0</v>
      </c>
      <c r="B592" s="86" t="s">
        <v>4551</v>
      </c>
      <c r="C592" s="86">
        <v>150.0</v>
      </c>
      <c r="D592" s="86" t="s">
        <v>3654</v>
      </c>
      <c r="E592" s="86">
        <v>1.0</v>
      </c>
      <c r="F592" s="86">
        <v>0.15</v>
      </c>
      <c r="G592" s="86">
        <v>8001.0</v>
      </c>
      <c r="H592" s="86">
        <v>400.0</v>
      </c>
      <c r="I592" s="86">
        <v>1.0</v>
      </c>
      <c r="J592" s="86">
        <v>8000.0</v>
      </c>
      <c r="K592" s="86">
        <v>600.0</v>
      </c>
      <c r="L592" s="86">
        <v>1.0</v>
      </c>
      <c r="M592" s="86">
        <v>2007.0</v>
      </c>
      <c r="N592" s="86">
        <v>1.0</v>
      </c>
      <c r="O592" s="141">
        <v>0.25</v>
      </c>
      <c r="P592" s="86">
        <v>9000.0</v>
      </c>
      <c r="Q592" s="86">
        <v>150.0</v>
      </c>
      <c r="R592" s="86">
        <v>1.0</v>
      </c>
      <c r="S592" s="86" t="s">
        <v>3657</v>
      </c>
      <c r="T592" s="86">
        <v>20.0</v>
      </c>
      <c r="U592" s="86">
        <v>0.5</v>
      </c>
      <c r="V592" s="86">
        <v>1000.0</v>
      </c>
      <c r="W592" s="86">
        <v>6245.0</v>
      </c>
      <c r="X592" s="86">
        <v>1.0</v>
      </c>
      <c r="Y592" s="86">
        <v>2006.0</v>
      </c>
      <c r="Z592" s="86">
        <v>1.0</v>
      </c>
      <c r="AA592" s="86">
        <v>0.03</v>
      </c>
    </row>
    <row r="593" ht="12.75" customHeight="1">
      <c r="A593" s="86">
        <v>1591.0</v>
      </c>
      <c r="B593" s="86" t="s">
        <v>4549</v>
      </c>
      <c r="C593" s="86">
        <v>150.0</v>
      </c>
      <c r="D593" s="86" t="s">
        <v>3654</v>
      </c>
      <c r="E593" s="86">
        <v>1.0</v>
      </c>
      <c r="F593" s="86">
        <v>0.15</v>
      </c>
      <c r="G593" s="86">
        <v>8001.0</v>
      </c>
      <c r="H593" s="86">
        <v>400.0</v>
      </c>
      <c r="I593" s="86">
        <v>1.0</v>
      </c>
      <c r="J593" s="86">
        <v>8000.0</v>
      </c>
      <c r="K593" s="86">
        <v>600.0</v>
      </c>
      <c r="L593" s="86">
        <v>1.0</v>
      </c>
      <c r="M593" s="86">
        <v>2007.0</v>
      </c>
      <c r="N593" s="86">
        <v>1.0</v>
      </c>
      <c r="O593" s="141">
        <v>0.25</v>
      </c>
      <c r="P593" s="86">
        <v>9000.0</v>
      </c>
      <c r="Q593" s="86">
        <v>150.0</v>
      </c>
      <c r="R593" s="86">
        <v>1.0</v>
      </c>
      <c r="S593" s="86" t="s">
        <v>3657</v>
      </c>
      <c r="T593" s="86">
        <v>20.0</v>
      </c>
      <c r="U593" s="86">
        <v>0.5</v>
      </c>
      <c r="V593" s="86">
        <v>1000.0</v>
      </c>
      <c r="W593" s="86">
        <v>6245.0</v>
      </c>
      <c r="X593" s="86">
        <v>1.0</v>
      </c>
      <c r="Y593" s="86">
        <v>2006.0</v>
      </c>
      <c r="Z593" s="86">
        <v>1.0</v>
      </c>
      <c r="AA593" s="86">
        <v>0.03</v>
      </c>
    </row>
    <row r="594" ht="12.75" customHeight="1">
      <c r="A594" s="86">
        <v>1592.0</v>
      </c>
      <c r="B594" s="86" t="s">
        <v>4552</v>
      </c>
      <c r="C594" s="86">
        <v>150.0</v>
      </c>
      <c r="D594" s="86" t="s">
        <v>3654</v>
      </c>
      <c r="E594" s="86">
        <v>1.0</v>
      </c>
      <c r="F594" s="86">
        <v>0.15</v>
      </c>
      <c r="G594" s="86">
        <v>8001.0</v>
      </c>
      <c r="H594" s="86">
        <v>400.0</v>
      </c>
      <c r="I594" s="86">
        <v>1.0</v>
      </c>
      <c r="J594" s="86">
        <v>8000.0</v>
      </c>
      <c r="K594" s="86">
        <v>600.0</v>
      </c>
      <c r="L594" s="86">
        <v>1.0</v>
      </c>
      <c r="M594" s="86">
        <v>2007.0</v>
      </c>
      <c r="N594" s="86">
        <v>1.0</v>
      </c>
      <c r="O594" s="141">
        <v>0.25</v>
      </c>
      <c r="P594" s="86">
        <v>9000.0</v>
      </c>
      <c r="Q594" s="86">
        <v>150.0</v>
      </c>
      <c r="R594" s="86">
        <v>1.0</v>
      </c>
      <c r="S594" s="86" t="s">
        <v>3657</v>
      </c>
      <c r="T594" s="86">
        <v>20.0</v>
      </c>
      <c r="U594" s="86">
        <v>0.5</v>
      </c>
      <c r="V594" s="86">
        <v>1000.0</v>
      </c>
      <c r="W594" s="86">
        <v>6250.0</v>
      </c>
      <c r="X594" s="86">
        <v>1.0</v>
      </c>
      <c r="Y594" s="86">
        <v>2006.0</v>
      </c>
      <c r="Z594" s="86">
        <v>1.0</v>
      </c>
      <c r="AA594" s="86">
        <v>0.03</v>
      </c>
    </row>
    <row r="595" ht="12.75" customHeight="1">
      <c r="A595" s="86">
        <v>1593.0</v>
      </c>
      <c r="B595" s="86" t="s">
        <v>4553</v>
      </c>
      <c r="C595" s="86">
        <v>150.0</v>
      </c>
      <c r="D595" s="86" t="s">
        <v>3654</v>
      </c>
      <c r="E595" s="86">
        <v>1.0</v>
      </c>
      <c r="F595" s="86">
        <v>0.15</v>
      </c>
      <c r="G595" s="86">
        <v>8001.0</v>
      </c>
      <c r="H595" s="86">
        <v>400.0</v>
      </c>
      <c r="I595" s="86">
        <v>1.0</v>
      </c>
      <c r="J595" s="86">
        <v>8000.0</v>
      </c>
      <c r="K595" s="86">
        <v>600.0</v>
      </c>
      <c r="L595" s="86">
        <v>1.0</v>
      </c>
      <c r="M595" s="86">
        <v>2007.0</v>
      </c>
      <c r="N595" s="86">
        <v>1.0</v>
      </c>
      <c r="O595" s="141">
        <v>0.25</v>
      </c>
      <c r="P595" s="86">
        <v>9000.0</v>
      </c>
      <c r="Q595" s="86">
        <v>150.0</v>
      </c>
      <c r="R595" s="86">
        <v>1.0</v>
      </c>
      <c r="S595" s="86" t="s">
        <v>3657</v>
      </c>
      <c r="T595" s="86">
        <v>20.0</v>
      </c>
      <c r="U595" s="86">
        <v>0.5</v>
      </c>
      <c r="V595" s="86">
        <v>1000.0</v>
      </c>
      <c r="W595" s="86">
        <v>6250.0</v>
      </c>
      <c r="X595" s="86">
        <v>1.0</v>
      </c>
      <c r="Y595" s="86">
        <v>2006.0</v>
      </c>
      <c r="Z595" s="86">
        <v>1.0</v>
      </c>
      <c r="AA595" s="86">
        <v>0.03</v>
      </c>
    </row>
    <row r="596" ht="12.75" customHeight="1">
      <c r="A596" s="86">
        <v>1594.0</v>
      </c>
      <c r="B596" s="86" t="s">
        <v>4554</v>
      </c>
      <c r="C596" s="86">
        <v>150.0</v>
      </c>
      <c r="D596" s="86" t="s">
        <v>3654</v>
      </c>
      <c r="E596" s="86">
        <v>1.0</v>
      </c>
      <c r="F596" s="86">
        <v>0.15</v>
      </c>
      <c r="G596" s="86">
        <v>8001.0</v>
      </c>
      <c r="H596" s="86">
        <v>400.0</v>
      </c>
      <c r="I596" s="86">
        <v>1.0</v>
      </c>
      <c r="J596" s="86">
        <v>8000.0</v>
      </c>
      <c r="K596" s="86">
        <v>600.0</v>
      </c>
      <c r="L596" s="86">
        <v>1.0</v>
      </c>
      <c r="M596" s="86">
        <v>2007.0</v>
      </c>
      <c r="N596" s="86">
        <v>1.0</v>
      </c>
      <c r="O596" s="141">
        <v>0.25</v>
      </c>
      <c r="P596" s="86">
        <v>9000.0</v>
      </c>
      <c r="Q596" s="86">
        <v>150.0</v>
      </c>
      <c r="R596" s="86">
        <v>1.0</v>
      </c>
      <c r="S596" s="86" t="s">
        <v>3657</v>
      </c>
      <c r="T596" s="86">
        <v>20.0</v>
      </c>
      <c r="U596" s="86">
        <v>0.5</v>
      </c>
      <c r="V596" s="86">
        <v>1000.0</v>
      </c>
      <c r="W596" s="86">
        <v>6250.0</v>
      </c>
      <c r="X596" s="86">
        <v>1.0</v>
      </c>
      <c r="Y596" s="86">
        <v>2006.0</v>
      </c>
      <c r="Z596" s="86">
        <v>1.0</v>
      </c>
      <c r="AA596" s="86">
        <v>0.03</v>
      </c>
    </row>
    <row r="597" ht="12.75" customHeight="1">
      <c r="A597" s="86">
        <v>1595.0</v>
      </c>
      <c r="B597" s="86" t="s">
        <v>4555</v>
      </c>
      <c r="C597" s="86">
        <v>150.0</v>
      </c>
      <c r="D597" s="86" t="s">
        <v>3654</v>
      </c>
      <c r="E597" s="86">
        <v>1.0</v>
      </c>
      <c r="F597" s="86">
        <v>0.15</v>
      </c>
      <c r="G597" s="86">
        <v>8001.0</v>
      </c>
      <c r="H597" s="86">
        <v>400.0</v>
      </c>
      <c r="I597" s="86">
        <v>1.0</v>
      </c>
      <c r="J597" s="86">
        <v>8000.0</v>
      </c>
      <c r="K597" s="86">
        <v>600.0</v>
      </c>
      <c r="L597" s="86">
        <v>1.0</v>
      </c>
      <c r="M597" s="86">
        <v>2007.0</v>
      </c>
      <c r="N597" s="86">
        <v>1.0</v>
      </c>
      <c r="O597" s="141">
        <v>0.25</v>
      </c>
      <c r="P597" s="86">
        <v>9000.0</v>
      </c>
      <c r="Q597" s="86">
        <v>150.0</v>
      </c>
      <c r="R597" s="86">
        <v>1.0</v>
      </c>
      <c r="S597" s="86" t="s">
        <v>3657</v>
      </c>
      <c r="T597" s="86">
        <v>20.0</v>
      </c>
      <c r="U597" s="86">
        <v>0.5</v>
      </c>
      <c r="V597" s="86">
        <v>1000.0</v>
      </c>
      <c r="W597" s="86">
        <v>6250.0</v>
      </c>
      <c r="X597" s="86">
        <v>1.0</v>
      </c>
      <c r="Y597" s="86">
        <v>2006.0</v>
      </c>
      <c r="Z597" s="86">
        <v>1.0</v>
      </c>
      <c r="AA597" s="86">
        <v>0.03</v>
      </c>
    </row>
    <row r="598" ht="12.75" customHeight="1">
      <c r="A598" s="86">
        <v>1596.0</v>
      </c>
      <c r="B598" s="86" t="s">
        <v>4544</v>
      </c>
      <c r="C598" s="86">
        <v>150.0</v>
      </c>
      <c r="D598" s="86" t="s">
        <v>3654</v>
      </c>
      <c r="E598" s="86">
        <v>1.0</v>
      </c>
      <c r="F598" s="86">
        <v>0.15</v>
      </c>
      <c r="G598" s="86">
        <v>8001.0</v>
      </c>
      <c r="H598" s="86">
        <v>400.0</v>
      </c>
      <c r="I598" s="86">
        <v>1.0</v>
      </c>
      <c r="J598" s="86">
        <v>8000.0</v>
      </c>
      <c r="K598" s="86">
        <v>600.0</v>
      </c>
      <c r="L598" s="86">
        <v>1.0</v>
      </c>
      <c r="M598" s="86">
        <v>2007.0</v>
      </c>
      <c r="N598" s="86">
        <v>1.0</v>
      </c>
      <c r="O598" s="141">
        <v>0.25</v>
      </c>
      <c r="P598" s="86">
        <v>9000.0</v>
      </c>
      <c r="Q598" s="86">
        <v>150.0</v>
      </c>
      <c r="R598" s="86">
        <v>1.0</v>
      </c>
      <c r="S598" s="86" t="s">
        <v>3657</v>
      </c>
      <c r="T598" s="86">
        <v>20.0</v>
      </c>
      <c r="U598" s="86">
        <v>0.5</v>
      </c>
      <c r="V598" s="86">
        <v>1000.0</v>
      </c>
      <c r="W598" s="86">
        <v>6250.0</v>
      </c>
      <c r="X598" s="86">
        <v>1.0</v>
      </c>
      <c r="Y598" s="86">
        <v>2006.0</v>
      </c>
      <c r="Z598" s="86">
        <v>1.0</v>
      </c>
      <c r="AA598" s="86">
        <v>0.03</v>
      </c>
    </row>
    <row r="599" ht="12.75" customHeight="1">
      <c r="A599" s="86">
        <v>1597.0</v>
      </c>
      <c r="B599" s="86" t="s">
        <v>4556</v>
      </c>
      <c r="C599" s="86">
        <v>150.0</v>
      </c>
      <c r="D599" s="86" t="s">
        <v>3654</v>
      </c>
      <c r="E599" s="86">
        <v>1.0</v>
      </c>
      <c r="F599" s="86">
        <v>0.15</v>
      </c>
      <c r="G599" s="86">
        <v>8001.0</v>
      </c>
      <c r="H599" s="86">
        <v>400.0</v>
      </c>
      <c r="I599" s="86">
        <v>1.0</v>
      </c>
      <c r="J599" s="86">
        <v>8000.0</v>
      </c>
      <c r="K599" s="86">
        <v>600.0</v>
      </c>
      <c r="L599" s="86">
        <v>1.0</v>
      </c>
      <c r="M599" s="86">
        <v>2007.0</v>
      </c>
      <c r="N599" s="86">
        <v>1.0</v>
      </c>
      <c r="O599" s="141">
        <v>0.25</v>
      </c>
      <c r="P599" s="86">
        <v>9000.0</v>
      </c>
      <c r="Q599" s="86">
        <v>150.0</v>
      </c>
      <c r="R599" s="86">
        <v>1.0</v>
      </c>
      <c r="S599" s="86" t="s">
        <v>3657</v>
      </c>
      <c r="T599" s="86">
        <v>20.0</v>
      </c>
      <c r="U599" s="86">
        <v>0.5</v>
      </c>
      <c r="V599" s="86">
        <v>1000.0</v>
      </c>
      <c r="W599" s="86">
        <v>6250.0</v>
      </c>
      <c r="X599" s="86">
        <v>1.0</v>
      </c>
      <c r="Y599" s="86">
        <v>2006.0</v>
      </c>
      <c r="Z599" s="86">
        <v>1.0</v>
      </c>
      <c r="AA599" s="86">
        <v>0.03</v>
      </c>
    </row>
    <row r="600" ht="12.75" customHeight="1">
      <c r="A600" s="86">
        <v>1598.0</v>
      </c>
      <c r="B600" s="86" t="s">
        <v>4557</v>
      </c>
      <c r="C600" s="86">
        <v>150.0</v>
      </c>
      <c r="D600" s="86" t="s">
        <v>3654</v>
      </c>
      <c r="E600" s="86">
        <v>1.0</v>
      </c>
      <c r="F600" s="86">
        <v>0.15</v>
      </c>
      <c r="G600" s="86">
        <v>8001.0</v>
      </c>
      <c r="H600" s="86">
        <v>400.0</v>
      </c>
      <c r="I600" s="86">
        <v>1.0</v>
      </c>
      <c r="J600" s="86">
        <v>8000.0</v>
      </c>
      <c r="K600" s="86">
        <v>600.0</v>
      </c>
      <c r="L600" s="86">
        <v>1.0</v>
      </c>
      <c r="M600" s="86">
        <v>2007.0</v>
      </c>
      <c r="N600" s="86">
        <v>1.0</v>
      </c>
      <c r="O600" s="141">
        <v>0.25</v>
      </c>
      <c r="P600" s="86">
        <v>9000.0</v>
      </c>
      <c r="Q600" s="86">
        <v>150.0</v>
      </c>
      <c r="R600" s="86">
        <v>1.0</v>
      </c>
      <c r="S600" s="86" t="s">
        <v>3657</v>
      </c>
      <c r="T600" s="86">
        <v>20.0</v>
      </c>
      <c r="U600" s="86">
        <v>0.5</v>
      </c>
      <c r="V600" s="86">
        <v>1000.0</v>
      </c>
      <c r="W600" s="86">
        <v>6250.0</v>
      </c>
      <c r="X600" s="86">
        <v>1.0</v>
      </c>
      <c r="Y600" s="86">
        <v>2006.0</v>
      </c>
      <c r="Z600" s="86">
        <v>1.0</v>
      </c>
      <c r="AA600" s="86">
        <v>0.03</v>
      </c>
    </row>
    <row r="601" ht="12.75" customHeight="1">
      <c r="A601" s="86">
        <v>1599.0</v>
      </c>
      <c r="B601" s="86" t="s">
        <v>4558</v>
      </c>
      <c r="C601" s="86">
        <v>150.0</v>
      </c>
      <c r="D601" s="86" t="s">
        <v>3654</v>
      </c>
      <c r="E601" s="86">
        <v>1.0</v>
      </c>
      <c r="F601" s="86">
        <v>0.15</v>
      </c>
      <c r="G601" s="86">
        <v>8001.0</v>
      </c>
      <c r="H601" s="86">
        <v>400.0</v>
      </c>
      <c r="I601" s="86">
        <v>1.0</v>
      </c>
      <c r="J601" s="86">
        <v>8000.0</v>
      </c>
      <c r="K601" s="86">
        <v>600.0</v>
      </c>
      <c r="L601" s="86">
        <v>1.0</v>
      </c>
      <c r="M601" s="86">
        <v>2007.0</v>
      </c>
      <c r="N601" s="86">
        <v>1.0</v>
      </c>
      <c r="O601" s="141">
        <v>0.25</v>
      </c>
      <c r="P601" s="86">
        <v>9000.0</v>
      </c>
      <c r="Q601" s="86">
        <v>150.0</v>
      </c>
      <c r="R601" s="86">
        <v>1.0</v>
      </c>
      <c r="S601" s="86" t="s">
        <v>3657</v>
      </c>
      <c r="T601" s="86">
        <v>20.0</v>
      </c>
      <c r="U601" s="86">
        <v>0.5</v>
      </c>
      <c r="V601" s="86">
        <v>1000.0</v>
      </c>
      <c r="W601" s="86">
        <v>6250.0</v>
      </c>
      <c r="X601" s="86">
        <v>1.0</v>
      </c>
      <c r="Y601" s="86">
        <v>2006.0</v>
      </c>
      <c r="Z601" s="86">
        <v>1.0</v>
      </c>
      <c r="AA601" s="86">
        <v>0.03</v>
      </c>
    </row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9.0"/>
    <col customWidth="1" min="3" max="26" width="11.0"/>
  </cols>
  <sheetData>
    <row r="1" ht="14.25" customHeight="1">
      <c r="A1" s="1"/>
    </row>
    <row r="2" ht="14.25" customHeight="1">
      <c r="A2" s="40" t="s">
        <v>3083</v>
      </c>
      <c r="B2" s="40" t="s">
        <v>946</v>
      </c>
      <c r="C2" s="40" t="s">
        <v>207</v>
      </c>
      <c r="D2" s="40" t="s">
        <v>107</v>
      </c>
      <c r="E2" s="40" t="s">
        <v>289</v>
      </c>
      <c r="F2" s="40" t="s">
        <v>290</v>
      </c>
      <c r="G2" s="40" t="s">
        <v>291</v>
      </c>
      <c r="H2" s="40" t="s">
        <v>292</v>
      </c>
      <c r="I2" s="40" t="s">
        <v>134</v>
      </c>
      <c r="J2" s="40" t="s">
        <v>295</v>
      </c>
      <c r="K2" s="40" t="s">
        <v>293</v>
      </c>
      <c r="L2" s="40" t="s">
        <v>294</v>
      </c>
      <c r="M2" s="40" t="s">
        <v>297</v>
      </c>
      <c r="N2" s="40" t="s">
        <v>298</v>
      </c>
      <c r="O2" s="40" t="s">
        <v>299</v>
      </c>
      <c r="P2" s="40" t="s">
        <v>300</v>
      </c>
      <c r="Q2" s="40" t="s">
        <v>301</v>
      </c>
      <c r="R2" s="40" t="s">
        <v>302</v>
      </c>
      <c r="S2" s="40" t="s">
        <v>296</v>
      </c>
    </row>
    <row r="3" ht="14.25" customHeight="1">
      <c r="A3" s="42">
        <v>700.0</v>
      </c>
      <c r="B3" s="17" t="s">
        <v>3905</v>
      </c>
      <c r="C3" s="42">
        <v>1.0</v>
      </c>
      <c r="D3" s="42">
        <v>10.0</v>
      </c>
      <c r="E3" s="42"/>
      <c r="F3" s="42"/>
      <c r="G3" s="42"/>
      <c r="H3" s="42"/>
      <c r="I3" s="42"/>
      <c r="J3" s="42"/>
      <c r="K3" s="8"/>
      <c r="L3" s="8"/>
      <c r="M3" s="8"/>
      <c r="N3" s="8"/>
      <c r="O3" s="8"/>
      <c r="P3" s="8"/>
      <c r="Q3" s="8"/>
      <c r="R3" s="8"/>
      <c r="S3" s="8"/>
    </row>
    <row r="4" ht="14.25" customHeight="1">
      <c r="A4" s="42">
        <v>700.0</v>
      </c>
      <c r="B4" s="17" t="s">
        <v>3907</v>
      </c>
      <c r="C4" s="42">
        <v>2.0</v>
      </c>
      <c r="D4" s="42">
        <f t="shared" ref="D4:D8" si="1">D3+4</f>
        <v>14</v>
      </c>
      <c r="E4" s="42"/>
      <c r="F4" s="42"/>
      <c r="G4" s="42"/>
      <c r="H4" s="42"/>
      <c r="I4" s="42"/>
      <c r="J4" s="42"/>
      <c r="K4" s="8"/>
      <c r="L4" s="8"/>
      <c r="M4" s="8"/>
      <c r="N4" s="8"/>
      <c r="O4" s="8"/>
      <c r="P4" s="8"/>
      <c r="Q4" s="8"/>
      <c r="R4" s="8"/>
      <c r="S4" s="8"/>
    </row>
    <row r="5" ht="14.25" customHeight="1">
      <c r="A5" s="42">
        <v>700.0</v>
      </c>
      <c r="B5" s="17" t="s">
        <v>3910</v>
      </c>
      <c r="C5" s="42">
        <v>3.0</v>
      </c>
      <c r="D5" s="42">
        <f t="shared" si="1"/>
        <v>18</v>
      </c>
      <c r="E5" s="42"/>
      <c r="F5" s="42"/>
      <c r="G5" s="42"/>
      <c r="H5" s="42"/>
      <c r="I5" s="42"/>
      <c r="J5" s="42"/>
      <c r="K5" s="8"/>
      <c r="L5" s="8"/>
      <c r="M5" s="8"/>
      <c r="N5" s="8"/>
      <c r="O5" s="8"/>
      <c r="P5" s="8"/>
      <c r="Q5" s="8"/>
      <c r="R5" s="8"/>
      <c r="S5" s="8"/>
    </row>
    <row r="6" ht="14.25" customHeight="1">
      <c r="A6" s="42">
        <v>700.0</v>
      </c>
      <c r="B6" s="17" t="s">
        <v>3911</v>
      </c>
      <c r="C6" s="42">
        <v>4.0</v>
      </c>
      <c r="D6" s="42">
        <f t="shared" si="1"/>
        <v>22</v>
      </c>
      <c r="E6" s="42"/>
      <c r="F6" s="42"/>
      <c r="G6" s="42"/>
      <c r="H6" s="42"/>
      <c r="I6" s="42"/>
      <c r="J6" s="42"/>
      <c r="K6" s="8"/>
      <c r="L6" s="8"/>
      <c r="M6" s="8"/>
      <c r="N6" s="8"/>
      <c r="O6" s="8"/>
      <c r="P6" s="8"/>
      <c r="Q6" s="8"/>
      <c r="R6" s="8"/>
      <c r="S6" s="8"/>
    </row>
    <row r="7" ht="14.25" customHeight="1">
      <c r="A7" s="42">
        <v>700.0</v>
      </c>
      <c r="B7" s="17" t="s">
        <v>3913</v>
      </c>
      <c r="C7" s="42">
        <v>5.0</v>
      </c>
      <c r="D7" s="42">
        <f t="shared" si="1"/>
        <v>26</v>
      </c>
      <c r="E7" s="42"/>
      <c r="F7" s="42"/>
      <c r="G7" s="42"/>
      <c r="H7" s="42"/>
      <c r="I7" s="42"/>
      <c r="J7" s="42"/>
      <c r="K7" s="8"/>
      <c r="L7" s="8"/>
      <c r="M7" s="8"/>
      <c r="N7" s="8"/>
      <c r="O7" s="8"/>
      <c r="P7" s="8"/>
      <c r="Q7" s="8"/>
      <c r="R7" s="8"/>
      <c r="S7" s="8"/>
    </row>
    <row r="8" ht="14.25" customHeight="1">
      <c r="A8" s="42">
        <v>700.0</v>
      </c>
      <c r="B8" s="17" t="s">
        <v>3915</v>
      </c>
      <c r="C8" s="42">
        <v>6.0</v>
      </c>
      <c r="D8" s="42">
        <f t="shared" si="1"/>
        <v>30</v>
      </c>
      <c r="E8" s="42"/>
      <c r="F8" s="42"/>
      <c r="G8" s="42"/>
      <c r="H8" s="42"/>
      <c r="I8" s="42"/>
      <c r="J8" s="42"/>
      <c r="K8" s="8"/>
      <c r="L8" s="8"/>
      <c r="M8" s="8"/>
      <c r="N8" s="8"/>
      <c r="O8" s="8"/>
      <c r="P8" s="8"/>
      <c r="Q8" s="8"/>
      <c r="R8" s="8"/>
      <c r="S8" s="8"/>
    </row>
    <row r="9" ht="14.25" customHeight="1">
      <c r="A9" s="42">
        <v>700.0</v>
      </c>
      <c r="B9" s="17" t="s">
        <v>3917</v>
      </c>
      <c r="C9" s="42">
        <v>7.0</v>
      </c>
      <c r="D9" s="42">
        <f t="shared" ref="D9:D12" si="2">D8+5</f>
        <v>35</v>
      </c>
      <c r="E9" s="42"/>
      <c r="F9" s="42"/>
      <c r="G9" s="42"/>
      <c r="H9" s="42"/>
      <c r="I9" s="42"/>
      <c r="J9" s="42"/>
      <c r="K9" s="8"/>
      <c r="L9" s="8"/>
      <c r="M9" s="8"/>
      <c r="N9" s="8"/>
      <c r="O9" s="8"/>
      <c r="P9" s="8"/>
      <c r="Q9" s="8"/>
      <c r="R9" s="8"/>
      <c r="S9" s="8"/>
    </row>
    <row r="10" ht="14.25" customHeight="1">
      <c r="A10" s="42">
        <v>700.0</v>
      </c>
      <c r="B10" s="17" t="s">
        <v>3920</v>
      </c>
      <c r="C10" s="42">
        <v>8.0</v>
      </c>
      <c r="D10" s="42">
        <f t="shared" si="2"/>
        <v>40</v>
      </c>
      <c r="E10" s="42"/>
      <c r="F10" s="42"/>
      <c r="G10" s="42"/>
      <c r="H10" s="42"/>
      <c r="I10" s="42"/>
      <c r="J10" s="42"/>
      <c r="K10" s="8"/>
      <c r="L10" s="8"/>
      <c r="M10" s="8"/>
      <c r="N10" s="8"/>
      <c r="O10" s="8"/>
      <c r="P10" s="8"/>
      <c r="Q10" s="8"/>
      <c r="R10" s="8"/>
      <c r="S10" s="8"/>
    </row>
    <row r="11" ht="14.25" customHeight="1">
      <c r="A11" s="42">
        <v>700.0</v>
      </c>
      <c r="B11" s="17" t="s">
        <v>3923</v>
      </c>
      <c r="C11" s="42">
        <v>9.0</v>
      </c>
      <c r="D11" s="42">
        <f t="shared" si="2"/>
        <v>45</v>
      </c>
      <c r="E11" s="42"/>
      <c r="F11" s="42"/>
      <c r="G11" s="42"/>
      <c r="H11" s="42"/>
      <c r="I11" s="42"/>
      <c r="J11" s="42"/>
      <c r="K11" s="8"/>
      <c r="L11" s="8"/>
      <c r="M11" s="8"/>
      <c r="N11" s="8"/>
      <c r="O11" s="8"/>
      <c r="P11" s="8"/>
      <c r="Q11" s="8"/>
      <c r="R11" s="8"/>
      <c r="S11" s="8"/>
    </row>
    <row r="12" ht="14.25" customHeight="1">
      <c r="A12" s="42">
        <v>700.0</v>
      </c>
      <c r="B12" s="17" t="s">
        <v>3924</v>
      </c>
      <c r="C12" s="42">
        <v>10.0</v>
      </c>
      <c r="D12" s="42">
        <f t="shared" si="2"/>
        <v>50</v>
      </c>
      <c r="E12" s="42"/>
      <c r="F12" s="42"/>
      <c r="G12" s="42"/>
      <c r="H12" s="42"/>
      <c r="I12" s="42"/>
      <c r="J12" s="42"/>
      <c r="K12" s="8"/>
      <c r="L12" s="8"/>
      <c r="M12" s="8"/>
      <c r="N12" s="8"/>
      <c r="O12" s="8"/>
      <c r="P12" s="8"/>
      <c r="Q12" s="8"/>
      <c r="R12" s="8"/>
      <c r="S12" s="8"/>
    </row>
    <row r="13" ht="14.25" customHeight="1">
      <c r="A13" s="42">
        <v>701.0</v>
      </c>
      <c r="B13" s="17" t="s">
        <v>3926</v>
      </c>
      <c r="C13" s="42">
        <v>1.0</v>
      </c>
      <c r="D13" s="42">
        <v>10.0</v>
      </c>
      <c r="E13" s="42"/>
      <c r="F13" s="42"/>
      <c r="G13" s="42"/>
      <c r="H13" s="42"/>
      <c r="I13" s="42"/>
      <c r="J13" s="42"/>
      <c r="K13" s="8"/>
      <c r="L13" s="8"/>
      <c r="M13" s="8"/>
      <c r="N13" s="8"/>
      <c r="O13" s="8"/>
      <c r="P13" s="8"/>
      <c r="Q13" s="8"/>
      <c r="R13" s="8"/>
      <c r="S13" s="8"/>
    </row>
    <row r="14" ht="14.25" customHeight="1">
      <c r="A14" s="42">
        <v>701.0</v>
      </c>
      <c r="B14" s="17" t="s">
        <v>3928</v>
      </c>
      <c r="C14" s="42">
        <v>2.0</v>
      </c>
      <c r="D14" s="42">
        <f t="shared" ref="D14:D18" si="3">D13+4</f>
        <v>14</v>
      </c>
      <c r="E14" s="42"/>
      <c r="F14" s="42"/>
      <c r="G14" s="42"/>
      <c r="H14" s="42"/>
      <c r="I14" s="42"/>
      <c r="J14" s="42"/>
      <c r="K14" s="8"/>
      <c r="L14" s="8"/>
      <c r="M14" s="8"/>
      <c r="N14" s="8"/>
      <c r="O14" s="8"/>
      <c r="P14" s="8"/>
      <c r="Q14" s="8"/>
      <c r="R14" s="8"/>
      <c r="S14" s="8"/>
    </row>
    <row r="15" ht="14.25" customHeight="1">
      <c r="A15" s="42">
        <v>701.0</v>
      </c>
      <c r="B15" s="17" t="s">
        <v>3929</v>
      </c>
      <c r="C15" s="42">
        <v>3.0</v>
      </c>
      <c r="D15" s="42">
        <f t="shared" si="3"/>
        <v>18</v>
      </c>
      <c r="E15" s="42"/>
      <c r="F15" s="42"/>
      <c r="G15" s="42"/>
      <c r="H15" s="42"/>
      <c r="I15" s="42"/>
      <c r="J15" s="42"/>
      <c r="K15" s="8"/>
      <c r="L15" s="8"/>
      <c r="M15" s="8"/>
      <c r="N15" s="8"/>
      <c r="O15" s="8"/>
      <c r="P15" s="8"/>
      <c r="Q15" s="8"/>
      <c r="R15" s="8"/>
      <c r="S15" s="8"/>
    </row>
    <row r="16" ht="14.25" customHeight="1">
      <c r="A16" s="42">
        <v>701.0</v>
      </c>
      <c r="B16" s="17" t="s">
        <v>3931</v>
      </c>
      <c r="C16" s="42">
        <v>4.0</v>
      </c>
      <c r="D16" s="42">
        <f t="shared" si="3"/>
        <v>22</v>
      </c>
      <c r="E16" s="42"/>
      <c r="F16" s="42"/>
      <c r="G16" s="42"/>
      <c r="H16" s="42"/>
      <c r="I16" s="42"/>
      <c r="J16" s="42"/>
      <c r="K16" s="8"/>
      <c r="L16" s="8"/>
      <c r="M16" s="8"/>
      <c r="N16" s="8"/>
      <c r="O16" s="8"/>
      <c r="P16" s="8"/>
      <c r="Q16" s="8"/>
      <c r="R16" s="8"/>
      <c r="S16" s="8"/>
    </row>
    <row r="17" ht="14.25" customHeight="1">
      <c r="A17" s="42">
        <v>701.0</v>
      </c>
      <c r="B17" s="17" t="s">
        <v>3934</v>
      </c>
      <c r="C17" s="42">
        <v>5.0</v>
      </c>
      <c r="D17" s="42">
        <f t="shared" si="3"/>
        <v>26</v>
      </c>
      <c r="E17" s="42"/>
      <c r="F17" s="42"/>
      <c r="G17" s="42"/>
      <c r="H17" s="42"/>
      <c r="I17" s="42"/>
      <c r="J17" s="42"/>
      <c r="K17" s="8"/>
      <c r="L17" s="8"/>
      <c r="M17" s="8"/>
      <c r="N17" s="8"/>
      <c r="O17" s="8"/>
      <c r="P17" s="8"/>
      <c r="Q17" s="8"/>
      <c r="R17" s="8"/>
      <c r="S17" s="8"/>
    </row>
    <row r="18" ht="14.25" customHeight="1">
      <c r="A18" s="42">
        <v>701.0</v>
      </c>
      <c r="B18" s="17" t="s">
        <v>3936</v>
      </c>
      <c r="C18" s="42">
        <v>6.0</v>
      </c>
      <c r="D18" s="42">
        <f t="shared" si="3"/>
        <v>30</v>
      </c>
      <c r="E18" s="42"/>
      <c r="F18" s="42"/>
      <c r="G18" s="42"/>
      <c r="H18" s="42"/>
      <c r="I18" s="42"/>
      <c r="J18" s="42"/>
      <c r="K18" s="8"/>
      <c r="L18" s="8"/>
      <c r="M18" s="8"/>
      <c r="N18" s="8"/>
      <c r="O18" s="8"/>
      <c r="P18" s="8"/>
      <c r="Q18" s="8"/>
      <c r="R18" s="8"/>
      <c r="S18" s="8"/>
    </row>
    <row r="19" ht="14.25" customHeight="1">
      <c r="A19" s="42">
        <v>701.0</v>
      </c>
      <c r="B19" s="17" t="s">
        <v>3938</v>
      </c>
      <c r="C19" s="42">
        <v>7.0</v>
      </c>
      <c r="D19" s="42">
        <f t="shared" ref="D19:D22" si="4">D18+5</f>
        <v>35</v>
      </c>
      <c r="E19" s="42"/>
      <c r="F19" s="42"/>
      <c r="G19" s="42"/>
      <c r="H19" s="42"/>
      <c r="I19" s="42"/>
      <c r="J19" s="42"/>
      <c r="K19" s="8"/>
      <c r="L19" s="8"/>
      <c r="M19" s="8"/>
      <c r="N19" s="8"/>
      <c r="O19" s="8"/>
      <c r="P19" s="8"/>
      <c r="Q19" s="8"/>
      <c r="R19" s="8"/>
      <c r="S19" s="8"/>
    </row>
    <row r="20" ht="14.25" customHeight="1">
      <c r="A20" s="42">
        <v>701.0</v>
      </c>
      <c r="B20" s="17" t="s">
        <v>3941</v>
      </c>
      <c r="C20" s="42">
        <v>8.0</v>
      </c>
      <c r="D20" s="42">
        <f t="shared" si="4"/>
        <v>40</v>
      </c>
      <c r="E20" s="42"/>
      <c r="F20" s="42"/>
      <c r="G20" s="42"/>
      <c r="H20" s="42"/>
      <c r="I20" s="42"/>
      <c r="J20" s="42"/>
      <c r="K20" s="8"/>
      <c r="L20" s="8"/>
      <c r="M20" s="8"/>
      <c r="N20" s="8"/>
      <c r="O20" s="8"/>
      <c r="P20" s="8"/>
      <c r="Q20" s="8"/>
      <c r="R20" s="8"/>
      <c r="S20" s="8"/>
    </row>
    <row r="21" ht="14.25" customHeight="1">
      <c r="A21" s="42">
        <v>701.0</v>
      </c>
      <c r="B21" s="17" t="s">
        <v>3942</v>
      </c>
      <c r="C21" s="42">
        <v>9.0</v>
      </c>
      <c r="D21" s="42">
        <f t="shared" si="4"/>
        <v>45</v>
      </c>
      <c r="E21" s="42"/>
      <c r="F21" s="42"/>
      <c r="G21" s="42"/>
      <c r="H21" s="42"/>
      <c r="I21" s="42"/>
      <c r="J21" s="42"/>
      <c r="K21" s="8"/>
      <c r="L21" s="8"/>
      <c r="M21" s="8"/>
      <c r="N21" s="8"/>
      <c r="O21" s="8"/>
      <c r="P21" s="8"/>
      <c r="Q21" s="8"/>
      <c r="R21" s="8"/>
      <c r="S21" s="8"/>
    </row>
    <row r="22" ht="14.25" customHeight="1">
      <c r="A22" s="42">
        <v>701.0</v>
      </c>
      <c r="B22" s="17" t="s">
        <v>3944</v>
      </c>
      <c r="C22" s="42">
        <v>10.0</v>
      </c>
      <c r="D22" s="42">
        <f t="shared" si="4"/>
        <v>50</v>
      </c>
      <c r="E22" s="42"/>
      <c r="F22" s="42"/>
      <c r="G22" s="42"/>
      <c r="H22" s="42"/>
      <c r="I22" s="42"/>
      <c r="J22" s="42"/>
      <c r="K22" s="8"/>
      <c r="L22" s="8"/>
      <c r="M22" s="8"/>
      <c r="N22" s="8"/>
      <c r="O22" s="8"/>
      <c r="P22" s="8"/>
      <c r="Q22" s="8"/>
      <c r="R22" s="8"/>
      <c r="S22" s="8"/>
    </row>
    <row r="23" ht="14.25" customHeight="1">
      <c r="A23" s="42">
        <v>702.0</v>
      </c>
      <c r="B23" s="17" t="s">
        <v>3947</v>
      </c>
      <c r="C23" s="42">
        <v>1.0</v>
      </c>
      <c r="D23" s="42">
        <v>10.0</v>
      </c>
      <c r="E23" s="42"/>
      <c r="F23" s="42"/>
      <c r="G23" s="42"/>
      <c r="H23" s="42"/>
      <c r="I23" s="42"/>
      <c r="J23" s="42"/>
      <c r="K23" s="8"/>
      <c r="L23" s="8"/>
      <c r="M23" s="8"/>
      <c r="N23" s="8"/>
      <c r="O23" s="8"/>
      <c r="P23" s="8"/>
      <c r="Q23" s="8"/>
      <c r="R23" s="8"/>
      <c r="S23" s="8"/>
    </row>
    <row r="24" ht="14.25" customHeight="1">
      <c r="A24" s="42">
        <v>702.0</v>
      </c>
      <c r="B24" s="17" t="s">
        <v>3947</v>
      </c>
      <c r="C24" s="42">
        <v>2.0</v>
      </c>
      <c r="D24" s="42">
        <f t="shared" ref="D24:D28" si="5">D23+4</f>
        <v>14</v>
      </c>
      <c r="E24" s="42"/>
      <c r="F24" s="42"/>
      <c r="G24" s="42"/>
      <c r="H24" s="42"/>
      <c r="I24" s="42"/>
      <c r="J24" s="42"/>
      <c r="K24" s="8"/>
      <c r="L24" s="8"/>
      <c r="M24" s="8"/>
      <c r="N24" s="8"/>
      <c r="O24" s="8"/>
      <c r="P24" s="8"/>
      <c r="Q24" s="8"/>
      <c r="R24" s="8"/>
      <c r="S24" s="8"/>
    </row>
    <row r="25" ht="14.25" customHeight="1">
      <c r="A25" s="42">
        <v>702.0</v>
      </c>
      <c r="B25" s="17" t="s">
        <v>3947</v>
      </c>
      <c r="C25" s="42">
        <v>3.0</v>
      </c>
      <c r="D25" s="42">
        <f t="shared" si="5"/>
        <v>18</v>
      </c>
      <c r="E25" s="42"/>
      <c r="F25" s="42"/>
      <c r="G25" s="42"/>
      <c r="H25" s="42"/>
      <c r="I25" s="42"/>
      <c r="J25" s="42"/>
      <c r="K25" s="8"/>
      <c r="L25" s="8"/>
      <c r="M25" s="8"/>
      <c r="N25" s="8"/>
      <c r="O25" s="8"/>
      <c r="P25" s="8"/>
      <c r="Q25" s="8"/>
      <c r="R25" s="8"/>
      <c r="S25" s="8"/>
    </row>
    <row r="26" ht="14.25" customHeight="1">
      <c r="A26" s="42">
        <v>702.0</v>
      </c>
      <c r="B26" s="17" t="s">
        <v>3947</v>
      </c>
      <c r="C26" s="42">
        <v>4.0</v>
      </c>
      <c r="D26" s="42">
        <f t="shared" si="5"/>
        <v>22</v>
      </c>
      <c r="E26" s="42"/>
      <c r="F26" s="42"/>
      <c r="G26" s="42"/>
      <c r="H26" s="42"/>
      <c r="I26" s="42"/>
      <c r="J26" s="42"/>
      <c r="K26" s="8"/>
      <c r="L26" s="8"/>
      <c r="M26" s="8"/>
      <c r="N26" s="8"/>
      <c r="O26" s="8"/>
      <c r="P26" s="8"/>
      <c r="Q26" s="8"/>
      <c r="R26" s="8"/>
      <c r="S26" s="8"/>
    </row>
    <row r="27" ht="14.25" customHeight="1">
      <c r="A27" s="42">
        <v>702.0</v>
      </c>
      <c r="B27" s="17" t="s">
        <v>3947</v>
      </c>
      <c r="C27" s="42">
        <v>5.0</v>
      </c>
      <c r="D27" s="42">
        <f t="shared" si="5"/>
        <v>26</v>
      </c>
      <c r="E27" s="42"/>
      <c r="F27" s="42"/>
      <c r="G27" s="42"/>
      <c r="H27" s="42"/>
      <c r="I27" s="42"/>
      <c r="J27" s="42"/>
      <c r="K27" s="8"/>
      <c r="L27" s="8"/>
      <c r="M27" s="8"/>
      <c r="N27" s="8"/>
      <c r="O27" s="8"/>
      <c r="P27" s="8"/>
      <c r="Q27" s="8"/>
      <c r="R27" s="8"/>
      <c r="S27" s="8"/>
    </row>
    <row r="28" ht="14.25" customHeight="1">
      <c r="A28" s="42">
        <v>702.0</v>
      </c>
      <c r="B28" s="17" t="s">
        <v>3947</v>
      </c>
      <c r="C28" s="42">
        <v>6.0</v>
      </c>
      <c r="D28" s="42">
        <f t="shared" si="5"/>
        <v>30</v>
      </c>
      <c r="E28" s="42"/>
      <c r="F28" s="42"/>
      <c r="G28" s="42"/>
      <c r="H28" s="42"/>
      <c r="I28" s="42"/>
      <c r="J28" s="42"/>
      <c r="K28" s="8"/>
      <c r="L28" s="8"/>
      <c r="M28" s="8"/>
      <c r="N28" s="8"/>
      <c r="O28" s="8"/>
      <c r="P28" s="8"/>
      <c r="Q28" s="8"/>
      <c r="R28" s="8"/>
      <c r="S28" s="8"/>
    </row>
    <row r="29" ht="14.25" customHeight="1">
      <c r="A29" s="42">
        <v>702.0</v>
      </c>
      <c r="B29" s="17" t="s">
        <v>3947</v>
      </c>
      <c r="C29" s="42">
        <v>7.0</v>
      </c>
      <c r="D29" s="42">
        <f t="shared" ref="D29:D32" si="6">D28+5</f>
        <v>35</v>
      </c>
      <c r="E29" s="42"/>
      <c r="F29" s="42"/>
      <c r="G29" s="42"/>
      <c r="H29" s="42"/>
      <c r="I29" s="42"/>
      <c r="J29" s="42"/>
      <c r="K29" s="8"/>
      <c r="L29" s="8"/>
      <c r="M29" s="8"/>
      <c r="N29" s="8"/>
      <c r="O29" s="8"/>
      <c r="P29" s="8"/>
      <c r="Q29" s="8"/>
      <c r="R29" s="8"/>
      <c r="S29" s="8"/>
    </row>
    <row r="30" ht="14.25" customHeight="1">
      <c r="A30" s="42">
        <v>702.0</v>
      </c>
      <c r="B30" s="17" t="s">
        <v>3947</v>
      </c>
      <c r="C30" s="42">
        <v>8.0</v>
      </c>
      <c r="D30" s="42">
        <f t="shared" si="6"/>
        <v>40</v>
      </c>
      <c r="E30" s="42"/>
      <c r="F30" s="42"/>
      <c r="G30" s="42"/>
      <c r="H30" s="42"/>
      <c r="I30" s="42"/>
      <c r="J30" s="42"/>
      <c r="K30" s="8"/>
      <c r="L30" s="8"/>
      <c r="M30" s="8"/>
      <c r="N30" s="8"/>
      <c r="O30" s="8"/>
      <c r="P30" s="8"/>
      <c r="Q30" s="8"/>
      <c r="R30" s="8"/>
      <c r="S30" s="8"/>
    </row>
    <row r="31" ht="14.25" customHeight="1">
      <c r="A31" s="42">
        <v>702.0</v>
      </c>
      <c r="B31" s="17" t="s">
        <v>3947</v>
      </c>
      <c r="C31" s="42">
        <v>9.0</v>
      </c>
      <c r="D31" s="42">
        <f t="shared" si="6"/>
        <v>45</v>
      </c>
      <c r="E31" s="42"/>
      <c r="F31" s="42"/>
      <c r="G31" s="42"/>
      <c r="H31" s="42"/>
      <c r="I31" s="42"/>
      <c r="J31" s="42"/>
      <c r="K31" s="8"/>
      <c r="L31" s="8"/>
      <c r="M31" s="8"/>
      <c r="N31" s="8"/>
      <c r="O31" s="8"/>
      <c r="P31" s="8"/>
      <c r="Q31" s="8"/>
      <c r="R31" s="8"/>
      <c r="S31" s="8"/>
    </row>
    <row r="32" ht="14.25" customHeight="1">
      <c r="A32" s="42">
        <v>702.0</v>
      </c>
      <c r="B32" s="17" t="s">
        <v>3947</v>
      </c>
      <c r="C32" s="42">
        <v>10.0</v>
      </c>
      <c r="D32" s="42">
        <f t="shared" si="6"/>
        <v>50</v>
      </c>
      <c r="E32" s="42"/>
      <c r="F32" s="42"/>
      <c r="G32" s="42"/>
      <c r="H32" s="42"/>
      <c r="I32" s="42"/>
      <c r="J32" s="42"/>
      <c r="K32" s="8"/>
      <c r="L32" s="8"/>
      <c r="M32" s="8"/>
      <c r="N32" s="8"/>
      <c r="O32" s="8"/>
      <c r="P32" s="8"/>
      <c r="Q32" s="8"/>
      <c r="R32" s="8"/>
      <c r="S32" s="8"/>
    </row>
    <row r="33" ht="12.75" customHeight="1"/>
    <row r="34" ht="14.25" customHeight="1">
      <c r="A34" s="40" t="s">
        <v>3083</v>
      </c>
      <c r="B34" s="40" t="s">
        <v>946</v>
      </c>
      <c r="C34" s="40" t="s">
        <v>207</v>
      </c>
      <c r="D34" s="40" t="s">
        <v>107</v>
      </c>
      <c r="E34" s="40" t="s">
        <v>289</v>
      </c>
      <c r="F34" s="40" t="s">
        <v>290</v>
      </c>
      <c r="G34" s="40" t="s">
        <v>291</v>
      </c>
      <c r="H34" s="40" t="s">
        <v>292</v>
      </c>
      <c r="I34" s="40" t="s">
        <v>134</v>
      </c>
      <c r="J34" s="40" t="s">
        <v>295</v>
      </c>
      <c r="K34" s="40" t="s">
        <v>293</v>
      </c>
      <c r="L34" s="40" t="s">
        <v>294</v>
      </c>
      <c r="M34" s="40" t="s">
        <v>297</v>
      </c>
      <c r="N34" s="40" t="s">
        <v>298</v>
      </c>
      <c r="O34" s="40" t="s">
        <v>299</v>
      </c>
      <c r="P34" s="40" t="s">
        <v>300</v>
      </c>
      <c r="Q34" s="40" t="s">
        <v>301</v>
      </c>
      <c r="R34" s="40" t="s">
        <v>302</v>
      </c>
      <c r="S34" s="40" t="s">
        <v>296</v>
      </c>
    </row>
    <row r="35" ht="14.25" customHeight="1">
      <c r="A35" s="42">
        <v>800.0</v>
      </c>
      <c r="B35" s="17" t="s">
        <v>3961</v>
      </c>
      <c r="C35" s="42">
        <v>1.0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ht="14.25" customHeight="1">
      <c r="A36" s="42">
        <v>800.0</v>
      </c>
      <c r="B36" s="17" t="s">
        <v>3962</v>
      </c>
      <c r="C36" s="42">
        <v>2.0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ht="14.25" customHeight="1">
      <c r="A37" s="42">
        <v>800.0</v>
      </c>
      <c r="B37" s="17" t="s">
        <v>3964</v>
      </c>
      <c r="C37" s="42">
        <v>3.0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ht="14.25" customHeight="1">
      <c r="A38" s="42">
        <v>800.0</v>
      </c>
      <c r="B38" s="17" t="s">
        <v>3966</v>
      </c>
      <c r="C38" s="42">
        <v>4.0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ht="14.25" customHeight="1">
      <c r="A39" s="42">
        <v>800.0</v>
      </c>
      <c r="B39" s="17" t="s">
        <v>3967</v>
      </c>
      <c r="C39" s="42">
        <v>5.0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ht="14.25" customHeight="1">
      <c r="A40" s="42">
        <v>800.0</v>
      </c>
      <c r="B40" s="17" t="s">
        <v>3968</v>
      </c>
      <c r="C40" s="42">
        <v>6.0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ht="14.25" customHeight="1">
      <c r="A41" s="42">
        <v>800.0</v>
      </c>
      <c r="B41" s="17" t="s">
        <v>3970</v>
      </c>
      <c r="C41" s="42">
        <v>7.0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ht="14.25" customHeight="1">
      <c r="A42" s="42">
        <v>800.0</v>
      </c>
      <c r="B42" s="17" t="s">
        <v>3972</v>
      </c>
      <c r="C42" s="42">
        <v>8.0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ht="14.25" customHeight="1">
      <c r="A43" s="42">
        <v>800.0</v>
      </c>
      <c r="B43" s="17" t="s">
        <v>3974</v>
      </c>
      <c r="C43" s="42">
        <v>9.0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ht="14.25" customHeight="1">
      <c r="A44" s="42">
        <v>800.0</v>
      </c>
      <c r="B44" s="17" t="s">
        <v>3975</v>
      </c>
      <c r="C44" s="42">
        <v>10.0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ht="14.25" customHeight="1">
      <c r="F45" s="1"/>
    </row>
    <row r="46" ht="14.25" customHeight="1">
      <c r="A46" s="40" t="s">
        <v>3083</v>
      </c>
      <c r="B46" s="40" t="s">
        <v>946</v>
      </c>
      <c r="C46" s="40" t="s">
        <v>207</v>
      </c>
      <c r="D46" s="40" t="s">
        <v>107</v>
      </c>
      <c r="E46" s="40" t="s">
        <v>289</v>
      </c>
      <c r="F46" s="40" t="s">
        <v>290</v>
      </c>
      <c r="G46" s="40" t="s">
        <v>291</v>
      </c>
      <c r="H46" s="40" t="s">
        <v>292</v>
      </c>
      <c r="I46" s="40" t="s">
        <v>134</v>
      </c>
      <c r="J46" s="40" t="s">
        <v>295</v>
      </c>
      <c r="K46" s="40" t="s">
        <v>293</v>
      </c>
      <c r="L46" s="40" t="s">
        <v>294</v>
      </c>
      <c r="M46" s="40" t="s">
        <v>297</v>
      </c>
      <c r="N46" s="40" t="s">
        <v>298</v>
      </c>
      <c r="O46" s="40" t="s">
        <v>299</v>
      </c>
      <c r="P46" s="40" t="s">
        <v>300</v>
      </c>
      <c r="Q46" s="40" t="s">
        <v>301</v>
      </c>
      <c r="R46" s="40" t="s">
        <v>302</v>
      </c>
      <c r="S46" s="40" t="s">
        <v>296</v>
      </c>
    </row>
    <row r="47" ht="14.25" customHeight="1">
      <c r="A47" s="42">
        <v>900.0</v>
      </c>
      <c r="B47" s="42" t="s">
        <v>3979</v>
      </c>
      <c r="C47" s="42">
        <v>1.0</v>
      </c>
      <c r="D47" s="8">
        <v>250.0</v>
      </c>
      <c r="E47" s="8">
        <v>25.0</v>
      </c>
      <c r="F47" s="8">
        <v>6.0</v>
      </c>
      <c r="G47" s="8">
        <v>18.0</v>
      </c>
      <c r="H47" s="8">
        <v>14.0</v>
      </c>
      <c r="I47" s="8">
        <v>25.0</v>
      </c>
      <c r="J47" s="18">
        <v>1.0</v>
      </c>
      <c r="K47" s="8"/>
      <c r="L47" s="8"/>
      <c r="M47" s="8"/>
      <c r="N47" s="8"/>
      <c r="O47" s="8"/>
      <c r="P47" s="8"/>
      <c r="Q47" s="8"/>
      <c r="R47" s="8"/>
      <c r="S47" s="8"/>
    </row>
    <row r="48" ht="14.25" customHeight="1">
      <c r="A48" s="42">
        <v>900.0</v>
      </c>
      <c r="B48" s="42" t="s">
        <v>3981</v>
      </c>
      <c r="C48" s="42">
        <v>2.0</v>
      </c>
      <c r="D48" s="8">
        <f t="shared" ref="D48:I48" si="7">ROUND(D$47*1.5,0)</f>
        <v>375</v>
      </c>
      <c r="E48" s="8">
        <f t="shared" si="7"/>
        <v>38</v>
      </c>
      <c r="F48" s="8">
        <f t="shared" si="7"/>
        <v>9</v>
      </c>
      <c r="G48" s="8">
        <f t="shared" si="7"/>
        <v>27</v>
      </c>
      <c r="H48" s="8">
        <f t="shared" si="7"/>
        <v>21</v>
      </c>
      <c r="I48" s="8">
        <f t="shared" si="7"/>
        <v>38</v>
      </c>
      <c r="J48" s="18"/>
      <c r="K48" s="8"/>
      <c r="L48" s="8"/>
      <c r="M48" s="8"/>
      <c r="N48" s="8"/>
      <c r="O48" s="8"/>
      <c r="P48" s="8"/>
      <c r="Q48" s="8"/>
      <c r="R48" s="8"/>
      <c r="S48" s="8"/>
    </row>
    <row r="49" ht="14.25" customHeight="1">
      <c r="A49" s="42">
        <v>900.0</v>
      </c>
      <c r="B49" s="42" t="s">
        <v>3985</v>
      </c>
      <c r="C49" s="42">
        <v>3.0</v>
      </c>
      <c r="D49" s="8">
        <f>ROUND(D$47*2,0)</f>
        <v>500</v>
      </c>
      <c r="E49" s="8">
        <f t="shared" ref="E49:I49" si="8">ROUND(E$47*1.5,0)</f>
        <v>38</v>
      </c>
      <c r="F49" s="8">
        <f t="shared" si="8"/>
        <v>9</v>
      </c>
      <c r="G49" s="8">
        <f t="shared" si="8"/>
        <v>27</v>
      </c>
      <c r="H49" s="8">
        <f t="shared" si="8"/>
        <v>21</v>
      </c>
      <c r="I49" s="8">
        <f t="shared" si="8"/>
        <v>38</v>
      </c>
      <c r="J49" s="18">
        <v>1.0</v>
      </c>
      <c r="K49" s="8"/>
      <c r="L49" s="8"/>
      <c r="M49" s="8"/>
      <c r="N49" s="8"/>
      <c r="O49" s="8"/>
      <c r="P49" s="8"/>
      <c r="Q49" s="8"/>
      <c r="R49" s="8"/>
      <c r="S49" s="8"/>
    </row>
    <row r="50" ht="14.25" customHeight="1">
      <c r="A50" s="42">
        <v>900.0</v>
      </c>
      <c r="B50" s="42" t="s">
        <v>3989</v>
      </c>
      <c r="C50" s="42">
        <v>4.0</v>
      </c>
      <c r="D50" s="8">
        <f t="shared" ref="D50:I50" si="9">ROUND(D$47*2.5,0)</f>
        <v>625</v>
      </c>
      <c r="E50" s="8">
        <f t="shared" si="9"/>
        <v>63</v>
      </c>
      <c r="F50" s="8">
        <f t="shared" si="9"/>
        <v>15</v>
      </c>
      <c r="G50" s="8">
        <f t="shared" si="9"/>
        <v>45</v>
      </c>
      <c r="H50" s="8">
        <f t="shared" si="9"/>
        <v>35</v>
      </c>
      <c r="I50" s="8">
        <f t="shared" si="9"/>
        <v>63</v>
      </c>
      <c r="J50" s="18"/>
      <c r="K50" s="8"/>
      <c r="L50" s="8"/>
      <c r="M50" s="8"/>
      <c r="N50" s="8"/>
      <c r="O50" s="8"/>
      <c r="P50" s="8"/>
      <c r="Q50" s="8"/>
      <c r="R50" s="8"/>
      <c r="S50" s="8"/>
    </row>
    <row r="51" ht="14.25" customHeight="1">
      <c r="A51" s="42">
        <v>900.0</v>
      </c>
      <c r="B51" s="42" t="s">
        <v>3992</v>
      </c>
      <c r="C51" s="42">
        <v>5.0</v>
      </c>
      <c r="D51" s="8">
        <f t="shared" ref="D51:I51" si="10">ROUND(D$47*3,0)</f>
        <v>750</v>
      </c>
      <c r="E51" s="8">
        <f t="shared" si="10"/>
        <v>75</v>
      </c>
      <c r="F51" s="8">
        <f t="shared" si="10"/>
        <v>18</v>
      </c>
      <c r="G51" s="8">
        <f t="shared" si="10"/>
        <v>54</v>
      </c>
      <c r="H51" s="8">
        <f t="shared" si="10"/>
        <v>42</v>
      </c>
      <c r="I51" s="8">
        <f t="shared" si="10"/>
        <v>75</v>
      </c>
      <c r="J51" s="18">
        <v>1.0</v>
      </c>
      <c r="K51" s="8"/>
      <c r="L51" s="8"/>
      <c r="M51" s="8"/>
      <c r="N51" s="8"/>
      <c r="O51" s="8"/>
      <c r="P51" s="8"/>
      <c r="Q51" s="8"/>
      <c r="R51" s="8"/>
      <c r="S51" s="8"/>
    </row>
    <row r="52" ht="14.25" customHeight="1">
      <c r="A52" s="42">
        <v>900.0</v>
      </c>
      <c r="B52" s="42" t="s">
        <v>3995</v>
      </c>
      <c r="C52" s="42">
        <v>6.0</v>
      </c>
      <c r="D52" s="8">
        <f t="shared" ref="D52:I52" si="11">ROUND(D$47*3.5,0)</f>
        <v>875</v>
      </c>
      <c r="E52" s="8">
        <f t="shared" si="11"/>
        <v>88</v>
      </c>
      <c r="F52" s="8">
        <f t="shared" si="11"/>
        <v>21</v>
      </c>
      <c r="G52" s="8">
        <f t="shared" si="11"/>
        <v>63</v>
      </c>
      <c r="H52" s="8">
        <f t="shared" si="11"/>
        <v>49</v>
      </c>
      <c r="I52" s="8">
        <f t="shared" si="11"/>
        <v>88</v>
      </c>
      <c r="J52" s="18"/>
      <c r="K52" s="8">
        <v>0.05</v>
      </c>
      <c r="L52" s="8"/>
      <c r="M52" s="8">
        <v>0.05</v>
      </c>
      <c r="N52" s="8"/>
      <c r="O52" s="8"/>
      <c r="P52" s="8"/>
      <c r="Q52" s="8"/>
      <c r="R52" s="8"/>
      <c r="S52" s="8"/>
    </row>
    <row r="53" ht="14.25" customHeight="1">
      <c r="A53" s="42">
        <v>900.0</v>
      </c>
      <c r="B53" s="42" t="s">
        <v>3998</v>
      </c>
      <c r="C53" s="42">
        <v>7.0</v>
      </c>
      <c r="D53" s="8">
        <f t="shared" ref="D53:I53" si="12">ROUND(D$47*4,0)</f>
        <v>1000</v>
      </c>
      <c r="E53" s="8">
        <f t="shared" si="12"/>
        <v>100</v>
      </c>
      <c r="F53" s="8">
        <f t="shared" si="12"/>
        <v>24</v>
      </c>
      <c r="G53" s="8">
        <f t="shared" si="12"/>
        <v>72</v>
      </c>
      <c r="H53" s="8">
        <f t="shared" si="12"/>
        <v>56</v>
      </c>
      <c r="I53" s="8">
        <f t="shared" si="12"/>
        <v>100</v>
      </c>
      <c r="J53" s="18">
        <v>1.0</v>
      </c>
      <c r="K53" s="8">
        <v>0.05</v>
      </c>
      <c r="L53" s="8"/>
      <c r="M53" s="8">
        <v>0.05</v>
      </c>
      <c r="N53" s="8"/>
      <c r="O53" s="8"/>
      <c r="P53" s="8"/>
      <c r="Q53" s="8"/>
      <c r="R53" s="8"/>
      <c r="S53" s="8"/>
    </row>
    <row r="54" ht="14.25" customHeight="1">
      <c r="A54" s="42">
        <v>900.0</v>
      </c>
      <c r="B54" s="42" t="s">
        <v>4000</v>
      </c>
      <c r="C54" s="42">
        <v>8.0</v>
      </c>
      <c r="D54" s="8">
        <f t="shared" ref="D54:I54" si="13">ROUND(D$47*4.5,0)</f>
        <v>1125</v>
      </c>
      <c r="E54" s="8">
        <f t="shared" si="13"/>
        <v>113</v>
      </c>
      <c r="F54" s="8">
        <f t="shared" si="13"/>
        <v>27</v>
      </c>
      <c r="G54" s="8">
        <f t="shared" si="13"/>
        <v>81</v>
      </c>
      <c r="H54" s="8">
        <f t="shared" si="13"/>
        <v>63</v>
      </c>
      <c r="I54" s="8">
        <f t="shared" si="13"/>
        <v>113</v>
      </c>
      <c r="J54" s="18"/>
      <c r="K54" s="8">
        <v>0.05</v>
      </c>
      <c r="L54" s="8"/>
      <c r="M54" s="8">
        <v>0.05</v>
      </c>
      <c r="N54" s="8"/>
      <c r="O54" s="8"/>
      <c r="P54" s="8"/>
      <c r="Q54" s="8"/>
      <c r="R54" s="8"/>
      <c r="S54" s="8"/>
    </row>
    <row r="55" ht="14.25" customHeight="1">
      <c r="A55" s="42">
        <v>900.0</v>
      </c>
      <c r="B55" s="42" t="s">
        <v>4002</v>
      </c>
      <c r="C55" s="42">
        <v>9.0</v>
      </c>
      <c r="D55" s="8">
        <f t="shared" ref="D55:I55" si="14">ROUND(D$47*5,0)</f>
        <v>1250</v>
      </c>
      <c r="E55" s="8">
        <f t="shared" si="14"/>
        <v>125</v>
      </c>
      <c r="F55" s="8">
        <f t="shared" si="14"/>
        <v>30</v>
      </c>
      <c r="G55" s="8">
        <f t="shared" si="14"/>
        <v>90</v>
      </c>
      <c r="H55" s="8">
        <f t="shared" si="14"/>
        <v>70</v>
      </c>
      <c r="I55" s="8">
        <f t="shared" si="14"/>
        <v>125</v>
      </c>
      <c r="J55" s="18">
        <v>1.0</v>
      </c>
      <c r="K55" s="8">
        <v>0.05</v>
      </c>
      <c r="L55" s="8"/>
      <c r="M55" s="8">
        <v>0.05</v>
      </c>
      <c r="N55" s="8"/>
      <c r="O55" s="8"/>
      <c r="P55" s="8"/>
      <c r="Q55" s="8"/>
      <c r="R55" s="8"/>
      <c r="S55" s="8"/>
    </row>
    <row r="56" ht="14.25" customHeight="1">
      <c r="A56" s="42">
        <v>900.0</v>
      </c>
      <c r="B56" s="42" t="s">
        <v>4004</v>
      </c>
      <c r="C56" s="42">
        <v>10.0</v>
      </c>
      <c r="D56" s="8">
        <f t="shared" ref="D56:I56" si="15">ROUND(D$47*6,0)</f>
        <v>1500</v>
      </c>
      <c r="E56" s="8">
        <f t="shared" si="15"/>
        <v>150</v>
      </c>
      <c r="F56" s="8">
        <f t="shared" si="15"/>
        <v>36</v>
      </c>
      <c r="G56" s="8">
        <f t="shared" si="15"/>
        <v>108</v>
      </c>
      <c r="H56" s="8">
        <f t="shared" si="15"/>
        <v>84</v>
      </c>
      <c r="I56" s="8">
        <f t="shared" si="15"/>
        <v>150</v>
      </c>
      <c r="J56" s="18">
        <v>2.0</v>
      </c>
      <c r="K56" s="8">
        <v>0.05</v>
      </c>
      <c r="L56" s="8"/>
      <c r="M56" s="8">
        <v>0.05</v>
      </c>
      <c r="N56" s="8"/>
      <c r="O56" s="8"/>
      <c r="P56" s="8"/>
      <c r="Q56" s="8"/>
      <c r="R56" s="8"/>
      <c r="S56" s="8"/>
    </row>
    <row r="57" ht="14.25" customHeight="1">
      <c r="A57" s="42">
        <v>901.0</v>
      </c>
      <c r="B57" s="42" t="s">
        <v>4007</v>
      </c>
      <c r="C57" s="42">
        <v>1.0</v>
      </c>
      <c r="D57" s="8">
        <v>200.0</v>
      </c>
      <c r="E57" s="8">
        <v>4.0</v>
      </c>
      <c r="F57" s="8">
        <v>32.0</v>
      </c>
      <c r="G57" s="8">
        <v>10.0</v>
      </c>
      <c r="H57" s="8">
        <v>17.0</v>
      </c>
      <c r="I57" s="8">
        <v>44.0</v>
      </c>
      <c r="J57" s="18">
        <v>1.0</v>
      </c>
      <c r="K57" s="8"/>
      <c r="L57" s="8"/>
      <c r="M57" s="8"/>
      <c r="N57" s="8"/>
      <c r="O57" s="8"/>
      <c r="P57" s="8"/>
      <c r="Q57" s="8"/>
      <c r="R57" s="8"/>
      <c r="S57" s="8"/>
    </row>
    <row r="58" ht="14.25" customHeight="1">
      <c r="A58" s="42">
        <v>901.0</v>
      </c>
      <c r="B58" s="42" t="s">
        <v>4009</v>
      </c>
      <c r="C58" s="42">
        <v>2.0</v>
      </c>
      <c r="D58" s="8">
        <f t="shared" ref="D58:I58" si="16">ROUND(D$57*1.5,0)</f>
        <v>300</v>
      </c>
      <c r="E58" s="8">
        <f t="shared" si="16"/>
        <v>6</v>
      </c>
      <c r="F58" s="8">
        <f t="shared" si="16"/>
        <v>48</v>
      </c>
      <c r="G58" s="8">
        <f t="shared" si="16"/>
        <v>15</v>
      </c>
      <c r="H58" s="8">
        <f t="shared" si="16"/>
        <v>26</v>
      </c>
      <c r="I58" s="8">
        <f t="shared" si="16"/>
        <v>66</v>
      </c>
      <c r="J58" s="18"/>
      <c r="K58" s="8"/>
      <c r="L58" s="8"/>
      <c r="M58" s="8"/>
      <c r="N58" s="8"/>
      <c r="O58" s="8"/>
      <c r="P58" s="8"/>
      <c r="Q58" s="8"/>
      <c r="R58" s="8"/>
      <c r="S58" s="8"/>
    </row>
    <row r="59" ht="14.25" customHeight="1">
      <c r="A59" s="42">
        <v>901.0</v>
      </c>
      <c r="B59" s="42" t="s">
        <v>4012</v>
      </c>
      <c r="C59" s="42">
        <v>3.0</v>
      </c>
      <c r="D59" s="8">
        <f t="shared" ref="D59:I59" si="17">ROUND(D$57*2,0)</f>
        <v>400</v>
      </c>
      <c r="E59" s="8">
        <f t="shared" si="17"/>
        <v>8</v>
      </c>
      <c r="F59" s="8">
        <f t="shared" si="17"/>
        <v>64</v>
      </c>
      <c r="G59" s="8">
        <f t="shared" si="17"/>
        <v>20</v>
      </c>
      <c r="H59" s="8">
        <f t="shared" si="17"/>
        <v>34</v>
      </c>
      <c r="I59" s="8">
        <f t="shared" si="17"/>
        <v>88</v>
      </c>
      <c r="J59" s="18">
        <v>1.0</v>
      </c>
      <c r="K59" s="8"/>
      <c r="L59" s="8"/>
      <c r="M59" s="8"/>
      <c r="N59" s="8"/>
      <c r="O59" s="8"/>
      <c r="P59" s="8"/>
      <c r="Q59" s="8"/>
      <c r="R59" s="8"/>
      <c r="S59" s="8"/>
    </row>
    <row r="60" ht="14.25" customHeight="1">
      <c r="A60" s="42">
        <v>901.0</v>
      </c>
      <c r="B60" s="42" t="s">
        <v>4017</v>
      </c>
      <c r="C60" s="42">
        <v>4.0</v>
      </c>
      <c r="D60" s="8">
        <f t="shared" ref="D60:I60" si="18">ROUND(D$57*2.5,0)</f>
        <v>500</v>
      </c>
      <c r="E60" s="8">
        <f t="shared" si="18"/>
        <v>10</v>
      </c>
      <c r="F60" s="8">
        <f t="shared" si="18"/>
        <v>80</v>
      </c>
      <c r="G60" s="8">
        <f t="shared" si="18"/>
        <v>25</v>
      </c>
      <c r="H60" s="8">
        <f t="shared" si="18"/>
        <v>43</v>
      </c>
      <c r="I60" s="8">
        <f t="shared" si="18"/>
        <v>110</v>
      </c>
      <c r="J60" s="18"/>
      <c r="K60" s="8"/>
      <c r="L60" s="8"/>
      <c r="M60" s="8"/>
      <c r="N60" s="8"/>
      <c r="O60" s="8"/>
      <c r="P60" s="8"/>
      <c r="Q60" s="8"/>
      <c r="R60" s="8"/>
      <c r="S60" s="8"/>
    </row>
    <row r="61" ht="14.25" customHeight="1">
      <c r="A61" s="42">
        <v>901.0</v>
      </c>
      <c r="B61" s="42" t="s">
        <v>4020</v>
      </c>
      <c r="C61" s="42">
        <v>5.0</v>
      </c>
      <c r="D61" s="8">
        <f t="shared" ref="D61:I61" si="19">ROUND(D$57*3,0)</f>
        <v>600</v>
      </c>
      <c r="E61" s="8">
        <f t="shared" si="19"/>
        <v>12</v>
      </c>
      <c r="F61" s="8">
        <f t="shared" si="19"/>
        <v>96</v>
      </c>
      <c r="G61" s="8">
        <f t="shared" si="19"/>
        <v>30</v>
      </c>
      <c r="H61" s="8">
        <f t="shared" si="19"/>
        <v>51</v>
      </c>
      <c r="I61" s="8">
        <f t="shared" si="19"/>
        <v>132</v>
      </c>
      <c r="J61" s="18">
        <v>1.0</v>
      </c>
      <c r="K61" s="8"/>
      <c r="L61" s="8"/>
      <c r="M61" s="8"/>
      <c r="N61" s="8"/>
      <c r="O61" s="8"/>
      <c r="P61" s="8"/>
      <c r="Q61" s="8"/>
      <c r="R61" s="8"/>
      <c r="S61" s="8"/>
    </row>
    <row r="62" ht="14.25" customHeight="1">
      <c r="A62" s="42">
        <v>901.0</v>
      </c>
      <c r="B62" s="42" t="s">
        <v>4023</v>
      </c>
      <c r="C62" s="42">
        <v>6.0</v>
      </c>
      <c r="D62" s="8">
        <f t="shared" ref="D62:I62" si="20">ROUND(D$57*3.5,0)</f>
        <v>700</v>
      </c>
      <c r="E62" s="8">
        <f t="shared" si="20"/>
        <v>14</v>
      </c>
      <c r="F62" s="8">
        <f t="shared" si="20"/>
        <v>112</v>
      </c>
      <c r="G62" s="8">
        <f t="shared" si="20"/>
        <v>35</v>
      </c>
      <c r="H62" s="8">
        <f t="shared" si="20"/>
        <v>60</v>
      </c>
      <c r="I62" s="8">
        <f t="shared" si="20"/>
        <v>154</v>
      </c>
      <c r="J62" s="18"/>
      <c r="K62" s="8">
        <v>0.05</v>
      </c>
      <c r="L62" s="8"/>
      <c r="M62" s="8">
        <v>0.05</v>
      </c>
      <c r="N62" s="8"/>
      <c r="O62" s="8"/>
      <c r="P62" s="8"/>
      <c r="Q62" s="8"/>
      <c r="R62" s="8"/>
      <c r="S62" s="8"/>
    </row>
    <row r="63" ht="14.25" customHeight="1">
      <c r="A63" s="42">
        <v>901.0</v>
      </c>
      <c r="B63" s="42" t="s">
        <v>4026</v>
      </c>
      <c r="C63" s="42">
        <v>7.0</v>
      </c>
      <c r="D63" s="8">
        <f t="shared" ref="D63:I63" si="21">ROUND(D$57*4,0)</f>
        <v>800</v>
      </c>
      <c r="E63" s="8">
        <f t="shared" si="21"/>
        <v>16</v>
      </c>
      <c r="F63" s="8">
        <f t="shared" si="21"/>
        <v>128</v>
      </c>
      <c r="G63" s="8">
        <f t="shared" si="21"/>
        <v>40</v>
      </c>
      <c r="H63" s="8">
        <f t="shared" si="21"/>
        <v>68</v>
      </c>
      <c r="I63" s="8">
        <f t="shared" si="21"/>
        <v>176</v>
      </c>
      <c r="J63" s="18">
        <v>1.0</v>
      </c>
      <c r="K63" s="8">
        <v>0.05</v>
      </c>
      <c r="L63" s="8"/>
      <c r="M63" s="8">
        <v>0.05</v>
      </c>
      <c r="N63" s="8"/>
      <c r="O63" s="8"/>
      <c r="P63" s="8"/>
      <c r="Q63" s="8"/>
      <c r="R63" s="8"/>
      <c r="S63" s="8"/>
    </row>
    <row r="64" ht="14.25" customHeight="1">
      <c r="A64" s="42">
        <v>901.0</v>
      </c>
      <c r="B64" s="42" t="s">
        <v>4029</v>
      </c>
      <c r="C64" s="42">
        <v>8.0</v>
      </c>
      <c r="D64" s="8">
        <f t="shared" ref="D64:I64" si="22">ROUND(D$57*4.5,0)</f>
        <v>900</v>
      </c>
      <c r="E64" s="8">
        <f t="shared" si="22"/>
        <v>18</v>
      </c>
      <c r="F64" s="8">
        <f t="shared" si="22"/>
        <v>144</v>
      </c>
      <c r="G64" s="8">
        <f t="shared" si="22"/>
        <v>45</v>
      </c>
      <c r="H64" s="8">
        <f t="shared" si="22"/>
        <v>77</v>
      </c>
      <c r="I64" s="8">
        <f t="shared" si="22"/>
        <v>198</v>
      </c>
      <c r="J64" s="18"/>
      <c r="K64" s="8">
        <v>0.05</v>
      </c>
      <c r="L64" s="8"/>
      <c r="M64" s="8">
        <v>0.05</v>
      </c>
      <c r="N64" s="8"/>
      <c r="O64" s="8"/>
      <c r="P64" s="8"/>
      <c r="Q64" s="8"/>
      <c r="R64" s="8"/>
      <c r="S64" s="8"/>
    </row>
    <row r="65" ht="14.25" customHeight="1">
      <c r="A65" s="42">
        <v>901.0</v>
      </c>
      <c r="B65" s="42" t="s">
        <v>4032</v>
      </c>
      <c r="C65" s="42">
        <v>9.0</v>
      </c>
      <c r="D65" s="8">
        <f t="shared" ref="D65:I65" si="23">ROUND(D$57*5,0)</f>
        <v>1000</v>
      </c>
      <c r="E65" s="8">
        <f t="shared" si="23"/>
        <v>20</v>
      </c>
      <c r="F65" s="8">
        <f t="shared" si="23"/>
        <v>160</v>
      </c>
      <c r="G65" s="8">
        <f t="shared" si="23"/>
        <v>50</v>
      </c>
      <c r="H65" s="8">
        <f t="shared" si="23"/>
        <v>85</v>
      </c>
      <c r="I65" s="8">
        <f t="shared" si="23"/>
        <v>220</v>
      </c>
      <c r="J65" s="18">
        <v>1.0</v>
      </c>
      <c r="K65" s="8">
        <v>0.05</v>
      </c>
      <c r="L65" s="8"/>
      <c r="M65" s="8">
        <v>0.05</v>
      </c>
      <c r="N65" s="8"/>
      <c r="O65" s="8"/>
      <c r="P65" s="8"/>
      <c r="Q65" s="8"/>
      <c r="R65" s="8"/>
      <c r="S65" s="8"/>
    </row>
    <row r="66" ht="14.25" customHeight="1">
      <c r="A66" s="42">
        <v>901.0</v>
      </c>
      <c r="B66" s="42" t="s">
        <v>4035</v>
      </c>
      <c r="C66" s="42">
        <v>10.0</v>
      </c>
      <c r="D66" s="8">
        <f t="shared" ref="D66:I66" si="24">ROUND(D$57*6,0)</f>
        <v>1200</v>
      </c>
      <c r="E66" s="8">
        <f t="shared" si="24"/>
        <v>24</v>
      </c>
      <c r="F66" s="8">
        <f t="shared" si="24"/>
        <v>192</v>
      </c>
      <c r="G66" s="8">
        <f t="shared" si="24"/>
        <v>60</v>
      </c>
      <c r="H66" s="8">
        <f t="shared" si="24"/>
        <v>102</v>
      </c>
      <c r="I66" s="8">
        <f t="shared" si="24"/>
        <v>264</v>
      </c>
      <c r="J66" s="18">
        <v>2.0</v>
      </c>
      <c r="K66" s="8">
        <v>0.05</v>
      </c>
      <c r="L66" s="8"/>
      <c r="M66" s="8">
        <v>0.05</v>
      </c>
      <c r="N66" s="8"/>
      <c r="O66" s="8"/>
      <c r="P66" s="8"/>
      <c r="Q66" s="8"/>
      <c r="R66" s="8"/>
      <c r="S66" s="8"/>
    </row>
    <row r="67" ht="14.25" customHeight="1">
      <c r="A67" s="42">
        <f t="shared" ref="A67:A106" si="26">A47+2</f>
        <v>902</v>
      </c>
      <c r="B67" s="42" t="s">
        <v>4038</v>
      </c>
      <c r="C67" s="42">
        <v>1.0</v>
      </c>
      <c r="D67" s="8">
        <f t="shared" ref="D67:I67" si="25">ROUND(D47*0.65,0)</f>
        <v>163</v>
      </c>
      <c r="E67" s="8">
        <f t="shared" si="25"/>
        <v>16</v>
      </c>
      <c r="F67" s="8">
        <f t="shared" si="25"/>
        <v>4</v>
      </c>
      <c r="G67" s="8">
        <f t="shared" si="25"/>
        <v>12</v>
      </c>
      <c r="H67" s="8">
        <f t="shared" si="25"/>
        <v>9</v>
      </c>
      <c r="I67" s="8">
        <f t="shared" si="25"/>
        <v>16</v>
      </c>
      <c r="J67" s="18">
        <v>1.0</v>
      </c>
      <c r="K67" s="8"/>
      <c r="L67" s="8"/>
      <c r="M67" s="8"/>
      <c r="N67" s="8"/>
      <c r="O67" s="8"/>
      <c r="P67" s="8"/>
      <c r="Q67" s="8"/>
      <c r="R67" s="8"/>
      <c r="S67" s="8"/>
    </row>
    <row r="68" ht="14.25" customHeight="1">
      <c r="A68" s="42">
        <f t="shared" si="26"/>
        <v>902</v>
      </c>
      <c r="B68" s="42" t="s">
        <v>4042</v>
      </c>
      <c r="C68" s="42">
        <v>2.0</v>
      </c>
      <c r="D68" s="8">
        <f t="shared" ref="D68:I68" si="27">ROUND(D48*0.65,0)</f>
        <v>244</v>
      </c>
      <c r="E68" s="8">
        <f t="shared" si="27"/>
        <v>25</v>
      </c>
      <c r="F68" s="8">
        <f t="shared" si="27"/>
        <v>6</v>
      </c>
      <c r="G68" s="8">
        <f t="shared" si="27"/>
        <v>18</v>
      </c>
      <c r="H68" s="8">
        <f t="shared" si="27"/>
        <v>14</v>
      </c>
      <c r="I68" s="8">
        <f t="shared" si="27"/>
        <v>25</v>
      </c>
      <c r="J68" s="18"/>
      <c r="K68" s="8"/>
      <c r="L68" s="8"/>
      <c r="M68" s="8"/>
      <c r="N68" s="8"/>
      <c r="O68" s="8"/>
      <c r="P68" s="8"/>
      <c r="Q68" s="8"/>
      <c r="R68" s="8"/>
      <c r="S68" s="8"/>
    </row>
    <row r="69" ht="14.25" customHeight="1">
      <c r="A69" s="42">
        <f t="shared" si="26"/>
        <v>902</v>
      </c>
      <c r="B69" s="42" t="s">
        <v>4045</v>
      </c>
      <c r="C69" s="42">
        <v>3.0</v>
      </c>
      <c r="D69" s="8">
        <f t="shared" ref="D69:I69" si="28">ROUND(D49*0.65,0)</f>
        <v>325</v>
      </c>
      <c r="E69" s="8">
        <f t="shared" si="28"/>
        <v>25</v>
      </c>
      <c r="F69" s="8">
        <f t="shared" si="28"/>
        <v>6</v>
      </c>
      <c r="G69" s="8">
        <f t="shared" si="28"/>
        <v>18</v>
      </c>
      <c r="H69" s="8">
        <f t="shared" si="28"/>
        <v>14</v>
      </c>
      <c r="I69" s="8">
        <f t="shared" si="28"/>
        <v>25</v>
      </c>
      <c r="J69" s="18">
        <v>1.0</v>
      </c>
      <c r="K69" s="8"/>
      <c r="L69" s="8"/>
      <c r="M69" s="8"/>
      <c r="N69" s="8"/>
      <c r="O69" s="8"/>
      <c r="P69" s="8"/>
      <c r="Q69" s="8"/>
      <c r="R69" s="8"/>
      <c r="S69" s="8"/>
    </row>
    <row r="70" ht="14.25" customHeight="1">
      <c r="A70" s="42">
        <f t="shared" si="26"/>
        <v>902</v>
      </c>
      <c r="B70" s="42" t="s">
        <v>4048</v>
      </c>
      <c r="C70" s="42">
        <v>4.0</v>
      </c>
      <c r="D70" s="8">
        <f t="shared" ref="D70:I70" si="29">ROUND(D50*0.65,0)</f>
        <v>406</v>
      </c>
      <c r="E70" s="8">
        <f t="shared" si="29"/>
        <v>41</v>
      </c>
      <c r="F70" s="8">
        <f t="shared" si="29"/>
        <v>10</v>
      </c>
      <c r="G70" s="8">
        <f t="shared" si="29"/>
        <v>29</v>
      </c>
      <c r="H70" s="8">
        <f t="shared" si="29"/>
        <v>23</v>
      </c>
      <c r="I70" s="8">
        <f t="shared" si="29"/>
        <v>41</v>
      </c>
      <c r="J70" s="18"/>
      <c r="K70" s="8"/>
      <c r="L70" s="8"/>
      <c r="M70" s="8"/>
      <c r="N70" s="8"/>
      <c r="O70" s="8"/>
      <c r="P70" s="8"/>
      <c r="Q70" s="8"/>
      <c r="R70" s="8"/>
      <c r="S70" s="8"/>
    </row>
    <row r="71" ht="14.25" customHeight="1">
      <c r="A71" s="42">
        <f t="shared" si="26"/>
        <v>902</v>
      </c>
      <c r="B71" s="42" t="s">
        <v>4051</v>
      </c>
      <c r="C71" s="42">
        <v>5.0</v>
      </c>
      <c r="D71" s="8">
        <f t="shared" ref="D71:I71" si="30">ROUND(D51*0.65,0)</f>
        <v>488</v>
      </c>
      <c r="E71" s="8">
        <f t="shared" si="30"/>
        <v>49</v>
      </c>
      <c r="F71" s="8">
        <f t="shared" si="30"/>
        <v>12</v>
      </c>
      <c r="G71" s="8">
        <f t="shared" si="30"/>
        <v>35</v>
      </c>
      <c r="H71" s="8">
        <f t="shared" si="30"/>
        <v>27</v>
      </c>
      <c r="I71" s="8">
        <f t="shared" si="30"/>
        <v>49</v>
      </c>
      <c r="J71" s="18">
        <v>1.0</v>
      </c>
      <c r="K71" s="8"/>
      <c r="L71" s="8"/>
      <c r="M71" s="8"/>
      <c r="N71" s="8"/>
      <c r="O71" s="8"/>
      <c r="P71" s="8"/>
      <c r="Q71" s="8"/>
      <c r="R71" s="8"/>
      <c r="S71" s="8"/>
    </row>
    <row r="72" ht="14.25" customHeight="1">
      <c r="A72" s="42">
        <f t="shared" si="26"/>
        <v>902</v>
      </c>
      <c r="B72" s="42" t="s">
        <v>4053</v>
      </c>
      <c r="C72" s="42">
        <v>6.0</v>
      </c>
      <c r="D72" s="8">
        <f t="shared" ref="D72:I72" si="31">ROUND(D52*0.65,0)</f>
        <v>569</v>
      </c>
      <c r="E72" s="8">
        <f t="shared" si="31"/>
        <v>57</v>
      </c>
      <c r="F72" s="8">
        <f t="shared" si="31"/>
        <v>14</v>
      </c>
      <c r="G72" s="8">
        <f t="shared" si="31"/>
        <v>41</v>
      </c>
      <c r="H72" s="8">
        <f t="shared" si="31"/>
        <v>32</v>
      </c>
      <c r="I72" s="8">
        <f t="shared" si="31"/>
        <v>57</v>
      </c>
      <c r="J72" s="18"/>
      <c r="K72" s="8">
        <v>0.04</v>
      </c>
      <c r="L72" s="8"/>
      <c r="M72" s="8">
        <v>0.04</v>
      </c>
      <c r="N72" s="8"/>
      <c r="O72" s="8"/>
      <c r="P72" s="8"/>
      <c r="Q72" s="8"/>
      <c r="R72" s="8"/>
      <c r="S72" s="8"/>
    </row>
    <row r="73" ht="14.25" customHeight="1">
      <c r="A73" s="42">
        <f t="shared" si="26"/>
        <v>902</v>
      </c>
      <c r="B73" s="42" t="s">
        <v>4056</v>
      </c>
      <c r="C73" s="42">
        <v>7.0</v>
      </c>
      <c r="D73" s="8">
        <f t="shared" ref="D73:I73" si="32">ROUND(D53*0.65,0)</f>
        <v>650</v>
      </c>
      <c r="E73" s="8">
        <f t="shared" si="32"/>
        <v>65</v>
      </c>
      <c r="F73" s="8">
        <f t="shared" si="32"/>
        <v>16</v>
      </c>
      <c r="G73" s="8">
        <f t="shared" si="32"/>
        <v>47</v>
      </c>
      <c r="H73" s="8">
        <f t="shared" si="32"/>
        <v>36</v>
      </c>
      <c r="I73" s="8">
        <f t="shared" si="32"/>
        <v>65</v>
      </c>
      <c r="J73" s="18">
        <v>1.0</v>
      </c>
      <c r="K73" s="8">
        <v>0.04</v>
      </c>
      <c r="L73" s="8"/>
      <c r="M73" s="8">
        <v>0.04</v>
      </c>
      <c r="N73" s="8"/>
      <c r="O73" s="8"/>
      <c r="P73" s="8"/>
      <c r="Q73" s="8"/>
      <c r="R73" s="8"/>
      <c r="S73" s="8"/>
    </row>
    <row r="74" ht="14.25" customHeight="1">
      <c r="A74" s="42">
        <f t="shared" si="26"/>
        <v>902</v>
      </c>
      <c r="B74" s="42" t="s">
        <v>4059</v>
      </c>
      <c r="C74" s="42">
        <v>8.0</v>
      </c>
      <c r="D74" s="8">
        <f t="shared" ref="D74:I74" si="33">ROUND(D54*0.65,0)</f>
        <v>731</v>
      </c>
      <c r="E74" s="8">
        <f t="shared" si="33"/>
        <v>73</v>
      </c>
      <c r="F74" s="8">
        <f t="shared" si="33"/>
        <v>18</v>
      </c>
      <c r="G74" s="8">
        <f t="shared" si="33"/>
        <v>53</v>
      </c>
      <c r="H74" s="8">
        <f t="shared" si="33"/>
        <v>41</v>
      </c>
      <c r="I74" s="8">
        <f t="shared" si="33"/>
        <v>73</v>
      </c>
      <c r="J74" s="18"/>
      <c r="K74" s="8">
        <v>0.04</v>
      </c>
      <c r="L74" s="8"/>
      <c r="M74" s="8">
        <v>0.04</v>
      </c>
      <c r="N74" s="8"/>
      <c r="O74" s="8"/>
      <c r="P74" s="8"/>
      <c r="Q74" s="8"/>
      <c r="R74" s="8"/>
      <c r="S74" s="8"/>
    </row>
    <row r="75" ht="14.25" customHeight="1">
      <c r="A75" s="42">
        <f t="shared" si="26"/>
        <v>902</v>
      </c>
      <c r="B75" s="42" t="s">
        <v>4063</v>
      </c>
      <c r="C75" s="42">
        <v>9.0</v>
      </c>
      <c r="D75" s="8">
        <f t="shared" ref="D75:I75" si="34">ROUND(D55*0.65,0)</f>
        <v>813</v>
      </c>
      <c r="E75" s="8">
        <f t="shared" si="34"/>
        <v>81</v>
      </c>
      <c r="F75" s="8">
        <f t="shared" si="34"/>
        <v>20</v>
      </c>
      <c r="G75" s="8">
        <f t="shared" si="34"/>
        <v>59</v>
      </c>
      <c r="H75" s="8">
        <f t="shared" si="34"/>
        <v>46</v>
      </c>
      <c r="I75" s="8">
        <f t="shared" si="34"/>
        <v>81</v>
      </c>
      <c r="J75" s="18">
        <v>1.0</v>
      </c>
      <c r="K75" s="8">
        <v>0.04</v>
      </c>
      <c r="L75" s="8"/>
      <c r="M75" s="8">
        <v>0.04</v>
      </c>
      <c r="N75" s="8"/>
      <c r="O75" s="8"/>
      <c r="P75" s="8"/>
      <c r="Q75" s="8"/>
      <c r="R75" s="8"/>
      <c r="S75" s="8"/>
    </row>
    <row r="76" ht="14.25" customHeight="1">
      <c r="A76" s="42">
        <f t="shared" si="26"/>
        <v>902</v>
      </c>
      <c r="B76" s="42" t="s">
        <v>4066</v>
      </c>
      <c r="C76" s="42">
        <v>10.0</v>
      </c>
      <c r="D76" s="8">
        <f t="shared" ref="D76:I76" si="35">ROUND(D56*0.65,0)</f>
        <v>975</v>
      </c>
      <c r="E76" s="8">
        <f t="shared" si="35"/>
        <v>98</v>
      </c>
      <c r="F76" s="8">
        <f t="shared" si="35"/>
        <v>23</v>
      </c>
      <c r="G76" s="8">
        <f t="shared" si="35"/>
        <v>70</v>
      </c>
      <c r="H76" s="8">
        <f t="shared" si="35"/>
        <v>55</v>
      </c>
      <c r="I76" s="8">
        <f t="shared" si="35"/>
        <v>98</v>
      </c>
      <c r="J76" s="18">
        <v>2.0</v>
      </c>
      <c r="K76" s="8">
        <v>0.04</v>
      </c>
      <c r="L76" s="8"/>
      <c r="M76" s="8">
        <v>0.04</v>
      </c>
      <c r="N76" s="8"/>
      <c r="O76" s="8"/>
      <c r="P76" s="8"/>
      <c r="Q76" s="8"/>
      <c r="R76" s="8"/>
      <c r="S76" s="8"/>
    </row>
    <row r="77" ht="14.25" customHeight="1">
      <c r="A77" s="42">
        <f t="shared" si="26"/>
        <v>903</v>
      </c>
      <c r="B77" s="42" t="s">
        <v>4069</v>
      </c>
      <c r="C77" s="42">
        <v>1.0</v>
      </c>
      <c r="D77" s="8">
        <f t="shared" ref="D77:I77" si="36">ROUND(D57*0.65,0)</f>
        <v>130</v>
      </c>
      <c r="E77" s="8">
        <f t="shared" si="36"/>
        <v>3</v>
      </c>
      <c r="F77" s="8">
        <f t="shared" si="36"/>
        <v>21</v>
      </c>
      <c r="G77" s="8">
        <f t="shared" si="36"/>
        <v>7</v>
      </c>
      <c r="H77" s="8">
        <f t="shared" si="36"/>
        <v>11</v>
      </c>
      <c r="I77" s="8">
        <f t="shared" si="36"/>
        <v>29</v>
      </c>
      <c r="J77" s="18">
        <v>1.0</v>
      </c>
      <c r="K77" s="8"/>
      <c r="L77" s="8"/>
      <c r="M77" s="8"/>
      <c r="N77" s="8"/>
      <c r="O77" s="8"/>
      <c r="P77" s="8"/>
      <c r="Q77" s="8"/>
      <c r="R77" s="8"/>
      <c r="S77" s="8"/>
    </row>
    <row r="78" ht="14.25" customHeight="1">
      <c r="A78" s="42">
        <f t="shared" si="26"/>
        <v>903</v>
      </c>
      <c r="B78" s="42" t="s">
        <v>4072</v>
      </c>
      <c r="C78" s="42">
        <v>2.0</v>
      </c>
      <c r="D78" s="8">
        <f t="shared" ref="D78:I78" si="37">ROUND(D58*0.65,0)</f>
        <v>195</v>
      </c>
      <c r="E78" s="8">
        <f t="shared" si="37"/>
        <v>4</v>
      </c>
      <c r="F78" s="8">
        <f t="shared" si="37"/>
        <v>31</v>
      </c>
      <c r="G78" s="8">
        <f t="shared" si="37"/>
        <v>10</v>
      </c>
      <c r="H78" s="8">
        <f t="shared" si="37"/>
        <v>17</v>
      </c>
      <c r="I78" s="8">
        <f t="shared" si="37"/>
        <v>43</v>
      </c>
      <c r="J78" s="18"/>
      <c r="K78" s="8"/>
      <c r="L78" s="8"/>
      <c r="M78" s="8"/>
      <c r="N78" s="8"/>
      <c r="O78" s="8"/>
      <c r="P78" s="8"/>
      <c r="Q78" s="8"/>
      <c r="R78" s="8"/>
      <c r="S78" s="8"/>
    </row>
    <row r="79" ht="14.25" customHeight="1">
      <c r="A79" s="42">
        <f t="shared" si="26"/>
        <v>903</v>
      </c>
      <c r="B79" s="42" t="s">
        <v>4075</v>
      </c>
      <c r="C79" s="42">
        <v>3.0</v>
      </c>
      <c r="D79" s="8">
        <f t="shared" ref="D79:I79" si="38">ROUND(D59*0.65,0)</f>
        <v>260</v>
      </c>
      <c r="E79" s="8">
        <f t="shared" si="38"/>
        <v>5</v>
      </c>
      <c r="F79" s="8">
        <f t="shared" si="38"/>
        <v>42</v>
      </c>
      <c r="G79" s="8">
        <f t="shared" si="38"/>
        <v>13</v>
      </c>
      <c r="H79" s="8">
        <f t="shared" si="38"/>
        <v>22</v>
      </c>
      <c r="I79" s="8">
        <f t="shared" si="38"/>
        <v>57</v>
      </c>
      <c r="J79" s="18">
        <v>1.0</v>
      </c>
      <c r="K79" s="8"/>
      <c r="L79" s="8"/>
      <c r="M79" s="8"/>
      <c r="N79" s="8"/>
      <c r="O79" s="8"/>
      <c r="P79" s="8"/>
      <c r="Q79" s="8"/>
      <c r="R79" s="8"/>
      <c r="S79" s="8"/>
    </row>
    <row r="80" ht="14.25" customHeight="1">
      <c r="A80" s="42">
        <f t="shared" si="26"/>
        <v>903</v>
      </c>
      <c r="B80" s="42" t="s">
        <v>4079</v>
      </c>
      <c r="C80" s="42">
        <v>4.0</v>
      </c>
      <c r="D80" s="8">
        <f t="shared" ref="D80:I80" si="39">ROUND(D60*0.65,0)</f>
        <v>325</v>
      </c>
      <c r="E80" s="8">
        <f t="shared" si="39"/>
        <v>7</v>
      </c>
      <c r="F80" s="8">
        <f t="shared" si="39"/>
        <v>52</v>
      </c>
      <c r="G80" s="8">
        <f t="shared" si="39"/>
        <v>16</v>
      </c>
      <c r="H80" s="8">
        <f t="shared" si="39"/>
        <v>28</v>
      </c>
      <c r="I80" s="8">
        <f t="shared" si="39"/>
        <v>72</v>
      </c>
      <c r="J80" s="18"/>
      <c r="K80" s="8"/>
      <c r="L80" s="8"/>
      <c r="M80" s="8"/>
      <c r="N80" s="8"/>
      <c r="O80" s="8"/>
      <c r="P80" s="8"/>
      <c r="Q80" s="8"/>
      <c r="R80" s="8"/>
      <c r="S80" s="8"/>
    </row>
    <row r="81" ht="14.25" customHeight="1">
      <c r="A81" s="42">
        <f t="shared" si="26"/>
        <v>903</v>
      </c>
      <c r="B81" s="42" t="s">
        <v>4082</v>
      </c>
      <c r="C81" s="42">
        <v>5.0</v>
      </c>
      <c r="D81" s="8">
        <f t="shared" ref="D81:I81" si="40">ROUND(D61*0.65,0)</f>
        <v>390</v>
      </c>
      <c r="E81" s="8">
        <f t="shared" si="40"/>
        <v>8</v>
      </c>
      <c r="F81" s="8">
        <f t="shared" si="40"/>
        <v>62</v>
      </c>
      <c r="G81" s="8">
        <f t="shared" si="40"/>
        <v>20</v>
      </c>
      <c r="H81" s="8">
        <f t="shared" si="40"/>
        <v>33</v>
      </c>
      <c r="I81" s="8">
        <f t="shared" si="40"/>
        <v>86</v>
      </c>
      <c r="J81" s="18">
        <v>1.0</v>
      </c>
      <c r="K81" s="8"/>
      <c r="L81" s="8"/>
      <c r="M81" s="8"/>
      <c r="N81" s="8"/>
      <c r="O81" s="8"/>
      <c r="P81" s="8"/>
      <c r="Q81" s="8"/>
      <c r="R81" s="8"/>
      <c r="S81" s="8"/>
    </row>
    <row r="82" ht="14.25" customHeight="1">
      <c r="A82" s="42">
        <f t="shared" si="26"/>
        <v>903</v>
      </c>
      <c r="B82" s="42" t="s">
        <v>4085</v>
      </c>
      <c r="C82" s="42">
        <v>6.0</v>
      </c>
      <c r="D82" s="8">
        <f t="shared" ref="D82:I82" si="41">ROUND(D62*0.65,0)</f>
        <v>455</v>
      </c>
      <c r="E82" s="8">
        <f t="shared" si="41"/>
        <v>9</v>
      </c>
      <c r="F82" s="8">
        <f t="shared" si="41"/>
        <v>73</v>
      </c>
      <c r="G82" s="8">
        <f t="shared" si="41"/>
        <v>23</v>
      </c>
      <c r="H82" s="8">
        <f t="shared" si="41"/>
        <v>39</v>
      </c>
      <c r="I82" s="8">
        <f t="shared" si="41"/>
        <v>100</v>
      </c>
      <c r="J82" s="18"/>
      <c r="K82" s="8">
        <v>0.03</v>
      </c>
      <c r="L82" s="8"/>
      <c r="M82" s="8">
        <v>0.03</v>
      </c>
      <c r="N82" s="8"/>
      <c r="O82" s="8"/>
      <c r="P82" s="8"/>
      <c r="Q82" s="8"/>
      <c r="R82" s="8"/>
      <c r="S82" s="8"/>
    </row>
    <row r="83" ht="14.25" customHeight="1">
      <c r="A83" s="42">
        <f t="shared" si="26"/>
        <v>903</v>
      </c>
      <c r="B83" s="42" t="s">
        <v>4088</v>
      </c>
      <c r="C83" s="42">
        <v>7.0</v>
      </c>
      <c r="D83" s="8">
        <f t="shared" ref="D83:I83" si="42">ROUND(D63*0.65,0)</f>
        <v>520</v>
      </c>
      <c r="E83" s="8">
        <f t="shared" si="42"/>
        <v>10</v>
      </c>
      <c r="F83" s="8">
        <f t="shared" si="42"/>
        <v>83</v>
      </c>
      <c r="G83" s="8">
        <f t="shared" si="42"/>
        <v>26</v>
      </c>
      <c r="H83" s="8">
        <f t="shared" si="42"/>
        <v>44</v>
      </c>
      <c r="I83" s="8">
        <f t="shared" si="42"/>
        <v>114</v>
      </c>
      <c r="J83" s="18">
        <v>1.0</v>
      </c>
      <c r="K83" s="8">
        <v>0.03</v>
      </c>
      <c r="L83" s="8"/>
      <c r="M83" s="8">
        <v>0.03</v>
      </c>
      <c r="N83" s="8"/>
      <c r="O83" s="8"/>
      <c r="P83" s="8"/>
      <c r="Q83" s="8"/>
      <c r="R83" s="8"/>
      <c r="S83" s="8"/>
    </row>
    <row r="84" ht="14.25" customHeight="1">
      <c r="A84" s="42">
        <f t="shared" si="26"/>
        <v>903</v>
      </c>
      <c r="B84" s="42" t="s">
        <v>4091</v>
      </c>
      <c r="C84" s="42">
        <v>8.0</v>
      </c>
      <c r="D84" s="8">
        <f t="shared" ref="D84:I84" si="43">ROUND(D64*0.65,0)</f>
        <v>585</v>
      </c>
      <c r="E84" s="8">
        <f t="shared" si="43"/>
        <v>12</v>
      </c>
      <c r="F84" s="8">
        <f t="shared" si="43"/>
        <v>94</v>
      </c>
      <c r="G84" s="8">
        <f t="shared" si="43"/>
        <v>29</v>
      </c>
      <c r="H84" s="8">
        <f t="shared" si="43"/>
        <v>50</v>
      </c>
      <c r="I84" s="8">
        <f t="shared" si="43"/>
        <v>129</v>
      </c>
      <c r="J84" s="18"/>
      <c r="K84" s="8">
        <v>0.03</v>
      </c>
      <c r="L84" s="8"/>
      <c r="M84" s="8">
        <v>0.03</v>
      </c>
      <c r="N84" s="8"/>
      <c r="O84" s="8"/>
      <c r="P84" s="8"/>
      <c r="Q84" s="8"/>
      <c r="R84" s="8"/>
      <c r="S84" s="8"/>
    </row>
    <row r="85" ht="14.25" customHeight="1">
      <c r="A85" s="42">
        <f t="shared" si="26"/>
        <v>903</v>
      </c>
      <c r="B85" s="42" t="s">
        <v>4094</v>
      </c>
      <c r="C85" s="42">
        <v>9.0</v>
      </c>
      <c r="D85" s="8">
        <f t="shared" ref="D85:I85" si="44">ROUND(D65*0.65,0)</f>
        <v>650</v>
      </c>
      <c r="E85" s="8">
        <f t="shared" si="44"/>
        <v>13</v>
      </c>
      <c r="F85" s="8">
        <f t="shared" si="44"/>
        <v>104</v>
      </c>
      <c r="G85" s="8">
        <f t="shared" si="44"/>
        <v>33</v>
      </c>
      <c r="H85" s="8">
        <f t="shared" si="44"/>
        <v>55</v>
      </c>
      <c r="I85" s="8">
        <f t="shared" si="44"/>
        <v>143</v>
      </c>
      <c r="J85" s="18">
        <v>1.0</v>
      </c>
      <c r="K85" s="8">
        <v>0.03</v>
      </c>
      <c r="L85" s="8"/>
      <c r="M85" s="8">
        <v>0.03</v>
      </c>
      <c r="N85" s="8"/>
      <c r="O85" s="8"/>
      <c r="P85" s="8"/>
      <c r="Q85" s="8"/>
      <c r="R85" s="8"/>
      <c r="S85" s="8"/>
    </row>
    <row r="86" ht="14.25" customHeight="1">
      <c r="A86" s="42">
        <f t="shared" si="26"/>
        <v>903</v>
      </c>
      <c r="B86" s="42" t="s">
        <v>4097</v>
      </c>
      <c r="C86" s="42">
        <v>10.0</v>
      </c>
      <c r="D86" s="8">
        <f t="shared" ref="D86:I86" si="45">ROUND(D66*0.65,0)</f>
        <v>780</v>
      </c>
      <c r="E86" s="8">
        <f t="shared" si="45"/>
        <v>16</v>
      </c>
      <c r="F86" s="8">
        <f t="shared" si="45"/>
        <v>125</v>
      </c>
      <c r="G86" s="8">
        <f t="shared" si="45"/>
        <v>39</v>
      </c>
      <c r="H86" s="8">
        <f t="shared" si="45"/>
        <v>66</v>
      </c>
      <c r="I86" s="8">
        <f t="shared" si="45"/>
        <v>172</v>
      </c>
      <c r="J86" s="18">
        <v>2.0</v>
      </c>
      <c r="K86" s="8">
        <v>0.03</v>
      </c>
      <c r="L86" s="8"/>
      <c r="M86" s="8">
        <v>0.03</v>
      </c>
      <c r="N86" s="8"/>
      <c r="O86" s="8"/>
      <c r="P86" s="8"/>
      <c r="Q86" s="8"/>
      <c r="R86" s="8"/>
      <c r="S86" s="8"/>
    </row>
    <row r="87" ht="14.25" customHeight="1">
      <c r="A87" s="42">
        <f t="shared" si="26"/>
        <v>904</v>
      </c>
      <c r="B87" s="42" t="s">
        <v>4100</v>
      </c>
      <c r="C87" s="42">
        <v>1.0</v>
      </c>
      <c r="D87" s="8">
        <f t="shared" ref="D87:I87" si="46">ROUND(D67*0.8,0)</f>
        <v>130</v>
      </c>
      <c r="E87" s="8">
        <f t="shared" si="46"/>
        <v>13</v>
      </c>
      <c r="F87" s="8">
        <f t="shared" si="46"/>
        <v>3</v>
      </c>
      <c r="G87" s="8">
        <f t="shared" si="46"/>
        <v>10</v>
      </c>
      <c r="H87" s="8">
        <f t="shared" si="46"/>
        <v>7</v>
      </c>
      <c r="I87" s="8">
        <f t="shared" si="46"/>
        <v>13</v>
      </c>
      <c r="J87" s="18">
        <v>1.0</v>
      </c>
      <c r="K87" s="8"/>
      <c r="L87" s="8"/>
      <c r="M87" s="8"/>
      <c r="N87" s="8"/>
      <c r="O87" s="8"/>
      <c r="P87" s="8"/>
      <c r="Q87" s="8"/>
      <c r="R87" s="8"/>
      <c r="S87" s="8"/>
    </row>
    <row r="88" ht="14.25" customHeight="1">
      <c r="A88" s="42">
        <f t="shared" si="26"/>
        <v>904</v>
      </c>
      <c r="B88" s="42" t="s">
        <v>4103</v>
      </c>
      <c r="C88" s="42">
        <v>2.0</v>
      </c>
      <c r="D88" s="8">
        <f t="shared" ref="D88:I88" si="47">ROUND(D68*0.8,0)</f>
        <v>195</v>
      </c>
      <c r="E88" s="8">
        <f t="shared" si="47"/>
        <v>20</v>
      </c>
      <c r="F88" s="8">
        <f t="shared" si="47"/>
        <v>5</v>
      </c>
      <c r="G88" s="8">
        <f t="shared" si="47"/>
        <v>14</v>
      </c>
      <c r="H88" s="8">
        <f t="shared" si="47"/>
        <v>11</v>
      </c>
      <c r="I88" s="8">
        <f t="shared" si="47"/>
        <v>20</v>
      </c>
      <c r="J88" s="18"/>
      <c r="K88" s="8"/>
      <c r="L88" s="8"/>
      <c r="M88" s="8"/>
      <c r="N88" s="8"/>
      <c r="O88" s="8"/>
      <c r="P88" s="8"/>
      <c r="Q88" s="8"/>
      <c r="R88" s="8"/>
      <c r="S88" s="8"/>
    </row>
    <row r="89" ht="14.25" customHeight="1">
      <c r="A89" s="42">
        <f t="shared" si="26"/>
        <v>904</v>
      </c>
      <c r="B89" s="42" t="s">
        <v>4106</v>
      </c>
      <c r="C89" s="42">
        <v>3.0</v>
      </c>
      <c r="D89" s="8">
        <f t="shared" ref="D89:I89" si="48">ROUND(D69*0.8,0)</f>
        <v>260</v>
      </c>
      <c r="E89" s="8">
        <f t="shared" si="48"/>
        <v>20</v>
      </c>
      <c r="F89" s="8">
        <f t="shared" si="48"/>
        <v>5</v>
      </c>
      <c r="G89" s="8">
        <f t="shared" si="48"/>
        <v>14</v>
      </c>
      <c r="H89" s="8">
        <f t="shared" si="48"/>
        <v>11</v>
      </c>
      <c r="I89" s="8">
        <f t="shared" si="48"/>
        <v>20</v>
      </c>
      <c r="J89" s="18">
        <v>1.0</v>
      </c>
      <c r="K89" s="8"/>
      <c r="L89" s="8"/>
      <c r="M89" s="8"/>
      <c r="N89" s="8"/>
      <c r="O89" s="8"/>
      <c r="P89" s="8"/>
      <c r="Q89" s="8"/>
      <c r="R89" s="8"/>
      <c r="S89" s="8"/>
    </row>
    <row r="90" ht="14.25" customHeight="1">
      <c r="A90" s="42">
        <f t="shared" si="26"/>
        <v>904</v>
      </c>
      <c r="B90" s="42" t="s">
        <v>4109</v>
      </c>
      <c r="C90" s="42">
        <v>4.0</v>
      </c>
      <c r="D90" s="8">
        <f t="shared" ref="D90:I90" si="49">ROUND(D70*0.8,0)</f>
        <v>325</v>
      </c>
      <c r="E90" s="8">
        <f t="shared" si="49"/>
        <v>33</v>
      </c>
      <c r="F90" s="8">
        <f t="shared" si="49"/>
        <v>8</v>
      </c>
      <c r="G90" s="8">
        <f t="shared" si="49"/>
        <v>23</v>
      </c>
      <c r="H90" s="8">
        <f t="shared" si="49"/>
        <v>18</v>
      </c>
      <c r="I90" s="8">
        <f t="shared" si="49"/>
        <v>33</v>
      </c>
      <c r="J90" s="18"/>
      <c r="K90" s="8"/>
      <c r="L90" s="8"/>
      <c r="M90" s="8"/>
      <c r="N90" s="8"/>
      <c r="O90" s="8"/>
      <c r="P90" s="8"/>
      <c r="Q90" s="8"/>
      <c r="R90" s="8"/>
      <c r="S90" s="8"/>
    </row>
    <row r="91" ht="14.25" customHeight="1">
      <c r="A91" s="42">
        <f t="shared" si="26"/>
        <v>904</v>
      </c>
      <c r="B91" s="42" t="s">
        <v>4112</v>
      </c>
      <c r="C91" s="42">
        <v>5.0</v>
      </c>
      <c r="D91" s="8">
        <f t="shared" ref="D91:I91" si="50">ROUND(D71*0.8,0)</f>
        <v>390</v>
      </c>
      <c r="E91" s="8">
        <f t="shared" si="50"/>
        <v>39</v>
      </c>
      <c r="F91" s="8">
        <f t="shared" si="50"/>
        <v>10</v>
      </c>
      <c r="G91" s="8">
        <f t="shared" si="50"/>
        <v>28</v>
      </c>
      <c r="H91" s="8">
        <f t="shared" si="50"/>
        <v>22</v>
      </c>
      <c r="I91" s="8">
        <f t="shared" si="50"/>
        <v>39</v>
      </c>
      <c r="J91" s="18">
        <v>1.0</v>
      </c>
      <c r="K91" s="8"/>
      <c r="L91" s="8"/>
      <c r="M91" s="8"/>
      <c r="N91" s="8"/>
      <c r="O91" s="8"/>
      <c r="P91" s="8"/>
      <c r="Q91" s="8"/>
      <c r="R91" s="8"/>
      <c r="S91" s="8"/>
    </row>
    <row r="92" ht="14.25" customHeight="1">
      <c r="A92" s="42">
        <f t="shared" si="26"/>
        <v>904</v>
      </c>
      <c r="B92" s="42" t="s">
        <v>4114</v>
      </c>
      <c r="C92" s="42">
        <v>6.0</v>
      </c>
      <c r="D92" s="8">
        <f t="shared" ref="D92:I92" si="51">ROUND(D72*0.8,0)</f>
        <v>455</v>
      </c>
      <c r="E92" s="8">
        <f t="shared" si="51"/>
        <v>46</v>
      </c>
      <c r="F92" s="8">
        <f t="shared" si="51"/>
        <v>11</v>
      </c>
      <c r="G92" s="8">
        <f t="shared" si="51"/>
        <v>33</v>
      </c>
      <c r="H92" s="8">
        <f t="shared" si="51"/>
        <v>26</v>
      </c>
      <c r="I92" s="8">
        <f t="shared" si="51"/>
        <v>46</v>
      </c>
      <c r="J92" s="18"/>
      <c r="K92" s="8">
        <v>0.05</v>
      </c>
      <c r="L92" s="8"/>
      <c r="M92" s="8">
        <v>0.05</v>
      </c>
      <c r="N92" s="8"/>
      <c r="O92" s="8"/>
      <c r="P92" s="8"/>
      <c r="Q92" s="8"/>
      <c r="R92" s="8"/>
      <c r="S92" s="8"/>
    </row>
    <row r="93" ht="14.25" customHeight="1">
      <c r="A93" s="42">
        <f t="shared" si="26"/>
        <v>904</v>
      </c>
      <c r="B93" s="42" t="s">
        <v>4117</v>
      </c>
      <c r="C93" s="42">
        <v>7.0</v>
      </c>
      <c r="D93" s="8">
        <f t="shared" ref="D93:I93" si="52">ROUND(D73*0.8,0)</f>
        <v>520</v>
      </c>
      <c r="E93" s="8">
        <f t="shared" si="52"/>
        <v>52</v>
      </c>
      <c r="F93" s="8">
        <f t="shared" si="52"/>
        <v>13</v>
      </c>
      <c r="G93" s="8">
        <f t="shared" si="52"/>
        <v>38</v>
      </c>
      <c r="H93" s="8">
        <f t="shared" si="52"/>
        <v>29</v>
      </c>
      <c r="I93" s="8">
        <f t="shared" si="52"/>
        <v>52</v>
      </c>
      <c r="J93" s="18">
        <v>1.0</v>
      </c>
      <c r="K93" s="8">
        <v>0.05</v>
      </c>
      <c r="L93" s="8"/>
      <c r="M93" s="8">
        <v>0.05</v>
      </c>
      <c r="N93" s="8"/>
      <c r="O93" s="8"/>
      <c r="P93" s="8"/>
      <c r="Q93" s="8"/>
      <c r="R93" s="8"/>
      <c r="S93" s="8"/>
    </row>
    <row r="94" ht="14.25" customHeight="1">
      <c r="A94" s="42">
        <f t="shared" si="26"/>
        <v>904</v>
      </c>
      <c r="B94" s="42" t="s">
        <v>4119</v>
      </c>
      <c r="C94" s="42">
        <v>8.0</v>
      </c>
      <c r="D94" s="8">
        <f t="shared" ref="D94:I94" si="53">ROUND(D74*0.8,0)</f>
        <v>585</v>
      </c>
      <c r="E94" s="8">
        <f t="shared" si="53"/>
        <v>58</v>
      </c>
      <c r="F94" s="8">
        <f t="shared" si="53"/>
        <v>14</v>
      </c>
      <c r="G94" s="8">
        <f t="shared" si="53"/>
        <v>42</v>
      </c>
      <c r="H94" s="8">
        <f t="shared" si="53"/>
        <v>33</v>
      </c>
      <c r="I94" s="8">
        <f t="shared" si="53"/>
        <v>58</v>
      </c>
      <c r="J94" s="18"/>
      <c r="K94" s="8">
        <v>0.05</v>
      </c>
      <c r="L94" s="8"/>
      <c r="M94" s="8">
        <v>0.05</v>
      </c>
      <c r="N94" s="8"/>
      <c r="O94" s="8"/>
      <c r="P94" s="8"/>
      <c r="Q94" s="8"/>
      <c r="R94" s="8"/>
      <c r="S94" s="8"/>
    </row>
    <row r="95" ht="14.25" customHeight="1">
      <c r="A95" s="42">
        <f t="shared" si="26"/>
        <v>904</v>
      </c>
      <c r="B95" s="42" t="s">
        <v>4122</v>
      </c>
      <c r="C95" s="42">
        <v>9.0</v>
      </c>
      <c r="D95" s="8">
        <f t="shared" ref="D95:I95" si="54">ROUND(D75*0.8,0)</f>
        <v>650</v>
      </c>
      <c r="E95" s="8">
        <f t="shared" si="54"/>
        <v>65</v>
      </c>
      <c r="F95" s="8">
        <f t="shared" si="54"/>
        <v>16</v>
      </c>
      <c r="G95" s="8">
        <f t="shared" si="54"/>
        <v>47</v>
      </c>
      <c r="H95" s="8">
        <f t="shared" si="54"/>
        <v>37</v>
      </c>
      <c r="I95" s="8">
        <f t="shared" si="54"/>
        <v>65</v>
      </c>
      <c r="J95" s="18">
        <v>1.0</v>
      </c>
      <c r="K95" s="8">
        <v>0.05</v>
      </c>
      <c r="L95" s="8"/>
      <c r="M95" s="8">
        <v>0.05</v>
      </c>
      <c r="N95" s="8"/>
      <c r="O95" s="8"/>
      <c r="P95" s="8"/>
      <c r="Q95" s="8"/>
      <c r="R95" s="8"/>
      <c r="S95" s="8"/>
    </row>
    <row r="96" ht="14.25" customHeight="1">
      <c r="A96" s="42">
        <f t="shared" si="26"/>
        <v>904</v>
      </c>
      <c r="B96" s="42" t="s">
        <v>4125</v>
      </c>
      <c r="C96" s="42">
        <v>10.0</v>
      </c>
      <c r="D96" s="8">
        <f t="shared" ref="D96:I96" si="55">ROUND(D76*0.8,0)</f>
        <v>780</v>
      </c>
      <c r="E96" s="8">
        <f t="shared" si="55"/>
        <v>78</v>
      </c>
      <c r="F96" s="8">
        <f t="shared" si="55"/>
        <v>18</v>
      </c>
      <c r="G96" s="8">
        <f t="shared" si="55"/>
        <v>56</v>
      </c>
      <c r="H96" s="8">
        <f t="shared" si="55"/>
        <v>44</v>
      </c>
      <c r="I96" s="8">
        <f t="shared" si="55"/>
        <v>78</v>
      </c>
      <c r="J96" s="18">
        <v>2.0</v>
      </c>
      <c r="K96" s="8">
        <v>0.05</v>
      </c>
      <c r="L96" s="8"/>
      <c r="M96" s="8">
        <v>0.05</v>
      </c>
      <c r="N96" s="8"/>
      <c r="O96" s="8"/>
      <c r="P96" s="8"/>
      <c r="Q96" s="8"/>
      <c r="R96" s="8"/>
      <c r="S96" s="8"/>
    </row>
    <row r="97" ht="14.25" customHeight="1">
      <c r="A97" s="42">
        <f t="shared" si="26"/>
        <v>905</v>
      </c>
      <c r="B97" s="42" t="s">
        <v>4133</v>
      </c>
      <c r="C97" s="42">
        <v>1.0</v>
      </c>
      <c r="D97" s="8">
        <f t="shared" ref="D97:I97" si="56">ROUND(D77*0.8,0)</f>
        <v>104</v>
      </c>
      <c r="E97" s="8">
        <f t="shared" si="56"/>
        <v>2</v>
      </c>
      <c r="F97" s="8">
        <f t="shared" si="56"/>
        <v>17</v>
      </c>
      <c r="G97" s="8">
        <f t="shared" si="56"/>
        <v>6</v>
      </c>
      <c r="H97" s="8">
        <f t="shared" si="56"/>
        <v>9</v>
      </c>
      <c r="I97" s="8">
        <f t="shared" si="56"/>
        <v>23</v>
      </c>
      <c r="J97" s="18">
        <v>1.0</v>
      </c>
      <c r="K97" s="8"/>
      <c r="L97" s="8"/>
      <c r="M97" s="8"/>
      <c r="N97" s="8"/>
      <c r="O97" s="8"/>
      <c r="P97" s="8"/>
      <c r="Q97" s="8"/>
      <c r="R97" s="8"/>
      <c r="S97" s="8"/>
    </row>
    <row r="98" ht="14.25" customHeight="1">
      <c r="A98" s="42">
        <f t="shared" si="26"/>
        <v>905</v>
      </c>
      <c r="B98" s="42" t="s">
        <v>4136</v>
      </c>
      <c r="C98" s="42">
        <v>2.0</v>
      </c>
      <c r="D98" s="8">
        <f t="shared" ref="D98:I98" si="57">ROUND(D78*0.8,0)</f>
        <v>156</v>
      </c>
      <c r="E98" s="8">
        <f t="shared" si="57"/>
        <v>3</v>
      </c>
      <c r="F98" s="8">
        <f t="shared" si="57"/>
        <v>25</v>
      </c>
      <c r="G98" s="8">
        <f t="shared" si="57"/>
        <v>8</v>
      </c>
      <c r="H98" s="8">
        <f t="shared" si="57"/>
        <v>14</v>
      </c>
      <c r="I98" s="8">
        <f t="shared" si="57"/>
        <v>34</v>
      </c>
      <c r="J98" s="18"/>
      <c r="K98" s="8"/>
      <c r="L98" s="8"/>
      <c r="M98" s="8"/>
      <c r="N98" s="8"/>
      <c r="O98" s="8"/>
      <c r="P98" s="8"/>
      <c r="Q98" s="8"/>
      <c r="R98" s="8"/>
      <c r="S98" s="8"/>
    </row>
    <row r="99" ht="14.25" customHeight="1">
      <c r="A99" s="42">
        <f t="shared" si="26"/>
        <v>905</v>
      </c>
      <c r="B99" s="42" t="s">
        <v>4141</v>
      </c>
      <c r="C99" s="42">
        <v>3.0</v>
      </c>
      <c r="D99" s="8">
        <f t="shared" ref="D99:I99" si="58">ROUND(D79*0.8,0)</f>
        <v>208</v>
      </c>
      <c r="E99" s="8">
        <f t="shared" si="58"/>
        <v>4</v>
      </c>
      <c r="F99" s="8">
        <f t="shared" si="58"/>
        <v>34</v>
      </c>
      <c r="G99" s="8">
        <f t="shared" si="58"/>
        <v>10</v>
      </c>
      <c r="H99" s="8">
        <f t="shared" si="58"/>
        <v>18</v>
      </c>
      <c r="I99" s="8">
        <f t="shared" si="58"/>
        <v>46</v>
      </c>
      <c r="J99" s="18">
        <v>1.0</v>
      </c>
      <c r="K99" s="8"/>
      <c r="L99" s="8"/>
      <c r="M99" s="8"/>
      <c r="N99" s="8"/>
      <c r="O99" s="8"/>
      <c r="P99" s="8"/>
      <c r="Q99" s="8"/>
      <c r="R99" s="8"/>
      <c r="S99" s="8"/>
    </row>
    <row r="100" ht="14.25" customHeight="1">
      <c r="A100" s="42">
        <f t="shared" si="26"/>
        <v>905</v>
      </c>
      <c r="B100" s="42" t="s">
        <v>4151</v>
      </c>
      <c r="C100" s="42">
        <v>4.0</v>
      </c>
      <c r="D100" s="8">
        <f t="shared" ref="D100:I100" si="59">ROUND(D80*0.8,0)</f>
        <v>260</v>
      </c>
      <c r="E100" s="8">
        <f t="shared" si="59"/>
        <v>6</v>
      </c>
      <c r="F100" s="8">
        <f t="shared" si="59"/>
        <v>42</v>
      </c>
      <c r="G100" s="8">
        <f t="shared" si="59"/>
        <v>13</v>
      </c>
      <c r="H100" s="8">
        <f t="shared" si="59"/>
        <v>22</v>
      </c>
      <c r="I100" s="8">
        <f t="shared" si="59"/>
        <v>58</v>
      </c>
      <c r="J100" s="18"/>
      <c r="K100" s="8"/>
      <c r="L100" s="8"/>
      <c r="M100" s="8"/>
      <c r="N100" s="8"/>
      <c r="O100" s="8"/>
      <c r="P100" s="8"/>
      <c r="Q100" s="8"/>
      <c r="R100" s="8"/>
      <c r="S100" s="8"/>
    </row>
    <row r="101" ht="14.25" customHeight="1">
      <c r="A101" s="42">
        <f t="shared" si="26"/>
        <v>905</v>
      </c>
      <c r="B101" s="42" t="s">
        <v>4158</v>
      </c>
      <c r="C101" s="42">
        <v>5.0</v>
      </c>
      <c r="D101" s="8">
        <f t="shared" ref="D101:I101" si="60">ROUND(D81*0.8,0)</f>
        <v>312</v>
      </c>
      <c r="E101" s="8">
        <f t="shared" si="60"/>
        <v>6</v>
      </c>
      <c r="F101" s="8">
        <f t="shared" si="60"/>
        <v>50</v>
      </c>
      <c r="G101" s="8">
        <f t="shared" si="60"/>
        <v>16</v>
      </c>
      <c r="H101" s="8">
        <f t="shared" si="60"/>
        <v>26</v>
      </c>
      <c r="I101" s="8">
        <f t="shared" si="60"/>
        <v>69</v>
      </c>
      <c r="J101" s="18">
        <v>1.0</v>
      </c>
      <c r="K101" s="8"/>
      <c r="L101" s="8"/>
      <c r="M101" s="8"/>
      <c r="N101" s="8"/>
      <c r="O101" s="8"/>
      <c r="P101" s="8"/>
      <c r="Q101" s="8"/>
      <c r="R101" s="8"/>
      <c r="S101" s="8"/>
    </row>
    <row r="102" ht="14.25" customHeight="1">
      <c r="A102" s="42">
        <f t="shared" si="26"/>
        <v>905</v>
      </c>
      <c r="B102" s="42" t="s">
        <v>4166</v>
      </c>
      <c r="C102" s="42">
        <v>6.0</v>
      </c>
      <c r="D102" s="8">
        <f t="shared" ref="D102:I102" si="61">ROUND(D82*0.8,0)</f>
        <v>364</v>
      </c>
      <c r="E102" s="8">
        <f t="shared" si="61"/>
        <v>7</v>
      </c>
      <c r="F102" s="8">
        <f t="shared" si="61"/>
        <v>58</v>
      </c>
      <c r="G102" s="8">
        <f t="shared" si="61"/>
        <v>18</v>
      </c>
      <c r="H102" s="8">
        <f t="shared" si="61"/>
        <v>31</v>
      </c>
      <c r="I102" s="8">
        <f t="shared" si="61"/>
        <v>80</v>
      </c>
      <c r="J102" s="18"/>
      <c r="K102" s="8">
        <v>0.05</v>
      </c>
      <c r="L102" s="8"/>
      <c r="M102" s="8">
        <v>0.05</v>
      </c>
      <c r="N102" s="8"/>
      <c r="O102" s="8"/>
      <c r="P102" s="8"/>
      <c r="Q102" s="8"/>
      <c r="R102" s="8"/>
      <c r="S102" s="8"/>
    </row>
    <row r="103" ht="14.25" customHeight="1">
      <c r="A103" s="42">
        <f t="shared" si="26"/>
        <v>905</v>
      </c>
      <c r="B103" s="42" t="s">
        <v>4172</v>
      </c>
      <c r="C103" s="42">
        <v>7.0</v>
      </c>
      <c r="D103" s="8">
        <f t="shared" ref="D103:I103" si="62">ROUND(D83*0.8,0)</f>
        <v>416</v>
      </c>
      <c r="E103" s="8">
        <f t="shared" si="62"/>
        <v>8</v>
      </c>
      <c r="F103" s="8">
        <f t="shared" si="62"/>
        <v>66</v>
      </c>
      <c r="G103" s="8">
        <f t="shared" si="62"/>
        <v>21</v>
      </c>
      <c r="H103" s="8">
        <f t="shared" si="62"/>
        <v>35</v>
      </c>
      <c r="I103" s="8">
        <f t="shared" si="62"/>
        <v>91</v>
      </c>
      <c r="J103" s="18">
        <v>1.0</v>
      </c>
      <c r="K103" s="8">
        <v>0.05</v>
      </c>
      <c r="L103" s="8"/>
      <c r="M103" s="8">
        <v>0.05</v>
      </c>
      <c r="N103" s="8"/>
      <c r="O103" s="8"/>
      <c r="P103" s="8"/>
      <c r="Q103" s="8"/>
      <c r="R103" s="8"/>
      <c r="S103" s="8"/>
    </row>
    <row r="104" ht="14.25" customHeight="1">
      <c r="A104" s="42">
        <f t="shared" si="26"/>
        <v>905</v>
      </c>
      <c r="B104" s="42" t="s">
        <v>4182</v>
      </c>
      <c r="C104" s="42">
        <v>8.0</v>
      </c>
      <c r="D104" s="8">
        <f t="shared" ref="D104:I104" si="63">ROUND(D84*0.8,0)</f>
        <v>468</v>
      </c>
      <c r="E104" s="8">
        <f t="shared" si="63"/>
        <v>10</v>
      </c>
      <c r="F104" s="8">
        <f t="shared" si="63"/>
        <v>75</v>
      </c>
      <c r="G104" s="8">
        <f t="shared" si="63"/>
        <v>23</v>
      </c>
      <c r="H104" s="8">
        <f t="shared" si="63"/>
        <v>40</v>
      </c>
      <c r="I104" s="8">
        <f t="shared" si="63"/>
        <v>103</v>
      </c>
      <c r="J104" s="18"/>
      <c r="K104" s="8">
        <v>0.05</v>
      </c>
      <c r="L104" s="8"/>
      <c r="M104" s="8">
        <v>0.05</v>
      </c>
      <c r="N104" s="8"/>
      <c r="O104" s="8"/>
      <c r="P104" s="8"/>
      <c r="Q104" s="8"/>
      <c r="R104" s="8"/>
      <c r="S104" s="8"/>
    </row>
    <row r="105" ht="14.25" customHeight="1">
      <c r="A105" s="42">
        <f t="shared" si="26"/>
        <v>905</v>
      </c>
      <c r="B105" s="42" t="s">
        <v>4192</v>
      </c>
      <c r="C105" s="42">
        <v>9.0</v>
      </c>
      <c r="D105" s="8">
        <f t="shared" ref="D105:I105" si="64">ROUND(D85*0.8,0)</f>
        <v>520</v>
      </c>
      <c r="E105" s="8">
        <f t="shared" si="64"/>
        <v>10</v>
      </c>
      <c r="F105" s="8">
        <f t="shared" si="64"/>
        <v>83</v>
      </c>
      <c r="G105" s="8">
        <f t="shared" si="64"/>
        <v>26</v>
      </c>
      <c r="H105" s="8">
        <f t="shared" si="64"/>
        <v>44</v>
      </c>
      <c r="I105" s="8">
        <f t="shared" si="64"/>
        <v>114</v>
      </c>
      <c r="J105" s="18">
        <v>1.0</v>
      </c>
      <c r="K105" s="8">
        <v>0.05</v>
      </c>
      <c r="L105" s="8"/>
      <c r="M105" s="8">
        <v>0.05</v>
      </c>
      <c r="N105" s="8"/>
      <c r="O105" s="8"/>
      <c r="P105" s="8"/>
      <c r="Q105" s="8"/>
      <c r="R105" s="8"/>
      <c r="S105" s="8"/>
    </row>
    <row r="106" ht="14.25" customHeight="1">
      <c r="A106" s="42">
        <f t="shared" si="26"/>
        <v>905</v>
      </c>
      <c r="B106" s="42" t="s">
        <v>4196</v>
      </c>
      <c r="C106" s="42">
        <v>10.0</v>
      </c>
      <c r="D106" s="8">
        <f t="shared" ref="D106:I106" si="65">ROUND(D86*0.8,0)</f>
        <v>624</v>
      </c>
      <c r="E106" s="8">
        <f t="shared" si="65"/>
        <v>13</v>
      </c>
      <c r="F106" s="8">
        <f t="shared" si="65"/>
        <v>100</v>
      </c>
      <c r="G106" s="8">
        <f t="shared" si="65"/>
        <v>31</v>
      </c>
      <c r="H106" s="8">
        <f t="shared" si="65"/>
        <v>53</v>
      </c>
      <c r="I106" s="8">
        <f t="shared" si="65"/>
        <v>138</v>
      </c>
      <c r="J106" s="18">
        <v>2.0</v>
      </c>
      <c r="K106" s="8">
        <v>0.05</v>
      </c>
      <c r="L106" s="8"/>
      <c r="M106" s="8">
        <v>0.05</v>
      </c>
      <c r="N106" s="8"/>
      <c r="O106" s="8"/>
      <c r="P106" s="8"/>
      <c r="Q106" s="8"/>
      <c r="R106" s="8"/>
      <c r="S106" s="8"/>
    </row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4.25" customHeight="1">
      <c r="A1" s="1"/>
    </row>
    <row r="2" ht="12.75" customHeight="1"/>
    <row r="3" ht="14.25" customHeight="1">
      <c r="A3" s="40" t="s">
        <v>3083</v>
      </c>
      <c r="B3" s="40" t="s">
        <v>946</v>
      </c>
      <c r="C3" s="40" t="s">
        <v>207</v>
      </c>
      <c r="D3" s="40" t="s">
        <v>4126</v>
      </c>
      <c r="E3" s="40" t="s">
        <v>4128</v>
      </c>
      <c r="F3" s="40" t="s">
        <v>4129</v>
      </c>
      <c r="G3" s="40" t="s">
        <v>4130</v>
      </c>
      <c r="H3" s="40" t="s">
        <v>4131</v>
      </c>
    </row>
    <row r="4" ht="16.5" customHeight="1">
      <c r="A4" s="42">
        <v>700.0</v>
      </c>
      <c r="B4" s="17" t="s">
        <v>3905</v>
      </c>
      <c r="C4" s="42">
        <v>1.0</v>
      </c>
      <c r="D4" s="42">
        <v>2000.0</v>
      </c>
      <c r="E4" s="46">
        <v>1.0</v>
      </c>
      <c r="F4" s="42">
        <v>1000.0</v>
      </c>
      <c r="G4" s="42">
        <v>4000.0</v>
      </c>
      <c r="H4" s="42">
        <v>1.0</v>
      </c>
    </row>
    <row r="5" ht="16.5" customHeight="1">
      <c r="A5" s="42">
        <v>700.0</v>
      </c>
      <c r="B5" s="17" t="s">
        <v>3907</v>
      </c>
      <c r="C5" s="42">
        <v>2.0</v>
      </c>
      <c r="D5" s="42">
        <v>2000.0</v>
      </c>
      <c r="E5" s="46">
        <v>2.0</v>
      </c>
      <c r="F5" s="42">
        <v>1000.0</v>
      </c>
      <c r="G5" s="42">
        <f t="shared" ref="G5:G13" si="1">G4+500</f>
        <v>4500</v>
      </c>
      <c r="H5" s="42">
        <v>1.0</v>
      </c>
    </row>
    <row r="6" ht="16.5" customHeight="1">
      <c r="A6" s="42">
        <v>700.0</v>
      </c>
      <c r="B6" s="17" t="s">
        <v>3910</v>
      </c>
      <c r="C6" s="42">
        <v>3.0</v>
      </c>
      <c r="D6" s="42">
        <v>2000.0</v>
      </c>
      <c r="E6" s="46">
        <v>3.0</v>
      </c>
      <c r="F6" s="42">
        <v>1000.0</v>
      </c>
      <c r="G6" s="42">
        <f t="shared" si="1"/>
        <v>5000</v>
      </c>
      <c r="H6" s="42">
        <v>1.0</v>
      </c>
    </row>
    <row r="7" ht="16.5" customHeight="1">
      <c r="A7" s="42">
        <v>700.0</v>
      </c>
      <c r="B7" s="17" t="s">
        <v>3911</v>
      </c>
      <c r="C7" s="42">
        <v>4.0</v>
      </c>
      <c r="D7" s="42">
        <v>2000.0</v>
      </c>
      <c r="E7" s="46">
        <v>6.0</v>
      </c>
      <c r="F7" s="42">
        <v>1000.0</v>
      </c>
      <c r="G7" s="42">
        <f t="shared" si="1"/>
        <v>5500</v>
      </c>
      <c r="H7" s="42">
        <v>1.0</v>
      </c>
    </row>
    <row r="8" ht="16.5" customHeight="1">
      <c r="A8" s="42">
        <v>700.0</v>
      </c>
      <c r="B8" s="17" t="s">
        <v>3913</v>
      </c>
      <c r="C8" s="42">
        <v>5.0</v>
      </c>
      <c r="D8" s="42">
        <v>2000.0</v>
      </c>
      <c r="E8" s="46">
        <v>10.0</v>
      </c>
      <c r="F8" s="42">
        <v>1000.0</v>
      </c>
      <c r="G8" s="42">
        <f t="shared" si="1"/>
        <v>6000</v>
      </c>
      <c r="H8" s="42">
        <v>0.9</v>
      </c>
    </row>
    <row r="9" ht="16.5" customHeight="1">
      <c r="A9" s="42">
        <v>700.0</v>
      </c>
      <c r="B9" s="17" t="s">
        <v>3915</v>
      </c>
      <c r="C9" s="42">
        <v>6.0</v>
      </c>
      <c r="D9" s="42">
        <v>2000.0</v>
      </c>
      <c r="E9" s="46">
        <v>12.0</v>
      </c>
      <c r="F9" s="42">
        <v>1000.0</v>
      </c>
      <c r="G9" s="42">
        <f t="shared" si="1"/>
        <v>6500</v>
      </c>
      <c r="H9" s="42">
        <v>0.7</v>
      </c>
    </row>
    <row r="10" ht="16.5" customHeight="1">
      <c r="A10" s="42">
        <v>700.0</v>
      </c>
      <c r="B10" s="17" t="s">
        <v>3917</v>
      </c>
      <c r="C10" s="42">
        <v>7.0</v>
      </c>
      <c r="D10" s="42">
        <v>2000.0</v>
      </c>
      <c r="E10" s="46">
        <v>15.0</v>
      </c>
      <c r="F10" s="42">
        <v>1000.0</v>
      </c>
      <c r="G10" s="42">
        <f t="shared" si="1"/>
        <v>7000</v>
      </c>
      <c r="H10" s="42">
        <v>0.5</v>
      </c>
    </row>
    <row r="11" ht="16.5" customHeight="1">
      <c r="A11" s="42">
        <v>700.0</v>
      </c>
      <c r="B11" s="17" t="s">
        <v>3920</v>
      </c>
      <c r="C11" s="42">
        <v>8.0</v>
      </c>
      <c r="D11" s="42">
        <v>2000.0</v>
      </c>
      <c r="E11" s="46">
        <v>20.0</v>
      </c>
      <c r="F11" s="42">
        <v>1000.0</v>
      </c>
      <c r="G11" s="42">
        <f t="shared" si="1"/>
        <v>7500</v>
      </c>
      <c r="H11" s="42">
        <v>0.45</v>
      </c>
    </row>
    <row r="12" ht="16.5" customHeight="1">
      <c r="A12" s="42">
        <v>700.0</v>
      </c>
      <c r="B12" s="17" t="s">
        <v>3923</v>
      </c>
      <c r="C12" s="42">
        <v>9.0</v>
      </c>
      <c r="D12" s="42">
        <v>2000.0</v>
      </c>
      <c r="E12" s="46">
        <v>25.0</v>
      </c>
      <c r="F12" s="42">
        <v>1000.0</v>
      </c>
      <c r="G12" s="42">
        <f t="shared" si="1"/>
        <v>8000</v>
      </c>
      <c r="H12" s="42">
        <v>0.35</v>
      </c>
    </row>
    <row r="13" ht="16.5" customHeight="1">
      <c r="A13" s="42">
        <v>700.0</v>
      </c>
      <c r="B13" s="17" t="s">
        <v>3924</v>
      </c>
      <c r="C13" s="42">
        <v>10.0</v>
      </c>
      <c r="D13" s="42">
        <v>2000.0</v>
      </c>
      <c r="E13" s="46">
        <v>40.0</v>
      </c>
      <c r="F13" s="42">
        <v>1000.0</v>
      </c>
      <c r="G13" s="42">
        <f t="shared" si="1"/>
        <v>8500</v>
      </c>
      <c r="H13" s="42">
        <v>0.3</v>
      </c>
    </row>
    <row r="14" ht="16.5" customHeight="1">
      <c r="A14" s="42">
        <v>701.0</v>
      </c>
      <c r="B14" s="17" t="s">
        <v>3926</v>
      </c>
      <c r="C14" s="42">
        <v>1.0</v>
      </c>
      <c r="D14" s="42">
        <v>2003.0</v>
      </c>
      <c r="E14" s="46">
        <v>1.0</v>
      </c>
      <c r="F14" s="42">
        <v>1000.0</v>
      </c>
      <c r="G14" s="42">
        <v>5000.0</v>
      </c>
      <c r="H14" s="42">
        <v>1.0</v>
      </c>
    </row>
    <row r="15" ht="16.5" customHeight="1">
      <c r="A15" s="42">
        <v>701.0</v>
      </c>
      <c r="B15" s="17" t="s">
        <v>3928</v>
      </c>
      <c r="C15" s="42">
        <v>2.0</v>
      </c>
      <c r="D15" s="42">
        <v>2003.0</v>
      </c>
      <c r="E15" s="46">
        <v>2.0</v>
      </c>
      <c r="F15" s="42">
        <v>1000.0</v>
      </c>
      <c r="G15" s="42">
        <f t="shared" ref="G15:G23" si="2">G14+500</f>
        <v>5500</v>
      </c>
      <c r="H15" s="42">
        <v>1.0</v>
      </c>
    </row>
    <row r="16" ht="16.5" customHeight="1">
      <c r="A16" s="42">
        <v>701.0</v>
      </c>
      <c r="B16" s="17" t="s">
        <v>3929</v>
      </c>
      <c r="C16" s="42">
        <v>3.0</v>
      </c>
      <c r="D16" s="42">
        <v>2003.0</v>
      </c>
      <c r="E16" s="46">
        <v>3.0</v>
      </c>
      <c r="F16" s="42">
        <v>1000.0</v>
      </c>
      <c r="G16" s="42">
        <f t="shared" si="2"/>
        <v>6000</v>
      </c>
      <c r="H16" s="42">
        <v>1.0</v>
      </c>
    </row>
    <row r="17" ht="16.5" customHeight="1">
      <c r="A17" s="42">
        <v>701.0</v>
      </c>
      <c r="B17" s="17" t="s">
        <v>3931</v>
      </c>
      <c r="C17" s="42">
        <v>4.0</v>
      </c>
      <c r="D17" s="42">
        <v>2003.0</v>
      </c>
      <c r="E17" s="46">
        <v>6.0</v>
      </c>
      <c r="F17" s="42">
        <v>1000.0</v>
      </c>
      <c r="G17" s="42">
        <f t="shared" si="2"/>
        <v>6500</v>
      </c>
      <c r="H17" s="42">
        <v>1.0</v>
      </c>
    </row>
    <row r="18" ht="16.5" customHeight="1">
      <c r="A18" s="42">
        <v>701.0</v>
      </c>
      <c r="B18" s="17" t="s">
        <v>3934</v>
      </c>
      <c r="C18" s="42">
        <v>5.0</v>
      </c>
      <c r="D18" s="42">
        <v>2003.0</v>
      </c>
      <c r="E18" s="46">
        <v>10.0</v>
      </c>
      <c r="F18" s="42">
        <v>1000.0</v>
      </c>
      <c r="G18" s="42">
        <f t="shared" si="2"/>
        <v>7000</v>
      </c>
      <c r="H18" s="42">
        <v>0.9</v>
      </c>
    </row>
    <row r="19" ht="16.5" customHeight="1">
      <c r="A19" s="42">
        <v>701.0</v>
      </c>
      <c r="B19" s="17" t="s">
        <v>3936</v>
      </c>
      <c r="C19" s="42">
        <v>6.0</v>
      </c>
      <c r="D19" s="42">
        <v>2003.0</v>
      </c>
      <c r="E19" s="46">
        <v>12.0</v>
      </c>
      <c r="F19" s="42">
        <v>1000.0</v>
      </c>
      <c r="G19" s="42">
        <f t="shared" si="2"/>
        <v>7500</v>
      </c>
      <c r="H19" s="42">
        <v>0.7</v>
      </c>
    </row>
    <row r="20" ht="16.5" customHeight="1">
      <c r="A20" s="42">
        <v>701.0</v>
      </c>
      <c r="B20" s="17" t="s">
        <v>3938</v>
      </c>
      <c r="C20" s="42">
        <v>7.0</v>
      </c>
      <c r="D20" s="42">
        <v>2003.0</v>
      </c>
      <c r="E20" s="46">
        <v>15.0</v>
      </c>
      <c r="F20" s="42">
        <v>1000.0</v>
      </c>
      <c r="G20" s="42">
        <f t="shared" si="2"/>
        <v>8000</v>
      </c>
      <c r="H20" s="42">
        <v>0.5</v>
      </c>
    </row>
    <row r="21" ht="16.5" customHeight="1">
      <c r="A21" s="42">
        <v>701.0</v>
      </c>
      <c r="B21" s="17" t="s">
        <v>3941</v>
      </c>
      <c r="C21" s="42">
        <v>8.0</v>
      </c>
      <c r="D21" s="42">
        <v>2003.0</v>
      </c>
      <c r="E21" s="46">
        <v>20.0</v>
      </c>
      <c r="F21" s="42">
        <v>1000.0</v>
      </c>
      <c r="G21" s="42">
        <f t="shared" si="2"/>
        <v>8500</v>
      </c>
      <c r="H21" s="42">
        <v>0.45</v>
      </c>
    </row>
    <row r="22" ht="16.5" customHeight="1">
      <c r="A22" s="42">
        <v>701.0</v>
      </c>
      <c r="B22" s="17" t="s">
        <v>3942</v>
      </c>
      <c r="C22" s="42">
        <v>9.0</v>
      </c>
      <c r="D22" s="42">
        <v>2003.0</v>
      </c>
      <c r="E22" s="46">
        <v>25.0</v>
      </c>
      <c r="F22" s="42">
        <v>1000.0</v>
      </c>
      <c r="G22" s="42">
        <f t="shared" si="2"/>
        <v>9000</v>
      </c>
      <c r="H22" s="42">
        <v>0.35</v>
      </c>
    </row>
    <row r="23" ht="16.5" customHeight="1">
      <c r="A23" s="42">
        <v>701.0</v>
      </c>
      <c r="B23" s="17" t="s">
        <v>3944</v>
      </c>
      <c r="C23" s="42">
        <v>10.0</v>
      </c>
      <c r="D23" s="42">
        <v>2003.0</v>
      </c>
      <c r="E23" s="46">
        <v>40.0</v>
      </c>
      <c r="F23" s="42">
        <v>1000.0</v>
      </c>
      <c r="G23" s="42">
        <f t="shared" si="2"/>
        <v>9500</v>
      </c>
      <c r="H23" s="42">
        <v>0.3</v>
      </c>
    </row>
    <row r="24" ht="16.5" customHeight="1">
      <c r="A24" s="42">
        <v>702.0</v>
      </c>
      <c r="B24" s="17" t="s">
        <v>3947</v>
      </c>
      <c r="C24" s="42">
        <v>1.0</v>
      </c>
      <c r="D24" s="42">
        <v>2004.0</v>
      </c>
      <c r="E24" s="46">
        <v>1.0</v>
      </c>
      <c r="F24" s="42">
        <v>1000.0</v>
      </c>
      <c r="G24" s="42">
        <v>6000.0</v>
      </c>
      <c r="H24" s="42">
        <v>1.0</v>
      </c>
    </row>
    <row r="25" ht="16.5" customHeight="1">
      <c r="A25" s="42">
        <v>702.0</v>
      </c>
      <c r="B25" s="17" t="s">
        <v>3947</v>
      </c>
      <c r="C25" s="42">
        <v>2.0</v>
      </c>
      <c r="D25" s="42">
        <v>2004.0</v>
      </c>
      <c r="E25" s="46">
        <v>2.0</v>
      </c>
      <c r="F25" s="42">
        <v>1000.0</v>
      </c>
      <c r="G25" s="42">
        <f t="shared" ref="G25:G33" si="3">G24+500</f>
        <v>6500</v>
      </c>
      <c r="H25" s="42">
        <v>1.0</v>
      </c>
    </row>
    <row r="26" ht="16.5" customHeight="1">
      <c r="A26" s="42">
        <v>702.0</v>
      </c>
      <c r="B26" s="17" t="s">
        <v>3947</v>
      </c>
      <c r="C26" s="42">
        <v>3.0</v>
      </c>
      <c r="D26" s="42">
        <v>2004.0</v>
      </c>
      <c r="E26" s="46">
        <v>3.0</v>
      </c>
      <c r="F26" s="42">
        <v>1000.0</v>
      </c>
      <c r="G26" s="42">
        <f t="shared" si="3"/>
        <v>7000</v>
      </c>
      <c r="H26" s="42">
        <v>1.0</v>
      </c>
    </row>
    <row r="27" ht="16.5" customHeight="1">
      <c r="A27" s="42">
        <v>702.0</v>
      </c>
      <c r="B27" s="17" t="s">
        <v>3947</v>
      </c>
      <c r="C27" s="42">
        <v>4.0</v>
      </c>
      <c r="D27" s="42">
        <v>2004.0</v>
      </c>
      <c r="E27" s="46">
        <v>6.0</v>
      </c>
      <c r="F27" s="42">
        <v>1000.0</v>
      </c>
      <c r="G27" s="42">
        <f t="shared" si="3"/>
        <v>7500</v>
      </c>
      <c r="H27" s="42">
        <v>1.0</v>
      </c>
    </row>
    <row r="28" ht="16.5" customHeight="1">
      <c r="A28" s="42">
        <v>702.0</v>
      </c>
      <c r="B28" s="17" t="s">
        <v>3947</v>
      </c>
      <c r="C28" s="42">
        <v>5.0</v>
      </c>
      <c r="D28" s="42">
        <v>2004.0</v>
      </c>
      <c r="E28" s="46">
        <v>10.0</v>
      </c>
      <c r="F28" s="42">
        <v>1000.0</v>
      </c>
      <c r="G28" s="42">
        <f t="shared" si="3"/>
        <v>8000</v>
      </c>
      <c r="H28" s="42">
        <v>0.9</v>
      </c>
    </row>
    <row r="29" ht="16.5" customHeight="1">
      <c r="A29" s="42">
        <v>702.0</v>
      </c>
      <c r="B29" s="17" t="s">
        <v>3947</v>
      </c>
      <c r="C29" s="42">
        <v>6.0</v>
      </c>
      <c r="D29" s="42">
        <v>2004.0</v>
      </c>
      <c r="E29" s="46">
        <v>12.0</v>
      </c>
      <c r="F29" s="42">
        <v>1000.0</v>
      </c>
      <c r="G29" s="42">
        <f t="shared" si="3"/>
        <v>8500</v>
      </c>
      <c r="H29" s="42">
        <v>0.7</v>
      </c>
    </row>
    <row r="30" ht="16.5" customHeight="1">
      <c r="A30" s="42">
        <v>702.0</v>
      </c>
      <c r="B30" s="17" t="s">
        <v>3947</v>
      </c>
      <c r="C30" s="42">
        <v>7.0</v>
      </c>
      <c r="D30" s="42">
        <v>2004.0</v>
      </c>
      <c r="E30" s="46">
        <v>15.0</v>
      </c>
      <c r="F30" s="42">
        <v>1000.0</v>
      </c>
      <c r="G30" s="42">
        <f t="shared" si="3"/>
        <v>9000</v>
      </c>
      <c r="H30" s="42">
        <v>0.5</v>
      </c>
    </row>
    <row r="31" ht="16.5" customHeight="1">
      <c r="A31" s="42">
        <v>702.0</v>
      </c>
      <c r="B31" s="17" t="s">
        <v>3947</v>
      </c>
      <c r="C31" s="42">
        <v>8.0</v>
      </c>
      <c r="D31" s="42">
        <v>2004.0</v>
      </c>
      <c r="E31" s="46">
        <v>20.0</v>
      </c>
      <c r="F31" s="42">
        <v>1000.0</v>
      </c>
      <c r="G31" s="42">
        <f t="shared" si="3"/>
        <v>9500</v>
      </c>
      <c r="H31" s="42">
        <v>0.45</v>
      </c>
    </row>
    <row r="32" ht="16.5" customHeight="1">
      <c r="A32" s="42">
        <v>702.0</v>
      </c>
      <c r="B32" s="17" t="s">
        <v>3947</v>
      </c>
      <c r="C32" s="42">
        <v>9.0</v>
      </c>
      <c r="D32" s="42">
        <v>2004.0</v>
      </c>
      <c r="E32" s="46">
        <v>25.0</v>
      </c>
      <c r="F32" s="42">
        <v>1000.0</v>
      </c>
      <c r="G32" s="42">
        <f t="shared" si="3"/>
        <v>10000</v>
      </c>
      <c r="H32" s="42">
        <v>0.35</v>
      </c>
    </row>
    <row r="33" ht="16.5" customHeight="1">
      <c r="A33" s="42">
        <v>702.0</v>
      </c>
      <c r="B33" s="17" t="s">
        <v>3947</v>
      </c>
      <c r="C33" s="42">
        <v>10.0</v>
      </c>
      <c r="D33" s="42">
        <v>2004.0</v>
      </c>
      <c r="E33" s="46">
        <v>40.0</v>
      </c>
      <c r="F33" s="42">
        <v>1000.0</v>
      </c>
      <c r="G33" s="42">
        <f t="shared" si="3"/>
        <v>10500</v>
      </c>
      <c r="H33" s="42">
        <v>0.3</v>
      </c>
    </row>
    <row r="34" ht="12.75" customHeight="1"/>
    <row r="35" ht="14.25" customHeight="1">
      <c r="A35" s="40" t="s">
        <v>3083</v>
      </c>
      <c r="B35" s="40" t="s">
        <v>946</v>
      </c>
      <c r="C35" s="40" t="s">
        <v>207</v>
      </c>
      <c r="D35" s="40" t="s">
        <v>4126</v>
      </c>
      <c r="E35" s="40" t="s">
        <v>4128</v>
      </c>
      <c r="F35" s="40" t="s">
        <v>4129</v>
      </c>
      <c r="G35" s="40" t="s">
        <v>4130</v>
      </c>
      <c r="H35" s="40" t="s">
        <v>4131</v>
      </c>
    </row>
    <row r="36" ht="16.5" customHeight="1">
      <c r="A36" s="42">
        <v>800.0</v>
      </c>
      <c r="B36" s="17" t="s">
        <v>3961</v>
      </c>
      <c r="C36" s="42">
        <v>1.0</v>
      </c>
      <c r="D36" s="42">
        <v>2001.0</v>
      </c>
      <c r="E36" s="46">
        <v>1.0</v>
      </c>
      <c r="F36" s="42">
        <v>1000.0</v>
      </c>
      <c r="G36" s="42">
        <v>2000.0</v>
      </c>
      <c r="H36" s="42">
        <v>1.0</v>
      </c>
    </row>
    <row r="37" ht="16.5" customHeight="1">
      <c r="A37" s="42">
        <v>800.0</v>
      </c>
      <c r="B37" s="17" t="s">
        <v>3962</v>
      </c>
      <c r="C37" s="42">
        <v>2.0</v>
      </c>
      <c r="D37" s="42">
        <v>2001.0</v>
      </c>
      <c r="E37" s="46">
        <v>2.0</v>
      </c>
      <c r="F37" s="42">
        <v>1000.0</v>
      </c>
      <c r="G37" s="42">
        <f t="shared" ref="G37:G45" si="4">G36+200</f>
        <v>2200</v>
      </c>
      <c r="H37" s="42">
        <v>1.0</v>
      </c>
    </row>
    <row r="38" ht="16.5" customHeight="1">
      <c r="A38" s="42">
        <v>800.0</v>
      </c>
      <c r="B38" s="17" t="s">
        <v>3964</v>
      </c>
      <c r="C38" s="42">
        <v>3.0</v>
      </c>
      <c r="D38" s="42">
        <v>2001.0</v>
      </c>
      <c r="E38" s="46">
        <v>3.0</v>
      </c>
      <c r="F38" s="42">
        <v>1000.0</v>
      </c>
      <c r="G38" s="42">
        <f t="shared" si="4"/>
        <v>2400</v>
      </c>
      <c r="H38" s="42">
        <v>1.0</v>
      </c>
    </row>
    <row r="39" ht="16.5" customHeight="1">
      <c r="A39" s="42">
        <v>800.0</v>
      </c>
      <c r="B39" s="17" t="s">
        <v>3966</v>
      </c>
      <c r="C39" s="42">
        <v>4.0</v>
      </c>
      <c r="D39" s="42">
        <v>2001.0</v>
      </c>
      <c r="E39" s="46">
        <v>6.0</v>
      </c>
      <c r="F39" s="42">
        <v>1000.0</v>
      </c>
      <c r="G39" s="42">
        <f t="shared" si="4"/>
        <v>2600</v>
      </c>
      <c r="H39" s="42">
        <v>1.0</v>
      </c>
    </row>
    <row r="40" ht="16.5" customHeight="1">
      <c r="A40" s="42">
        <v>800.0</v>
      </c>
      <c r="B40" s="17" t="s">
        <v>3967</v>
      </c>
      <c r="C40" s="42">
        <v>5.0</v>
      </c>
      <c r="D40" s="42">
        <v>2001.0</v>
      </c>
      <c r="E40" s="46">
        <v>10.0</v>
      </c>
      <c r="F40" s="42">
        <v>1000.0</v>
      </c>
      <c r="G40" s="42">
        <f t="shared" si="4"/>
        <v>2800</v>
      </c>
      <c r="H40" s="42">
        <v>1.0</v>
      </c>
    </row>
    <row r="41" ht="16.5" customHeight="1">
      <c r="A41" s="42">
        <v>800.0</v>
      </c>
      <c r="B41" s="17" t="s">
        <v>3968</v>
      </c>
      <c r="C41" s="42">
        <v>6.0</v>
      </c>
      <c r="D41" s="42">
        <v>2001.0</v>
      </c>
      <c r="E41" s="46">
        <v>12.0</v>
      </c>
      <c r="F41" s="42">
        <v>1000.0</v>
      </c>
      <c r="G41" s="42">
        <f t="shared" si="4"/>
        <v>3000</v>
      </c>
      <c r="H41" s="42">
        <v>1.0</v>
      </c>
    </row>
    <row r="42" ht="16.5" customHeight="1">
      <c r="A42" s="42">
        <v>800.0</v>
      </c>
      <c r="B42" s="17" t="s">
        <v>3970</v>
      </c>
      <c r="C42" s="42">
        <v>7.0</v>
      </c>
      <c r="D42" s="42">
        <v>2001.0</v>
      </c>
      <c r="E42" s="46">
        <v>15.0</v>
      </c>
      <c r="F42" s="42">
        <v>1000.0</v>
      </c>
      <c r="G42" s="42">
        <f t="shared" si="4"/>
        <v>3200</v>
      </c>
      <c r="H42" s="42">
        <v>1.0</v>
      </c>
    </row>
    <row r="43" ht="16.5" customHeight="1">
      <c r="A43" s="42">
        <v>800.0</v>
      </c>
      <c r="B43" s="17" t="s">
        <v>3972</v>
      </c>
      <c r="C43" s="42">
        <v>8.0</v>
      </c>
      <c r="D43" s="42">
        <v>2001.0</v>
      </c>
      <c r="E43" s="46">
        <v>20.0</v>
      </c>
      <c r="F43" s="42">
        <v>1000.0</v>
      </c>
      <c r="G43" s="42">
        <f t="shared" si="4"/>
        <v>3400</v>
      </c>
      <c r="H43" s="42">
        <v>0.9</v>
      </c>
    </row>
    <row r="44" ht="16.5" customHeight="1">
      <c r="A44" s="42">
        <v>800.0</v>
      </c>
      <c r="B44" s="17" t="s">
        <v>3974</v>
      </c>
      <c r="C44" s="42">
        <v>9.0</v>
      </c>
      <c r="D44" s="42">
        <v>2001.0</v>
      </c>
      <c r="E44" s="46">
        <v>25.0</v>
      </c>
      <c r="F44" s="42">
        <v>1000.0</v>
      </c>
      <c r="G44" s="42">
        <f t="shared" si="4"/>
        <v>3600</v>
      </c>
      <c r="H44" s="42">
        <v>0.7</v>
      </c>
    </row>
    <row r="45" ht="16.5" customHeight="1">
      <c r="A45" s="42">
        <v>800.0</v>
      </c>
      <c r="B45" s="17" t="s">
        <v>3975</v>
      </c>
      <c r="C45" s="42">
        <v>10.0</v>
      </c>
      <c r="D45" s="42">
        <v>2001.0</v>
      </c>
      <c r="E45" s="46">
        <v>40.0</v>
      </c>
      <c r="F45" s="42">
        <v>1000.0</v>
      </c>
      <c r="G45" s="42">
        <f t="shared" si="4"/>
        <v>3800</v>
      </c>
      <c r="H45" s="42">
        <v>0.5</v>
      </c>
    </row>
    <row r="46" ht="14.25" customHeight="1">
      <c r="K46" s="2" t="s">
        <v>4200</v>
      </c>
    </row>
    <row r="47" ht="14.25" customHeight="1">
      <c r="K47" s="1" t="s">
        <v>4201</v>
      </c>
    </row>
    <row r="48" ht="14.25" customHeight="1">
      <c r="A48" s="40" t="s">
        <v>3083</v>
      </c>
      <c r="B48" s="40" t="s">
        <v>946</v>
      </c>
      <c r="C48" s="40" t="s">
        <v>207</v>
      </c>
      <c r="D48" s="40" t="s">
        <v>4126</v>
      </c>
      <c r="E48" s="40" t="s">
        <v>4128</v>
      </c>
      <c r="F48" s="40" t="s">
        <v>4129</v>
      </c>
      <c r="G48" s="40" t="s">
        <v>4130</v>
      </c>
      <c r="H48" s="40" t="s">
        <v>4131</v>
      </c>
    </row>
    <row r="49" ht="16.5" customHeight="1">
      <c r="A49" s="42">
        <v>900.0</v>
      </c>
      <c r="B49" s="17" t="s">
        <v>4202</v>
      </c>
      <c r="C49" s="42">
        <v>1.0</v>
      </c>
      <c r="D49" s="42">
        <v>-1.0</v>
      </c>
      <c r="E49" s="46">
        <v>20.0</v>
      </c>
      <c r="F49" s="42"/>
      <c r="G49" s="42"/>
      <c r="H49" s="42">
        <v>1.0</v>
      </c>
    </row>
    <row r="50" ht="16.5" customHeight="1">
      <c r="A50" s="42">
        <v>900.0</v>
      </c>
      <c r="B50" s="17" t="s">
        <v>4204</v>
      </c>
      <c r="C50" s="42">
        <v>2.0</v>
      </c>
      <c r="D50" s="42">
        <v>-1.0</v>
      </c>
      <c r="E50" s="46">
        <v>30.0</v>
      </c>
      <c r="F50" s="42"/>
      <c r="G50" s="42"/>
      <c r="H50" s="42">
        <v>1.0</v>
      </c>
    </row>
    <row r="51" ht="16.5" customHeight="1">
      <c r="A51" s="42">
        <v>900.0</v>
      </c>
      <c r="B51" s="17" t="s">
        <v>4205</v>
      </c>
      <c r="C51" s="42">
        <v>3.0</v>
      </c>
      <c r="D51" s="42">
        <v>-1.0</v>
      </c>
      <c r="E51" s="46">
        <v>40.0</v>
      </c>
      <c r="F51" s="42"/>
      <c r="G51" s="42"/>
      <c r="H51" s="42">
        <v>1.0</v>
      </c>
    </row>
    <row r="52" ht="16.5" customHeight="1">
      <c r="A52" s="42">
        <v>900.0</v>
      </c>
      <c r="B52" s="17" t="s">
        <v>4206</v>
      </c>
      <c r="C52" s="42">
        <v>4.0</v>
      </c>
      <c r="D52" s="42">
        <v>-1.0</v>
      </c>
      <c r="E52" s="46">
        <f t="shared" ref="E52:E57" si="5">E51+10</f>
        <v>50</v>
      </c>
      <c r="F52" s="42"/>
      <c r="G52" s="42"/>
      <c r="H52" s="42">
        <v>1.0</v>
      </c>
    </row>
    <row r="53" ht="16.5" customHeight="1">
      <c r="A53" s="42">
        <v>900.0</v>
      </c>
      <c r="B53" s="17" t="s">
        <v>4208</v>
      </c>
      <c r="C53" s="42">
        <v>5.0</v>
      </c>
      <c r="D53" s="42">
        <v>-1.0</v>
      </c>
      <c r="E53" s="46">
        <f t="shared" si="5"/>
        <v>60</v>
      </c>
      <c r="F53" s="42"/>
      <c r="G53" s="42"/>
      <c r="H53" s="42">
        <v>1.0</v>
      </c>
    </row>
    <row r="54" ht="16.5" customHeight="1">
      <c r="A54" s="42">
        <v>900.0</v>
      </c>
      <c r="B54" s="17" t="s">
        <v>4209</v>
      </c>
      <c r="C54" s="42">
        <v>6.0</v>
      </c>
      <c r="D54" s="42">
        <v>-1.0</v>
      </c>
      <c r="E54" s="46">
        <f t="shared" si="5"/>
        <v>70</v>
      </c>
      <c r="F54" s="42"/>
      <c r="G54" s="42"/>
      <c r="H54" s="42">
        <v>1.0</v>
      </c>
    </row>
    <row r="55" ht="16.5" customHeight="1">
      <c r="A55" s="42">
        <v>900.0</v>
      </c>
      <c r="B55" s="17" t="s">
        <v>4211</v>
      </c>
      <c r="C55" s="42">
        <v>7.0</v>
      </c>
      <c r="D55" s="42">
        <v>-1.0</v>
      </c>
      <c r="E55" s="46">
        <f t="shared" si="5"/>
        <v>80</v>
      </c>
      <c r="F55" s="42"/>
      <c r="G55" s="42"/>
      <c r="H55" s="42">
        <v>1.0</v>
      </c>
      <c r="K55" s="17" t="s">
        <v>4212</v>
      </c>
      <c r="L55" s="17" t="s">
        <v>4213</v>
      </c>
    </row>
    <row r="56" ht="16.5" customHeight="1">
      <c r="A56" s="42">
        <v>900.0</v>
      </c>
      <c r="B56" s="17" t="s">
        <v>4214</v>
      </c>
      <c r="C56" s="42">
        <v>8.0</v>
      </c>
      <c r="D56" s="42">
        <v>-1.0</v>
      </c>
      <c r="E56" s="46">
        <f t="shared" si="5"/>
        <v>90</v>
      </c>
      <c r="F56" s="42"/>
      <c r="G56" s="42"/>
      <c r="H56" s="42">
        <v>1.0</v>
      </c>
      <c r="K56" s="42" t="s">
        <v>8</v>
      </c>
      <c r="L56" s="42">
        <v>30.0</v>
      </c>
    </row>
    <row r="57" ht="16.5" customHeight="1">
      <c r="A57" s="42">
        <v>900.0</v>
      </c>
      <c r="B57" s="17" t="s">
        <v>4216</v>
      </c>
      <c r="C57" s="42">
        <v>9.0</v>
      </c>
      <c r="D57" s="42">
        <v>-1.0</v>
      </c>
      <c r="E57" s="46">
        <f t="shared" si="5"/>
        <v>100</v>
      </c>
      <c r="F57" s="42"/>
      <c r="G57" s="42"/>
      <c r="H57" s="42">
        <v>1.0</v>
      </c>
      <c r="K57" s="42" t="s">
        <v>11</v>
      </c>
      <c r="L57" s="42">
        <v>10.0</v>
      </c>
    </row>
    <row r="58" ht="16.5" customHeight="1">
      <c r="A58" s="42">
        <v>900.0</v>
      </c>
      <c r="B58" s="17" t="s">
        <v>4217</v>
      </c>
      <c r="C58" s="42">
        <v>10.0</v>
      </c>
      <c r="D58" s="42">
        <v>-1.0</v>
      </c>
      <c r="E58" s="46">
        <v>120.0</v>
      </c>
      <c r="F58" s="42"/>
      <c r="G58" s="42"/>
      <c r="H58" s="42">
        <v>1.0</v>
      </c>
      <c r="K58" s="42" t="s">
        <v>15</v>
      </c>
      <c r="L58" s="42">
        <v>5.0</v>
      </c>
    </row>
    <row r="59" ht="12.75" customHeight="1"/>
    <row r="60" ht="12.75" customHeight="1"/>
    <row r="61" ht="14.25" customHeight="1">
      <c r="A61" s="40" t="s">
        <v>3083</v>
      </c>
      <c r="B61" s="40" t="s">
        <v>946</v>
      </c>
      <c r="C61" s="40" t="s">
        <v>207</v>
      </c>
      <c r="D61" s="40" t="s">
        <v>4126</v>
      </c>
      <c r="E61" s="40" t="s">
        <v>4128</v>
      </c>
      <c r="F61" s="40" t="s">
        <v>4129</v>
      </c>
      <c r="G61" s="40" t="s">
        <v>4130</v>
      </c>
      <c r="H61" s="40" t="s">
        <v>4131</v>
      </c>
    </row>
    <row r="62" ht="16.5" customHeight="1">
      <c r="A62" s="42">
        <v>910.0</v>
      </c>
      <c r="B62" s="17" t="s">
        <v>4219</v>
      </c>
      <c r="C62" s="42">
        <v>1.0</v>
      </c>
      <c r="D62" s="42">
        <v>9000.0</v>
      </c>
      <c r="E62" s="46">
        <v>20.0</v>
      </c>
      <c r="F62" s="42"/>
      <c r="G62" s="42"/>
      <c r="H62" s="42">
        <v>1.0</v>
      </c>
    </row>
    <row r="63" ht="16.5" customHeight="1">
      <c r="A63" s="42">
        <v>910.0</v>
      </c>
      <c r="B63" s="17" t="s">
        <v>4204</v>
      </c>
      <c r="C63" s="42">
        <v>2.0</v>
      </c>
      <c r="D63" s="42">
        <v>9000.0</v>
      </c>
      <c r="E63" s="46">
        <v>30.0</v>
      </c>
      <c r="F63" s="42"/>
      <c r="G63" s="42"/>
      <c r="H63" s="42">
        <v>1.0</v>
      </c>
    </row>
    <row r="64" ht="16.5" customHeight="1">
      <c r="A64" s="42">
        <v>910.0</v>
      </c>
      <c r="B64" s="17" t="s">
        <v>4205</v>
      </c>
      <c r="C64" s="42">
        <v>3.0</v>
      </c>
      <c r="D64" s="42">
        <v>9000.0</v>
      </c>
      <c r="E64" s="46">
        <v>40.0</v>
      </c>
      <c r="F64" s="42"/>
      <c r="G64" s="42"/>
      <c r="H64" s="42">
        <v>1.0</v>
      </c>
    </row>
    <row r="65" ht="16.5" customHeight="1">
      <c r="A65" s="42">
        <v>910.0</v>
      </c>
      <c r="B65" s="17" t="s">
        <v>4206</v>
      </c>
      <c r="C65" s="42">
        <v>4.0</v>
      </c>
      <c r="D65" s="42">
        <v>9000.0</v>
      </c>
      <c r="E65" s="46">
        <f t="shared" ref="E65:E70" si="6">E64+10</f>
        <v>50</v>
      </c>
      <c r="F65" s="42"/>
      <c r="G65" s="42"/>
      <c r="H65" s="42">
        <v>1.0</v>
      </c>
    </row>
    <row r="66" ht="16.5" customHeight="1">
      <c r="A66" s="42">
        <v>910.0</v>
      </c>
      <c r="B66" s="17" t="s">
        <v>4208</v>
      </c>
      <c r="C66" s="42">
        <v>5.0</v>
      </c>
      <c r="D66" s="42">
        <v>9000.0</v>
      </c>
      <c r="E66" s="46">
        <f t="shared" si="6"/>
        <v>60</v>
      </c>
      <c r="F66" s="42"/>
      <c r="G66" s="42"/>
      <c r="H66" s="42">
        <v>1.0</v>
      </c>
    </row>
    <row r="67" ht="16.5" customHeight="1">
      <c r="A67" s="42">
        <v>910.0</v>
      </c>
      <c r="B67" s="17" t="s">
        <v>4209</v>
      </c>
      <c r="C67" s="42">
        <v>6.0</v>
      </c>
      <c r="D67" s="42">
        <v>9000.0</v>
      </c>
      <c r="E67" s="46">
        <f t="shared" si="6"/>
        <v>70</v>
      </c>
      <c r="F67" s="42"/>
      <c r="G67" s="42"/>
      <c r="H67" s="42">
        <v>1.0</v>
      </c>
    </row>
    <row r="68" ht="16.5" customHeight="1">
      <c r="A68" s="42">
        <v>910.0</v>
      </c>
      <c r="B68" s="17" t="s">
        <v>4211</v>
      </c>
      <c r="C68" s="42">
        <v>7.0</v>
      </c>
      <c r="D68" s="42">
        <v>9000.0</v>
      </c>
      <c r="E68" s="46">
        <f t="shared" si="6"/>
        <v>80</v>
      </c>
      <c r="F68" s="42"/>
      <c r="G68" s="42"/>
      <c r="H68" s="42">
        <v>1.0</v>
      </c>
    </row>
    <row r="69" ht="16.5" customHeight="1">
      <c r="A69" s="42">
        <v>910.0</v>
      </c>
      <c r="B69" s="17" t="s">
        <v>4214</v>
      </c>
      <c r="C69" s="42">
        <v>8.0</v>
      </c>
      <c r="D69" s="42">
        <v>9000.0</v>
      </c>
      <c r="E69" s="46">
        <f t="shared" si="6"/>
        <v>90</v>
      </c>
      <c r="F69" s="42"/>
      <c r="G69" s="42"/>
      <c r="H69" s="42">
        <v>1.0</v>
      </c>
    </row>
    <row r="70" ht="16.5" customHeight="1">
      <c r="A70" s="42">
        <v>910.0</v>
      </c>
      <c r="B70" s="17" t="s">
        <v>4216</v>
      </c>
      <c r="C70" s="42">
        <v>9.0</v>
      </c>
      <c r="D70" s="42">
        <v>9000.0</v>
      </c>
      <c r="E70" s="46">
        <f t="shared" si="6"/>
        <v>100</v>
      </c>
      <c r="F70" s="42"/>
      <c r="G70" s="42"/>
      <c r="H70" s="42">
        <v>1.0</v>
      </c>
    </row>
    <row r="71" ht="16.5" customHeight="1">
      <c r="A71" s="42">
        <v>910.0</v>
      </c>
      <c r="B71" s="17" t="s">
        <v>4217</v>
      </c>
      <c r="C71" s="42">
        <v>10.0</v>
      </c>
      <c r="D71" s="42">
        <v>9000.0</v>
      </c>
      <c r="E71" s="46">
        <v>120.0</v>
      </c>
      <c r="F71" s="42"/>
      <c r="G71" s="42"/>
      <c r="H71" s="42">
        <v>1.0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17.13"/>
    <col customWidth="1" min="4" max="10" width="11.0"/>
    <col customWidth="1" min="11" max="11" width="26.5"/>
    <col customWidth="1" min="12" max="26" width="11.0"/>
  </cols>
  <sheetData>
    <row r="1" ht="14.25" customHeight="1">
      <c r="A1" s="40" t="s">
        <v>3083</v>
      </c>
      <c r="B1" s="40" t="s">
        <v>943</v>
      </c>
      <c r="C1" s="40" t="s">
        <v>4138</v>
      </c>
    </row>
    <row r="2" ht="15.75" customHeight="1">
      <c r="A2" s="42">
        <v>1.0</v>
      </c>
      <c r="B2" s="64" t="s">
        <v>348</v>
      </c>
      <c r="C2" s="42" t="s">
        <v>4140</v>
      </c>
    </row>
    <row r="3" ht="14.25" customHeight="1">
      <c r="A3" s="42">
        <v>2.0</v>
      </c>
      <c r="B3" s="42" t="s">
        <v>309</v>
      </c>
      <c r="C3" s="17" t="s">
        <v>4142</v>
      </c>
    </row>
    <row r="4" ht="14.25" customHeight="1">
      <c r="A4" s="42">
        <v>3.0</v>
      </c>
      <c r="B4" s="42" t="s">
        <v>262</v>
      </c>
      <c r="C4" s="42" t="s">
        <v>4144</v>
      </c>
    </row>
    <row r="5" ht="15.75" customHeight="1">
      <c r="A5" s="42">
        <v>4.0</v>
      </c>
      <c r="B5" s="64" t="s">
        <v>349</v>
      </c>
      <c r="C5" s="42" t="s">
        <v>4145</v>
      </c>
    </row>
    <row r="6" ht="14.25" customHeight="1">
      <c r="A6" s="42">
        <v>5.0</v>
      </c>
      <c r="B6" s="42" t="s">
        <v>4146</v>
      </c>
      <c r="C6" s="42" t="s">
        <v>4147</v>
      </c>
    </row>
    <row r="7" ht="14.25" customHeight="1">
      <c r="A7" s="42">
        <v>6.0</v>
      </c>
      <c r="B7" s="42" t="s">
        <v>263</v>
      </c>
      <c r="C7" s="42" t="s">
        <v>4149</v>
      </c>
    </row>
    <row r="8" ht="14.25" customHeight="1">
      <c r="A8" s="42">
        <v>7.0</v>
      </c>
      <c r="B8" s="42" t="s">
        <v>472</v>
      </c>
      <c r="C8" s="42" t="s">
        <v>4150</v>
      </c>
    </row>
    <row r="9" ht="15.75" customHeight="1">
      <c r="A9" s="42">
        <v>8.0</v>
      </c>
      <c r="B9" s="64" t="s">
        <v>328</v>
      </c>
      <c r="C9" s="42" t="s">
        <v>4152</v>
      </c>
    </row>
    <row r="10" ht="15.75" customHeight="1">
      <c r="A10" s="42">
        <v>9.0</v>
      </c>
      <c r="B10" s="64" t="s">
        <v>471</v>
      </c>
      <c r="C10" s="42" t="s">
        <v>4153</v>
      </c>
      <c r="L10" s="1"/>
    </row>
    <row r="11" ht="15.75" customHeight="1">
      <c r="A11" s="42">
        <v>10.0</v>
      </c>
      <c r="B11" s="42" t="s">
        <v>493</v>
      </c>
      <c r="C11" s="42" t="s">
        <v>4154</v>
      </c>
      <c r="G11" s="90"/>
    </row>
    <row r="12" ht="15.75" customHeight="1">
      <c r="A12" s="42">
        <v>11.0</v>
      </c>
      <c r="B12" s="42" t="s">
        <v>398</v>
      </c>
      <c r="C12" s="17" t="s">
        <v>4155</v>
      </c>
      <c r="G12" s="90"/>
    </row>
    <row r="13" ht="15.75" customHeight="1">
      <c r="A13" s="42">
        <v>12.0</v>
      </c>
      <c r="B13" s="42" t="s">
        <v>4156</v>
      </c>
      <c r="C13" s="17" t="s">
        <v>4157</v>
      </c>
      <c r="G13" s="90"/>
    </row>
    <row r="14" ht="15.75" customHeight="1">
      <c r="A14" s="42">
        <v>13.0</v>
      </c>
      <c r="B14" s="42" t="s">
        <v>261</v>
      </c>
      <c r="C14" s="17" t="s">
        <v>4159</v>
      </c>
      <c r="G14" s="90"/>
    </row>
    <row r="15" ht="15.75" customHeight="1">
      <c r="A15" s="42">
        <v>14.0</v>
      </c>
      <c r="B15" s="42" t="s">
        <v>327</v>
      </c>
      <c r="C15" s="17" t="s">
        <v>4161</v>
      </c>
      <c r="G15" s="90"/>
    </row>
    <row r="16" ht="15.75" customHeight="1">
      <c r="A16" s="42">
        <v>15.0</v>
      </c>
      <c r="B16" s="42" t="s">
        <v>379</v>
      </c>
      <c r="C16" s="17" t="s">
        <v>4162</v>
      </c>
      <c r="G16" s="90"/>
    </row>
    <row r="17" ht="15.75" customHeight="1">
      <c r="A17" s="42">
        <v>16.0</v>
      </c>
      <c r="B17" s="42" t="s">
        <v>347</v>
      </c>
      <c r="C17" s="17" t="s">
        <v>4163</v>
      </c>
      <c r="G17" s="90"/>
    </row>
    <row r="18" ht="15.75" customHeight="1">
      <c r="A18" s="42">
        <v>17.0</v>
      </c>
      <c r="B18" s="42" t="s">
        <v>260</v>
      </c>
      <c r="C18" s="17" t="s">
        <v>4164</v>
      </c>
      <c r="G18" s="90"/>
    </row>
    <row r="19" ht="15.75" customHeight="1">
      <c r="A19" s="42">
        <v>18.0</v>
      </c>
      <c r="B19" s="42" t="s">
        <v>264</v>
      </c>
      <c r="C19" s="17" t="s">
        <v>4165</v>
      </c>
      <c r="G19" s="90"/>
    </row>
    <row r="20" ht="15.75" customHeight="1">
      <c r="A20" s="42">
        <v>19.0</v>
      </c>
      <c r="B20" s="42" t="s">
        <v>310</v>
      </c>
      <c r="C20" s="17" t="s">
        <v>4167</v>
      </c>
      <c r="G20" s="90"/>
    </row>
    <row r="21" ht="15.75" customHeight="1">
      <c r="A21" s="42">
        <v>20.0</v>
      </c>
      <c r="B21" s="42" t="s">
        <v>399</v>
      </c>
      <c r="C21" s="17" t="s">
        <v>4169</v>
      </c>
      <c r="G21" s="90"/>
    </row>
    <row r="22" ht="15.75" customHeight="1">
      <c r="A22" s="42">
        <v>51.0</v>
      </c>
      <c r="B22" s="42" t="s">
        <v>378</v>
      </c>
      <c r="C22" s="17" t="s">
        <v>4170</v>
      </c>
      <c r="G22" s="90"/>
    </row>
    <row r="23" ht="15.75" customHeight="1">
      <c r="A23" s="42">
        <v>52.0</v>
      </c>
      <c r="B23" s="42" t="s">
        <v>441</v>
      </c>
      <c r="C23" s="17" t="s">
        <v>4170</v>
      </c>
      <c r="G23" s="90"/>
    </row>
    <row r="24" ht="15.75" customHeight="1">
      <c r="A24" s="42">
        <v>53.0</v>
      </c>
      <c r="B24" s="42" t="s">
        <v>311</v>
      </c>
      <c r="C24" s="17" t="s">
        <v>4170</v>
      </c>
      <c r="G24" s="90"/>
    </row>
    <row r="25" ht="15.75" customHeight="1">
      <c r="A25" s="42">
        <v>54.0</v>
      </c>
      <c r="B25" s="64" t="s">
        <v>329</v>
      </c>
      <c r="C25" s="17" t="s">
        <v>4170</v>
      </c>
      <c r="G25" s="90"/>
    </row>
    <row r="26" ht="15.75" customHeight="1">
      <c r="A26" s="42">
        <v>55.0</v>
      </c>
      <c r="B26" s="64" t="s">
        <v>281</v>
      </c>
      <c r="C26" s="17" t="s">
        <v>4170</v>
      </c>
      <c r="G26" s="90"/>
    </row>
    <row r="27" ht="15.75" customHeight="1">
      <c r="A27" s="42">
        <v>56.0</v>
      </c>
      <c r="B27" s="42" t="s">
        <v>308</v>
      </c>
      <c r="C27" s="17" t="s">
        <v>4174</v>
      </c>
      <c r="G27" s="90"/>
    </row>
    <row r="28" ht="15.75" customHeight="1">
      <c r="A28" s="42">
        <v>57.0</v>
      </c>
      <c r="B28" s="42" t="s">
        <v>346</v>
      </c>
      <c r="C28" s="17" t="s">
        <v>4174</v>
      </c>
      <c r="G28" s="90"/>
    </row>
    <row r="29" ht="15.75" customHeight="1">
      <c r="A29" s="42">
        <v>58.0</v>
      </c>
      <c r="B29" s="42" t="s">
        <v>259</v>
      </c>
      <c r="C29" s="17" t="s">
        <v>4174</v>
      </c>
      <c r="G29" s="90"/>
    </row>
    <row r="30" ht="14.25" customHeight="1">
      <c r="A30" s="42">
        <v>59.0</v>
      </c>
      <c r="B30" s="42" t="s">
        <v>420</v>
      </c>
      <c r="C30" s="17" t="s">
        <v>4174</v>
      </c>
    </row>
    <row r="31" ht="15.75" customHeight="1">
      <c r="A31" s="42">
        <v>60.0</v>
      </c>
      <c r="B31" s="42" t="s">
        <v>708</v>
      </c>
      <c r="C31" s="17" t="s">
        <v>4174</v>
      </c>
      <c r="G31" s="90"/>
    </row>
    <row r="32" ht="14.25" customHeight="1">
      <c r="A32" s="42">
        <v>61.0</v>
      </c>
      <c r="B32" s="42" t="s">
        <v>532</v>
      </c>
      <c r="C32" s="17" t="s">
        <v>4174</v>
      </c>
    </row>
    <row r="33" ht="15.75" customHeight="1">
      <c r="G33" s="90"/>
    </row>
    <row r="34" ht="12.75" customHeight="1">
      <c r="A34" s="86">
        <v>62.0</v>
      </c>
      <c r="B34" s="86" t="s">
        <v>4177</v>
      </c>
      <c r="C34" s="86" t="s">
        <v>4178</v>
      </c>
    </row>
    <row r="35" ht="12.75" customHeight="1">
      <c r="A35" s="86">
        <v>63.0</v>
      </c>
      <c r="B35" s="86" t="s">
        <v>4179</v>
      </c>
      <c r="C35" s="86" t="s">
        <v>4178</v>
      </c>
    </row>
    <row r="36" ht="12.75" customHeight="1">
      <c r="A36" s="86">
        <v>64.0</v>
      </c>
      <c r="B36" s="86" t="s">
        <v>4180</v>
      </c>
      <c r="C36" s="86" t="s">
        <v>4178</v>
      </c>
    </row>
    <row r="37" ht="12.75" customHeight="1">
      <c r="A37" s="86">
        <v>65.0</v>
      </c>
      <c r="B37" s="86" t="s">
        <v>4181</v>
      </c>
      <c r="C37" s="86" t="s">
        <v>4178</v>
      </c>
    </row>
    <row r="38" ht="12.75" customHeight="1">
      <c r="A38" s="86">
        <v>66.0</v>
      </c>
      <c r="B38" s="86" t="s">
        <v>4184</v>
      </c>
      <c r="C38" s="86" t="s">
        <v>4178</v>
      </c>
    </row>
    <row r="39" ht="12.75" customHeight="1">
      <c r="A39" s="86">
        <v>67.0</v>
      </c>
      <c r="B39" s="86" t="s">
        <v>4185</v>
      </c>
      <c r="C39" s="86" t="s">
        <v>4178</v>
      </c>
    </row>
    <row r="40" ht="12.75" customHeight="1">
      <c r="A40" s="86">
        <v>68.0</v>
      </c>
      <c r="B40" s="86" t="s">
        <v>4186</v>
      </c>
      <c r="C40" s="86" t="s">
        <v>4178</v>
      </c>
    </row>
    <row r="41" ht="12.75" customHeight="1">
      <c r="A41" s="86">
        <v>69.0</v>
      </c>
      <c r="B41" s="86" t="s">
        <v>4187</v>
      </c>
      <c r="C41" s="86" t="s">
        <v>4178</v>
      </c>
    </row>
    <row r="42" ht="12.75" customHeight="1">
      <c r="A42" s="86">
        <v>21.0</v>
      </c>
      <c r="B42" s="159" t="s">
        <v>4189</v>
      </c>
    </row>
    <row r="43" ht="12.75" customHeight="1">
      <c r="A43" s="86">
        <v>22.0</v>
      </c>
      <c r="B43" s="159" t="s">
        <v>4190</v>
      </c>
    </row>
    <row r="44" ht="12.75" customHeight="1">
      <c r="A44" s="86">
        <v>23.0</v>
      </c>
      <c r="B44" s="159" t="s">
        <v>4193</v>
      </c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4.25" customHeight="1">
      <c r="A1" s="42" t="s">
        <v>4241</v>
      </c>
      <c r="B1" s="42" t="s">
        <v>943</v>
      </c>
      <c r="C1" s="42" t="s">
        <v>4242</v>
      </c>
    </row>
    <row r="2" ht="14.25" customHeight="1">
      <c r="A2" s="42">
        <v>1.0</v>
      </c>
      <c r="B2" s="4" t="s">
        <v>4243</v>
      </c>
      <c r="C2" s="42">
        <v>90001.0</v>
      </c>
    </row>
    <row r="3" ht="14.25" customHeight="1">
      <c r="A3" s="42">
        <v>2.0</v>
      </c>
      <c r="B3" s="4" t="s">
        <v>4245</v>
      </c>
      <c r="C3" s="42">
        <f t="shared" ref="C3:C7" si="1">C2+1</f>
        <v>90002</v>
      </c>
    </row>
    <row r="4" ht="14.25" customHeight="1">
      <c r="A4" s="42">
        <v>3.0</v>
      </c>
      <c r="B4" s="4" t="s">
        <v>4246</v>
      </c>
      <c r="C4" s="42">
        <f t="shared" si="1"/>
        <v>90003</v>
      </c>
    </row>
    <row r="5" ht="14.25" customHeight="1">
      <c r="A5" s="42">
        <v>4.0</v>
      </c>
      <c r="B5" s="4" t="s">
        <v>4247</v>
      </c>
      <c r="C5" s="42">
        <f t="shared" si="1"/>
        <v>90004</v>
      </c>
    </row>
    <row r="6" ht="14.25" customHeight="1">
      <c r="A6" s="42">
        <v>5.0</v>
      </c>
      <c r="B6" s="4" t="s">
        <v>4249</v>
      </c>
      <c r="C6" s="42">
        <f t="shared" si="1"/>
        <v>90005</v>
      </c>
    </row>
    <row r="7" ht="14.25" customHeight="1">
      <c r="A7" s="42">
        <v>6.0</v>
      </c>
      <c r="B7" s="4" t="s">
        <v>4250</v>
      </c>
      <c r="C7" s="42">
        <f t="shared" si="1"/>
        <v>90006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0"/>
    <col customWidth="1" min="3" max="3" width="22.75"/>
    <col customWidth="1" min="4" max="4" width="12.13"/>
    <col customWidth="1" min="5" max="5" width="20.13"/>
    <col customWidth="1" min="6" max="7" width="11.0"/>
    <col customWidth="1" min="8" max="8" width="13.0"/>
    <col customWidth="1" min="9" max="9" width="11.0"/>
    <col customWidth="1" min="10" max="10" width="16.88"/>
    <col customWidth="1" min="11" max="26" width="11.0"/>
  </cols>
  <sheetData>
    <row r="1" ht="12.75" customHeight="1"/>
    <row r="2" ht="12.75" customHeight="1"/>
    <row r="3" ht="12.75" customHeight="1"/>
    <row r="4" ht="12.75" customHeight="1"/>
    <row r="5" ht="14.25" customHeight="1">
      <c r="A5" s="54" t="s">
        <v>3083</v>
      </c>
      <c r="B5" s="54" t="s">
        <v>4241</v>
      </c>
      <c r="C5" s="54" t="s">
        <v>4256</v>
      </c>
      <c r="D5" s="54" t="s">
        <v>4257</v>
      </c>
      <c r="E5" s="54" t="s">
        <v>4258</v>
      </c>
      <c r="F5" s="54" t="s">
        <v>4260</v>
      </c>
      <c r="G5" s="54" t="s">
        <v>3089</v>
      </c>
      <c r="H5" s="54" t="s">
        <v>4261</v>
      </c>
    </row>
    <row r="6" ht="114.0" customHeight="1">
      <c r="A6" s="54">
        <v>100.0</v>
      </c>
      <c r="B6" s="54">
        <v>1.0</v>
      </c>
      <c r="C6" s="82" t="s">
        <v>4262</v>
      </c>
      <c r="D6" s="54"/>
      <c r="E6" s="160" t="s">
        <v>4263</v>
      </c>
      <c r="F6" s="54">
        <v>5.0</v>
      </c>
      <c r="G6" s="54">
        <f t="shared" ref="G6:G13" si="1">A6+7900</f>
        <v>8000</v>
      </c>
      <c r="H6" s="54"/>
    </row>
    <row r="7" ht="14.25" customHeight="1">
      <c r="A7" s="54">
        <f t="shared" ref="A7:A13" si="2">A6+1</f>
        <v>101</v>
      </c>
      <c r="B7" s="54">
        <v>1.0</v>
      </c>
      <c r="C7" s="161" t="s">
        <v>4267</v>
      </c>
      <c r="D7" s="54">
        <v>100.0</v>
      </c>
      <c r="E7" s="54"/>
      <c r="F7" s="54">
        <v>7.0</v>
      </c>
      <c r="G7" s="54">
        <f t="shared" si="1"/>
        <v>8001</v>
      </c>
      <c r="H7" s="54"/>
    </row>
    <row r="8" ht="14.25" customHeight="1">
      <c r="A8" s="54">
        <f t="shared" si="2"/>
        <v>102</v>
      </c>
      <c r="B8" s="54">
        <v>1.0</v>
      </c>
      <c r="C8" s="161" t="s">
        <v>4269</v>
      </c>
      <c r="D8" s="54">
        <v>100.0</v>
      </c>
      <c r="E8" s="54"/>
      <c r="F8" s="54">
        <v>7.0</v>
      </c>
      <c r="G8" s="54">
        <f t="shared" si="1"/>
        <v>8002</v>
      </c>
      <c r="H8" s="54"/>
    </row>
    <row r="9" ht="14.25" customHeight="1">
      <c r="A9" s="54">
        <f t="shared" si="2"/>
        <v>103</v>
      </c>
      <c r="B9" s="54">
        <v>1.0</v>
      </c>
      <c r="C9" s="161" t="s">
        <v>4271</v>
      </c>
      <c r="D9" s="54">
        <v>101.0</v>
      </c>
      <c r="E9" s="54"/>
      <c r="F9" s="54">
        <v>9.0</v>
      </c>
      <c r="G9" s="54">
        <f t="shared" si="1"/>
        <v>8003</v>
      </c>
      <c r="H9" s="54"/>
      <c r="J9" s="8"/>
    </row>
    <row r="10" ht="14.25" customHeight="1">
      <c r="A10" s="54">
        <f t="shared" si="2"/>
        <v>104</v>
      </c>
      <c r="B10" s="54">
        <v>1.0</v>
      </c>
      <c r="C10" s="161" t="s">
        <v>4272</v>
      </c>
      <c r="D10" s="54">
        <v>102.0</v>
      </c>
      <c r="E10" s="54"/>
      <c r="F10" s="54">
        <v>11.0</v>
      </c>
      <c r="G10" s="54">
        <f t="shared" si="1"/>
        <v>8004</v>
      </c>
      <c r="H10" s="54"/>
    </row>
    <row r="11" ht="14.25" customHeight="1">
      <c r="A11" s="54">
        <f t="shared" si="2"/>
        <v>105</v>
      </c>
      <c r="B11" s="54">
        <v>1.0</v>
      </c>
      <c r="C11" s="161" t="s">
        <v>4274</v>
      </c>
      <c r="D11" s="54">
        <v>103.0</v>
      </c>
      <c r="E11" s="54"/>
      <c r="F11" s="54">
        <v>13.0</v>
      </c>
      <c r="G11" s="54">
        <f t="shared" si="1"/>
        <v>8005</v>
      </c>
      <c r="H11" s="54"/>
    </row>
    <row r="12" ht="14.25" customHeight="1">
      <c r="A12" s="54">
        <f t="shared" si="2"/>
        <v>106</v>
      </c>
      <c r="B12" s="54">
        <v>1.0</v>
      </c>
      <c r="C12" s="161" t="s">
        <v>4275</v>
      </c>
      <c r="D12" s="54">
        <v>104.0</v>
      </c>
      <c r="E12" s="54"/>
      <c r="F12" s="54">
        <v>12.0</v>
      </c>
      <c r="G12" s="54">
        <f t="shared" si="1"/>
        <v>8006</v>
      </c>
      <c r="H12" s="54"/>
    </row>
    <row r="13" ht="14.25" customHeight="1">
      <c r="A13" s="54">
        <f t="shared" si="2"/>
        <v>107</v>
      </c>
      <c r="B13" s="54">
        <v>1.0</v>
      </c>
      <c r="C13" s="82" t="s">
        <v>1614</v>
      </c>
      <c r="D13" s="54" t="str">
        <f>"105,106"</f>
        <v>105,106</v>
      </c>
      <c r="E13" s="54"/>
      <c r="F13" s="54">
        <v>8.0</v>
      </c>
      <c r="G13" s="54">
        <f t="shared" si="1"/>
        <v>8007</v>
      </c>
      <c r="H13" s="54"/>
    </row>
    <row r="14" ht="14.25" customHeight="1">
      <c r="A14" s="54">
        <v>108.0</v>
      </c>
      <c r="B14" s="54">
        <v>1.0</v>
      </c>
      <c r="C14" s="82" t="s">
        <v>4278</v>
      </c>
      <c r="D14" s="54">
        <v>107.0</v>
      </c>
      <c r="E14" s="54"/>
      <c r="F14" s="54">
        <v>10.0</v>
      </c>
      <c r="G14" s="54">
        <v>8008.0</v>
      </c>
      <c r="H14" s="54"/>
    </row>
    <row r="15" ht="14.25" customHeight="1">
      <c r="A15" s="54">
        <v>109.0</v>
      </c>
      <c r="B15" s="54">
        <v>1.0</v>
      </c>
      <c r="C15" s="161" t="s">
        <v>4280</v>
      </c>
      <c r="D15" s="54">
        <v>107.0</v>
      </c>
      <c r="E15" s="54"/>
      <c r="F15" s="54">
        <v>15.0</v>
      </c>
      <c r="G15" s="54">
        <v>8009.0</v>
      </c>
      <c r="H15" s="54"/>
    </row>
    <row r="16" ht="14.25" customHeight="1">
      <c r="A16" s="54"/>
      <c r="B16" s="54"/>
      <c r="C16" s="82"/>
      <c r="D16" s="81"/>
      <c r="E16" s="54"/>
      <c r="F16" s="54"/>
      <c r="G16" s="54"/>
      <c r="H16" s="54"/>
    </row>
    <row r="17" ht="14.25" customHeight="1">
      <c r="A17" s="54"/>
      <c r="B17" s="54"/>
      <c r="C17" s="82"/>
      <c r="D17" s="81"/>
      <c r="E17" s="54"/>
      <c r="F17" s="54"/>
      <c r="G17" s="54"/>
      <c r="H17" s="54"/>
    </row>
    <row r="18" ht="14.25" customHeight="1">
      <c r="A18" s="54"/>
      <c r="B18" s="54"/>
      <c r="C18" s="82"/>
      <c r="D18" s="81"/>
      <c r="E18" s="54"/>
      <c r="F18" s="54"/>
      <c r="G18" s="54"/>
      <c r="H18" s="54"/>
    </row>
    <row r="19" ht="14.25" customHeight="1">
      <c r="A19" s="54"/>
      <c r="B19" s="54"/>
      <c r="C19" s="82"/>
      <c r="D19" s="81"/>
      <c r="E19" s="54"/>
      <c r="F19" s="54"/>
      <c r="G19" s="54"/>
      <c r="H19" s="54"/>
    </row>
    <row r="20" ht="14.25" customHeight="1">
      <c r="A20" s="54"/>
      <c r="B20" s="54"/>
      <c r="C20" s="82"/>
      <c r="D20" s="81"/>
      <c r="E20" s="54"/>
      <c r="F20" s="54"/>
      <c r="G20" s="54"/>
      <c r="H20" s="54"/>
    </row>
    <row r="21" ht="114.0" customHeight="1">
      <c r="A21" s="54">
        <f t="shared" ref="A21:A95" si="3">A20+1</f>
        <v>1</v>
      </c>
      <c r="B21" s="54">
        <v>2.0</v>
      </c>
      <c r="C21" s="82" t="s">
        <v>4283</v>
      </c>
      <c r="D21" s="54"/>
      <c r="E21" s="160" t="s">
        <v>4284</v>
      </c>
      <c r="F21" s="54">
        <v>5.0</v>
      </c>
      <c r="G21" s="54">
        <f t="shared" ref="G21:G95" si="4">A21+7900</f>
        <v>7901</v>
      </c>
      <c r="H21" s="54"/>
    </row>
    <row r="22" ht="14.25" customHeight="1">
      <c r="A22" s="54">
        <f t="shared" si="3"/>
        <v>2</v>
      </c>
      <c r="B22" s="54">
        <v>2.0</v>
      </c>
      <c r="C22" s="82" t="s">
        <v>4283</v>
      </c>
      <c r="D22" s="54">
        <f t="shared" ref="D22:D26" si="5">D7+15</f>
        <v>115</v>
      </c>
      <c r="E22" s="54"/>
      <c r="F22" s="54">
        <v>7.0</v>
      </c>
      <c r="G22" s="54">
        <f t="shared" si="4"/>
        <v>7902</v>
      </c>
      <c r="H22" s="54"/>
    </row>
    <row r="23" ht="14.25" customHeight="1">
      <c r="A23" s="54">
        <f t="shared" si="3"/>
        <v>3</v>
      </c>
      <c r="B23" s="54">
        <v>2.0</v>
      </c>
      <c r="C23" s="82" t="s">
        <v>4283</v>
      </c>
      <c r="D23" s="54">
        <f t="shared" si="5"/>
        <v>115</v>
      </c>
      <c r="E23" s="54"/>
      <c r="F23" s="54">
        <f t="shared" ref="F23:F35" si="6">F22+5</f>
        <v>12</v>
      </c>
      <c r="G23" s="54">
        <f t="shared" si="4"/>
        <v>7903</v>
      </c>
      <c r="H23" s="54"/>
    </row>
    <row r="24" ht="14.25" customHeight="1">
      <c r="A24" s="54">
        <f t="shared" si="3"/>
        <v>4</v>
      </c>
      <c r="B24" s="54">
        <v>2.0</v>
      </c>
      <c r="C24" s="82" t="s">
        <v>4283</v>
      </c>
      <c r="D24" s="54">
        <f t="shared" si="5"/>
        <v>116</v>
      </c>
      <c r="E24" s="54"/>
      <c r="F24" s="54">
        <f t="shared" si="6"/>
        <v>17</v>
      </c>
      <c r="G24" s="54">
        <f t="shared" si="4"/>
        <v>7904</v>
      </c>
      <c r="H24" s="54"/>
    </row>
    <row r="25" ht="14.25" customHeight="1">
      <c r="A25" s="54">
        <f t="shared" si="3"/>
        <v>5</v>
      </c>
      <c r="B25" s="54">
        <v>2.0</v>
      </c>
      <c r="C25" s="82" t="s">
        <v>4283</v>
      </c>
      <c r="D25" s="54">
        <f t="shared" si="5"/>
        <v>117</v>
      </c>
      <c r="E25" s="54"/>
      <c r="F25" s="54">
        <f t="shared" si="6"/>
        <v>22</v>
      </c>
      <c r="G25" s="54">
        <f t="shared" si="4"/>
        <v>7905</v>
      </c>
      <c r="H25" s="54"/>
    </row>
    <row r="26" ht="14.25" customHeight="1">
      <c r="A26" s="54">
        <f t="shared" si="3"/>
        <v>6</v>
      </c>
      <c r="B26" s="54">
        <v>2.0</v>
      </c>
      <c r="C26" s="82" t="s">
        <v>4283</v>
      </c>
      <c r="D26" s="54">
        <f t="shared" si="5"/>
        <v>118</v>
      </c>
      <c r="E26" s="54"/>
      <c r="F26" s="54">
        <f t="shared" si="6"/>
        <v>27</v>
      </c>
      <c r="G26" s="54">
        <f t="shared" si="4"/>
        <v>7906</v>
      </c>
      <c r="H26" s="54"/>
    </row>
    <row r="27" ht="14.25" customHeight="1">
      <c r="A27" s="54">
        <f t="shared" si="3"/>
        <v>7</v>
      </c>
      <c r="B27" s="54">
        <v>2.0</v>
      </c>
      <c r="C27" s="82" t="s">
        <v>4283</v>
      </c>
      <c r="D27" s="54" t="str">
        <f>"118,119"</f>
        <v>118,119</v>
      </c>
      <c r="E27" s="54"/>
      <c r="F27" s="54">
        <f t="shared" si="6"/>
        <v>32</v>
      </c>
      <c r="G27" s="54">
        <f t="shared" si="4"/>
        <v>7907</v>
      </c>
      <c r="H27" s="54"/>
    </row>
    <row r="28" ht="14.25" customHeight="1">
      <c r="A28" s="54">
        <f t="shared" si="3"/>
        <v>8</v>
      </c>
      <c r="B28" s="54">
        <v>2.0</v>
      </c>
      <c r="C28" s="82" t="s">
        <v>4283</v>
      </c>
      <c r="D28" s="54">
        <f>D13+15</f>
        <v>105121</v>
      </c>
      <c r="E28" s="54"/>
      <c r="F28" s="54">
        <f t="shared" si="6"/>
        <v>37</v>
      </c>
      <c r="G28" s="54">
        <f t="shared" si="4"/>
        <v>7908</v>
      </c>
      <c r="H28" s="54"/>
    </row>
    <row r="29" ht="14.25" customHeight="1">
      <c r="A29" s="54">
        <f t="shared" si="3"/>
        <v>9</v>
      </c>
      <c r="B29" s="54">
        <v>2.0</v>
      </c>
      <c r="C29" s="82" t="s">
        <v>4283</v>
      </c>
      <c r="D29" s="54" t="str">
        <f>"120,121"</f>
        <v>120,121</v>
      </c>
      <c r="E29" s="54"/>
      <c r="F29" s="54">
        <f t="shared" si="6"/>
        <v>42</v>
      </c>
      <c r="G29" s="54">
        <f t="shared" si="4"/>
        <v>7909</v>
      </c>
      <c r="H29" s="54"/>
    </row>
    <row r="30" ht="14.25" customHeight="1">
      <c r="A30" s="54">
        <f t="shared" si="3"/>
        <v>10</v>
      </c>
      <c r="B30" s="54">
        <v>2.0</v>
      </c>
      <c r="C30" s="82" t="s">
        <v>4283</v>
      </c>
      <c r="D30" s="54" t="str">
        <f>"121,122"</f>
        <v>121,122</v>
      </c>
      <c r="E30" s="54"/>
      <c r="F30" s="54">
        <f t="shared" si="6"/>
        <v>47</v>
      </c>
      <c r="G30" s="54">
        <f t="shared" si="4"/>
        <v>7910</v>
      </c>
      <c r="H30" s="54"/>
    </row>
    <row r="31" ht="14.25" customHeight="1">
      <c r="A31" s="54">
        <f t="shared" si="3"/>
        <v>11</v>
      </c>
      <c r="B31" s="54">
        <v>2.0</v>
      </c>
      <c r="C31" s="82" t="s">
        <v>4283</v>
      </c>
      <c r="D31" s="81">
        <f t="shared" ref="D31:D34" si="7">D16+15</f>
        <v>15</v>
      </c>
      <c r="E31" s="54"/>
      <c r="F31" s="54">
        <f t="shared" si="6"/>
        <v>52</v>
      </c>
      <c r="G31" s="54">
        <f t="shared" si="4"/>
        <v>7911</v>
      </c>
      <c r="H31" s="54"/>
    </row>
    <row r="32" ht="14.25" customHeight="1">
      <c r="A32" s="54">
        <f t="shared" si="3"/>
        <v>12</v>
      </c>
      <c r="B32" s="54">
        <v>2.0</v>
      </c>
      <c r="C32" s="82" t="s">
        <v>4283</v>
      </c>
      <c r="D32" s="81">
        <f t="shared" si="7"/>
        <v>15</v>
      </c>
      <c r="E32" s="54"/>
      <c r="F32" s="54">
        <f t="shared" si="6"/>
        <v>57</v>
      </c>
      <c r="G32" s="54">
        <f t="shared" si="4"/>
        <v>7912</v>
      </c>
      <c r="H32" s="54"/>
    </row>
    <row r="33" ht="14.25" customHeight="1">
      <c r="A33" s="54">
        <f t="shared" si="3"/>
        <v>13</v>
      </c>
      <c r="B33" s="54">
        <v>2.0</v>
      </c>
      <c r="C33" s="82" t="s">
        <v>4283</v>
      </c>
      <c r="D33" s="81">
        <f t="shared" si="7"/>
        <v>15</v>
      </c>
      <c r="E33" s="54"/>
      <c r="F33" s="54">
        <f t="shared" si="6"/>
        <v>62</v>
      </c>
      <c r="G33" s="54">
        <f t="shared" si="4"/>
        <v>7913</v>
      </c>
      <c r="H33" s="54"/>
    </row>
    <row r="34" ht="14.25" customHeight="1">
      <c r="A34" s="54">
        <f t="shared" si="3"/>
        <v>14</v>
      </c>
      <c r="B34" s="54">
        <v>2.0</v>
      </c>
      <c r="C34" s="82" t="s">
        <v>4283</v>
      </c>
      <c r="D34" s="81">
        <f t="shared" si="7"/>
        <v>15</v>
      </c>
      <c r="E34" s="54"/>
      <c r="F34" s="54">
        <f t="shared" si="6"/>
        <v>67</v>
      </c>
      <c r="G34" s="54">
        <f t="shared" si="4"/>
        <v>7914</v>
      </c>
      <c r="H34" s="54"/>
    </row>
    <row r="35" ht="14.25" customHeight="1">
      <c r="A35" s="54">
        <f t="shared" si="3"/>
        <v>15</v>
      </c>
      <c r="B35" s="54">
        <v>2.0</v>
      </c>
      <c r="C35" s="82" t="s">
        <v>1662</v>
      </c>
      <c r="D35" s="54" t="str">
        <f>"127,128"</f>
        <v>127,128</v>
      </c>
      <c r="E35" s="54"/>
      <c r="F35" s="54">
        <f t="shared" si="6"/>
        <v>72</v>
      </c>
      <c r="G35" s="54">
        <f t="shared" si="4"/>
        <v>7915</v>
      </c>
      <c r="H35" s="54">
        <v>90009.0</v>
      </c>
    </row>
    <row r="36" ht="114.0" customHeight="1">
      <c r="A36" s="54">
        <f t="shared" si="3"/>
        <v>16</v>
      </c>
      <c r="B36" s="54">
        <v>3.0</v>
      </c>
      <c r="C36" s="82" t="s">
        <v>4283</v>
      </c>
      <c r="D36" s="54"/>
      <c r="E36" s="160" t="s">
        <v>4301</v>
      </c>
      <c r="F36" s="54">
        <v>5.0</v>
      </c>
      <c r="G36" s="54">
        <f t="shared" si="4"/>
        <v>7916</v>
      </c>
      <c r="H36" s="54"/>
    </row>
    <row r="37" ht="14.25" customHeight="1">
      <c r="A37" s="54">
        <f t="shared" si="3"/>
        <v>17</v>
      </c>
      <c r="B37" s="54">
        <v>3.0</v>
      </c>
      <c r="C37" s="82" t="s">
        <v>4283</v>
      </c>
      <c r="D37" s="54">
        <v>130.0</v>
      </c>
      <c r="E37" s="54"/>
      <c r="F37" s="54">
        <v>7.0</v>
      </c>
      <c r="G37" s="54">
        <f t="shared" si="4"/>
        <v>7917</v>
      </c>
      <c r="H37" s="54"/>
    </row>
    <row r="38" ht="14.25" customHeight="1">
      <c r="A38" s="54">
        <f t="shared" si="3"/>
        <v>18</v>
      </c>
      <c r="B38" s="54">
        <v>3.0</v>
      </c>
      <c r="C38" s="82" t="s">
        <v>4283</v>
      </c>
      <c r="D38" s="54">
        <v>130.0</v>
      </c>
      <c r="E38" s="54"/>
      <c r="F38" s="54">
        <f t="shared" ref="F38:F50" si="8">F37+5</f>
        <v>12</v>
      </c>
      <c r="G38" s="54">
        <f t="shared" si="4"/>
        <v>7918</v>
      </c>
      <c r="H38" s="54"/>
    </row>
    <row r="39" ht="14.25" customHeight="1">
      <c r="A39" s="54">
        <f t="shared" si="3"/>
        <v>19</v>
      </c>
      <c r="B39" s="54">
        <v>3.0</v>
      </c>
      <c r="C39" s="82" t="s">
        <v>4283</v>
      </c>
      <c r="D39" s="54">
        <v>131.0</v>
      </c>
      <c r="E39" s="54"/>
      <c r="F39" s="54">
        <f t="shared" si="8"/>
        <v>17</v>
      </c>
      <c r="G39" s="54">
        <f t="shared" si="4"/>
        <v>7919</v>
      </c>
      <c r="H39" s="54"/>
    </row>
    <row r="40" ht="14.25" customHeight="1">
      <c r="A40" s="54">
        <f t="shared" si="3"/>
        <v>20</v>
      </c>
      <c r="B40" s="54">
        <v>3.0</v>
      </c>
      <c r="C40" s="82" t="s">
        <v>4283</v>
      </c>
      <c r="D40" s="54">
        <v>132.0</v>
      </c>
      <c r="E40" s="54"/>
      <c r="F40" s="54">
        <f t="shared" si="8"/>
        <v>22</v>
      </c>
      <c r="G40" s="54">
        <f t="shared" si="4"/>
        <v>7920</v>
      </c>
      <c r="H40" s="54"/>
    </row>
    <row r="41" ht="14.25" customHeight="1">
      <c r="A41" s="54">
        <f t="shared" si="3"/>
        <v>21</v>
      </c>
      <c r="B41" s="54">
        <v>3.0</v>
      </c>
      <c r="C41" s="82" t="s">
        <v>4283</v>
      </c>
      <c r="D41" s="54">
        <v>133.0</v>
      </c>
      <c r="E41" s="54"/>
      <c r="F41" s="54">
        <f t="shared" si="8"/>
        <v>27</v>
      </c>
      <c r="G41" s="54">
        <f t="shared" si="4"/>
        <v>7921</v>
      </c>
      <c r="H41" s="54"/>
    </row>
    <row r="42" ht="14.25" customHeight="1">
      <c r="A42" s="54">
        <f t="shared" si="3"/>
        <v>22</v>
      </c>
      <c r="B42" s="54">
        <v>3.0</v>
      </c>
      <c r="C42" s="82" t="s">
        <v>4283</v>
      </c>
      <c r="D42" s="54" t="str">
        <f>"133,134"</f>
        <v>133,134</v>
      </c>
      <c r="E42" s="54"/>
      <c r="F42" s="54">
        <f t="shared" si="8"/>
        <v>32</v>
      </c>
      <c r="G42" s="54">
        <f t="shared" si="4"/>
        <v>7922</v>
      </c>
      <c r="H42" s="54"/>
    </row>
    <row r="43" ht="14.25" customHeight="1">
      <c r="A43" s="54">
        <f t="shared" si="3"/>
        <v>23</v>
      </c>
      <c r="B43" s="54">
        <v>3.0</v>
      </c>
      <c r="C43" s="82" t="s">
        <v>4283</v>
      </c>
      <c r="D43" s="54">
        <v>134.0</v>
      </c>
      <c r="E43" s="54"/>
      <c r="F43" s="54">
        <f t="shared" si="8"/>
        <v>37</v>
      </c>
      <c r="G43" s="54">
        <f t="shared" si="4"/>
        <v>7923</v>
      </c>
      <c r="H43" s="54"/>
    </row>
    <row r="44" ht="14.25" customHeight="1">
      <c r="A44" s="54">
        <f t="shared" si="3"/>
        <v>24</v>
      </c>
      <c r="B44" s="54">
        <v>3.0</v>
      </c>
      <c r="C44" s="82" t="s">
        <v>4283</v>
      </c>
      <c r="D44" s="54" t="str">
        <f>"135,136"</f>
        <v>135,136</v>
      </c>
      <c r="E44" s="54"/>
      <c r="F44" s="54">
        <f t="shared" si="8"/>
        <v>42</v>
      </c>
      <c r="G44" s="54">
        <f t="shared" si="4"/>
        <v>7924</v>
      </c>
      <c r="H44" s="54"/>
    </row>
    <row r="45" ht="14.25" customHeight="1">
      <c r="A45" s="54">
        <f t="shared" si="3"/>
        <v>25</v>
      </c>
      <c r="B45" s="54">
        <v>3.0</v>
      </c>
      <c r="C45" s="82" t="s">
        <v>4283</v>
      </c>
      <c r="D45" s="54" t="str">
        <f>"136,137"</f>
        <v>136,137</v>
      </c>
      <c r="E45" s="54"/>
      <c r="F45" s="54">
        <f t="shared" si="8"/>
        <v>47</v>
      </c>
      <c r="G45" s="54">
        <f t="shared" si="4"/>
        <v>7925</v>
      </c>
      <c r="H45" s="54"/>
    </row>
    <row r="46" ht="14.25" customHeight="1">
      <c r="A46" s="54">
        <f t="shared" si="3"/>
        <v>26</v>
      </c>
      <c r="B46" s="54">
        <v>3.0</v>
      </c>
      <c r="C46" s="82" t="s">
        <v>4283</v>
      </c>
      <c r="D46" s="81">
        <v>138.0</v>
      </c>
      <c r="E46" s="54"/>
      <c r="F46" s="54">
        <f t="shared" si="8"/>
        <v>52</v>
      </c>
      <c r="G46" s="54">
        <f t="shared" si="4"/>
        <v>7926</v>
      </c>
      <c r="H46" s="54"/>
    </row>
    <row r="47" ht="14.25" customHeight="1">
      <c r="A47" s="54">
        <f t="shared" si="3"/>
        <v>27</v>
      </c>
      <c r="B47" s="54">
        <v>3.0</v>
      </c>
      <c r="C47" s="82" t="s">
        <v>4283</v>
      </c>
      <c r="D47" s="81">
        <v>139.0</v>
      </c>
      <c r="E47" s="54"/>
      <c r="F47" s="54">
        <f t="shared" si="8"/>
        <v>57</v>
      </c>
      <c r="G47" s="54">
        <f t="shared" si="4"/>
        <v>7927</v>
      </c>
      <c r="H47" s="54"/>
    </row>
    <row r="48" ht="14.25" customHeight="1">
      <c r="A48" s="54">
        <f t="shared" si="3"/>
        <v>28</v>
      </c>
      <c r="B48" s="54">
        <v>3.0</v>
      </c>
      <c r="C48" s="82" t="s">
        <v>4283</v>
      </c>
      <c r="D48" s="81">
        <v>140.0</v>
      </c>
      <c r="E48" s="54"/>
      <c r="F48" s="54">
        <f t="shared" si="8"/>
        <v>62</v>
      </c>
      <c r="G48" s="54">
        <f t="shared" si="4"/>
        <v>7928</v>
      </c>
      <c r="H48" s="54"/>
    </row>
    <row r="49" ht="14.25" customHeight="1">
      <c r="A49" s="54">
        <f t="shared" si="3"/>
        <v>29</v>
      </c>
      <c r="B49" s="54">
        <v>3.0</v>
      </c>
      <c r="C49" s="82" t="s">
        <v>4283</v>
      </c>
      <c r="D49" s="81">
        <v>141.0</v>
      </c>
      <c r="E49" s="54"/>
      <c r="F49" s="54">
        <f t="shared" si="8"/>
        <v>67</v>
      </c>
      <c r="G49" s="54">
        <f t="shared" si="4"/>
        <v>7929</v>
      </c>
      <c r="H49" s="54"/>
    </row>
    <row r="50" ht="14.25" customHeight="1">
      <c r="A50" s="54">
        <f t="shared" si="3"/>
        <v>30</v>
      </c>
      <c r="B50" s="54">
        <v>3.0</v>
      </c>
      <c r="C50" s="82" t="s">
        <v>1706</v>
      </c>
      <c r="D50" s="81" t="str">
        <f>"142,143"</f>
        <v>142,143</v>
      </c>
      <c r="E50" s="54"/>
      <c r="F50" s="54">
        <f t="shared" si="8"/>
        <v>72</v>
      </c>
      <c r="G50" s="54">
        <f t="shared" si="4"/>
        <v>7930</v>
      </c>
      <c r="H50" s="54">
        <v>90010.0</v>
      </c>
    </row>
    <row r="51" ht="114.0" customHeight="1">
      <c r="A51" s="54">
        <f t="shared" si="3"/>
        <v>31</v>
      </c>
      <c r="B51" s="54">
        <v>4.0</v>
      </c>
      <c r="C51" s="82" t="s">
        <v>4283</v>
      </c>
      <c r="D51" s="54"/>
      <c r="E51" s="160" t="s">
        <v>4312</v>
      </c>
      <c r="F51" s="54">
        <v>5.0</v>
      </c>
      <c r="G51" s="54">
        <f t="shared" si="4"/>
        <v>7931</v>
      </c>
      <c r="H51" s="54"/>
    </row>
    <row r="52" ht="14.25" customHeight="1">
      <c r="A52" s="54">
        <f t="shared" si="3"/>
        <v>32</v>
      </c>
      <c r="B52" s="54">
        <v>4.0</v>
      </c>
      <c r="C52" s="82" t="s">
        <v>4283</v>
      </c>
      <c r="D52" s="54">
        <v>145.0</v>
      </c>
      <c r="E52" s="54"/>
      <c r="F52" s="54">
        <v>7.0</v>
      </c>
      <c r="G52" s="54">
        <f t="shared" si="4"/>
        <v>7932</v>
      </c>
      <c r="H52" s="54"/>
    </row>
    <row r="53" ht="14.25" customHeight="1">
      <c r="A53" s="54">
        <f t="shared" si="3"/>
        <v>33</v>
      </c>
      <c r="B53" s="54">
        <v>4.0</v>
      </c>
      <c r="C53" s="82" t="s">
        <v>4283</v>
      </c>
      <c r="D53" s="54">
        <v>145.0</v>
      </c>
      <c r="E53" s="54"/>
      <c r="F53" s="54">
        <f t="shared" ref="F53:F65" si="9">F52+5</f>
        <v>12</v>
      </c>
      <c r="G53" s="54">
        <f t="shared" si="4"/>
        <v>7933</v>
      </c>
      <c r="H53" s="54"/>
    </row>
    <row r="54" ht="14.25" customHeight="1">
      <c r="A54" s="54">
        <f t="shared" si="3"/>
        <v>34</v>
      </c>
      <c r="B54" s="54">
        <v>4.0</v>
      </c>
      <c r="C54" s="82" t="s">
        <v>4283</v>
      </c>
      <c r="D54" s="54">
        <v>146.0</v>
      </c>
      <c r="E54" s="54"/>
      <c r="F54" s="54">
        <f t="shared" si="9"/>
        <v>17</v>
      </c>
      <c r="G54" s="54">
        <f t="shared" si="4"/>
        <v>7934</v>
      </c>
      <c r="H54" s="54"/>
    </row>
    <row r="55" ht="14.25" customHeight="1">
      <c r="A55" s="54">
        <f t="shared" si="3"/>
        <v>35</v>
      </c>
      <c r="B55" s="54">
        <v>4.0</v>
      </c>
      <c r="C55" s="82" t="s">
        <v>4283</v>
      </c>
      <c r="D55" s="54">
        <v>147.0</v>
      </c>
      <c r="E55" s="54"/>
      <c r="F55" s="54">
        <f t="shared" si="9"/>
        <v>22</v>
      </c>
      <c r="G55" s="54">
        <f t="shared" si="4"/>
        <v>7935</v>
      </c>
      <c r="H55" s="54"/>
    </row>
    <row r="56" ht="14.25" customHeight="1">
      <c r="A56" s="54">
        <f t="shared" si="3"/>
        <v>36</v>
      </c>
      <c r="B56" s="54">
        <v>4.0</v>
      </c>
      <c r="C56" s="82" t="s">
        <v>4283</v>
      </c>
      <c r="D56" s="54">
        <v>148.0</v>
      </c>
      <c r="E56" s="54"/>
      <c r="F56" s="54">
        <f t="shared" si="9"/>
        <v>27</v>
      </c>
      <c r="G56" s="54">
        <f t="shared" si="4"/>
        <v>7936</v>
      </c>
      <c r="H56" s="54"/>
    </row>
    <row r="57" ht="14.25" customHeight="1">
      <c r="A57" s="54">
        <f t="shared" si="3"/>
        <v>37</v>
      </c>
      <c r="B57" s="54">
        <v>4.0</v>
      </c>
      <c r="C57" s="82" t="s">
        <v>4283</v>
      </c>
      <c r="D57" s="54" t="str">
        <f>"148,149"</f>
        <v>148,149</v>
      </c>
      <c r="E57" s="54"/>
      <c r="F57" s="54">
        <f t="shared" si="9"/>
        <v>32</v>
      </c>
      <c r="G57" s="54">
        <f t="shared" si="4"/>
        <v>7937</v>
      </c>
      <c r="H57" s="54"/>
    </row>
    <row r="58" ht="14.25" customHeight="1">
      <c r="A58" s="54">
        <f t="shared" si="3"/>
        <v>38</v>
      </c>
      <c r="B58" s="54">
        <v>4.0</v>
      </c>
      <c r="C58" s="82" t="s">
        <v>4283</v>
      </c>
      <c r="D58" s="54">
        <v>149.0</v>
      </c>
      <c r="E58" s="54"/>
      <c r="F58" s="54">
        <f t="shared" si="9"/>
        <v>37</v>
      </c>
      <c r="G58" s="54">
        <f t="shared" si="4"/>
        <v>7938</v>
      </c>
      <c r="H58" s="54"/>
    </row>
    <row r="59" ht="14.25" customHeight="1">
      <c r="A59" s="54">
        <f t="shared" si="3"/>
        <v>39</v>
      </c>
      <c r="B59" s="54">
        <v>4.0</v>
      </c>
      <c r="C59" s="82" t="s">
        <v>4283</v>
      </c>
      <c r="D59" s="54" t="str">
        <f>"150,151"</f>
        <v>150,151</v>
      </c>
      <c r="E59" s="54"/>
      <c r="F59" s="54">
        <f t="shared" si="9"/>
        <v>42</v>
      </c>
      <c r="G59" s="54">
        <f t="shared" si="4"/>
        <v>7939</v>
      </c>
      <c r="H59" s="54"/>
    </row>
    <row r="60" ht="14.25" customHeight="1">
      <c r="A60" s="54">
        <f t="shared" si="3"/>
        <v>40</v>
      </c>
      <c r="B60" s="54">
        <v>4.0</v>
      </c>
      <c r="C60" s="82" t="s">
        <v>4283</v>
      </c>
      <c r="D60" s="54" t="str">
        <f>"151,152"</f>
        <v>151,152</v>
      </c>
      <c r="E60" s="54"/>
      <c r="F60" s="54">
        <f t="shared" si="9"/>
        <v>47</v>
      </c>
      <c r="G60" s="54">
        <f t="shared" si="4"/>
        <v>7940</v>
      </c>
      <c r="H60" s="54"/>
    </row>
    <row r="61" ht="14.25" customHeight="1">
      <c r="A61" s="54">
        <f t="shared" si="3"/>
        <v>41</v>
      </c>
      <c r="B61" s="54">
        <v>4.0</v>
      </c>
      <c r="C61" s="82" t="s">
        <v>4283</v>
      </c>
      <c r="D61" s="81">
        <v>153.0</v>
      </c>
      <c r="E61" s="54"/>
      <c r="F61" s="54">
        <f t="shared" si="9"/>
        <v>52</v>
      </c>
      <c r="G61" s="54">
        <f t="shared" si="4"/>
        <v>7941</v>
      </c>
      <c r="H61" s="54"/>
    </row>
    <row r="62" ht="14.25" customHeight="1">
      <c r="A62" s="54">
        <f t="shared" si="3"/>
        <v>42</v>
      </c>
      <c r="B62" s="54">
        <v>4.0</v>
      </c>
      <c r="C62" s="82" t="s">
        <v>4283</v>
      </c>
      <c r="D62" s="81">
        <v>154.0</v>
      </c>
      <c r="E62" s="54"/>
      <c r="F62" s="54">
        <f t="shared" si="9"/>
        <v>57</v>
      </c>
      <c r="G62" s="54">
        <f t="shared" si="4"/>
        <v>7942</v>
      </c>
      <c r="H62" s="54"/>
    </row>
    <row r="63" ht="14.25" customHeight="1">
      <c r="A63" s="54">
        <f t="shared" si="3"/>
        <v>43</v>
      </c>
      <c r="B63" s="54">
        <v>4.0</v>
      </c>
      <c r="C63" s="82" t="s">
        <v>4283</v>
      </c>
      <c r="D63" s="81">
        <v>155.0</v>
      </c>
      <c r="E63" s="54"/>
      <c r="F63" s="54">
        <f t="shared" si="9"/>
        <v>62</v>
      </c>
      <c r="G63" s="54">
        <f t="shared" si="4"/>
        <v>7943</v>
      </c>
      <c r="H63" s="54"/>
    </row>
    <row r="64" ht="14.25" customHeight="1">
      <c r="A64" s="54">
        <f t="shared" si="3"/>
        <v>44</v>
      </c>
      <c r="B64" s="54">
        <v>4.0</v>
      </c>
      <c r="C64" s="82" t="s">
        <v>4283</v>
      </c>
      <c r="D64" s="81">
        <v>156.0</v>
      </c>
      <c r="E64" s="54"/>
      <c r="F64" s="54">
        <f t="shared" si="9"/>
        <v>67</v>
      </c>
      <c r="G64" s="54">
        <f t="shared" si="4"/>
        <v>7944</v>
      </c>
      <c r="H64" s="54"/>
    </row>
    <row r="65" ht="14.25" customHeight="1">
      <c r="A65" s="54">
        <f t="shared" si="3"/>
        <v>45</v>
      </c>
      <c r="B65" s="54">
        <v>4.0</v>
      </c>
      <c r="C65" s="82" t="s">
        <v>1741</v>
      </c>
      <c r="D65" s="81" t="str">
        <f>"157,158"</f>
        <v>157,158</v>
      </c>
      <c r="E65" s="54"/>
      <c r="F65" s="54">
        <f t="shared" si="9"/>
        <v>72</v>
      </c>
      <c r="G65" s="54">
        <f t="shared" si="4"/>
        <v>7945</v>
      </c>
      <c r="H65" s="54">
        <v>90011.0</v>
      </c>
    </row>
    <row r="66" ht="114.0" customHeight="1">
      <c r="A66" s="54">
        <f t="shared" si="3"/>
        <v>46</v>
      </c>
      <c r="B66" s="54">
        <v>5.0</v>
      </c>
      <c r="C66" s="82" t="s">
        <v>4324</v>
      </c>
      <c r="D66" s="54"/>
      <c r="E66" s="160" t="s">
        <v>4325</v>
      </c>
      <c r="F66" s="54">
        <v>5.0</v>
      </c>
      <c r="G66" s="54">
        <f t="shared" si="4"/>
        <v>7946</v>
      </c>
      <c r="H66" s="54"/>
    </row>
    <row r="67" ht="14.25" customHeight="1">
      <c r="A67" s="54">
        <f t="shared" si="3"/>
        <v>47</v>
      </c>
      <c r="B67" s="54">
        <v>5.0</v>
      </c>
      <c r="C67" s="82" t="s">
        <v>4324</v>
      </c>
      <c r="D67" s="54">
        <v>160.0</v>
      </c>
      <c r="E67" s="54"/>
      <c r="F67" s="54">
        <v>7.0</v>
      </c>
      <c r="G67" s="54">
        <f t="shared" si="4"/>
        <v>7947</v>
      </c>
      <c r="H67" s="54"/>
    </row>
    <row r="68" ht="14.25" customHeight="1">
      <c r="A68" s="54">
        <f t="shared" si="3"/>
        <v>48</v>
      </c>
      <c r="B68" s="54">
        <v>5.0</v>
      </c>
      <c r="C68" s="82" t="s">
        <v>4324</v>
      </c>
      <c r="D68" s="54">
        <v>160.0</v>
      </c>
      <c r="E68" s="54"/>
      <c r="F68" s="54">
        <f t="shared" ref="F68:F80" si="10">F67+5</f>
        <v>12</v>
      </c>
      <c r="G68" s="54">
        <f t="shared" si="4"/>
        <v>7948</v>
      </c>
      <c r="H68" s="54"/>
    </row>
    <row r="69" ht="14.25" customHeight="1">
      <c r="A69" s="54">
        <f t="shared" si="3"/>
        <v>49</v>
      </c>
      <c r="B69" s="54">
        <v>5.0</v>
      </c>
      <c r="C69" s="82" t="s">
        <v>4324</v>
      </c>
      <c r="D69" s="54">
        <v>161.0</v>
      </c>
      <c r="E69" s="54"/>
      <c r="F69" s="54">
        <f t="shared" si="10"/>
        <v>17</v>
      </c>
      <c r="G69" s="54">
        <f t="shared" si="4"/>
        <v>7949</v>
      </c>
      <c r="H69" s="54"/>
    </row>
    <row r="70" ht="14.25" customHeight="1">
      <c r="A70" s="54">
        <f t="shared" si="3"/>
        <v>50</v>
      </c>
      <c r="B70" s="54">
        <v>5.0</v>
      </c>
      <c r="C70" s="82" t="s">
        <v>4324</v>
      </c>
      <c r="D70" s="54">
        <v>162.0</v>
      </c>
      <c r="E70" s="54"/>
      <c r="F70" s="54">
        <f t="shared" si="10"/>
        <v>22</v>
      </c>
      <c r="G70" s="54">
        <f t="shared" si="4"/>
        <v>7950</v>
      </c>
      <c r="H70" s="54"/>
    </row>
    <row r="71" ht="14.25" customHeight="1">
      <c r="A71" s="54">
        <f t="shared" si="3"/>
        <v>51</v>
      </c>
      <c r="B71" s="54">
        <v>5.0</v>
      </c>
      <c r="C71" s="82" t="s">
        <v>4324</v>
      </c>
      <c r="D71" s="54">
        <v>163.0</v>
      </c>
      <c r="E71" s="54"/>
      <c r="F71" s="54">
        <f t="shared" si="10"/>
        <v>27</v>
      </c>
      <c r="G71" s="54">
        <f t="shared" si="4"/>
        <v>7951</v>
      </c>
      <c r="H71" s="54"/>
    </row>
    <row r="72" ht="14.25" customHeight="1">
      <c r="A72" s="54">
        <f t="shared" si="3"/>
        <v>52</v>
      </c>
      <c r="B72" s="54">
        <v>5.0</v>
      </c>
      <c r="C72" s="82" t="s">
        <v>4324</v>
      </c>
      <c r="D72" s="54" t="str">
        <f>"163,164"</f>
        <v>163,164</v>
      </c>
      <c r="E72" s="54"/>
      <c r="F72" s="54">
        <f t="shared" si="10"/>
        <v>32</v>
      </c>
      <c r="G72" s="54">
        <f t="shared" si="4"/>
        <v>7952</v>
      </c>
      <c r="H72" s="54"/>
    </row>
    <row r="73" ht="14.25" customHeight="1">
      <c r="A73" s="54">
        <f t="shared" si="3"/>
        <v>53</v>
      </c>
      <c r="B73" s="54">
        <v>5.0</v>
      </c>
      <c r="C73" s="82" t="s">
        <v>4324</v>
      </c>
      <c r="D73" s="54">
        <v>164.0</v>
      </c>
      <c r="E73" s="54"/>
      <c r="F73" s="54">
        <f t="shared" si="10"/>
        <v>37</v>
      </c>
      <c r="G73" s="54">
        <f t="shared" si="4"/>
        <v>7953</v>
      </c>
      <c r="H73" s="54"/>
    </row>
    <row r="74" ht="14.25" customHeight="1">
      <c r="A74" s="54">
        <f t="shared" si="3"/>
        <v>54</v>
      </c>
      <c r="B74" s="54">
        <v>5.0</v>
      </c>
      <c r="C74" s="82" t="s">
        <v>4324</v>
      </c>
      <c r="D74" s="54" t="str">
        <f>"165,166"</f>
        <v>165,166</v>
      </c>
      <c r="E74" s="54"/>
      <c r="F74" s="54">
        <f t="shared" si="10"/>
        <v>42</v>
      </c>
      <c r="G74" s="54">
        <f t="shared" si="4"/>
        <v>7954</v>
      </c>
      <c r="H74" s="54"/>
    </row>
    <row r="75" ht="14.25" customHeight="1">
      <c r="A75" s="54">
        <f t="shared" si="3"/>
        <v>55</v>
      </c>
      <c r="B75" s="54">
        <v>5.0</v>
      </c>
      <c r="C75" s="82" t="s">
        <v>4324</v>
      </c>
      <c r="D75" s="54" t="str">
        <f>"166,167"</f>
        <v>166,167</v>
      </c>
      <c r="E75" s="54"/>
      <c r="F75" s="54">
        <f t="shared" si="10"/>
        <v>47</v>
      </c>
      <c r="G75" s="54">
        <f t="shared" si="4"/>
        <v>7955</v>
      </c>
      <c r="H75" s="54"/>
    </row>
    <row r="76" ht="14.25" customHeight="1">
      <c r="A76" s="54">
        <f t="shared" si="3"/>
        <v>56</v>
      </c>
      <c r="B76" s="54">
        <v>5.0</v>
      </c>
      <c r="C76" s="82" t="s">
        <v>4324</v>
      </c>
      <c r="D76" s="81">
        <v>168.0</v>
      </c>
      <c r="E76" s="54"/>
      <c r="F76" s="54">
        <f t="shared" si="10"/>
        <v>52</v>
      </c>
      <c r="G76" s="54">
        <f t="shared" si="4"/>
        <v>7956</v>
      </c>
      <c r="H76" s="54"/>
    </row>
    <row r="77" ht="14.25" customHeight="1">
      <c r="A77" s="54">
        <f t="shared" si="3"/>
        <v>57</v>
      </c>
      <c r="B77" s="54">
        <v>5.0</v>
      </c>
      <c r="C77" s="82" t="s">
        <v>4324</v>
      </c>
      <c r="D77" s="81">
        <v>169.0</v>
      </c>
      <c r="E77" s="54"/>
      <c r="F77" s="54">
        <f t="shared" si="10"/>
        <v>57</v>
      </c>
      <c r="G77" s="54">
        <f t="shared" si="4"/>
        <v>7957</v>
      </c>
      <c r="H77" s="54"/>
    </row>
    <row r="78" ht="14.25" customHeight="1">
      <c r="A78" s="54">
        <f t="shared" si="3"/>
        <v>58</v>
      </c>
      <c r="B78" s="54">
        <v>5.0</v>
      </c>
      <c r="C78" s="82" t="s">
        <v>4324</v>
      </c>
      <c r="D78" s="81">
        <v>170.0</v>
      </c>
      <c r="E78" s="54"/>
      <c r="F78" s="54">
        <f t="shared" si="10"/>
        <v>62</v>
      </c>
      <c r="G78" s="54">
        <f t="shared" si="4"/>
        <v>7958</v>
      </c>
      <c r="H78" s="54"/>
    </row>
    <row r="79" ht="14.25" customHeight="1">
      <c r="A79" s="54">
        <f t="shared" si="3"/>
        <v>59</v>
      </c>
      <c r="B79" s="54">
        <v>5.0</v>
      </c>
      <c r="C79" s="82" t="s">
        <v>4324</v>
      </c>
      <c r="D79" s="81">
        <v>171.0</v>
      </c>
      <c r="E79" s="54"/>
      <c r="F79" s="54">
        <f t="shared" si="10"/>
        <v>67</v>
      </c>
      <c r="G79" s="54">
        <f t="shared" si="4"/>
        <v>7959</v>
      </c>
      <c r="H79" s="54"/>
    </row>
    <row r="80" ht="14.25" customHeight="1">
      <c r="A80" s="54">
        <f t="shared" si="3"/>
        <v>60</v>
      </c>
      <c r="B80" s="54">
        <v>5.0</v>
      </c>
      <c r="C80" s="82" t="s">
        <v>1795</v>
      </c>
      <c r="D80" s="81" t="str">
        <f>"172,173"</f>
        <v>172,173</v>
      </c>
      <c r="E80" s="54"/>
      <c r="F80" s="54">
        <f t="shared" si="10"/>
        <v>72</v>
      </c>
      <c r="G80" s="54">
        <f t="shared" si="4"/>
        <v>7960</v>
      </c>
      <c r="H80" s="54">
        <v>90012.0</v>
      </c>
    </row>
    <row r="81" ht="114.0" customHeight="1">
      <c r="A81" s="54">
        <f t="shared" si="3"/>
        <v>61</v>
      </c>
      <c r="B81" s="54">
        <v>6.0</v>
      </c>
      <c r="C81" s="82" t="s">
        <v>4324</v>
      </c>
      <c r="D81" s="54"/>
      <c r="E81" s="160" t="s">
        <v>4335</v>
      </c>
      <c r="F81" s="54">
        <v>5.0</v>
      </c>
      <c r="G81" s="54">
        <f t="shared" si="4"/>
        <v>7961</v>
      </c>
      <c r="H81" s="54"/>
    </row>
    <row r="82" ht="14.25" customHeight="1">
      <c r="A82" s="54">
        <f t="shared" si="3"/>
        <v>62</v>
      </c>
      <c r="B82" s="54">
        <v>6.0</v>
      </c>
      <c r="C82" s="82" t="s">
        <v>4324</v>
      </c>
      <c r="D82" s="54">
        <v>175.0</v>
      </c>
      <c r="E82" s="54"/>
      <c r="F82" s="54">
        <v>7.0</v>
      </c>
      <c r="G82" s="54">
        <f t="shared" si="4"/>
        <v>7962</v>
      </c>
      <c r="H82" s="54"/>
    </row>
    <row r="83" ht="14.25" customHeight="1">
      <c r="A83" s="54">
        <f t="shared" si="3"/>
        <v>63</v>
      </c>
      <c r="B83" s="54">
        <v>6.0</v>
      </c>
      <c r="C83" s="82" t="s">
        <v>4324</v>
      </c>
      <c r="D83" s="54">
        <v>175.0</v>
      </c>
      <c r="E83" s="54"/>
      <c r="F83" s="54">
        <f t="shared" ref="F83:F95" si="11">F82+5</f>
        <v>12</v>
      </c>
      <c r="G83" s="54">
        <f t="shared" si="4"/>
        <v>7963</v>
      </c>
      <c r="H83" s="54"/>
    </row>
    <row r="84" ht="14.25" customHeight="1">
      <c r="A84" s="54">
        <f t="shared" si="3"/>
        <v>64</v>
      </c>
      <c r="B84" s="54">
        <v>6.0</v>
      </c>
      <c r="C84" s="82" t="s">
        <v>4324</v>
      </c>
      <c r="D84" s="54">
        <v>176.0</v>
      </c>
      <c r="E84" s="54"/>
      <c r="F84" s="54">
        <f t="shared" si="11"/>
        <v>17</v>
      </c>
      <c r="G84" s="54">
        <f t="shared" si="4"/>
        <v>7964</v>
      </c>
      <c r="H84" s="54"/>
    </row>
    <row r="85" ht="14.25" customHeight="1">
      <c r="A85" s="54">
        <f t="shared" si="3"/>
        <v>65</v>
      </c>
      <c r="B85" s="54">
        <v>6.0</v>
      </c>
      <c r="C85" s="82" t="s">
        <v>4324</v>
      </c>
      <c r="D85" s="54">
        <v>177.0</v>
      </c>
      <c r="E85" s="54"/>
      <c r="F85" s="54">
        <f t="shared" si="11"/>
        <v>22</v>
      </c>
      <c r="G85" s="54">
        <f t="shared" si="4"/>
        <v>7965</v>
      </c>
      <c r="H85" s="54"/>
    </row>
    <row r="86" ht="14.25" customHeight="1">
      <c r="A86" s="54">
        <f t="shared" si="3"/>
        <v>66</v>
      </c>
      <c r="B86" s="54">
        <v>6.0</v>
      </c>
      <c r="C86" s="82" t="s">
        <v>4324</v>
      </c>
      <c r="D86" s="54">
        <v>178.0</v>
      </c>
      <c r="E86" s="54"/>
      <c r="F86" s="54">
        <f t="shared" si="11"/>
        <v>27</v>
      </c>
      <c r="G86" s="54">
        <f t="shared" si="4"/>
        <v>7966</v>
      </c>
      <c r="H86" s="54"/>
    </row>
    <row r="87" ht="14.25" customHeight="1">
      <c r="A87" s="54">
        <f t="shared" si="3"/>
        <v>67</v>
      </c>
      <c r="B87" s="54">
        <v>6.0</v>
      </c>
      <c r="C87" s="82" t="s">
        <v>4324</v>
      </c>
      <c r="D87" s="54" t="str">
        <f>"178,179"</f>
        <v>178,179</v>
      </c>
      <c r="E87" s="54"/>
      <c r="F87" s="54">
        <f t="shared" si="11"/>
        <v>32</v>
      </c>
      <c r="G87" s="54">
        <f t="shared" si="4"/>
        <v>7967</v>
      </c>
      <c r="H87" s="54"/>
    </row>
    <row r="88" ht="14.25" customHeight="1">
      <c r="A88" s="54">
        <f t="shared" si="3"/>
        <v>68</v>
      </c>
      <c r="B88" s="54">
        <v>6.0</v>
      </c>
      <c r="C88" s="82" t="s">
        <v>4324</v>
      </c>
      <c r="D88" s="54">
        <v>179.0</v>
      </c>
      <c r="E88" s="54"/>
      <c r="F88" s="54">
        <f t="shared" si="11"/>
        <v>37</v>
      </c>
      <c r="G88" s="54">
        <f t="shared" si="4"/>
        <v>7968</v>
      </c>
      <c r="H88" s="54"/>
    </row>
    <row r="89" ht="14.25" customHeight="1">
      <c r="A89" s="54">
        <f t="shared" si="3"/>
        <v>69</v>
      </c>
      <c r="B89" s="54">
        <v>6.0</v>
      </c>
      <c r="C89" s="82" t="s">
        <v>4324</v>
      </c>
      <c r="D89" s="54" t="str">
        <f>"180,181"</f>
        <v>180,181</v>
      </c>
      <c r="E89" s="54"/>
      <c r="F89" s="54">
        <f t="shared" si="11"/>
        <v>42</v>
      </c>
      <c r="G89" s="54">
        <f t="shared" si="4"/>
        <v>7969</v>
      </c>
      <c r="H89" s="54"/>
    </row>
    <row r="90" ht="14.25" customHeight="1">
      <c r="A90" s="54">
        <f t="shared" si="3"/>
        <v>70</v>
      </c>
      <c r="B90" s="54">
        <v>6.0</v>
      </c>
      <c r="C90" s="82" t="s">
        <v>4324</v>
      </c>
      <c r="D90" s="54" t="str">
        <f>"181,182"</f>
        <v>181,182</v>
      </c>
      <c r="E90" s="54"/>
      <c r="F90" s="54">
        <f t="shared" si="11"/>
        <v>47</v>
      </c>
      <c r="G90" s="54">
        <f t="shared" si="4"/>
        <v>7970</v>
      </c>
      <c r="H90" s="54"/>
    </row>
    <row r="91" ht="14.25" customHeight="1">
      <c r="A91" s="54">
        <f t="shared" si="3"/>
        <v>71</v>
      </c>
      <c r="B91" s="54">
        <v>6.0</v>
      </c>
      <c r="C91" s="82" t="s">
        <v>4324</v>
      </c>
      <c r="D91" s="81">
        <v>183.0</v>
      </c>
      <c r="E91" s="54"/>
      <c r="F91" s="54">
        <f t="shared" si="11"/>
        <v>52</v>
      </c>
      <c r="G91" s="54">
        <f t="shared" si="4"/>
        <v>7971</v>
      </c>
      <c r="H91" s="54"/>
    </row>
    <row r="92" ht="14.25" customHeight="1">
      <c r="A92" s="54">
        <f t="shared" si="3"/>
        <v>72</v>
      </c>
      <c r="B92" s="54">
        <v>6.0</v>
      </c>
      <c r="C92" s="82" t="s">
        <v>4324</v>
      </c>
      <c r="D92" s="81">
        <v>184.0</v>
      </c>
      <c r="E92" s="54"/>
      <c r="F92" s="54">
        <f t="shared" si="11"/>
        <v>57</v>
      </c>
      <c r="G92" s="54">
        <f t="shared" si="4"/>
        <v>7972</v>
      </c>
      <c r="H92" s="54"/>
    </row>
    <row r="93" ht="14.25" customHeight="1">
      <c r="A93" s="54">
        <f t="shared" si="3"/>
        <v>73</v>
      </c>
      <c r="B93" s="54">
        <v>6.0</v>
      </c>
      <c r="C93" s="82" t="s">
        <v>4324</v>
      </c>
      <c r="D93" s="81">
        <v>185.0</v>
      </c>
      <c r="E93" s="54"/>
      <c r="F93" s="54">
        <f t="shared" si="11"/>
        <v>62</v>
      </c>
      <c r="G93" s="54">
        <f t="shared" si="4"/>
        <v>7973</v>
      </c>
      <c r="H93" s="54"/>
    </row>
    <row r="94" ht="14.25" customHeight="1">
      <c r="A94" s="54">
        <f t="shared" si="3"/>
        <v>74</v>
      </c>
      <c r="B94" s="54">
        <v>6.0</v>
      </c>
      <c r="C94" s="82" t="s">
        <v>4324</v>
      </c>
      <c r="D94" s="81">
        <v>186.0</v>
      </c>
      <c r="E94" s="54"/>
      <c r="F94" s="54">
        <f t="shared" si="11"/>
        <v>67</v>
      </c>
      <c r="G94" s="54">
        <f t="shared" si="4"/>
        <v>7974</v>
      </c>
      <c r="H94" s="54"/>
    </row>
    <row r="95" ht="14.25" customHeight="1">
      <c r="A95" s="54">
        <f t="shared" si="3"/>
        <v>75</v>
      </c>
      <c r="B95" s="54">
        <v>6.0</v>
      </c>
      <c r="C95" s="82" t="s">
        <v>1876</v>
      </c>
      <c r="D95" s="81" t="str">
        <f>"187,188"</f>
        <v>187,188</v>
      </c>
      <c r="E95" s="54"/>
      <c r="F95" s="54">
        <f t="shared" si="11"/>
        <v>72</v>
      </c>
      <c r="G95" s="54">
        <f t="shared" si="4"/>
        <v>7975</v>
      </c>
      <c r="H95" s="54">
        <v>90013.0</v>
      </c>
    </row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75"/>
    <col customWidth="1" min="3" max="26" width="11.0"/>
  </cols>
  <sheetData>
    <row r="1" ht="15.0" customHeight="1">
      <c r="A1" s="162" t="s">
        <v>207</v>
      </c>
      <c r="B1" s="162" t="s">
        <v>4288</v>
      </c>
      <c r="C1" s="163" t="s">
        <v>4290</v>
      </c>
    </row>
    <row r="2" ht="15.75" customHeight="1">
      <c r="A2" s="164">
        <v>1.0</v>
      </c>
      <c r="B2" s="164"/>
      <c r="C2" s="164">
        <v>0.0</v>
      </c>
    </row>
    <row r="3" ht="15.75" customHeight="1">
      <c r="A3" s="164">
        <v>2.0</v>
      </c>
      <c r="B3" s="164">
        <v>211.0</v>
      </c>
      <c r="C3" s="164">
        <f t="shared" ref="C3:C101" si="1">SUM(B$2:B3)</f>
        <v>211</v>
      </c>
    </row>
    <row r="4" ht="15.75" customHeight="1">
      <c r="A4" s="164">
        <v>3.0</v>
      </c>
      <c r="B4" s="164">
        <v>200.0</v>
      </c>
      <c r="C4" s="164">
        <f t="shared" si="1"/>
        <v>411</v>
      </c>
    </row>
    <row r="5" ht="15.75" customHeight="1">
      <c r="A5" s="164">
        <v>4.0</v>
      </c>
      <c r="B5" s="164">
        <v>284.0</v>
      </c>
      <c r="C5" s="164">
        <f t="shared" si="1"/>
        <v>695</v>
      </c>
    </row>
    <row r="6" ht="15.75" customHeight="1">
      <c r="A6" s="164">
        <v>5.0</v>
      </c>
      <c r="B6" s="164">
        <v>300.0</v>
      </c>
      <c r="C6" s="164">
        <f t="shared" si="1"/>
        <v>995</v>
      </c>
    </row>
    <row r="7" ht="15.75" customHeight="1">
      <c r="A7" s="164">
        <v>6.0</v>
      </c>
      <c r="B7" s="164">
        <v>300.0</v>
      </c>
      <c r="C7" s="164">
        <f t="shared" si="1"/>
        <v>1295</v>
      </c>
    </row>
    <row r="8" ht="15.75" customHeight="1">
      <c r="A8" s="164">
        <v>7.0</v>
      </c>
      <c r="B8" s="164">
        <v>300.0</v>
      </c>
      <c r="C8" s="164">
        <f t="shared" si="1"/>
        <v>1595</v>
      </c>
    </row>
    <row r="9" ht="15.75" customHeight="1">
      <c r="A9" s="164">
        <v>8.0</v>
      </c>
      <c r="B9" s="164">
        <v>300.0</v>
      </c>
      <c r="C9" s="164">
        <f t="shared" si="1"/>
        <v>1895</v>
      </c>
    </row>
    <row r="10" ht="15.75" customHeight="1">
      <c r="A10" s="164">
        <v>9.0</v>
      </c>
      <c r="B10" s="165">
        <v>300.0</v>
      </c>
      <c r="C10" s="164">
        <f t="shared" si="1"/>
        <v>2195</v>
      </c>
    </row>
    <row r="11" ht="15.75" customHeight="1">
      <c r="A11" s="164">
        <v>10.0</v>
      </c>
      <c r="B11" s="165">
        <v>300.0</v>
      </c>
      <c r="C11" s="164">
        <f t="shared" si="1"/>
        <v>2495</v>
      </c>
    </row>
    <row r="12" ht="15.75" customHeight="1">
      <c r="A12" s="164">
        <v>11.0</v>
      </c>
      <c r="B12" s="165">
        <v>300.0</v>
      </c>
      <c r="C12" s="164">
        <f t="shared" si="1"/>
        <v>2795</v>
      </c>
    </row>
    <row r="13" ht="15.75" customHeight="1">
      <c r="A13" s="164">
        <v>12.0</v>
      </c>
      <c r="B13" s="165">
        <v>300.0</v>
      </c>
      <c r="C13" s="164">
        <f t="shared" si="1"/>
        <v>3095</v>
      </c>
    </row>
    <row r="14" ht="15.75" customHeight="1">
      <c r="A14" s="164">
        <v>13.0</v>
      </c>
      <c r="B14" s="165">
        <v>300.0</v>
      </c>
      <c r="C14" s="164">
        <f t="shared" si="1"/>
        <v>3395</v>
      </c>
    </row>
    <row r="15" ht="15.75" customHeight="1">
      <c r="A15" s="164">
        <v>14.0</v>
      </c>
      <c r="B15" s="165">
        <v>400.0</v>
      </c>
      <c r="C15" s="164">
        <f t="shared" si="1"/>
        <v>3795</v>
      </c>
    </row>
    <row r="16" ht="15.75" customHeight="1">
      <c r="A16" s="164">
        <v>15.0</v>
      </c>
      <c r="B16" s="165">
        <v>400.0</v>
      </c>
      <c r="C16" s="164">
        <f t="shared" si="1"/>
        <v>4195</v>
      </c>
    </row>
    <row r="17" ht="15.75" customHeight="1">
      <c r="A17" s="164">
        <v>16.0</v>
      </c>
      <c r="B17" s="165">
        <v>400.0</v>
      </c>
      <c r="C17" s="164">
        <f t="shared" si="1"/>
        <v>4595</v>
      </c>
    </row>
    <row r="18" ht="15.75" customHeight="1">
      <c r="A18" s="164">
        <v>17.0</v>
      </c>
      <c r="B18" s="165">
        <v>400.0</v>
      </c>
      <c r="C18" s="164">
        <f t="shared" si="1"/>
        <v>4995</v>
      </c>
    </row>
    <row r="19" ht="15.75" customHeight="1">
      <c r="A19" s="164">
        <v>18.0</v>
      </c>
      <c r="B19" s="165">
        <v>400.0</v>
      </c>
      <c r="C19" s="164">
        <f t="shared" si="1"/>
        <v>5395</v>
      </c>
    </row>
    <row r="20" ht="15.75" customHeight="1">
      <c r="A20" s="164">
        <v>19.0</v>
      </c>
      <c r="B20" s="165">
        <v>400.0</v>
      </c>
      <c r="C20" s="164">
        <f t="shared" si="1"/>
        <v>5795</v>
      </c>
    </row>
    <row r="21" ht="15.75" customHeight="1">
      <c r="A21" s="164">
        <v>20.0</v>
      </c>
      <c r="B21" s="165">
        <v>500.0</v>
      </c>
      <c r="C21" s="164">
        <f t="shared" si="1"/>
        <v>6295</v>
      </c>
    </row>
    <row r="22" ht="15.75" customHeight="1">
      <c r="A22" s="164">
        <v>21.0</v>
      </c>
      <c r="B22" s="165">
        <v>500.0</v>
      </c>
      <c r="C22" s="164">
        <f t="shared" si="1"/>
        <v>6795</v>
      </c>
    </row>
    <row r="23" ht="15.75" customHeight="1">
      <c r="A23" s="164">
        <v>22.0</v>
      </c>
      <c r="B23" s="165">
        <v>500.0</v>
      </c>
      <c r="C23" s="164">
        <f t="shared" si="1"/>
        <v>7295</v>
      </c>
    </row>
    <row r="24" ht="15.75" customHeight="1">
      <c r="A24" s="164">
        <v>23.0</v>
      </c>
      <c r="B24" s="165">
        <v>500.0</v>
      </c>
      <c r="C24" s="164">
        <f t="shared" si="1"/>
        <v>7795</v>
      </c>
    </row>
    <row r="25" ht="15.75" customHeight="1">
      <c r="A25" s="164">
        <v>24.0</v>
      </c>
      <c r="B25" s="165">
        <v>500.0</v>
      </c>
      <c r="C25" s="164">
        <f t="shared" si="1"/>
        <v>8295</v>
      </c>
    </row>
    <row r="26" ht="15.75" customHeight="1">
      <c r="A26" s="164">
        <v>25.0</v>
      </c>
      <c r="B26" s="165">
        <v>1000.0</v>
      </c>
      <c r="C26" s="164">
        <f t="shared" si="1"/>
        <v>9295</v>
      </c>
    </row>
    <row r="27" ht="15.75" customHeight="1">
      <c r="A27" s="164">
        <v>26.0</v>
      </c>
      <c r="B27" s="165">
        <v>1000.0</v>
      </c>
      <c r="C27" s="164">
        <f t="shared" si="1"/>
        <v>10295</v>
      </c>
    </row>
    <row r="28" ht="15.75" customHeight="1">
      <c r="A28" s="164">
        <v>27.0</v>
      </c>
      <c r="B28" s="165">
        <v>1000.0</v>
      </c>
      <c r="C28" s="164">
        <f t="shared" si="1"/>
        <v>11295</v>
      </c>
    </row>
    <row r="29" ht="15.75" customHeight="1">
      <c r="A29" s="164">
        <v>28.0</v>
      </c>
      <c r="B29" s="165">
        <v>1000.0</v>
      </c>
      <c r="C29" s="164">
        <f t="shared" si="1"/>
        <v>12295</v>
      </c>
    </row>
    <row r="30" ht="15.75" customHeight="1">
      <c r="A30" s="164">
        <v>29.0</v>
      </c>
      <c r="B30" s="165">
        <v>1000.0</v>
      </c>
      <c r="C30" s="164">
        <f t="shared" si="1"/>
        <v>13295</v>
      </c>
    </row>
    <row r="31" ht="15.75" customHeight="1">
      <c r="A31" s="164">
        <v>30.0</v>
      </c>
      <c r="B31" s="165">
        <v>1000.0</v>
      </c>
      <c r="C31" s="164">
        <f t="shared" si="1"/>
        <v>14295</v>
      </c>
    </row>
    <row r="32" ht="15.75" customHeight="1">
      <c r="A32" s="164">
        <v>31.0</v>
      </c>
      <c r="B32" s="165">
        <v>1800.0</v>
      </c>
      <c r="C32" s="164">
        <f t="shared" si="1"/>
        <v>16095</v>
      </c>
    </row>
    <row r="33" ht="15.75" customHeight="1">
      <c r="A33" s="164">
        <v>32.0</v>
      </c>
      <c r="B33" s="165">
        <v>1800.0</v>
      </c>
      <c r="C33" s="164">
        <f t="shared" si="1"/>
        <v>17895</v>
      </c>
    </row>
    <row r="34" ht="15.75" customHeight="1">
      <c r="A34" s="164">
        <v>33.0</v>
      </c>
      <c r="B34" s="165">
        <v>1800.0</v>
      </c>
      <c r="C34" s="164">
        <f t="shared" si="1"/>
        <v>19695</v>
      </c>
    </row>
    <row r="35" ht="15.75" customHeight="1">
      <c r="A35" s="164">
        <v>34.0</v>
      </c>
      <c r="B35" s="165">
        <v>1800.0</v>
      </c>
      <c r="C35" s="164">
        <f t="shared" si="1"/>
        <v>21495</v>
      </c>
    </row>
    <row r="36" ht="15.75" customHeight="1">
      <c r="A36" s="164">
        <v>35.0</v>
      </c>
      <c r="B36" s="165">
        <v>1800.0</v>
      </c>
      <c r="C36" s="164">
        <f t="shared" si="1"/>
        <v>23295</v>
      </c>
    </row>
    <row r="37" ht="15.75" customHeight="1">
      <c r="A37" s="164">
        <v>36.0</v>
      </c>
      <c r="B37" s="165">
        <v>2500.0</v>
      </c>
      <c r="C37" s="164">
        <f t="shared" si="1"/>
        <v>25795</v>
      </c>
    </row>
    <row r="38" ht="15.75" customHeight="1">
      <c r="A38" s="164">
        <v>37.0</v>
      </c>
      <c r="B38" s="165">
        <v>2500.0</v>
      </c>
      <c r="C38" s="164">
        <f t="shared" si="1"/>
        <v>28295</v>
      </c>
    </row>
    <row r="39" ht="15.75" customHeight="1">
      <c r="A39" s="164">
        <v>38.0</v>
      </c>
      <c r="B39" s="165">
        <v>2500.0</v>
      </c>
      <c r="C39" s="164">
        <f t="shared" si="1"/>
        <v>30795</v>
      </c>
    </row>
    <row r="40" ht="15.75" customHeight="1">
      <c r="A40" s="164">
        <v>39.0</v>
      </c>
      <c r="B40" s="165">
        <v>2500.0</v>
      </c>
      <c r="C40" s="164">
        <f t="shared" si="1"/>
        <v>33295</v>
      </c>
    </row>
    <row r="41" ht="15.75" customHeight="1">
      <c r="A41" s="164">
        <v>40.0</v>
      </c>
      <c r="B41" s="165">
        <v>2500.0</v>
      </c>
      <c r="C41" s="164">
        <f t="shared" si="1"/>
        <v>35795</v>
      </c>
    </row>
    <row r="42" ht="15.75" customHeight="1">
      <c r="A42" s="164">
        <v>41.0</v>
      </c>
      <c r="B42" s="165">
        <v>2500.0</v>
      </c>
      <c r="C42" s="164">
        <f t="shared" si="1"/>
        <v>38295</v>
      </c>
    </row>
    <row r="43" ht="15.75" customHeight="1">
      <c r="A43" s="164">
        <v>42.0</v>
      </c>
      <c r="B43" s="165">
        <v>3562.0</v>
      </c>
      <c r="C43" s="164">
        <f t="shared" si="1"/>
        <v>41857</v>
      </c>
    </row>
    <row r="44" ht="15.75" customHeight="1">
      <c r="A44" s="164">
        <v>43.0</v>
      </c>
      <c r="B44" s="165">
        <v>2626.0</v>
      </c>
      <c r="C44" s="164">
        <f t="shared" si="1"/>
        <v>44483</v>
      </c>
    </row>
    <row r="45" ht="15.75" customHeight="1">
      <c r="A45" s="164">
        <v>44.0</v>
      </c>
      <c r="B45" s="165">
        <v>2740.0</v>
      </c>
      <c r="C45" s="164">
        <f t="shared" si="1"/>
        <v>47223</v>
      </c>
    </row>
    <row r="46" ht="15.75" customHeight="1">
      <c r="A46" s="164">
        <v>45.0</v>
      </c>
      <c r="B46" s="165">
        <v>2856.0</v>
      </c>
      <c r="C46" s="164">
        <f t="shared" si="1"/>
        <v>50079</v>
      </c>
    </row>
    <row r="47" ht="15.75" customHeight="1">
      <c r="A47" s="164">
        <v>46.0</v>
      </c>
      <c r="B47" s="165">
        <v>2974.0</v>
      </c>
      <c r="C47" s="164">
        <f t="shared" si="1"/>
        <v>53053</v>
      </c>
    </row>
    <row r="48" ht="15.75" customHeight="1">
      <c r="A48" s="164">
        <v>47.0</v>
      </c>
      <c r="B48" s="165">
        <v>3096.0</v>
      </c>
      <c r="C48" s="164">
        <f t="shared" si="1"/>
        <v>56149</v>
      </c>
    </row>
    <row r="49" ht="15.75" customHeight="1">
      <c r="A49" s="164">
        <v>48.0</v>
      </c>
      <c r="B49" s="165">
        <v>3218.0</v>
      </c>
      <c r="C49" s="164">
        <f t="shared" si="1"/>
        <v>59367</v>
      </c>
    </row>
    <row r="50" ht="15.75" customHeight="1">
      <c r="A50" s="164">
        <v>49.0</v>
      </c>
      <c r="B50" s="165">
        <v>3344.0</v>
      </c>
      <c r="C50" s="164">
        <f t="shared" si="1"/>
        <v>62711</v>
      </c>
    </row>
    <row r="51" ht="15.75" customHeight="1">
      <c r="A51" s="164">
        <v>50.0</v>
      </c>
      <c r="B51" s="165">
        <v>3472.0</v>
      </c>
      <c r="C51" s="164">
        <f t="shared" si="1"/>
        <v>66183</v>
      </c>
    </row>
    <row r="52" ht="15.75" customHeight="1">
      <c r="A52" s="164">
        <v>51.0</v>
      </c>
      <c r="B52" s="165">
        <v>3602.0</v>
      </c>
      <c r="C52" s="164">
        <f t="shared" si="1"/>
        <v>69785</v>
      </c>
    </row>
    <row r="53" ht="15.75" customHeight="1">
      <c r="A53" s="164">
        <v>52.0</v>
      </c>
      <c r="B53" s="165">
        <v>3736.0</v>
      </c>
      <c r="C53" s="164">
        <f t="shared" si="1"/>
        <v>73521</v>
      </c>
    </row>
    <row r="54" ht="15.75" customHeight="1">
      <c r="A54" s="164">
        <v>53.0</v>
      </c>
      <c r="B54" s="165">
        <v>3870.0</v>
      </c>
      <c r="C54" s="164">
        <f t="shared" si="1"/>
        <v>77391</v>
      </c>
    </row>
    <row r="55" ht="15.75" customHeight="1">
      <c r="A55" s="164">
        <v>54.0</v>
      </c>
      <c r="B55" s="165">
        <v>4008.0</v>
      </c>
      <c r="C55" s="164">
        <f t="shared" si="1"/>
        <v>81399</v>
      </c>
    </row>
    <row r="56" ht="15.75" customHeight="1">
      <c r="A56" s="164">
        <v>55.0</v>
      </c>
      <c r="B56" s="165">
        <v>4148.0</v>
      </c>
      <c r="C56" s="164">
        <f t="shared" si="1"/>
        <v>85547</v>
      </c>
    </row>
    <row r="57" ht="15.75" customHeight="1">
      <c r="A57" s="164">
        <v>56.0</v>
      </c>
      <c r="B57" s="165">
        <v>4290.0</v>
      </c>
      <c r="C57" s="164">
        <f t="shared" si="1"/>
        <v>89837</v>
      </c>
    </row>
    <row r="58" ht="15.75" customHeight="1">
      <c r="A58" s="164">
        <v>57.0</v>
      </c>
      <c r="B58" s="165">
        <v>4436.0</v>
      </c>
      <c r="C58" s="164">
        <f t="shared" si="1"/>
        <v>94273</v>
      </c>
    </row>
    <row r="59" ht="15.75" customHeight="1">
      <c r="A59" s="164">
        <v>58.0</v>
      </c>
      <c r="B59" s="165">
        <v>4582.0</v>
      </c>
      <c r="C59" s="164">
        <f t="shared" si="1"/>
        <v>98855</v>
      </c>
    </row>
    <row r="60" ht="15.75" customHeight="1">
      <c r="A60" s="164">
        <v>59.0</v>
      </c>
      <c r="B60" s="165">
        <v>4732.0</v>
      </c>
      <c r="C60" s="164">
        <f t="shared" si="1"/>
        <v>103587</v>
      </c>
    </row>
    <row r="61" ht="15.75" customHeight="1">
      <c r="A61" s="164">
        <v>60.0</v>
      </c>
      <c r="B61" s="165">
        <v>4884.0</v>
      </c>
      <c r="C61" s="164">
        <f t="shared" si="1"/>
        <v>108471</v>
      </c>
    </row>
    <row r="62" ht="15.75" customHeight="1">
      <c r="A62" s="164">
        <v>61.0</v>
      </c>
      <c r="B62" s="165">
        <v>5038.0</v>
      </c>
      <c r="C62" s="164">
        <f t="shared" si="1"/>
        <v>113509</v>
      </c>
    </row>
    <row r="63" ht="15.75" customHeight="1">
      <c r="A63" s="164">
        <v>62.0</v>
      </c>
      <c r="B63" s="165">
        <v>5196.0</v>
      </c>
      <c r="C63" s="164">
        <f t="shared" si="1"/>
        <v>118705</v>
      </c>
    </row>
    <row r="64" ht="15.75" customHeight="1">
      <c r="A64" s="164">
        <v>63.0</v>
      </c>
      <c r="B64" s="165">
        <v>5354.0</v>
      </c>
      <c r="C64" s="164">
        <f t="shared" si="1"/>
        <v>124059</v>
      </c>
    </row>
    <row r="65" ht="15.75" customHeight="1">
      <c r="A65" s="164">
        <v>64.0</v>
      </c>
      <c r="B65" s="165">
        <v>5516.0</v>
      </c>
      <c r="C65" s="164">
        <f t="shared" si="1"/>
        <v>129575</v>
      </c>
    </row>
    <row r="66" ht="15.75" customHeight="1">
      <c r="A66" s="164">
        <v>65.0</v>
      </c>
      <c r="B66" s="165">
        <v>5680.0</v>
      </c>
      <c r="C66" s="164">
        <f t="shared" si="1"/>
        <v>135255</v>
      </c>
    </row>
    <row r="67" ht="15.75" customHeight="1">
      <c r="A67" s="164">
        <v>66.0</v>
      </c>
      <c r="B67" s="165">
        <v>5846.0</v>
      </c>
      <c r="C67" s="164">
        <f t="shared" si="1"/>
        <v>141101</v>
      </c>
    </row>
    <row r="68" ht="15.75" customHeight="1">
      <c r="A68" s="164">
        <v>67.0</v>
      </c>
      <c r="B68" s="165">
        <v>6016.0</v>
      </c>
      <c r="C68" s="164">
        <f t="shared" si="1"/>
        <v>147117</v>
      </c>
    </row>
    <row r="69" ht="15.75" customHeight="1">
      <c r="A69" s="164">
        <v>68.0</v>
      </c>
      <c r="B69" s="165">
        <v>8686.0</v>
      </c>
      <c r="C69" s="164">
        <f t="shared" si="1"/>
        <v>155803</v>
      </c>
    </row>
    <row r="70" ht="15.75" customHeight="1">
      <c r="A70" s="164">
        <v>69.0</v>
      </c>
      <c r="B70" s="165">
        <v>9800.0</v>
      </c>
      <c r="C70" s="164">
        <f t="shared" si="1"/>
        <v>165603</v>
      </c>
    </row>
    <row r="71" ht="15.75" customHeight="1">
      <c r="A71" s="164">
        <v>70.0</v>
      </c>
      <c r="B71" s="165">
        <v>12603.0</v>
      </c>
      <c r="C71" s="164">
        <f t="shared" si="1"/>
        <v>178206</v>
      </c>
    </row>
    <row r="72" ht="15.75" customHeight="1">
      <c r="A72" s="164">
        <v>71.0</v>
      </c>
      <c r="B72" s="165">
        <v>18662.0</v>
      </c>
      <c r="C72" s="164">
        <f t="shared" si="1"/>
        <v>196868</v>
      </c>
    </row>
    <row r="73" ht="15.75" customHeight="1">
      <c r="A73" s="164">
        <v>72.0</v>
      </c>
      <c r="B73" s="165">
        <v>23450.0</v>
      </c>
      <c r="C73" s="164">
        <f t="shared" si="1"/>
        <v>220318</v>
      </c>
    </row>
    <row r="74" ht="15.75" customHeight="1">
      <c r="A74" s="164">
        <v>73.0</v>
      </c>
      <c r="B74" s="165">
        <v>26405.0</v>
      </c>
      <c r="C74" s="164">
        <f t="shared" si="1"/>
        <v>246723</v>
      </c>
    </row>
    <row r="75" ht="15.75" customHeight="1">
      <c r="A75" s="164">
        <v>74.0</v>
      </c>
      <c r="B75" s="165">
        <v>29431.0</v>
      </c>
      <c r="C75" s="164">
        <f t="shared" si="1"/>
        <v>276154</v>
      </c>
    </row>
    <row r="76" ht="15.75" customHeight="1">
      <c r="A76" s="164">
        <v>75.0</v>
      </c>
      <c r="B76" s="165">
        <v>32530.0</v>
      </c>
      <c r="C76" s="164">
        <f t="shared" si="1"/>
        <v>308684</v>
      </c>
    </row>
    <row r="77" ht="15.75" customHeight="1">
      <c r="A77" s="164">
        <v>76.0</v>
      </c>
      <c r="B77" s="165">
        <v>33402.0</v>
      </c>
      <c r="C77" s="164">
        <f t="shared" si="1"/>
        <v>342086</v>
      </c>
    </row>
    <row r="78" ht="15.75" customHeight="1">
      <c r="A78" s="164">
        <v>77.0</v>
      </c>
      <c r="B78" s="165">
        <v>34286.0</v>
      </c>
      <c r="C78" s="164">
        <f t="shared" si="1"/>
        <v>376372</v>
      </c>
    </row>
    <row r="79" ht="15.75" customHeight="1">
      <c r="A79" s="164">
        <v>78.0</v>
      </c>
      <c r="B79" s="165">
        <v>35181.0</v>
      </c>
      <c r="C79" s="164">
        <f t="shared" si="1"/>
        <v>411553</v>
      </c>
    </row>
    <row r="80" ht="15.75" customHeight="1">
      <c r="A80" s="164">
        <v>79.0</v>
      </c>
      <c r="B80" s="165">
        <v>36088.0</v>
      </c>
      <c r="C80" s="164">
        <f t="shared" si="1"/>
        <v>447641</v>
      </c>
    </row>
    <row r="81" ht="15.75" customHeight="1">
      <c r="A81" s="164">
        <v>80.0</v>
      </c>
      <c r="B81" s="165">
        <v>37006.0</v>
      </c>
      <c r="C81" s="164">
        <f t="shared" si="1"/>
        <v>484647</v>
      </c>
    </row>
    <row r="82" ht="15.75" customHeight="1">
      <c r="A82" s="164">
        <v>81.0</v>
      </c>
      <c r="B82" s="165">
        <v>37936.0</v>
      </c>
      <c r="C82" s="164">
        <f t="shared" si="1"/>
        <v>522583</v>
      </c>
    </row>
    <row r="83" ht="15.75" customHeight="1">
      <c r="A83" s="164">
        <v>82.0</v>
      </c>
      <c r="B83" s="165">
        <v>38878.0</v>
      </c>
      <c r="C83" s="164">
        <f t="shared" si="1"/>
        <v>561461</v>
      </c>
    </row>
    <row r="84" ht="15.75" customHeight="1">
      <c r="A84" s="164">
        <v>83.0</v>
      </c>
      <c r="B84" s="165">
        <v>39831.0</v>
      </c>
      <c r="C84" s="164">
        <f t="shared" si="1"/>
        <v>601292</v>
      </c>
    </row>
    <row r="85" ht="15.75" customHeight="1">
      <c r="A85" s="164">
        <v>84.0</v>
      </c>
      <c r="B85" s="165">
        <v>40795.0</v>
      </c>
      <c r="C85" s="164">
        <f t="shared" si="1"/>
        <v>642087</v>
      </c>
    </row>
    <row r="86" ht="15.75" customHeight="1">
      <c r="A86" s="164">
        <v>85.0</v>
      </c>
      <c r="B86" s="165">
        <v>41771.0</v>
      </c>
      <c r="C86" s="164">
        <f t="shared" si="1"/>
        <v>683858</v>
      </c>
    </row>
    <row r="87" ht="15.75" customHeight="1">
      <c r="A87" s="164">
        <v>86.0</v>
      </c>
      <c r="B87" s="165">
        <v>42759.0</v>
      </c>
      <c r="C87" s="164">
        <f t="shared" si="1"/>
        <v>726617</v>
      </c>
    </row>
    <row r="88" ht="15.75" customHeight="1">
      <c r="A88" s="164">
        <v>87.0</v>
      </c>
      <c r="B88" s="165">
        <v>43758.0</v>
      </c>
      <c r="C88" s="164">
        <f t="shared" si="1"/>
        <v>770375</v>
      </c>
    </row>
    <row r="89" ht="15.75" customHeight="1">
      <c r="A89" s="164">
        <v>88.0</v>
      </c>
      <c r="B89" s="165">
        <v>44769.0</v>
      </c>
      <c r="C89" s="164">
        <f t="shared" si="1"/>
        <v>815144</v>
      </c>
    </row>
    <row r="90" ht="15.75" customHeight="1">
      <c r="A90" s="164">
        <v>89.0</v>
      </c>
      <c r="B90" s="165">
        <v>45791.0</v>
      </c>
      <c r="C90" s="164">
        <f t="shared" si="1"/>
        <v>860935</v>
      </c>
    </row>
    <row r="91" ht="15.75" customHeight="1">
      <c r="A91" s="164">
        <v>90.0</v>
      </c>
      <c r="B91" s="165">
        <v>46825.0</v>
      </c>
      <c r="C91" s="164">
        <f t="shared" si="1"/>
        <v>907760</v>
      </c>
    </row>
    <row r="92" ht="15.75" customHeight="1">
      <c r="A92" s="164">
        <v>91.0</v>
      </c>
      <c r="B92" s="165">
        <v>47870.0</v>
      </c>
      <c r="C92" s="164">
        <f t="shared" si="1"/>
        <v>955630</v>
      </c>
    </row>
    <row r="93" ht="15.75" customHeight="1">
      <c r="A93" s="164">
        <v>92.0</v>
      </c>
      <c r="B93" s="165">
        <v>48927.0</v>
      </c>
      <c r="C93" s="164">
        <f t="shared" si="1"/>
        <v>1004557</v>
      </c>
    </row>
    <row r="94" ht="15.75" customHeight="1">
      <c r="A94" s="164">
        <v>93.0</v>
      </c>
      <c r="B94" s="165">
        <v>49996.0</v>
      </c>
      <c r="C94" s="164">
        <f t="shared" si="1"/>
        <v>1054553</v>
      </c>
    </row>
    <row r="95" ht="15.75" customHeight="1">
      <c r="A95" s="164">
        <v>94.0</v>
      </c>
      <c r="B95" s="165">
        <v>51076.0</v>
      </c>
      <c r="C95" s="164">
        <f t="shared" si="1"/>
        <v>1105629</v>
      </c>
    </row>
    <row r="96" ht="15.75" customHeight="1">
      <c r="A96" s="164">
        <v>95.0</v>
      </c>
      <c r="B96" s="165">
        <v>52167.0</v>
      </c>
      <c r="C96" s="164">
        <f t="shared" si="1"/>
        <v>1157796</v>
      </c>
    </row>
    <row r="97" ht="15.75" customHeight="1">
      <c r="A97" s="164">
        <v>96.0</v>
      </c>
      <c r="B97" s="165">
        <v>53270.0</v>
      </c>
      <c r="C97" s="164">
        <f t="shared" si="1"/>
        <v>1211066</v>
      </c>
    </row>
    <row r="98" ht="15.75" customHeight="1">
      <c r="A98" s="164">
        <v>97.0</v>
      </c>
      <c r="B98" s="165">
        <v>54385.0</v>
      </c>
      <c r="C98" s="164">
        <f t="shared" si="1"/>
        <v>1265451</v>
      </c>
    </row>
    <row r="99" ht="15.75" customHeight="1">
      <c r="A99" s="164">
        <v>98.0</v>
      </c>
      <c r="B99" s="165">
        <v>55511.0</v>
      </c>
      <c r="C99" s="164">
        <f t="shared" si="1"/>
        <v>1320962</v>
      </c>
    </row>
    <row r="100" ht="15.75" customHeight="1">
      <c r="A100" s="164">
        <v>99.0</v>
      </c>
      <c r="B100" s="165">
        <v>56649.0</v>
      </c>
      <c r="C100" s="164">
        <f t="shared" si="1"/>
        <v>1377611</v>
      </c>
    </row>
    <row r="101" ht="15.75" customHeight="1">
      <c r="A101" s="164">
        <v>100.0</v>
      </c>
      <c r="B101" s="165">
        <v>57798.0</v>
      </c>
      <c r="C101" s="164">
        <f t="shared" si="1"/>
        <v>1435409</v>
      </c>
    </row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4.25" customHeight="1">
      <c r="A1" s="8" t="s">
        <v>507</v>
      </c>
      <c r="B1" s="8" t="s">
        <v>207</v>
      </c>
      <c r="C1" s="8" t="s">
        <v>4292</v>
      </c>
      <c r="D1" s="8" t="s">
        <v>4293</v>
      </c>
    </row>
    <row r="2" ht="14.25" customHeight="1">
      <c r="A2" s="8">
        <v>1.0</v>
      </c>
      <c r="B2" s="8">
        <v>5.0</v>
      </c>
      <c r="C2" s="8">
        <v>2.0</v>
      </c>
      <c r="D2" s="8">
        <f>B2*C2</f>
        <v>10</v>
      </c>
    </row>
    <row r="3" ht="14.25" customHeight="1">
      <c r="A3" s="8">
        <v>1.0</v>
      </c>
      <c r="B3" s="8">
        <v>10.0</v>
      </c>
      <c r="C3" s="8">
        <v>3.0</v>
      </c>
      <c r="D3" s="8">
        <f t="shared" ref="D3:D21" si="1">(B3-B2)*C3</f>
        <v>15</v>
      </c>
    </row>
    <row r="4" ht="14.25" customHeight="1">
      <c r="A4" s="8">
        <v>1.0</v>
      </c>
      <c r="B4" s="8">
        <v>15.0</v>
      </c>
      <c r="C4" s="8">
        <f t="shared" ref="C4:C6" si="2">C3+2</f>
        <v>5</v>
      </c>
      <c r="D4" s="8">
        <f t="shared" si="1"/>
        <v>25</v>
      </c>
    </row>
    <row r="5" ht="14.25" customHeight="1">
      <c r="A5" s="8">
        <v>1.0</v>
      </c>
      <c r="B5" s="8">
        <v>20.0</v>
      </c>
      <c r="C5" s="8">
        <f t="shared" si="2"/>
        <v>7</v>
      </c>
      <c r="D5" s="8">
        <f t="shared" si="1"/>
        <v>35</v>
      </c>
    </row>
    <row r="6" ht="14.25" customHeight="1">
      <c r="A6" s="8">
        <v>1.0</v>
      </c>
      <c r="B6" s="8">
        <v>25.0</v>
      </c>
      <c r="C6" s="8">
        <f t="shared" si="2"/>
        <v>9</v>
      </c>
      <c r="D6" s="8">
        <f t="shared" si="1"/>
        <v>45</v>
      </c>
    </row>
    <row r="7" ht="14.25" customHeight="1">
      <c r="A7" s="8">
        <v>1.0</v>
      </c>
      <c r="B7" s="8">
        <v>30.0</v>
      </c>
      <c r="C7" s="8">
        <f t="shared" ref="C7:C10" si="3">C6+3</f>
        <v>12</v>
      </c>
      <c r="D7" s="8">
        <f t="shared" si="1"/>
        <v>60</v>
      </c>
    </row>
    <row r="8" ht="14.25" customHeight="1">
      <c r="A8" s="8">
        <v>1.0</v>
      </c>
      <c r="B8" s="8">
        <v>35.0</v>
      </c>
      <c r="C8" s="8">
        <f t="shared" si="3"/>
        <v>15</v>
      </c>
      <c r="D8" s="8">
        <f t="shared" si="1"/>
        <v>75</v>
      </c>
    </row>
    <row r="9" ht="14.25" customHeight="1">
      <c r="A9" s="8">
        <v>1.0</v>
      </c>
      <c r="B9" s="8">
        <v>40.0</v>
      </c>
      <c r="C9" s="8">
        <f t="shared" si="3"/>
        <v>18</v>
      </c>
      <c r="D9" s="8">
        <f t="shared" si="1"/>
        <v>90</v>
      </c>
    </row>
    <row r="10" ht="14.25" customHeight="1">
      <c r="A10" s="8">
        <v>1.0</v>
      </c>
      <c r="B10" s="8">
        <v>45.0</v>
      </c>
      <c r="C10" s="8">
        <f t="shared" si="3"/>
        <v>21</v>
      </c>
      <c r="D10" s="8">
        <f t="shared" si="1"/>
        <v>105</v>
      </c>
    </row>
    <row r="11" ht="14.25" customHeight="1">
      <c r="A11" s="8">
        <v>1.0</v>
      </c>
      <c r="B11" s="8">
        <v>50.0</v>
      </c>
      <c r="C11" s="8">
        <f t="shared" ref="C11:C15" si="4">C10+4</f>
        <v>25</v>
      </c>
      <c r="D11" s="8">
        <f t="shared" si="1"/>
        <v>125</v>
      </c>
    </row>
    <row r="12" ht="14.25" customHeight="1">
      <c r="A12" s="8">
        <v>1.0</v>
      </c>
      <c r="B12" s="8">
        <v>55.0</v>
      </c>
      <c r="C12" s="8">
        <f t="shared" si="4"/>
        <v>29</v>
      </c>
      <c r="D12" s="8">
        <f t="shared" si="1"/>
        <v>145</v>
      </c>
    </row>
    <row r="13" ht="14.25" customHeight="1">
      <c r="A13" s="8">
        <v>1.0</v>
      </c>
      <c r="B13" s="8">
        <f t="shared" ref="B13:B21" si="5">B12+5</f>
        <v>60</v>
      </c>
      <c r="C13" s="8">
        <f t="shared" si="4"/>
        <v>33</v>
      </c>
      <c r="D13" s="8">
        <f t="shared" si="1"/>
        <v>165</v>
      </c>
    </row>
    <row r="14" ht="14.25" customHeight="1">
      <c r="A14" s="8">
        <v>1.0</v>
      </c>
      <c r="B14" s="8">
        <f t="shared" si="5"/>
        <v>65</v>
      </c>
      <c r="C14" s="8">
        <f t="shared" si="4"/>
        <v>37</v>
      </c>
      <c r="D14" s="8">
        <f t="shared" si="1"/>
        <v>185</v>
      </c>
    </row>
    <row r="15" ht="14.25" customHeight="1">
      <c r="A15" s="8">
        <v>1.0</v>
      </c>
      <c r="B15" s="8">
        <f t="shared" si="5"/>
        <v>70</v>
      </c>
      <c r="C15" s="8">
        <f t="shared" si="4"/>
        <v>41</v>
      </c>
      <c r="D15" s="8">
        <f t="shared" si="1"/>
        <v>205</v>
      </c>
    </row>
    <row r="16" ht="14.25" customHeight="1">
      <c r="A16" s="8">
        <v>1.0</v>
      </c>
      <c r="B16" s="8">
        <f t="shared" si="5"/>
        <v>75</v>
      </c>
      <c r="C16" s="8">
        <f t="shared" ref="C16:C21" si="6">C15+5</f>
        <v>46</v>
      </c>
      <c r="D16" s="8">
        <f t="shared" si="1"/>
        <v>230</v>
      </c>
    </row>
    <row r="17" ht="14.25" customHeight="1">
      <c r="A17" s="8">
        <v>1.0</v>
      </c>
      <c r="B17" s="8">
        <f t="shared" si="5"/>
        <v>80</v>
      </c>
      <c r="C17" s="8">
        <f t="shared" si="6"/>
        <v>51</v>
      </c>
      <c r="D17" s="8">
        <f t="shared" si="1"/>
        <v>255</v>
      </c>
    </row>
    <row r="18" ht="14.25" customHeight="1">
      <c r="A18" s="8">
        <v>1.0</v>
      </c>
      <c r="B18" s="8">
        <f t="shared" si="5"/>
        <v>85</v>
      </c>
      <c r="C18" s="8">
        <f t="shared" si="6"/>
        <v>56</v>
      </c>
      <c r="D18" s="8">
        <f t="shared" si="1"/>
        <v>280</v>
      </c>
    </row>
    <row r="19" ht="14.25" customHeight="1">
      <c r="A19" s="8">
        <v>1.0</v>
      </c>
      <c r="B19" s="8">
        <f t="shared" si="5"/>
        <v>90</v>
      </c>
      <c r="C19" s="8">
        <f t="shared" si="6"/>
        <v>61</v>
      </c>
      <c r="D19" s="8">
        <f t="shared" si="1"/>
        <v>305</v>
      </c>
    </row>
    <row r="20" ht="14.25" customHeight="1">
      <c r="A20" s="8">
        <v>1.0</v>
      </c>
      <c r="B20" s="8">
        <f t="shared" si="5"/>
        <v>95</v>
      </c>
      <c r="C20" s="8">
        <f t="shared" si="6"/>
        <v>66</v>
      </c>
      <c r="D20" s="8">
        <f t="shared" si="1"/>
        <v>330</v>
      </c>
    </row>
    <row r="21" ht="14.25" customHeight="1">
      <c r="A21" s="8">
        <v>1.0</v>
      </c>
      <c r="B21" s="8">
        <f t="shared" si="5"/>
        <v>100</v>
      </c>
      <c r="C21" s="8">
        <f t="shared" si="6"/>
        <v>71</v>
      </c>
      <c r="D21" s="8">
        <f t="shared" si="1"/>
        <v>355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1.0"/>
    <col customWidth="1" min="5" max="5" width="12.88"/>
    <col customWidth="1" min="6" max="26" width="11.0"/>
  </cols>
  <sheetData>
    <row r="1" ht="12.75" customHeight="1"/>
    <row r="2" ht="14.25" customHeight="1">
      <c r="A2" s="40" t="s">
        <v>3083</v>
      </c>
      <c r="B2" s="40" t="s">
        <v>2749</v>
      </c>
      <c r="C2" s="40" t="s">
        <v>3083</v>
      </c>
      <c r="D2" s="40" t="s">
        <v>4138</v>
      </c>
    </row>
    <row r="3" ht="14.25" customHeight="1">
      <c r="A3" s="42">
        <v>100.0</v>
      </c>
      <c r="B3" s="42">
        <v>25.0</v>
      </c>
      <c r="C3" s="42">
        <v>10001.0</v>
      </c>
      <c r="D3" s="54" t="s">
        <v>8</v>
      </c>
    </row>
    <row r="4" ht="14.25" customHeight="1">
      <c r="A4" s="42">
        <v>100.0</v>
      </c>
      <c r="B4" s="42">
        <v>25.0</v>
      </c>
      <c r="C4" s="42">
        <f t="shared" ref="C4:C9" si="1">C3+1</f>
        <v>10002</v>
      </c>
      <c r="D4" s="54" t="s">
        <v>8</v>
      </c>
    </row>
    <row r="5" ht="14.25" customHeight="1">
      <c r="A5" s="42">
        <v>100.0</v>
      </c>
      <c r="B5" s="42">
        <v>25.0</v>
      </c>
      <c r="C5" s="42">
        <f t="shared" si="1"/>
        <v>10003</v>
      </c>
      <c r="D5" s="54" t="s">
        <v>8</v>
      </c>
    </row>
    <row r="6" ht="14.25" customHeight="1">
      <c r="A6" s="42">
        <v>100.0</v>
      </c>
      <c r="B6" s="42">
        <v>25.0</v>
      </c>
      <c r="C6" s="42">
        <f t="shared" si="1"/>
        <v>10004</v>
      </c>
      <c r="D6" s="54" t="s">
        <v>8</v>
      </c>
    </row>
    <row r="7" ht="14.25" customHeight="1">
      <c r="A7" s="42">
        <v>100.0</v>
      </c>
      <c r="B7" s="42">
        <v>25.0</v>
      </c>
      <c r="C7" s="42">
        <f t="shared" si="1"/>
        <v>10005</v>
      </c>
      <c r="D7" s="54" t="s">
        <v>8</v>
      </c>
    </row>
    <row r="8" ht="14.25" customHeight="1">
      <c r="A8" s="42">
        <v>100.0</v>
      </c>
      <c r="B8" s="42">
        <v>25.0</v>
      </c>
      <c r="C8" s="42">
        <f t="shared" si="1"/>
        <v>10006</v>
      </c>
      <c r="D8" s="54" t="s">
        <v>8</v>
      </c>
    </row>
    <row r="9" ht="14.25" customHeight="1">
      <c r="A9" s="42">
        <v>100.0</v>
      </c>
      <c r="B9" s="42">
        <v>25.0</v>
      </c>
      <c r="C9" s="42">
        <f t="shared" si="1"/>
        <v>10007</v>
      </c>
      <c r="D9" s="54" t="s">
        <v>8</v>
      </c>
    </row>
    <row r="10" ht="14.25" customHeight="1">
      <c r="A10" s="42">
        <v>100.0</v>
      </c>
      <c r="B10" s="42">
        <v>25.0</v>
      </c>
      <c r="C10" s="42">
        <v>10008.0</v>
      </c>
      <c r="D10" s="54" t="s">
        <v>8</v>
      </c>
    </row>
    <row r="11" ht="14.25" customHeight="1">
      <c r="A11" s="42">
        <v>100.0</v>
      </c>
      <c r="B11" s="42">
        <v>25.0</v>
      </c>
      <c r="C11" s="42">
        <v>10009.0</v>
      </c>
      <c r="D11" s="54" t="s">
        <v>8</v>
      </c>
    </row>
    <row r="12" ht="14.25" customHeight="1">
      <c r="A12" s="42">
        <v>100.0</v>
      </c>
      <c r="B12" s="42">
        <v>25.0</v>
      </c>
      <c r="C12" s="42">
        <v>10010.0</v>
      </c>
      <c r="D12" s="54" t="s">
        <v>8</v>
      </c>
    </row>
    <row r="13" ht="14.25" customHeight="1">
      <c r="A13" s="42">
        <v>100.0</v>
      </c>
      <c r="B13" s="42">
        <v>25.0</v>
      </c>
      <c r="C13" s="42">
        <v>10011.0</v>
      </c>
      <c r="D13" s="54" t="s">
        <v>8</v>
      </c>
    </row>
    <row r="14" ht="14.25" customHeight="1">
      <c r="A14" s="42">
        <v>100.0</v>
      </c>
      <c r="B14" s="42">
        <v>25.0</v>
      </c>
      <c r="C14" s="42">
        <v>10012.0</v>
      </c>
      <c r="D14" s="54" t="s">
        <v>8</v>
      </c>
    </row>
    <row r="15" ht="14.25" customHeight="1">
      <c r="A15" s="42">
        <v>100.0</v>
      </c>
      <c r="B15" s="42">
        <v>300.0</v>
      </c>
      <c r="C15" s="42">
        <v>10013.0</v>
      </c>
      <c r="D15" s="54" t="s">
        <v>11</v>
      </c>
    </row>
    <row r="16" ht="14.25" customHeight="1">
      <c r="A16" s="42">
        <v>100.0</v>
      </c>
      <c r="B16" s="42">
        <v>300.0</v>
      </c>
      <c r="C16" s="42">
        <v>10014.0</v>
      </c>
      <c r="D16" s="54" t="s">
        <v>11</v>
      </c>
    </row>
    <row r="17" ht="14.25" customHeight="1">
      <c r="A17" s="42">
        <v>100.0</v>
      </c>
      <c r="B17" s="42">
        <v>300.0</v>
      </c>
      <c r="C17" s="42">
        <v>10015.0</v>
      </c>
      <c r="D17" s="54" t="s">
        <v>11</v>
      </c>
    </row>
    <row r="18" ht="14.25" customHeight="1">
      <c r="A18" s="42">
        <v>100.0</v>
      </c>
      <c r="B18" s="42">
        <v>300.0</v>
      </c>
      <c r="C18" s="42">
        <v>10016.0</v>
      </c>
      <c r="D18" s="54" t="s">
        <v>11</v>
      </c>
    </row>
    <row r="19" ht="14.25" customHeight="1">
      <c r="A19" s="42">
        <v>100.0</v>
      </c>
      <c r="B19" s="42">
        <v>300.0</v>
      </c>
      <c r="C19" s="42">
        <v>10017.0</v>
      </c>
      <c r="D19" s="54" t="s">
        <v>11</v>
      </c>
    </row>
    <row r="20" ht="14.25" customHeight="1">
      <c r="A20" s="42">
        <v>100.0</v>
      </c>
      <c r="B20" s="42">
        <v>300.0</v>
      </c>
      <c r="C20" s="42">
        <v>10018.0</v>
      </c>
      <c r="D20" s="54" t="s">
        <v>11</v>
      </c>
    </row>
    <row r="21" ht="14.25" customHeight="1">
      <c r="A21" s="42">
        <v>100.0</v>
      </c>
      <c r="B21" s="42">
        <v>300.0</v>
      </c>
      <c r="C21" s="42">
        <v>10019.0</v>
      </c>
      <c r="D21" s="54" t="s">
        <v>11</v>
      </c>
    </row>
    <row r="22" ht="14.25" customHeight="1">
      <c r="A22" s="42">
        <v>100.0</v>
      </c>
      <c r="B22" s="42">
        <v>300.0</v>
      </c>
      <c r="C22" s="42">
        <v>10020.0</v>
      </c>
      <c r="D22" s="54" t="s">
        <v>11</v>
      </c>
    </row>
    <row r="23" ht="14.25" customHeight="1">
      <c r="A23" s="42">
        <v>100.0</v>
      </c>
      <c r="B23" s="42">
        <v>300.0</v>
      </c>
      <c r="C23" s="42">
        <v>10021.0</v>
      </c>
      <c r="D23" s="54" t="s">
        <v>11</v>
      </c>
    </row>
    <row r="24" ht="14.25" customHeight="1">
      <c r="A24" s="42">
        <v>100.0</v>
      </c>
      <c r="B24" s="42">
        <v>700.0</v>
      </c>
      <c r="C24" s="42">
        <v>10022.0</v>
      </c>
      <c r="D24" s="54" t="s">
        <v>15</v>
      </c>
    </row>
    <row r="25" ht="14.25" customHeight="1">
      <c r="A25" s="42">
        <v>100.0</v>
      </c>
      <c r="B25" s="42">
        <v>700.0</v>
      </c>
      <c r="C25" s="42">
        <v>10023.0</v>
      </c>
      <c r="D25" s="54" t="s">
        <v>15</v>
      </c>
    </row>
    <row r="26" ht="14.25" customHeight="1">
      <c r="A26" s="42">
        <v>100.0</v>
      </c>
      <c r="B26" s="42">
        <v>700.0</v>
      </c>
      <c r="C26" s="42">
        <v>10024.0</v>
      </c>
      <c r="D26" s="54" t="s">
        <v>15</v>
      </c>
    </row>
    <row r="27" ht="14.25" customHeight="1">
      <c r="A27" s="42">
        <v>100.0</v>
      </c>
      <c r="B27" s="42">
        <v>700.0</v>
      </c>
      <c r="C27" s="42">
        <v>10025.0</v>
      </c>
      <c r="D27" s="54" t="s">
        <v>15</v>
      </c>
    </row>
    <row r="28" ht="14.25" customHeight="1">
      <c r="A28" s="42">
        <v>100.0</v>
      </c>
      <c r="B28" s="42">
        <v>700.0</v>
      </c>
      <c r="C28" s="42">
        <v>10026.0</v>
      </c>
      <c r="D28" s="54" t="s">
        <v>15</v>
      </c>
    </row>
    <row r="29" ht="14.25" customHeight="1">
      <c r="A29" s="42">
        <v>100.0</v>
      </c>
      <c r="B29" s="42">
        <v>700.0</v>
      </c>
      <c r="C29" s="42">
        <v>10027.0</v>
      </c>
      <c r="D29" s="54" t="s">
        <v>15</v>
      </c>
    </row>
    <row r="30" ht="14.25" customHeight="1">
      <c r="A30" s="42">
        <v>100.0</v>
      </c>
      <c r="B30" s="42">
        <v>700.0</v>
      </c>
      <c r="C30" s="42">
        <v>10028.0</v>
      </c>
      <c r="D30" s="54" t="s">
        <v>15</v>
      </c>
    </row>
    <row r="31" ht="14.25" customHeight="1">
      <c r="A31" s="42">
        <v>100.0</v>
      </c>
      <c r="B31" s="42">
        <v>700.0</v>
      </c>
      <c r="C31" s="42">
        <v>10029.0</v>
      </c>
      <c r="D31" s="54" t="s">
        <v>15</v>
      </c>
    </row>
    <row r="32" ht="14.25" customHeight="1">
      <c r="A32" s="42">
        <v>100.0</v>
      </c>
      <c r="B32" s="42">
        <v>700.0</v>
      </c>
      <c r="C32" s="42">
        <v>10030.0</v>
      </c>
      <c r="D32" s="54" t="s">
        <v>15</v>
      </c>
    </row>
    <row r="33" ht="14.25" customHeight="1">
      <c r="A33" s="42">
        <v>100.0</v>
      </c>
      <c r="B33" s="42">
        <v>700.0</v>
      </c>
      <c r="C33" s="42">
        <v>10031.0</v>
      </c>
      <c r="D33" s="54" t="s">
        <v>15</v>
      </c>
    </row>
    <row r="34" ht="12.75" customHeight="1"/>
    <row r="35" ht="14.25" customHeight="1">
      <c r="A35" s="40" t="s">
        <v>3083</v>
      </c>
      <c r="B35" s="40" t="s">
        <v>2749</v>
      </c>
      <c r="C35" s="40" t="s">
        <v>3083</v>
      </c>
      <c r="D35" s="40" t="s">
        <v>4138</v>
      </c>
    </row>
    <row r="36" ht="14.25" customHeight="1">
      <c r="A36" s="42">
        <v>101.0</v>
      </c>
      <c r="B36" s="8">
        <f t="shared" ref="B36:B59" si="2">IF(D36="R",200,IF(D36="SR",45,IF(D36="SSR",5)))</f>
        <v>200</v>
      </c>
      <c r="C36" s="8">
        <v>80001.0</v>
      </c>
      <c r="D36" s="42" t="s">
        <v>15</v>
      </c>
    </row>
    <row r="37" ht="14.25" customHeight="1">
      <c r="A37" s="42">
        <v>101.0</v>
      </c>
      <c r="B37" s="8">
        <f t="shared" si="2"/>
        <v>200</v>
      </c>
      <c r="C37" s="8">
        <v>81001.0</v>
      </c>
      <c r="D37" s="42" t="s">
        <v>15</v>
      </c>
    </row>
    <row r="38" ht="14.25" customHeight="1">
      <c r="A38" s="42">
        <v>101.0</v>
      </c>
      <c r="B38" s="8">
        <f t="shared" si="2"/>
        <v>200</v>
      </c>
      <c r="C38" s="8">
        <v>82001.0</v>
      </c>
      <c r="D38" s="42" t="s">
        <v>15</v>
      </c>
    </row>
    <row r="39" ht="14.25" customHeight="1">
      <c r="A39" s="42">
        <v>101.0</v>
      </c>
      <c r="B39" s="8">
        <f t="shared" si="2"/>
        <v>200</v>
      </c>
      <c r="C39" s="8">
        <v>83001.0</v>
      </c>
      <c r="D39" s="42" t="s">
        <v>15</v>
      </c>
    </row>
    <row r="40" ht="14.25" customHeight="1">
      <c r="A40" s="42">
        <v>101.0</v>
      </c>
      <c r="B40" s="8">
        <f t="shared" si="2"/>
        <v>200</v>
      </c>
      <c r="C40" s="8">
        <v>84001.0</v>
      </c>
      <c r="D40" s="42" t="s">
        <v>15</v>
      </c>
    </row>
    <row r="41" ht="14.25" customHeight="1">
      <c r="A41" s="42">
        <v>101.0</v>
      </c>
      <c r="B41" s="8">
        <f t="shared" si="2"/>
        <v>200</v>
      </c>
      <c r="C41" s="8">
        <v>85001.0</v>
      </c>
      <c r="D41" s="42" t="s">
        <v>15</v>
      </c>
    </row>
    <row r="42" ht="14.25" customHeight="1">
      <c r="A42" s="42">
        <v>101.0</v>
      </c>
      <c r="B42" s="8">
        <f t="shared" si="2"/>
        <v>45</v>
      </c>
      <c r="C42" s="8">
        <f t="shared" ref="C42:C107" si="3">C36+1</f>
        <v>80002</v>
      </c>
      <c r="D42" s="42" t="s">
        <v>11</v>
      </c>
    </row>
    <row r="43" ht="14.25" customHeight="1">
      <c r="A43" s="42">
        <v>101.0</v>
      </c>
      <c r="B43" s="8">
        <f t="shared" si="2"/>
        <v>45</v>
      </c>
      <c r="C43" s="8">
        <f t="shared" si="3"/>
        <v>81002</v>
      </c>
      <c r="D43" s="42" t="s">
        <v>11</v>
      </c>
    </row>
    <row r="44" ht="14.25" customHeight="1">
      <c r="A44" s="42">
        <v>101.0</v>
      </c>
      <c r="B44" s="8">
        <f t="shared" si="2"/>
        <v>45</v>
      </c>
      <c r="C44" s="8">
        <f t="shared" si="3"/>
        <v>82002</v>
      </c>
      <c r="D44" s="42" t="s">
        <v>11</v>
      </c>
    </row>
    <row r="45" ht="14.25" customHeight="1">
      <c r="A45" s="42">
        <v>101.0</v>
      </c>
      <c r="B45" s="8">
        <f t="shared" si="2"/>
        <v>45</v>
      </c>
      <c r="C45" s="8">
        <f t="shared" si="3"/>
        <v>83002</v>
      </c>
      <c r="D45" s="42" t="s">
        <v>11</v>
      </c>
    </row>
    <row r="46" ht="14.25" customHeight="1">
      <c r="A46" s="42">
        <v>101.0</v>
      </c>
      <c r="B46" s="8">
        <f t="shared" si="2"/>
        <v>45</v>
      </c>
      <c r="C46" s="8">
        <f t="shared" si="3"/>
        <v>84002</v>
      </c>
      <c r="D46" s="42" t="s">
        <v>11</v>
      </c>
    </row>
    <row r="47" ht="14.25" customHeight="1">
      <c r="A47" s="42">
        <v>101.0</v>
      </c>
      <c r="B47" s="8">
        <f t="shared" si="2"/>
        <v>45</v>
      </c>
      <c r="C47" s="8">
        <f t="shared" si="3"/>
        <v>85002</v>
      </c>
      <c r="D47" s="42" t="s">
        <v>11</v>
      </c>
    </row>
    <row r="48" ht="14.25" customHeight="1">
      <c r="A48" s="42">
        <v>101.0</v>
      </c>
      <c r="B48" s="8">
        <f t="shared" si="2"/>
        <v>45</v>
      </c>
      <c r="C48" s="8">
        <f t="shared" si="3"/>
        <v>80003</v>
      </c>
      <c r="D48" s="42" t="s">
        <v>11</v>
      </c>
    </row>
    <row r="49" ht="14.25" customHeight="1">
      <c r="A49" s="42">
        <v>101.0</v>
      </c>
      <c r="B49" s="8">
        <f t="shared" si="2"/>
        <v>45</v>
      </c>
      <c r="C49" s="8">
        <f t="shared" si="3"/>
        <v>81003</v>
      </c>
      <c r="D49" s="42" t="s">
        <v>11</v>
      </c>
    </row>
    <row r="50" ht="14.25" customHeight="1">
      <c r="A50" s="42">
        <v>101.0</v>
      </c>
      <c r="B50" s="8">
        <f t="shared" si="2"/>
        <v>45</v>
      </c>
      <c r="C50" s="8">
        <f t="shared" si="3"/>
        <v>82003</v>
      </c>
      <c r="D50" s="42" t="s">
        <v>11</v>
      </c>
    </row>
    <row r="51" ht="14.25" customHeight="1">
      <c r="A51" s="42">
        <v>101.0</v>
      </c>
      <c r="B51" s="8">
        <f t="shared" si="2"/>
        <v>45</v>
      </c>
      <c r="C51" s="8">
        <f t="shared" si="3"/>
        <v>83003</v>
      </c>
      <c r="D51" s="42" t="s">
        <v>11</v>
      </c>
    </row>
    <row r="52" ht="14.25" customHeight="1">
      <c r="A52" s="42">
        <v>101.0</v>
      </c>
      <c r="B52" s="8">
        <f t="shared" si="2"/>
        <v>45</v>
      </c>
      <c r="C52" s="8">
        <f t="shared" si="3"/>
        <v>84003</v>
      </c>
      <c r="D52" s="42" t="s">
        <v>11</v>
      </c>
    </row>
    <row r="53" ht="14.25" customHeight="1">
      <c r="A53" s="42">
        <v>101.0</v>
      </c>
      <c r="B53" s="8">
        <f t="shared" si="2"/>
        <v>45</v>
      </c>
      <c r="C53" s="8">
        <f t="shared" si="3"/>
        <v>85003</v>
      </c>
      <c r="D53" s="42" t="s">
        <v>11</v>
      </c>
    </row>
    <row r="54" ht="14.25" customHeight="1">
      <c r="A54" s="42">
        <v>101.0</v>
      </c>
      <c r="B54" s="8">
        <f t="shared" si="2"/>
        <v>5</v>
      </c>
      <c r="C54" s="8">
        <f t="shared" si="3"/>
        <v>80004</v>
      </c>
      <c r="D54" s="42" t="s">
        <v>8</v>
      </c>
    </row>
    <row r="55" ht="14.25" customHeight="1">
      <c r="A55" s="42">
        <v>101.0</v>
      </c>
      <c r="B55" s="8">
        <f t="shared" si="2"/>
        <v>5</v>
      </c>
      <c r="C55" s="8">
        <f t="shared" si="3"/>
        <v>81004</v>
      </c>
      <c r="D55" s="42" t="s">
        <v>8</v>
      </c>
    </row>
    <row r="56" ht="14.25" customHeight="1">
      <c r="A56" s="42">
        <v>101.0</v>
      </c>
      <c r="B56" s="8">
        <f t="shared" si="2"/>
        <v>5</v>
      </c>
      <c r="C56" s="8">
        <f t="shared" si="3"/>
        <v>82004</v>
      </c>
      <c r="D56" s="42" t="s">
        <v>8</v>
      </c>
    </row>
    <row r="57" ht="14.25" customHeight="1">
      <c r="A57" s="42">
        <v>101.0</v>
      </c>
      <c r="B57" s="8">
        <f t="shared" si="2"/>
        <v>5</v>
      </c>
      <c r="C57" s="8">
        <f t="shared" si="3"/>
        <v>83004</v>
      </c>
      <c r="D57" s="42" t="s">
        <v>8</v>
      </c>
    </row>
    <row r="58" ht="14.25" customHeight="1">
      <c r="A58" s="42">
        <v>101.0</v>
      </c>
      <c r="B58" s="8">
        <f t="shared" si="2"/>
        <v>5</v>
      </c>
      <c r="C58" s="8">
        <f t="shared" si="3"/>
        <v>84004</v>
      </c>
      <c r="D58" s="42" t="s">
        <v>8</v>
      </c>
    </row>
    <row r="59" ht="14.25" customHeight="1">
      <c r="A59" s="42">
        <v>101.0</v>
      </c>
      <c r="B59" s="8">
        <f t="shared" si="2"/>
        <v>5</v>
      </c>
      <c r="C59" s="8">
        <f t="shared" si="3"/>
        <v>85004</v>
      </c>
      <c r="D59" s="42" t="s">
        <v>8</v>
      </c>
    </row>
    <row r="60" ht="14.25" customHeight="1">
      <c r="A60" s="42">
        <v>101.0</v>
      </c>
      <c r="B60" s="8">
        <v>195.0</v>
      </c>
      <c r="C60" s="8">
        <f t="shared" si="3"/>
        <v>80005</v>
      </c>
      <c r="D60" s="42" t="s">
        <v>15</v>
      </c>
    </row>
    <row r="61" ht="14.25" customHeight="1">
      <c r="A61" s="42">
        <v>101.0</v>
      </c>
      <c r="B61" s="8">
        <f t="shared" ref="B61:B117" si="4">IF(D61="R",200,IF(D61="SR",45,IF(D61="SSR",5)))</f>
        <v>200</v>
      </c>
      <c r="C61" s="8">
        <f t="shared" si="3"/>
        <v>81005</v>
      </c>
      <c r="D61" s="42" t="s">
        <v>15</v>
      </c>
    </row>
    <row r="62" ht="14.25" customHeight="1">
      <c r="A62" s="42">
        <v>101.0</v>
      </c>
      <c r="B62" s="8">
        <f t="shared" si="4"/>
        <v>200</v>
      </c>
      <c r="C62" s="8">
        <f t="shared" si="3"/>
        <v>82005</v>
      </c>
      <c r="D62" s="42" t="s">
        <v>15</v>
      </c>
    </row>
    <row r="63" ht="14.25" customHeight="1">
      <c r="A63" s="42">
        <v>101.0</v>
      </c>
      <c r="B63" s="8">
        <f t="shared" si="4"/>
        <v>200</v>
      </c>
      <c r="C63" s="8">
        <f t="shared" si="3"/>
        <v>83005</v>
      </c>
      <c r="D63" s="42" t="s">
        <v>15</v>
      </c>
    </row>
    <row r="64" ht="14.25" customHeight="1">
      <c r="A64" s="42">
        <v>101.0</v>
      </c>
      <c r="B64" s="8">
        <f t="shared" si="4"/>
        <v>200</v>
      </c>
      <c r="C64" s="8">
        <f t="shared" si="3"/>
        <v>84005</v>
      </c>
      <c r="D64" s="42" t="s">
        <v>15</v>
      </c>
    </row>
    <row r="65" ht="14.25" customHeight="1">
      <c r="A65" s="42">
        <v>101.0</v>
      </c>
      <c r="B65" s="8">
        <f t="shared" si="4"/>
        <v>200</v>
      </c>
      <c r="C65" s="8">
        <f t="shared" si="3"/>
        <v>85005</v>
      </c>
      <c r="D65" s="42" t="s">
        <v>15</v>
      </c>
    </row>
    <row r="66" ht="14.25" customHeight="1">
      <c r="A66" s="42">
        <v>101.0</v>
      </c>
      <c r="B66" s="8">
        <f t="shared" si="4"/>
        <v>45</v>
      </c>
      <c r="C66" s="8">
        <f t="shared" si="3"/>
        <v>80006</v>
      </c>
      <c r="D66" s="42" t="s">
        <v>11</v>
      </c>
    </row>
    <row r="67" ht="14.25" customHeight="1">
      <c r="A67" s="42">
        <v>101.0</v>
      </c>
      <c r="B67" s="8">
        <f t="shared" si="4"/>
        <v>45</v>
      </c>
      <c r="C67" s="8">
        <f t="shared" si="3"/>
        <v>81006</v>
      </c>
      <c r="D67" s="42" t="s">
        <v>11</v>
      </c>
    </row>
    <row r="68" ht="14.25" customHeight="1">
      <c r="A68" s="42">
        <v>101.0</v>
      </c>
      <c r="B68" s="8">
        <f t="shared" si="4"/>
        <v>45</v>
      </c>
      <c r="C68" s="8">
        <f t="shared" si="3"/>
        <v>82006</v>
      </c>
      <c r="D68" s="42" t="s">
        <v>11</v>
      </c>
    </row>
    <row r="69" ht="14.25" customHeight="1">
      <c r="A69" s="42">
        <v>101.0</v>
      </c>
      <c r="B69" s="8">
        <f t="shared" si="4"/>
        <v>45</v>
      </c>
      <c r="C69" s="8">
        <f t="shared" si="3"/>
        <v>83006</v>
      </c>
      <c r="D69" s="42" t="s">
        <v>11</v>
      </c>
    </row>
    <row r="70" ht="14.25" customHeight="1">
      <c r="A70" s="42">
        <v>101.0</v>
      </c>
      <c r="B70" s="8">
        <f t="shared" si="4"/>
        <v>45</v>
      </c>
      <c r="C70" s="8">
        <f t="shared" si="3"/>
        <v>84006</v>
      </c>
      <c r="D70" s="42" t="s">
        <v>11</v>
      </c>
    </row>
    <row r="71" ht="14.25" customHeight="1">
      <c r="A71" s="42">
        <v>101.0</v>
      </c>
      <c r="B71" s="8">
        <f t="shared" si="4"/>
        <v>45</v>
      </c>
      <c r="C71" s="8">
        <f t="shared" si="3"/>
        <v>85006</v>
      </c>
      <c r="D71" s="42" t="s">
        <v>11</v>
      </c>
    </row>
    <row r="72" ht="14.25" customHeight="1">
      <c r="A72" s="42">
        <v>101.0</v>
      </c>
      <c r="B72" s="8">
        <f t="shared" si="4"/>
        <v>45</v>
      </c>
      <c r="C72" s="8">
        <f t="shared" si="3"/>
        <v>80007</v>
      </c>
      <c r="D72" s="42" t="s">
        <v>11</v>
      </c>
    </row>
    <row r="73" ht="14.25" customHeight="1">
      <c r="A73" s="42">
        <v>101.0</v>
      </c>
      <c r="B73" s="8">
        <f t="shared" si="4"/>
        <v>45</v>
      </c>
      <c r="C73" s="8">
        <f t="shared" si="3"/>
        <v>81007</v>
      </c>
      <c r="D73" s="42" t="s">
        <v>11</v>
      </c>
    </row>
    <row r="74" ht="14.25" customHeight="1">
      <c r="A74" s="42">
        <v>101.0</v>
      </c>
      <c r="B74" s="8">
        <f t="shared" si="4"/>
        <v>45</v>
      </c>
      <c r="C74" s="8">
        <f t="shared" si="3"/>
        <v>82007</v>
      </c>
      <c r="D74" s="42" t="s">
        <v>11</v>
      </c>
    </row>
    <row r="75" ht="14.25" customHeight="1">
      <c r="A75" s="42">
        <v>101.0</v>
      </c>
      <c r="B75" s="8">
        <f t="shared" si="4"/>
        <v>45</v>
      </c>
      <c r="C75" s="8">
        <f t="shared" si="3"/>
        <v>83007</v>
      </c>
      <c r="D75" s="42" t="s">
        <v>11</v>
      </c>
    </row>
    <row r="76" ht="14.25" customHeight="1">
      <c r="A76" s="42">
        <v>101.0</v>
      </c>
      <c r="B76" s="8">
        <f t="shared" si="4"/>
        <v>45</v>
      </c>
      <c r="C76" s="8">
        <f t="shared" si="3"/>
        <v>84007</v>
      </c>
      <c r="D76" s="42" t="s">
        <v>11</v>
      </c>
    </row>
    <row r="77" ht="14.25" customHeight="1">
      <c r="A77" s="42">
        <v>101.0</v>
      </c>
      <c r="B77" s="8">
        <f t="shared" si="4"/>
        <v>45</v>
      </c>
      <c r="C77" s="8">
        <f t="shared" si="3"/>
        <v>85007</v>
      </c>
      <c r="D77" s="42" t="s">
        <v>11</v>
      </c>
    </row>
    <row r="78" ht="14.25" customHeight="1">
      <c r="A78" s="42">
        <v>101.0</v>
      </c>
      <c r="B78" s="8">
        <f t="shared" si="4"/>
        <v>5</v>
      </c>
      <c r="C78" s="8">
        <f t="shared" si="3"/>
        <v>80008</v>
      </c>
      <c r="D78" s="42" t="s">
        <v>8</v>
      </c>
    </row>
    <row r="79" ht="14.25" customHeight="1">
      <c r="A79" s="42">
        <v>101.0</v>
      </c>
      <c r="B79" s="8">
        <f t="shared" si="4"/>
        <v>5</v>
      </c>
      <c r="C79" s="8">
        <f t="shared" si="3"/>
        <v>81008</v>
      </c>
      <c r="D79" s="42" t="s">
        <v>8</v>
      </c>
    </row>
    <row r="80" ht="14.25" customHeight="1">
      <c r="A80" s="42">
        <v>101.0</v>
      </c>
      <c r="B80" s="8">
        <f t="shared" si="4"/>
        <v>5</v>
      </c>
      <c r="C80" s="8">
        <f t="shared" si="3"/>
        <v>82008</v>
      </c>
      <c r="D80" s="42" t="s">
        <v>8</v>
      </c>
    </row>
    <row r="81" ht="14.25" customHeight="1">
      <c r="A81" s="42">
        <v>101.0</v>
      </c>
      <c r="B81" s="8">
        <f t="shared" si="4"/>
        <v>5</v>
      </c>
      <c r="C81" s="8">
        <f t="shared" si="3"/>
        <v>83008</v>
      </c>
      <c r="D81" s="42" t="s">
        <v>8</v>
      </c>
    </row>
    <row r="82" ht="14.25" customHeight="1">
      <c r="A82" s="42">
        <v>101.0</v>
      </c>
      <c r="B82" s="8">
        <f t="shared" si="4"/>
        <v>5</v>
      </c>
      <c r="C82" s="8">
        <f t="shared" si="3"/>
        <v>84008</v>
      </c>
      <c r="D82" s="42" t="s">
        <v>8</v>
      </c>
    </row>
    <row r="83" ht="14.25" customHeight="1">
      <c r="A83" s="42">
        <v>101.0</v>
      </c>
      <c r="B83" s="8">
        <f t="shared" si="4"/>
        <v>5</v>
      </c>
      <c r="C83" s="8">
        <f t="shared" si="3"/>
        <v>85008</v>
      </c>
      <c r="D83" s="42" t="s">
        <v>8</v>
      </c>
    </row>
    <row r="84" ht="14.25" customHeight="1">
      <c r="A84" s="42">
        <v>101.0</v>
      </c>
      <c r="B84" s="8">
        <f t="shared" si="4"/>
        <v>200</v>
      </c>
      <c r="C84" s="8">
        <f t="shared" si="3"/>
        <v>80009</v>
      </c>
      <c r="D84" s="42" t="s">
        <v>15</v>
      </c>
    </row>
    <row r="85" ht="14.25" customHeight="1">
      <c r="A85" s="42">
        <v>101.0</v>
      </c>
      <c r="B85" s="8">
        <f t="shared" si="4"/>
        <v>200</v>
      </c>
      <c r="C85" s="8">
        <f t="shared" si="3"/>
        <v>81009</v>
      </c>
      <c r="D85" s="42" t="s">
        <v>15</v>
      </c>
    </row>
    <row r="86" ht="14.25" customHeight="1">
      <c r="A86" s="42">
        <v>101.0</v>
      </c>
      <c r="B86" s="8">
        <f t="shared" si="4"/>
        <v>200</v>
      </c>
      <c r="C86" s="8">
        <f t="shared" si="3"/>
        <v>82009</v>
      </c>
      <c r="D86" s="42" t="s">
        <v>15</v>
      </c>
    </row>
    <row r="87" ht="14.25" customHeight="1">
      <c r="A87" s="42">
        <v>101.0</v>
      </c>
      <c r="B87" s="8">
        <f t="shared" si="4"/>
        <v>200</v>
      </c>
      <c r="C87" s="8">
        <f t="shared" si="3"/>
        <v>83009</v>
      </c>
      <c r="D87" s="42" t="s">
        <v>15</v>
      </c>
    </row>
    <row r="88" ht="14.25" customHeight="1">
      <c r="A88" s="42">
        <v>101.0</v>
      </c>
      <c r="B88" s="8">
        <f t="shared" si="4"/>
        <v>200</v>
      </c>
      <c r="C88" s="8">
        <f t="shared" si="3"/>
        <v>84009</v>
      </c>
      <c r="D88" s="42" t="s">
        <v>15</v>
      </c>
    </row>
    <row r="89" ht="14.25" customHeight="1">
      <c r="A89" s="42">
        <v>101.0</v>
      </c>
      <c r="B89" s="8">
        <f t="shared" si="4"/>
        <v>200</v>
      </c>
      <c r="C89" s="8">
        <f t="shared" si="3"/>
        <v>85009</v>
      </c>
      <c r="D89" s="42" t="s">
        <v>15</v>
      </c>
    </row>
    <row r="90" ht="14.25" customHeight="1">
      <c r="A90" s="42">
        <v>101.0</v>
      </c>
      <c r="B90" s="8">
        <f t="shared" si="4"/>
        <v>45</v>
      </c>
      <c r="C90" s="8">
        <f t="shared" si="3"/>
        <v>80010</v>
      </c>
      <c r="D90" s="42" t="s">
        <v>11</v>
      </c>
    </row>
    <row r="91" ht="14.25" customHeight="1">
      <c r="A91" s="42">
        <v>101.0</v>
      </c>
      <c r="B91" s="8">
        <f t="shared" si="4"/>
        <v>45</v>
      </c>
      <c r="C91" s="8">
        <f t="shared" si="3"/>
        <v>81010</v>
      </c>
      <c r="D91" s="42" t="s">
        <v>11</v>
      </c>
    </row>
    <row r="92" ht="14.25" customHeight="1">
      <c r="A92" s="42">
        <v>101.0</v>
      </c>
      <c r="B92" s="8">
        <f t="shared" si="4"/>
        <v>45</v>
      </c>
      <c r="C92" s="8">
        <f t="shared" si="3"/>
        <v>82010</v>
      </c>
      <c r="D92" s="42" t="s">
        <v>11</v>
      </c>
    </row>
    <row r="93" ht="14.25" customHeight="1">
      <c r="A93" s="42">
        <v>101.0</v>
      </c>
      <c r="B93" s="8">
        <f t="shared" si="4"/>
        <v>45</v>
      </c>
      <c r="C93" s="8">
        <f t="shared" si="3"/>
        <v>83010</v>
      </c>
      <c r="D93" s="42" t="s">
        <v>11</v>
      </c>
    </row>
    <row r="94" ht="14.25" customHeight="1">
      <c r="A94" s="42">
        <v>101.0</v>
      </c>
      <c r="B94" s="8">
        <f t="shared" si="4"/>
        <v>45</v>
      </c>
      <c r="C94" s="8">
        <f t="shared" si="3"/>
        <v>84010</v>
      </c>
      <c r="D94" s="42" t="s">
        <v>11</v>
      </c>
    </row>
    <row r="95" ht="14.25" customHeight="1">
      <c r="A95" s="42">
        <v>101.0</v>
      </c>
      <c r="B95" s="8">
        <f t="shared" si="4"/>
        <v>45</v>
      </c>
      <c r="C95" s="8">
        <f t="shared" si="3"/>
        <v>85010</v>
      </c>
      <c r="D95" s="42" t="s">
        <v>11</v>
      </c>
    </row>
    <row r="96" ht="14.25" customHeight="1">
      <c r="A96" s="42">
        <v>101.0</v>
      </c>
      <c r="B96" s="8">
        <f t="shared" si="4"/>
        <v>45</v>
      </c>
      <c r="C96" s="8">
        <f t="shared" si="3"/>
        <v>80011</v>
      </c>
      <c r="D96" s="42" t="s">
        <v>11</v>
      </c>
    </row>
    <row r="97" ht="14.25" customHeight="1">
      <c r="A97" s="42">
        <v>101.0</v>
      </c>
      <c r="B97" s="8">
        <f t="shared" si="4"/>
        <v>45</v>
      </c>
      <c r="C97" s="8">
        <f t="shared" si="3"/>
        <v>81011</v>
      </c>
      <c r="D97" s="42" t="s">
        <v>11</v>
      </c>
    </row>
    <row r="98" ht="14.25" customHeight="1">
      <c r="A98" s="42">
        <v>101.0</v>
      </c>
      <c r="B98" s="8">
        <f t="shared" si="4"/>
        <v>45</v>
      </c>
      <c r="C98" s="8">
        <f t="shared" si="3"/>
        <v>82011</v>
      </c>
      <c r="D98" s="42" t="s">
        <v>11</v>
      </c>
    </row>
    <row r="99" ht="14.25" customHeight="1">
      <c r="A99" s="42">
        <v>101.0</v>
      </c>
      <c r="B99" s="8">
        <f t="shared" si="4"/>
        <v>45</v>
      </c>
      <c r="C99" s="8">
        <f t="shared" si="3"/>
        <v>83011</v>
      </c>
      <c r="D99" s="42" t="s">
        <v>11</v>
      </c>
    </row>
    <row r="100" ht="14.25" customHeight="1">
      <c r="A100" s="42">
        <v>101.0</v>
      </c>
      <c r="B100" s="8">
        <f t="shared" si="4"/>
        <v>45</v>
      </c>
      <c r="C100" s="8">
        <f t="shared" si="3"/>
        <v>84011</v>
      </c>
      <c r="D100" s="42" t="s">
        <v>11</v>
      </c>
    </row>
    <row r="101" ht="14.25" customHeight="1">
      <c r="A101" s="42">
        <v>101.0</v>
      </c>
      <c r="B101" s="8">
        <f t="shared" si="4"/>
        <v>45</v>
      </c>
      <c r="C101" s="8">
        <f t="shared" si="3"/>
        <v>85011</v>
      </c>
      <c r="D101" s="42" t="s">
        <v>11</v>
      </c>
    </row>
    <row r="102" ht="14.25" customHeight="1">
      <c r="A102" s="42">
        <v>101.0</v>
      </c>
      <c r="B102" s="8">
        <f t="shared" si="4"/>
        <v>5</v>
      </c>
      <c r="C102" s="8">
        <f t="shared" si="3"/>
        <v>80012</v>
      </c>
      <c r="D102" s="42" t="s">
        <v>8</v>
      </c>
    </row>
    <row r="103" ht="14.25" customHeight="1">
      <c r="A103" s="42">
        <v>101.0</v>
      </c>
      <c r="B103" s="8">
        <f t="shared" si="4"/>
        <v>5</v>
      </c>
      <c r="C103" s="8">
        <f t="shared" si="3"/>
        <v>81012</v>
      </c>
      <c r="D103" s="42" t="s">
        <v>8</v>
      </c>
    </row>
    <row r="104" ht="14.25" customHeight="1">
      <c r="A104" s="42">
        <v>101.0</v>
      </c>
      <c r="B104" s="8">
        <f t="shared" si="4"/>
        <v>5</v>
      </c>
      <c r="C104" s="8">
        <f t="shared" si="3"/>
        <v>82012</v>
      </c>
      <c r="D104" s="42" t="s">
        <v>8</v>
      </c>
    </row>
    <row r="105" ht="14.25" customHeight="1">
      <c r="A105" s="42">
        <v>101.0</v>
      </c>
      <c r="B105" s="8">
        <f t="shared" si="4"/>
        <v>5</v>
      </c>
      <c r="C105" s="8">
        <f t="shared" si="3"/>
        <v>83012</v>
      </c>
      <c r="D105" s="42" t="s">
        <v>8</v>
      </c>
    </row>
    <row r="106" ht="14.25" customHeight="1">
      <c r="A106" s="42">
        <v>101.0</v>
      </c>
      <c r="B106" s="8">
        <f t="shared" si="4"/>
        <v>5</v>
      </c>
      <c r="C106" s="8">
        <f t="shared" si="3"/>
        <v>84012</v>
      </c>
      <c r="D106" s="42" t="s">
        <v>8</v>
      </c>
    </row>
    <row r="107" ht="14.25" customHeight="1">
      <c r="A107" s="42">
        <v>101.0</v>
      </c>
      <c r="B107" s="8">
        <f t="shared" si="4"/>
        <v>5</v>
      </c>
      <c r="C107" s="8">
        <f t="shared" si="3"/>
        <v>85012</v>
      </c>
      <c r="D107" s="42" t="s">
        <v>8</v>
      </c>
    </row>
    <row r="108" ht="14.25" customHeight="1">
      <c r="A108" s="42">
        <v>101.0</v>
      </c>
      <c r="B108" s="8">
        <f t="shared" si="4"/>
        <v>200</v>
      </c>
      <c r="C108" s="8">
        <v>88000.0</v>
      </c>
      <c r="D108" s="42" t="s">
        <v>15</v>
      </c>
    </row>
    <row r="109" ht="14.25" customHeight="1">
      <c r="A109" s="42">
        <v>101.0</v>
      </c>
      <c r="B109" s="8">
        <f t="shared" si="4"/>
        <v>200</v>
      </c>
      <c r="C109" s="8">
        <v>88001.0</v>
      </c>
      <c r="D109" s="42" t="s">
        <v>15</v>
      </c>
    </row>
    <row r="110" ht="14.25" customHeight="1">
      <c r="A110" s="42">
        <v>101.0</v>
      </c>
      <c r="B110" s="8">
        <f t="shared" si="4"/>
        <v>200</v>
      </c>
      <c r="C110" s="8">
        <v>88002.0</v>
      </c>
      <c r="D110" s="42" t="s">
        <v>15</v>
      </c>
    </row>
    <row r="111" ht="14.25" customHeight="1">
      <c r="A111" s="42">
        <v>101.0</v>
      </c>
      <c r="B111" s="8">
        <f t="shared" si="4"/>
        <v>200</v>
      </c>
      <c r="C111" s="8">
        <v>88003.0</v>
      </c>
      <c r="D111" s="42" t="s">
        <v>15</v>
      </c>
    </row>
    <row r="112" ht="14.25" customHeight="1">
      <c r="A112" s="42">
        <v>101.0</v>
      </c>
      <c r="B112" s="8">
        <f t="shared" si="4"/>
        <v>200</v>
      </c>
      <c r="C112" s="8">
        <v>88004.0</v>
      </c>
      <c r="D112" s="42" t="s">
        <v>15</v>
      </c>
    </row>
    <row r="113" ht="14.25" customHeight="1">
      <c r="A113" s="42">
        <v>101.0</v>
      </c>
      <c r="B113" s="8">
        <f t="shared" si="4"/>
        <v>200</v>
      </c>
      <c r="C113" s="8">
        <v>88005.0</v>
      </c>
      <c r="D113" s="42" t="s">
        <v>15</v>
      </c>
    </row>
    <row r="114" ht="14.25" customHeight="1">
      <c r="A114" s="42">
        <v>101.0</v>
      </c>
      <c r="B114" s="8">
        <f t="shared" si="4"/>
        <v>200</v>
      </c>
      <c r="C114" s="8">
        <v>88006.0</v>
      </c>
      <c r="D114" s="42" t="s">
        <v>15</v>
      </c>
    </row>
    <row r="115" ht="14.25" customHeight="1">
      <c r="A115" s="42">
        <v>101.0</v>
      </c>
      <c r="B115" s="8">
        <f t="shared" si="4"/>
        <v>200</v>
      </c>
      <c r="C115" s="8">
        <v>88007.0</v>
      </c>
      <c r="D115" s="42" t="s">
        <v>15</v>
      </c>
    </row>
    <row r="116" ht="14.25" customHeight="1">
      <c r="A116" s="42">
        <v>101.0</v>
      </c>
      <c r="B116" s="8">
        <f t="shared" si="4"/>
        <v>200</v>
      </c>
      <c r="C116" s="8">
        <v>88008.0</v>
      </c>
      <c r="D116" s="42" t="s">
        <v>15</v>
      </c>
    </row>
    <row r="117" ht="14.25" customHeight="1">
      <c r="A117" s="42">
        <v>101.0</v>
      </c>
      <c r="B117" s="8">
        <f t="shared" si="4"/>
        <v>200</v>
      </c>
      <c r="C117" s="8">
        <v>88009.0</v>
      </c>
      <c r="D117" s="42" t="s">
        <v>15</v>
      </c>
    </row>
    <row r="118" ht="14.25" customHeight="1">
      <c r="A118" s="42">
        <v>101.0</v>
      </c>
      <c r="B118" s="8">
        <v>110.0</v>
      </c>
      <c r="C118" s="8">
        <v>88010.0</v>
      </c>
      <c r="D118" s="42" t="s">
        <v>15</v>
      </c>
    </row>
    <row r="119" ht="14.25" customHeight="1">
      <c r="A119" s="42">
        <v>101.0</v>
      </c>
      <c r="B119" s="8">
        <f t="shared" ref="B119:B149" si="5">IF(D119="R",200,IF(D119="SR",45,IF(D119="SSR",5)))</f>
        <v>200</v>
      </c>
      <c r="C119" s="8">
        <v>88011.0</v>
      </c>
      <c r="D119" s="42" t="s">
        <v>15</v>
      </c>
    </row>
    <row r="120" ht="14.25" customHeight="1">
      <c r="A120" s="42">
        <v>101.0</v>
      </c>
      <c r="B120" s="8">
        <f t="shared" si="5"/>
        <v>200</v>
      </c>
      <c r="C120" s="8">
        <v>88012.0</v>
      </c>
      <c r="D120" s="42" t="s">
        <v>15</v>
      </c>
    </row>
    <row r="121" ht="14.25" customHeight="1">
      <c r="A121" s="42">
        <v>101.0</v>
      </c>
      <c r="B121" s="8">
        <f t="shared" si="5"/>
        <v>200</v>
      </c>
      <c r="C121" s="8">
        <v>88013.0</v>
      </c>
      <c r="D121" s="42" t="s">
        <v>15</v>
      </c>
    </row>
    <row r="122" ht="14.25" customHeight="1">
      <c r="A122" s="42">
        <v>101.0</v>
      </c>
      <c r="B122" s="8">
        <f t="shared" si="5"/>
        <v>200</v>
      </c>
      <c r="C122" s="8">
        <v>88014.0</v>
      </c>
      <c r="D122" s="42" t="s">
        <v>15</v>
      </c>
    </row>
    <row r="123" ht="14.25" customHeight="1">
      <c r="A123" s="42">
        <v>101.0</v>
      </c>
      <c r="B123" s="8">
        <f t="shared" si="5"/>
        <v>200</v>
      </c>
      <c r="C123" s="8">
        <v>88015.0</v>
      </c>
      <c r="D123" s="42" t="s">
        <v>15</v>
      </c>
    </row>
    <row r="124" ht="14.25" customHeight="1">
      <c r="A124" s="42">
        <v>101.0</v>
      </c>
      <c r="B124" s="8">
        <f t="shared" si="5"/>
        <v>200</v>
      </c>
      <c r="C124" s="8">
        <v>88016.0</v>
      </c>
      <c r="D124" s="42" t="s">
        <v>15</v>
      </c>
    </row>
    <row r="125" ht="14.25" customHeight="1">
      <c r="A125" s="42">
        <v>101.0</v>
      </c>
      <c r="B125" s="8">
        <f t="shared" si="5"/>
        <v>200</v>
      </c>
      <c r="C125" s="8">
        <v>88017.0</v>
      </c>
      <c r="D125" s="42" t="s">
        <v>15</v>
      </c>
    </row>
    <row r="126" ht="14.25" customHeight="1">
      <c r="A126" s="42">
        <v>101.0</v>
      </c>
      <c r="B126" s="8">
        <f t="shared" si="5"/>
        <v>200</v>
      </c>
      <c r="C126" s="8">
        <v>88018.0</v>
      </c>
      <c r="D126" s="42" t="s">
        <v>15</v>
      </c>
    </row>
    <row r="127" ht="14.25" customHeight="1">
      <c r="A127" s="42">
        <v>101.0</v>
      </c>
      <c r="B127" s="8">
        <f t="shared" si="5"/>
        <v>200</v>
      </c>
      <c r="C127" s="8">
        <v>88019.0</v>
      </c>
      <c r="D127" s="42" t="s">
        <v>15</v>
      </c>
    </row>
    <row r="128" ht="14.25" customHeight="1">
      <c r="A128" s="42">
        <v>101.0</v>
      </c>
      <c r="B128" s="8">
        <f t="shared" si="5"/>
        <v>45</v>
      </c>
      <c r="C128" s="8">
        <v>88020.0</v>
      </c>
      <c r="D128" s="42" t="s">
        <v>11</v>
      </c>
    </row>
    <row r="129" ht="14.25" customHeight="1">
      <c r="A129" s="42">
        <v>101.0</v>
      </c>
      <c r="B129" s="8">
        <f t="shared" si="5"/>
        <v>45</v>
      </c>
      <c r="C129" s="8">
        <v>88021.0</v>
      </c>
      <c r="D129" s="42" t="s">
        <v>11</v>
      </c>
    </row>
    <row r="130" ht="14.25" customHeight="1">
      <c r="A130" s="42">
        <v>101.0</v>
      </c>
      <c r="B130" s="8">
        <f t="shared" si="5"/>
        <v>45</v>
      </c>
      <c r="C130" s="8">
        <v>88022.0</v>
      </c>
      <c r="D130" s="42" t="s">
        <v>11</v>
      </c>
    </row>
    <row r="131" ht="14.25" customHeight="1">
      <c r="A131" s="42">
        <v>101.0</v>
      </c>
      <c r="B131" s="8">
        <f t="shared" si="5"/>
        <v>45</v>
      </c>
      <c r="C131" s="8">
        <v>88023.0</v>
      </c>
      <c r="D131" s="42" t="s">
        <v>11</v>
      </c>
    </row>
    <row r="132" ht="14.25" customHeight="1">
      <c r="A132" s="42">
        <v>101.0</v>
      </c>
      <c r="B132" s="8">
        <f t="shared" si="5"/>
        <v>45</v>
      </c>
      <c r="C132" s="8">
        <v>88024.0</v>
      </c>
      <c r="D132" s="42" t="s">
        <v>11</v>
      </c>
    </row>
    <row r="133" ht="14.25" customHeight="1">
      <c r="A133" s="42">
        <v>101.0</v>
      </c>
      <c r="B133" s="8">
        <f t="shared" si="5"/>
        <v>45</v>
      </c>
      <c r="C133" s="8">
        <v>88025.0</v>
      </c>
      <c r="D133" s="42" t="s">
        <v>11</v>
      </c>
    </row>
    <row r="134" ht="14.25" customHeight="1">
      <c r="A134" s="42">
        <v>101.0</v>
      </c>
      <c r="B134" s="8">
        <f t="shared" si="5"/>
        <v>45</v>
      </c>
      <c r="C134" s="8">
        <v>88026.0</v>
      </c>
      <c r="D134" s="42" t="s">
        <v>11</v>
      </c>
    </row>
    <row r="135" ht="14.25" customHeight="1">
      <c r="A135" s="42">
        <v>101.0</v>
      </c>
      <c r="B135" s="8">
        <f t="shared" si="5"/>
        <v>45</v>
      </c>
      <c r="C135" s="8">
        <v>88027.0</v>
      </c>
      <c r="D135" s="42" t="s">
        <v>11</v>
      </c>
    </row>
    <row r="136" ht="14.25" customHeight="1">
      <c r="A136" s="42">
        <v>101.0</v>
      </c>
      <c r="B136" s="8">
        <f t="shared" si="5"/>
        <v>45</v>
      </c>
      <c r="C136" s="8">
        <v>88028.0</v>
      </c>
      <c r="D136" s="42" t="s">
        <v>11</v>
      </c>
    </row>
    <row r="137" ht="14.25" customHeight="1">
      <c r="A137" s="42">
        <v>101.0</v>
      </c>
      <c r="B137" s="8">
        <f t="shared" si="5"/>
        <v>45</v>
      </c>
      <c r="C137" s="8">
        <v>88029.0</v>
      </c>
      <c r="D137" s="42" t="s">
        <v>11</v>
      </c>
    </row>
    <row r="138" ht="14.25" customHeight="1">
      <c r="A138" s="42">
        <v>101.0</v>
      </c>
      <c r="B138" s="8">
        <f t="shared" si="5"/>
        <v>45</v>
      </c>
      <c r="C138" s="8">
        <v>88030.0</v>
      </c>
      <c r="D138" s="42" t="s">
        <v>11</v>
      </c>
    </row>
    <row r="139" ht="14.25" customHeight="1">
      <c r="A139" s="42">
        <v>101.0</v>
      </c>
      <c r="B139" s="8">
        <f t="shared" si="5"/>
        <v>45</v>
      </c>
      <c r="C139" s="8">
        <v>88031.0</v>
      </c>
      <c r="D139" s="42" t="s">
        <v>11</v>
      </c>
    </row>
    <row r="140" ht="14.25" customHeight="1">
      <c r="A140" s="42">
        <v>101.0</v>
      </c>
      <c r="B140" s="8">
        <f t="shared" si="5"/>
        <v>5</v>
      </c>
      <c r="C140" s="8">
        <v>88032.0</v>
      </c>
      <c r="D140" s="42" t="s">
        <v>8</v>
      </c>
    </row>
    <row r="141" ht="14.25" customHeight="1">
      <c r="A141" s="42">
        <v>101.0</v>
      </c>
      <c r="B141" s="8">
        <f t="shared" si="5"/>
        <v>5</v>
      </c>
      <c r="C141" s="8">
        <v>88033.0</v>
      </c>
      <c r="D141" s="42" t="s">
        <v>8</v>
      </c>
    </row>
    <row r="142" ht="14.25" customHeight="1">
      <c r="A142" s="42">
        <v>101.0</v>
      </c>
      <c r="B142" s="8">
        <f t="shared" si="5"/>
        <v>5</v>
      </c>
      <c r="C142" s="8">
        <v>88034.0</v>
      </c>
      <c r="D142" s="42" t="s">
        <v>8</v>
      </c>
    </row>
    <row r="143" ht="14.25" customHeight="1">
      <c r="A143" s="42">
        <v>101.0</v>
      </c>
      <c r="B143" s="8">
        <f t="shared" si="5"/>
        <v>5</v>
      </c>
      <c r="C143" s="8">
        <v>88035.0</v>
      </c>
      <c r="D143" s="42" t="s">
        <v>8</v>
      </c>
    </row>
    <row r="144" ht="14.25" customHeight="1">
      <c r="A144" s="42">
        <v>101.0</v>
      </c>
      <c r="B144" s="8">
        <f t="shared" si="5"/>
        <v>5</v>
      </c>
      <c r="C144" s="8">
        <v>88036.0</v>
      </c>
      <c r="D144" s="42" t="s">
        <v>8</v>
      </c>
    </row>
    <row r="145" ht="14.25" customHeight="1">
      <c r="A145" s="42">
        <v>101.0</v>
      </c>
      <c r="B145" s="8">
        <f t="shared" si="5"/>
        <v>5</v>
      </c>
      <c r="C145" s="8">
        <v>88037.0</v>
      </c>
      <c r="D145" s="42" t="s">
        <v>8</v>
      </c>
    </row>
    <row r="146" ht="14.25" customHeight="1">
      <c r="A146" s="42">
        <v>101.0</v>
      </c>
      <c r="B146" s="8">
        <f t="shared" si="5"/>
        <v>5</v>
      </c>
      <c r="C146" s="8">
        <v>88038.0</v>
      </c>
      <c r="D146" s="42" t="s">
        <v>8</v>
      </c>
    </row>
    <row r="147" ht="14.25" customHeight="1">
      <c r="A147" s="42">
        <v>101.0</v>
      </c>
      <c r="B147" s="8">
        <f t="shared" si="5"/>
        <v>5</v>
      </c>
      <c r="C147" s="8">
        <v>88039.0</v>
      </c>
      <c r="D147" s="42" t="s">
        <v>8</v>
      </c>
    </row>
    <row r="148" ht="14.25" customHeight="1">
      <c r="A148" s="42">
        <v>101.0</v>
      </c>
      <c r="B148" s="8">
        <f t="shared" si="5"/>
        <v>200</v>
      </c>
      <c r="C148" s="8">
        <v>88040.0</v>
      </c>
      <c r="D148" s="42" t="s">
        <v>15</v>
      </c>
    </row>
    <row r="149" ht="14.25" customHeight="1">
      <c r="A149" s="42">
        <v>101.0</v>
      </c>
      <c r="B149" s="8">
        <f t="shared" si="5"/>
        <v>5</v>
      </c>
      <c r="C149" s="8">
        <v>88041.0</v>
      </c>
      <c r="D149" s="42" t="s">
        <v>8</v>
      </c>
    </row>
    <row r="150" ht="12.75" customHeight="1"/>
    <row r="151" ht="12.75" customHeight="1"/>
    <row r="152" ht="14.25" customHeight="1">
      <c r="A152" s="40" t="s">
        <v>3083</v>
      </c>
      <c r="B152" s="40" t="s">
        <v>2749</v>
      </c>
      <c r="C152" s="40" t="s">
        <v>3083</v>
      </c>
      <c r="D152" s="40" t="s">
        <v>4138</v>
      </c>
    </row>
    <row r="153" ht="14.25" customHeight="1">
      <c r="A153" s="42">
        <v>102.0</v>
      </c>
      <c r="B153" s="42">
        <v>400.0</v>
      </c>
      <c r="C153" s="42">
        <v>70001.0</v>
      </c>
      <c r="D153" s="42" t="s">
        <v>15</v>
      </c>
    </row>
    <row r="154" ht="14.25" customHeight="1">
      <c r="A154" s="42">
        <v>102.0</v>
      </c>
      <c r="B154" s="42">
        <v>400.0</v>
      </c>
      <c r="C154" s="42">
        <v>70002.0</v>
      </c>
      <c r="D154" s="42" t="s">
        <v>15</v>
      </c>
    </row>
    <row r="155" ht="14.25" customHeight="1">
      <c r="A155" s="42">
        <v>102.0</v>
      </c>
      <c r="B155" s="42">
        <v>400.0</v>
      </c>
      <c r="C155" s="42">
        <v>70003.0</v>
      </c>
      <c r="D155" s="42" t="s">
        <v>15</v>
      </c>
    </row>
    <row r="156" ht="14.25" customHeight="1">
      <c r="A156" s="42">
        <v>102.0</v>
      </c>
      <c r="B156" s="42">
        <f t="shared" ref="B156:B162" si="6">IF(D156="R",300,IF(D156="SR",50,IF(D156="SSR",10)))</f>
        <v>50</v>
      </c>
      <c r="C156" s="42">
        <v>70004.0</v>
      </c>
      <c r="D156" s="42" t="s">
        <v>11</v>
      </c>
    </row>
    <row r="157" ht="14.25" customHeight="1">
      <c r="A157" s="42">
        <v>102.0</v>
      </c>
      <c r="B157" s="42">
        <f t="shared" si="6"/>
        <v>50</v>
      </c>
      <c r="C157" s="42">
        <v>70005.0</v>
      </c>
      <c r="D157" s="42" t="s">
        <v>11</v>
      </c>
    </row>
    <row r="158" ht="14.25" customHeight="1">
      <c r="A158" s="42">
        <v>102.0</v>
      </c>
      <c r="B158" s="42">
        <f t="shared" si="6"/>
        <v>50</v>
      </c>
      <c r="C158" s="42">
        <v>70006.0</v>
      </c>
      <c r="D158" s="42" t="s">
        <v>11</v>
      </c>
    </row>
    <row r="159" ht="14.25" customHeight="1">
      <c r="A159" s="42">
        <v>102.0</v>
      </c>
      <c r="B159" s="42">
        <f t="shared" si="6"/>
        <v>50</v>
      </c>
      <c r="C159" s="42">
        <v>70007.0</v>
      </c>
      <c r="D159" s="42" t="s">
        <v>11</v>
      </c>
    </row>
    <row r="160" ht="14.25" customHeight="1">
      <c r="A160" s="42">
        <v>102.0</v>
      </c>
      <c r="B160" s="42">
        <f t="shared" si="6"/>
        <v>10</v>
      </c>
      <c r="C160" s="42">
        <v>70008.0</v>
      </c>
      <c r="D160" s="42" t="s">
        <v>8</v>
      </c>
    </row>
    <row r="161" ht="14.25" customHeight="1">
      <c r="A161" s="42">
        <v>102.0</v>
      </c>
      <c r="B161" s="42">
        <f t="shared" si="6"/>
        <v>10</v>
      </c>
      <c r="C161" s="42">
        <v>70009.0</v>
      </c>
      <c r="D161" s="42" t="s">
        <v>8</v>
      </c>
    </row>
    <row r="162" ht="14.25" customHeight="1">
      <c r="A162" s="42">
        <v>102.0</v>
      </c>
      <c r="B162" s="42">
        <f t="shared" si="6"/>
        <v>10</v>
      </c>
      <c r="C162" s="42">
        <v>70010.0</v>
      </c>
      <c r="D162" s="42" t="s">
        <v>8</v>
      </c>
    </row>
    <row r="163" ht="14.25" customHeight="1">
      <c r="A163" s="42">
        <v>102.0</v>
      </c>
      <c r="B163" s="42">
        <v>400.0</v>
      </c>
      <c r="C163" s="42">
        <v>70011.0</v>
      </c>
      <c r="D163" s="42" t="s">
        <v>15</v>
      </c>
    </row>
    <row r="164" ht="14.25" customHeight="1">
      <c r="A164" s="42">
        <v>102.0</v>
      </c>
      <c r="B164" s="42">
        <v>400.0</v>
      </c>
      <c r="C164" s="42">
        <v>70012.0</v>
      </c>
      <c r="D164" s="42" t="s">
        <v>15</v>
      </c>
    </row>
    <row r="165" ht="14.25" customHeight="1">
      <c r="A165" s="42">
        <v>102.0</v>
      </c>
      <c r="B165" s="42">
        <v>400.0</v>
      </c>
      <c r="C165" s="42">
        <v>70013.0</v>
      </c>
      <c r="D165" s="42" t="s">
        <v>15</v>
      </c>
    </row>
    <row r="166" ht="14.25" customHeight="1">
      <c r="A166" s="42">
        <v>102.0</v>
      </c>
      <c r="B166" s="42">
        <f t="shared" ref="B166:B172" si="7">IF(D166="R",300,IF(D166="SR",50,IF(D166="SSR",10)))</f>
        <v>50</v>
      </c>
      <c r="C166" s="42">
        <v>70014.0</v>
      </c>
      <c r="D166" s="42" t="s">
        <v>11</v>
      </c>
    </row>
    <row r="167" ht="14.25" customHeight="1">
      <c r="A167" s="42">
        <v>102.0</v>
      </c>
      <c r="B167" s="42">
        <f t="shared" si="7"/>
        <v>50</v>
      </c>
      <c r="C167" s="42">
        <v>70015.0</v>
      </c>
      <c r="D167" s="42" t="s">
        <v>11</v>
      </c>
    </row>
    <row r="168" ht="14.25" customHeight="1">
      <c r="A168" s="42">
        <v>102.0</v>
      </c>
      <c r="B168" s="42">
        <f t="shared" si="7"/>
        <v>50</v>
      </c>
      <c r="C168" s="42">
        <v>70016.0</v>
      </c>
      <c r="D168" s="42" t="s">
        <v>11</v>
      </c>
    </row>
    <row r="169" ht="14.25" customHeight="1">
      <c r="A169" s="42">
        <v>102.0</v>
      </c>
      <c r="B169" s="42">
        <f t="shared" si="7"/>
        <v>50</v>
      </c>
      <c r="C169" s="42">
        <v>70017.0</v>
      </c>
      <c r="D169" s="42" t="s">
        <v>11</v>
      </c>
    </row>
    <row r="170" ht="14.25" customHeight="1">
      <c r="A170" s="42">
        <v>102.0</v>
      </c>
      <c r="B170" s="42">
        <f t="shared" si="7"/>
        <v>10</v>
      </c>
      <c r="C170" s="42">
        <v>70018.0</v>
      </c>
      <c r="D170" s="42" t="s">
        <v>8</v>
      </c>
    </row>
    <row r="171" ht="14.25" customHeight="1">
      <c r="A171" s="42">
        <v>102.0</v>
      </c>
      <c r="B171" s="42">
        <f t="shared" si="7"/>
        <v>10</v>
      </c>
      <c r="C171" s="42">
        <v>70019.0</v>
      </c>
      <c r="D171" s="42" t="s">
        <v>8</v>
      </c>
    </row>
    <row r="172" ht="14.25" customHeight="1">
      <c r="A172" s="42">
        <v>102.0</v>
      </c>
      <c r="B172" s="42">
        <f t="shared" si="7"/>
        <v>10</v>
      </c>
      <c r="C172" s="42">
        <v>70020.0</v>
      </c>
      <c r="D172" s="42" t="s">
        <v>8</v>
      </c>
    </row>
    <row r="173" ht="14.25" customHeight="1">
      <c r="A173" s="42">
        <v>102.0</v>
      </c>
      <c r="B173" s="42">
        <v>400.0</v>
      </c>
      <c r="C173" s="42">
        <v>70021.0</v>
      </c>
      <c r="D173" s="42" t="s">
        <v>15</v>
      </c>
    </row>
    <row r="174" ht="14.25" customHeight="1">
      <c r="A174" s="42">
        <v>102.0</v>
      </c>
      <c r="B174" s="42">
        <v>400.0</v>
      </c>
      <c r="C174" s="42">
        <v>70022.0</v>
      </c>
      <c r="D174" s="42" t="s">
        <v>15</v>
      </c>
    </row>
    <row r="175" ht="14.25" customHeight="1">
      <c r="A175" s="42">
        <v>102.0</v>
      </c>
      <c r="B175" s="42">
        <v>400.0</v>
      </c>
      <c r="C175" s="42">
        <v>70023.0</v>
      </c>
      <c r="D175" s="42" t="s">
        <v>15</v>
      </c>
    </row>
    <row r="176" ht="14.25" customHeight="1">
      <c r="A176" s="42">
        <v>102.0</v>
      </c>
      <c r="B176" s="42">
        <f t="shared" ref="B176:B222" si="8">IF(D176="R",300,IF(D176="SR",50,IF(D176="SSR",10)))</f>
        <v>50</v>
      </c>
      <c r="C176" s="42">
        <v>70024.0</v>
      </c>
      <c r="D176" s="42" t="s">
        <v>11</v>
      </c>
    </row>
    <row r="177" ht="14.25" customHeight="1">
      <c r="A177" s="42">
        <v>102.0</v>
      </c>
      <c r="B177" s="42">
        <f t="shared" si="8"/>
        <v>50</v>
      </c>
      <c r="C177" s="42">
        <v>70025.0</v>
      </c>
      <c r="D177" s="42" t="s">
        <v>11</v>
      </c>
    </row>
    <row r="178" ht="14.25" customHeight="1">
      <c r="A178" s="42">
        <v>102.0</v>
      </c>
      <c r="B178" s="42">
        <f t="shared" si="8"/>
        <v>50</v>
      </c>
      <c r="C178" s="42">
        <v>70026.0</v>
      </c>
      <c r="D178" s="42" t="s">
        <v>11</v>
      </c>
    </row>
    <row r="179" ht="14.25" customHeight="1">
      <c r="A179" s="42">
        <v>102.0</v>
      </c>
      <c r="B179" s="42">
        <f t="shared" si="8"/>
        <v>50</v>
      </c>
      <c r="C179" s="42">
        <v>70027.0</v>
      </c>
      <c r="D179" s="42" t="s">
        <v>11</v>
      </c>
    </row>
    <row r="180" ht="14.25" customHeight="1">
      <c r="A180" s="42">
        <v>102.0</v>
      </c>
      <c r="B180" s="42">
        <f t="shared" si="8"/>
        <v>10</v>
      </c>
      <c r="C180" s="42">
        <v>70028.0</v>
      </c>
      <c r="D180" s="42" t="s">
        <v>8</v>
      </c>
    </row>
    <row r="181" ht="14.25" customHeight="1">
      <c r="A181" s="42">
        <v>102.0</v>
      </c>
      <c r="B181" s="42">
        <f t="shared" si="8"/>
        <v>10</v>
      </c>
      <c r="C181" s="42">
        <v>70029.0</v>
      </c>
      <c r="D181" s="42" t="s">
        <v>8</v>
      </c>
    </row>
    <row r="182" ht="14.25" customHeight="1">
      <c r="A182" s="42">
        <v>102.0</v>
      </c>
      <c r="B182" s="42">
        <f t="shared" si="8"/>
        <v>10</v>
      </c>
      <c r="C182" s="42">
        <v>70030.0</v>
      </c>
      <c r="D182" s="42" t="s">
        <v>8</v>
      </c>
    </row>
    <row r="183" ht="14.25" customHeight="1">
      <c r="A183" s="42">
        <v>102.0</v>
      </c>
      <c r="B183" s="42">
        <f t="shared" si="8"/>
        <v>300</v>
      </c>
      <c r="C183" s="42">
        <v>70031.0</v>
      </c>
      <c r="D183" s="42" t="s">
        <v>15</v>
      </c>
    </row>
    <row r="184" ht="14.25" customHeight="1">
      <c r="A184" s="42">
        <v>102.0</v>
      </c>
      <c r="B184" s="42">
        <f t="shared" si="8"/>
        <v>300</v>
      </c>
      <c r="C184" s="42">
        <v>70032.0</v>
      </c>
      <c r="D184" s="42" t="s">
        <v>15</v>
      </c>
    </row>
    <row r="185" ht="14.25" customHeight="1">
      <c r="A185" s="42">
        <v>102.0</v>
      </c>
      <c r="B185" s="42">
        <f t="shared" si="8"/>
        <v>300</v>
      </c>
      <c r="C185" s="42">
        <v>70033.0</v>
      </c>
      <c r="D185" s="42" t="s">
        <v>15</v>
      </c>
    </row>
    <row r="186" ht="14.25" customHeight="1">
      <c r="A186" s="42">
        <v>102.0</v>
      </c>
      <c r="B186" s="42">
        <f t="shared" si="8"/>
        <v>50</v>
      </c>
      <c r="C186" s="42">
        <v>70034.0</v>
      </c>
      <c r="D186" s="42" t="s">
        <v>11</v>
      </c>
    </row>
    <row r="187" ht="14.25" customHeight="1">
      <c r="A187" s="42">
        <v>102.0</v>
      </c>
      <c r="B187" s="42">
        <f t="shared" si="8"/>
        <v>50</v>
      </c>
      <c r="C187" s="42">
        <v>70035.0</v>
      </c>
      <c r="D187" s="42" t="s">
        <v>11</v>
      </c>
    </row>
    <row r="188" ht="14.25" customHeight="1">
      <c r="A188" s="42">
        <v>102.0</v>
      </c>
      <c r="B188" s="42">
        <f t="shared" si="8"/>
        <v>50</v>
      </c>
      <c r="C188" s="42">
        <v>70036.0</v>
      </c>
      <c r="D188" s="42" t="s">
        <v>11</v>
      </c>
    </row>
    <row r="189" ht="14.25" customHeight="1">
      <c r="A189" s="42">
        <v>102.0</v>
      </c>
      <c r="B189" s="42">
        <f t="shared" si="8"/>
        <v>50</v>
      </c>
      <c r="C189" s="42">
        <v>70037.0</v>
      </c>
      <c r="D189" s="42" t="s">
        <v>11</v>
      </c>
    </row>
    <row r="190" ht="14.25" customHeight="1">
      <c r="A190" s="42">
        <v>102.0</v>
      </c>
      <c r="B190" s="42">
        <f t="shared" si="8"/>
        <v>10</v>
      </c>
      <c r="C190" s="42">
        <v>70038.0</v>
      </c>
      <c r="D190" s="42" t="s">
        <v>8</v>
      </c>
    </row>
    <row r="191" ht="14.25" customHeight="1">
      <c r="A191" s="42">
        <v>102.0</v>
      </c>
      <c r="B191" s="42">
        <f t="shared" si="8"/>
        <v>10</v>
      </c>
      <c r="C191" s="42">
        <v>70039.0</v>
      </c>
      <c r="D191" s="42" t="s">
        <v>8</v>
      </c>
    </row>
    <row r="192" ht="14.25" customHeight="1">
      <c r="A192" s="42">
        <v>102.0</v>
      </c>
      <c r="B192" s="42">
        <f t="shared" si="8"/>
        <v>10</v>
      </c>
      <c r="C192" s="42">
        <v>70040.0</v>
      </c>
      <c r="D192" s="42" t="s">
        <v>8</v>
      </c>
    </row>
    <row r="193" ht="14.25" customHeight="1">
      <c r="A193" s="42">
        <v>102.0</v>
      </c>
      <c r="B193" s="42">
        <f t="shared" si="8"/>
        <v>300</v>
      </c>
      <c r="C193" s="42">
        <v>70041.0</v>
      </c>
      <c r="D193" s="42" t="s">
        <v>15</v>
      </c>
    </row>
    <row r="194" ht="14.25" customHeight="1">
      <c r="A194" s="42">
        <v>102.0</v>
      </c>
      <c r="B194" s="42">
        <f t="shared" si="8"/>
        <v>300</v>
      </c>
      <c r="C194" s="42">
        <v>70042.0</v>
      </c>
      <c r="D194" s="42" t="s">
        <v>15</v>
      </c>
    </row>
    <row r="195" ht="14.25" customHeight="1">
      <c r="A195" s="42">
        <v>102.0</v>
      </c>
      <c r="B195" s="42">
        <f t="shared" si="8"/>
        <v>300</v>
      </c>
      <c r="C195" s="42">
        <v>70043.0</v>
      </c>
      <c r="D195" s="42" t="s">
        <v>15</v>
      </c>
    </row>
    <row r="196" ht="14.25" customHeight="1">
      <c r="A196" s="42">
        <v>102.0</v>
      </c>
      <c r="B196" s="42">
        <f t="shared" si="8"/>
        <v>50</v>
      </c>
      <c r="C196" s="42">
        <v>70044.0</v>
      </c>
      <c r="D196" s="42" t="s">
        <v>11</v>
      </c>
    </row>
    <row r="197" ht="14.25" customHeight="1">
      <c r="A197" s="42">
        <v>102.0</v>
      </c>
      <c r="B197" s="42">
        <f t="shared" si="8"/>
        <v>50</v>
      </c>
      <c r="C197" s="42">
        <v>70045.0</v>
      </c>
      <c r="D197" s="42" t="s">
        <v>11</v>
      </c>
    </row>
    <row r="198" ht="14.25" customHeight="1">
      <c r="A198" s="42">
        <v>102.0</v>
      </c>
      <c r="B198" s="42">
        <f t="shared" si="8"/>
        <v>50</v>
      </c>
      <c r="C198" s="42">
        <v>70046.0</v>
      </c>
      <c r="D198" s="42" t="s">
        <v>11</v>
      </c>
    </row>
    <row r="199" ht="14.25" customHeight="1">
      <c r="A199" s="42">
        <v>102.0</v>
      </c>
      <c r="B199" s="42">
        <f t="shared" si="8"/>
        <v>50</v>
      </c>
      <c r="C199" s="42">
        <v>70047.0</v>
      </c>
      <c r="D199" s="42" t="s">
        <v>11</v>
      </c>
    </row>
    <row r="200" ht="14.25" customHeight="1">
      <c r="A200" s="42">
        <v>102.0</v>
      </c>
      <c r="B200" s="42">
        <f t="shared" si="8"/>
        <v>10</v>
      </c>
      <c r="C200" s="42">
        <v>70048.0</v>
      </c>
      <c r="D200" s="42" t="s">
        <v>8</v>
      </c>
    </row>
    <row r="201" ht="14.25" customHeight="1">
      <c r="A201" s="42">
        <v>102.0</v>
      </c>
      <c r="B201" s="42">
        <f t="shared" si="8"/>
        <v>10</v>
      </c>
      <c r="C201" s="42">
        <v>70049.0</v>
      </c>
      <c r="D201" s="42" t="s">
        <v>8</v>
      </c>
    </row>
    <row r="202" ht="14.25" customHeight="1">
      <c r="A202" s="42">
        <v>102.0</v>
      </c>
      <c r="B202" s="42">
        <f t="shared" si="8"/>
        <v>10</v>
      </c>
      <c r="C202" s="42">
        <v>70050.0</v>
      </c>
      <c r="D202" s="42" t="s">
        <v>8</v>
      </c>
    </row>
    <row r="203" ht="14.25" customHeight="1">
      <c r="A203" s="42">
        <v>102.0</v>
      </c>
      <c r="B203" s="42">
        <f t="shared" si="8"/>
        <v>300</v>
      </c>
      <c r="C203" s="42">
        <v>70051.0</v>
      </c>
      <c r="D203" s="42" t="s">
        <v>15</v>
      </c>
    </row>
    <row r="204" ht="14.25" customHeight="1">
      <c r="A204" s="42">
        <v>102.0</v>
      </c>
      <c r="B204" s="42">
        <f t="shared" si="8"/>
        <v>300</v>
      </c>
      <c r="C204" s="42">
        <v>70052.0</v>
      </c>
      <c r="D204" s="42" t="s">
        <v>15</v>
      </c>
    </row>
    <row r="205" ht="14.25" customHeight="1">
      <c r="A205" s="42">
        <v>102.0</v>
      </c>
      <c r="B205" s="42">
        <f t="shared" si="8"/>
        <v>300</v>
      </c>
      <c r="C205" s="42">
        <v>70053.0</v>
      </c>
      <c r="D205" s="42" t="s">
        <v>15</v>
      </c>
    </row>
    <row r="206" ht="14.25" customHeight="1">
      <c r="A206" s="42">
        <v>102.0</v>
      </c>
      <c r="B206" s="42">
        <f t="shared" si="8"/>
        <v>50</v>
      </c>
      <c r="C206" s="42">
        <v>70054.0</v>
      </c>
      <c r="D206" s="42" t="s">
        <v>11</v>
      </c>
    </row>
    <row r="207" ht="14.25" customHeight="1">
      <c r="A207" s="42">
        <v>102.0</v>
      </c>
      <c r="B207" s="42">
        <f t="shared" si="8"/>
        <v>50</v>
      </c>
      <c r="C207" s="42">
        <v>70055.0</v>
      </c>
      <c r="D207" s="42" t="s">
        <v>11</v>
      </c>
    </row>
    <row r="208" ht="14.25" customHeight="1">
      <c r="A208" s="42">
        <v>102.0</v>
      </c>
      <c r="B208" s="42">
        <f t="shared" si="8"/>
        <v>50</v>
      </c>
      <c r="C208" s="42">
        <v>70056.0</v>
      </c>
      <c r="D208" s="42" t="s">
        <v>11</v>
      </c>
    </row>
    <row r="209" ht="14.25" customHeight="1">
      <c r="A209" s="42">
        <v>102.0</v>
      </c>
      <c r="B209" s="42">
        <f t="shared" si="8"/>
        <v>50</v>
      </c>
      <c r="C209" s="42">
        <v>70057.0</v>
      </c>
      <c r="D209" s="42" t="s">
        <v>11</v>
      </c>
    </row>
    <row r="210" ht="14.25" customHeight="1">
      <c r="A210" s="42">
        <v>102.0</v>
      </c>
      <c r="B210" s="42">
        <f t="shared" si="8"/>
        <v>10</v>
      </c>
      <c r="C210" s="42">
        <v>70058.0</v>
      </c>
      <c r="D210" s="42" t="s">
        <v>8</v>
      </c>
    </row>
    <row r="211" ht="14.25" customHeight="1">
      <c r="A211" s="42">
        <v>102.0</v>
      </c>
      <c r="B211" s="42">
        <f t="shared" si="8"/>
        <v>10</v>
      </c>
      <c r="C211" s="42">
        <v>70059.0</v>
      </c>
      <c r="D211" s="42" t="s">
        <v>8</v>
      </c>
    </row>
    <row r="212" ht="14.25" customHeight="1">
      <c r="A212" s="42">
        <v>102.0</v>
      </c>
      <c r="B212" s="42">
        <f t="shared" si="8"/>
        <v>10</v>
      </c>
      <c r="C212" s="42">
        <v>70060.0</v>
      </c>
      <c r="D212" s="42" t="s">
        <v>8</v>
      </c>
    </row>
    <row r="213" ht="14.25" customHeight="1">
      <c r="A213" s="42">
        <v>102.0</v>
      </c>
      <c r="B213" s="42">
        <f t="shared" si="8"/>
        <v>300</v>
      </c>
      <c r="C213" s="42">
        <v>70061.0</v>
      </c>
      <c r="D213" s="42" t="s">
        <v>15</v>
      </c>
    </row>
    <row r="214" ht="14.25" customHeight="1">
      <c r="A214" s="42">
        <v>102.0</v>
      </c>
      <c r="B214" s="42">
        <f t="shared" si="8"/>
        <v>300</v>
      </c>
      <c r="C214" s="42">
        <v>70062.0</v>
      </c>
      <c r="D214" s="42" t="s">
        <v>15</v>
      </c>
    </row>
    <row r="215" ht="14.25" customHeight="1">
      <c r="A215" s="42">
        <v>102.0</v>
      </c>
      <c r="B215" s="42">
        <f t="shared" si="8"/>
        <v>300</v>
      </c>
      <c r="C215" s="42">
        <v>70063.0</v>
      </c>
      <c r="D215" s="42" t="s">
        <v>15</v>
      </c>
    </row>
    <row r="216" ht="14.25" customHeight="1">
      <c r="A216" s="42">
        <v>102.0</v>
      </c>
      <c r="B216" s="42">
        <f t="shared" si="8"/>
        <v>50</v>
      </c>
      <c r="C216" s="42">
        <v>70064.0</v>
      </c>
      <c r="D216" s="42" t="s">
        <v>11</v>
      </c>
    </row>
    <row r="217" ht="14.25" customHeight="1">
      <c r="A217" s="42">
        <v>102.0</v>
      </c>
      <c r="B217" s="42">
        <f t="shared" si="8"/>
        <v>50</v>
      </c>
      <c r="C217" s="42">
        <v>70065.0</v>
      </c>
      <c r="D217" s="42" t="s">
        <v>11</v>
      </c>
    </row>
    <row r="218" ht="14.25" customHeight="1">
      <c r="A218" s="42">
        <v>102.0</v>
      </c>
      <c r="B218" s="42">
        <f t="shared" si="8"/>
        <v>50</v>
      </c>
      <c r="C218" s="42">
        <v>70066.0</v>
      </c>
      <c r="D218" s="42" t="s">
        <v>11</v>
      </c>
    </row>
    <row r="219" ht="14.25" customHeight="1">
      <c r="A219" s="42">
        <v>102.0</v>
      </c>
      <c r="B219" s="42">
        <f t="shared" si="8"/>
        <v>50</v>
      </c>
      <c r="C219" s="42">
        <v>70067.0</v>
      </c>
      <c r="D219" s="42" t="s">
        <v>11</v>
      </c>
    </row>
    <row r="220" ht="14.25" customHeight="1">
      <c r="A220" s="42">
        <v>102.0</v>
      </c>
      <c r="B220" s="42">
        <f t="shared" si="8"/>
        <v>10</v>
      </c>
      <c r="C220" s="42">
        <v>70068.0</v>
      </c>
      <c r="D220" s="42" t="s">
        <v>8</v>
      </c>
    </row>
    <row r="221" ht="14.25" customHeight="1">
      <c r="A221" s="42">
        <v>102.0</v>
      </c>
      <c r="B221" s="42">
        <f t="shared" si="8"/>
        <v>10</v>
      </c>
      <c r="C221" s="42">
        <v>70069.0</v>
      </c>
      <c r="D221" s="42" t="s">
        <v>8</v>
      </c>
    </row>
    <row r="222" ht="14.25" customHeight="1">
      <c r="A222" s="42">
        <v>102.0</v>
      </c>
      <c r="B222" s="42">
        <f t="shared" si="8"/>
        <v>10</v>
      </c>
      <c r="C222" s="42">
        <v>70070.0</v>
      </c>
      <c r="D222" s="42" t="s">
        <v>8</v>
      </c>
    </row>
    <row r="223" ht="14.25" customHeight="1">
      <c r="A223" s="42">
        <v>102.0</v>
      </c>
      <c r="B223" s="42">
        <v>360.0</v>
      </c>
      <c r="C223" s="42">
        <v>70071.0</v>
      </c>
      <c r="D223" s="42" t="s">
        <v>15</v>
      </c>
    </row>
    <row r="224" ht="14.25" customHeight="1">
      <c r="A224" s="42">
        <v>102.0</v>
      </c>
      <c r="B224" s="42">
        <f t="shared" ref="B224:B232" si="9">IF(D224="R",300,IF(D224="SR",50,IF(D224="SSR",10)))</f>
        <v>300</v>
      </c>
      <c r="C224" s="42">
        <v>70072.0</v>
      </c>
      <c r="D224" s="42" t="s">
        <v>15</v>
      </c>
    </row>
    <row r="225" ht="14.25" customHeight="1">
      <c r="A225" s="42">
        <v>102.0</v>
      </c>
      <c r="B225" s="42">
        <f t="shared" si="9"/>
        <v>300</v>
      </c>
      <c r="C225" s="42">
        <v>70073.0</v>
      </c>
      <c r="D225" s="42" t="s">
        <v>15</v>
      </c>
    </row>
    <row r="226" ht="14.25" customHeight="1">
      <c r="A226" s="42">
        <v>102.0</v>
      </c>
      <c r="B226" s="42">
        <f t="shared" si="9"/>
        <v>50</v>
      </c>
      <c r="C226" s="42">
        <v>70074.0</v>
      </c>
      <c r="D226" s="42" t="s">
        <v>11</v>
      </c>
    </row>
    <row r="227" ht="14.25" customHeight="1">
      <c r="A227" s="42">
        <v>102.0</v>
      </c>
      <c r="B227" s="42">
        <f t="shared" si="9"/>
        <v>50</v>
      </c>
      <c r="C227" s="42">
        <v>70075.0</v>
      </c>
      <c r="D227" s="42" t="s">
        <v>11</v>
      </c>
    </row>
    <row r="228" ht="14.25" customHeight="1">
      <c r="A228" s="42">
        <v>102.0</v>
      </c>
      <c r="B228" s="42">
        <f t="shared" si="9"/>
        <v>50</v>
      </c>
      <c r="C228" s="42">
        <v>70076.0</v>
      </c>
      <c r="D228" s="42" t="s">
        <v>11</v>
      </c>
    </row>
    <row r="229" ht="14.25" customHeight="1">
      <c r="A229" s="42">
        <v>102.0</v>
      </c>
      <c r="B229" s="42">
        <f t="shared" si="9"/>
        <v>50</v>
      </c>
      <c r="C229" s="42">
        <v>70077.0</v>
      </c>
      <c r="D229" s="42" t="s">
        <v>11</v>
      </c>
    </row>
    <row r="230" ht="14.25" customHeight="1">
      <c r="A230" s="42">
        <v>102.0</v>
      </c>
      <c r="B230" s="42">
        <f t="shared" si="9"/>
        <v>10</v>
      </c>
      <c r="C230" s="42">
        <v>70078.0</v>
      </c>
      <c r="D230" s="42" t="s">
        <v>8</v>
      </c>
    </row>
    <row r="231" ht="14.25" customHeight="1">
      <c r="A231" s="42">
        <v>102.0</v>
      </c>
      <c r="B231" s="42">
        <f t="shared" si="9"/>
        <v>10</v>
      </c>
      <c r="C231" s="42">
        <v>70079.0</v>
      </c>
      <c r="D231" s="42" t="s">
        <v>8</v>
      </c>
    </row>
    <row r="232" ht="14.25" customHeight="1">
      <c r="A232" s="42">
        <v>102.0</v>
      </c>
      <c r="B232" s="42">
        <f t="shared" si="9"/>
        <v>10</v>
      </c>
      <c r="C232" s="42">
        <v>70080.0</v>
      </c>
      <c r="D232" s="42" t="s">
        <v>8</v>
      </c>
    </row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D3:D33">
      <formula1>"SSR,SR,R"</formula1>
    </dataValidation>
    <dataValidation type="list" allowBlank="1" showErrorMessage="1" sqref="D36:D149 D153:D232">
      <formula1>"R,SR,SSR"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2.75" customHeight="1"/>
    <row r="2" ht="14.25" customHeight="1">
      <c r="A2" s="40" t="s">
        <v>3083</v>
      </c>
      <c r="B2" s="40" t="s">
        <v>943</v>
      </c>
      <c r="C2" s="40" t="s">
        <v>4350</v>
      </c>
      <c r="D2" s="40" t="s">
        <v>4351</v>
      </c>
      <c r="E2" s="40" t="s">
        <v>4352</v>
      </c>
      <c r="F2" s="40" t="s">
        <v>4353</v>
      </c>
      <c r="G2" s="40" t="s">
        <v>944</v>
      </c>
      <c r="H2" s="40" t="s">
        <v>945</v>
      </c>
    </row>
    <row r="3" ht="14.25" customHeight="1">
      <c r="A3" s="42">
        <v>100.0</v>
      </c>
      <c r="B3" s="166" t="s">
        <v>4355</v>
      </c>
      <c r="C3" s="42">
        <v>1001.0</v>
      </c>
      <c r="D3" s="121">
        <v>150.0</v>
      </c>
      <c r="E3" s="42">
        <v>1001.0</v>
      </c>
      <c r="F3" s="121">
        <v>1500.0</v>
      </c>
      <c r="G3" s="84">
        <v>46245.99930555555</v>
      </c>
      <c r="H3" s="84">
        <v>46610.99930555555</v>
      </c>
    </row>
    <row r="4" ht="14.25" customHeight="1">
      <c r="A4" s="42"/>
      <c r="B4" s="17"/>
      <c r="C4" s="42"/>
      <c r="D4" s="42"/>
      <c r="E4" s="42"/>
      <c r="F4" s="42"/>
      <c r="G4" s="84"/>
      <c r="H4" s="84"/>
    </row>
    <row r="5" ht="14.25" customHeight="1">
      <c r="A5" s="42"/>
      <c r="B5" s="17"/>
      <c r="C5" s="42"/>
      <c r="D5" s="42"/>
      <c r="E5" s="42"/>
      <c r="F5" s="42"/>
      <c r="G5" s="84"/>
      <c r="H5" s="84"/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