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<sst xmlns="http://schemas.openxmlformats.org/spreadsheetml/2006/main" count="6806" uniqueCount="2123">
  <si>
    <t>UI參考</t>
  </si>
  <si>
    <t>單詞規則說明</t>
  </si>
  <si>
    <t>指定</t>
  </si>
  <si>
    <t>特性</t>
  </si>
  <si>
    <t>傷害公式</t>
  </si>
  <si>
    <t>掉落機制</t>
  </si>
  <si>
    <t>掉落物</t>
  </si>
  <si>
    <t>傷害 = Self_Atk*Self_Atk / (Enemy_Def+Self_Atk) * (Skill_Self_SkillRate*Skill係數) *   if(cri亂數決定是否爆擊true *criDamge[先定150%即可] )</t>
  </si>
  <si>
    <t>帳號用</t>
  </si>
  <si>
    <t>攻擊數量</t>
  </si>
  <si>
    <t>HERO</t>
  </si>
  <si>
    <t>回魔量</t>
  </si>
  <si>
    <t>S_HP</t>
  </si>
  <si>
    <t>神格試煉</t>
  </si>
  <si>
    <t>出戰限制，隨機決定</t>
  </si>
  <si>
    <t>SSR</t>
  </si>
  <si>
    <t>每場都有獎勵</t>
  </si>
  <si>
    <t>職業經驗</t>
  </si>
  <si>
    <t>轉職卷碎片</t>
  </si>
  <si>
    <t>悟性藥水(有機會獲得點數；累積制)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</si>
  <si>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</si>
  <si>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貫穿</t>
  </si>
  <si>
    <t>貫穿抵抗</t>
  </si>
  <si>
    <t>試煉之塔</t>
  </si>
  <si>
    <t>爬塔</t>
  </si>
  <si>
    <t>物理攻擊</t>
  </si>
  <si>
    <t>抽卡卷</t>
  </si>
  <si>
    <t>戰法</t>
  </si>
  <si>
    <t>治療量</t>
  </si>
  <si>
    <t>減療量</t>
  </si>
  <si>
    <t>恢復反轉</t>
  </si>
  <si>
    <t>特殊技能；於回合開始時發動，自動狀態下可先進行預約；下回合如果SP符合則可施放</t>
  </si>
  <si>
    <t>無限地城</t>
  </si>
  <si>
    <t>SR</t>
  </si>
  <si>
    <t>選等級；中間獲得增益到打過</t>
  </si>
  <si>
    <t>挑戰整輪,打完才有獎勵</t>
  </si>
  <si>
    <t>裝備</t>
  </si>
  <si>
    <t>水晶物理防</t>
  </si>
  <si>
    <t>武器碎片</t>
  </si>
  <si>
    <t>等於全體角色的平均防禦量；受到直接攻擊時視同水晶的物理防禦，進入戰鬥後不會收BUFF影響提升與降低</t>
  </si>
  <si>
    <t>裝備洗鍊書</t>
  </si>
  <si>
    <t>魔法攻擊</t>
  </si>
  <si>
    <t>強化石</t>
  </si>
  <si>
    <t>R</t>
  </si>
  <si>
    <t>護盾量</t>
  </si>
  <si>
    <t>水晶魔法防</t>
  </si>
  <si>
    <t>護盾量減少</t>
  </si>
  <si>
    <t>等於全體角色的平均魔法防禦量；受到直接攻擊時視同水晶的物理防禦，進入戰鬥後不會收BUFF影響提升與降低</t>
  </si>
  <si>
    <t>兵員1(敵方)</t>
  </si>
  <si>
    <t>殲滅任務</t>
  </si>
  <si>
    <t>多wave；要一次打過</t>
  </si>
  <si>
    <t xml:space="preserve">劍士 </t>
  </si>
  <si>
    <t>兵員2(敵方)</t>
  </si>
  <si>
    <t>武器經驗</t>
  </si>
  <si>
    <t>普攻</t>
  </si>
  <si>
    <t>寶石</t>
  </si>
  <si>
    <t>角色用</t>
  </si>
  <si>
    <t>兵員3(敵方)</t>
  </si>
  <si>
    <t>兵員4(敵方)</t>
  </si>
  <si>
    <t>兵員5(敵方)</t>
  </si>
  <si>
    <t>帳號配點</t>
  </si>
  <si>
    <t>點數只要有固定的數字出現；會有新的個性出現</t>
  </si>
  <si>
    <t>劍豪</t>
  </si>
  <si>
    <t>狂怒一擊</t>
  </si>
  <si>
    <t>int</t>
  </si>
  <si>
    <t>CD</t>
  </si>
  <si>
    <t>魔攻</t>
  </si>
  <si>
    <t>技能傷害</t>
  </si>
  <si>
    <t>HP</t>
  </si>
  <si>
    <t>對敵方1體造成3AD物攻的物理傷害，並40%附加暈眩</t>
  </si>
  <si>
    <t>角色的HP數值(起始就全滿)，歸0時則死亡</t>
  </si>
  <si>
    <t>狂戰士</t>
  </si>
  <si>
    <t>vit</t>
  </si>
  <si>
    <t>MP</t>
  </si>
  <si>
    <t>全隊增加攻擊力</t>
  </si>
  <si>
    <t>防禦</t>
  </si>
  <si>
    <t>CD=2</t>
  </si>
  <si>
    <t>角色的MP數值(起始就全滿)，需要足夠的MP量才可以施放skill1與skill2，每回合開始時自動恢復10%</t>
  </si>
  <si>
    <t>為全體附加攻擊上升</t>
  </si>
  <si>
    <t>神射手</t>
  </si>
  <si>
    <t>agi</t>
  </si>
  <si>
    <t>隨機</t>
  </si>
  <si>
    <t>爆擊率</t>
  </si>
  <si>
    <t>行動值</t>
  </si>
  <si>
    <t>str</t>
  </si>
  <si>
    <t>攻擊力</t>
  </si>
  <si>
    <t>刺客</t>
  </si>
  <si>
    <t>爆傷害</t>
  </si>
  <si>
    <t>每1點抵銷受擊敵人的防禦1點</t>
  </si>
  <si>
    <t xml:space="preserve">戰士 </t>
  </si>
  <si>
    <t>dex</t>
  </si>
  <si>
    <t>異常狀態抗性</t>
  </si>
  <si>
    <t>ID 4000~5999的抗性機率，初始為0%</t>
  </si>
  <si>
    <t>spr</t>
  </si>
  <si>
    <t>魔防</t>
  </si>
  <si>
    <t>普通攻擊</t>
  </si>
  <si>
    <t>追加最終heal，起始為100%</t>
  </si>
  <si>
    <t>魔導士</t>
  </si>
  <si>
    <t>一般攻擊；不消耗MP，並且如果無前方角色進行抵擋傷害時，直接傷害召喚水晶(防禦用召喚水晶為準)</t>
  </si>
  <si>
    <t>skill1</t>
  </si>
  <si>
    <t>兵員1(我方)</t>
  </si>
  <si>
    <t>重劍防禦</t>
  </si>
  <si>
    <t>起始開放</t>
  </si>
  <si>
    <t>將會消耗MP才能進行施放</t>
  </si>
  <si>
    <t>兵員2(我方)</t>
  </si>
  <si>
    <t>對我方隨機2體附加3AD的護盾</t>
  </si>
  <si>
    <t>神官</t>
  </si>
  <si>
    <t>兵員3(我方)</t>
  </si>
  <si>
    <t>武器轉蛋</t>
  </si>
  <si>
    <t>兵員4(我方)</t>
  </si>
  <si>
    <t>skill2</t>
  </si>
  <si>
    <t>兵員5(我方)</t>
  </si>
  <si>
    <t>職業</t>
  </si>
  <si>
    <t>全隊增加防禦力</t>
  </si>
  <si>
    <t>移動位置</t>
  </si>
  <si>
    <t>職業-天賦</t>
  </si>
  <si>
    <t>如自身左右方沒有英雄時，可以換取位置，但會消耗一回合</t>
  </si>
  <si>
    <t>為全體附加防禦上升</t>
  </si>
  <si>
    <t>主線關卡 / 帳號等級</t>
  </si>
  <si>
    <t>重生</t>
  </si>
  <si>
    <t>初始職業</t>
  </si>
  <si>
    <t>所有的角色死亡都會自動依照回合數進行自動復活(HP全滿、MP全滿)</t>
  </si>
  <si>
    <t>重生時間</t>
  </si>
  <si>
    <t>一階</t>
  </si>
  <si>
    <t>復活時hp與mp階滿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</si>
  <si>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</si>
  <si>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</si>
  <si>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</si>
  <si>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</si>
  <si>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</si>
  <si>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</si>
  <si>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</si>
  <si>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戰鬥用</t>
  </si>
  <si>
    <t>神劍使</t>
  </si>
  <si>
    <t>*依照敏捷依序進行攻擊；攻擊規則詳參基本說明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</si>
  <si>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</si>
  <si>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</si>
  <si>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</si>
  <si>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</si>
  <si>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</si>
  <si>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</si>
  <si>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</si>
  <si>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勝利條件1=全部召喚角色死亡(小於等於0)</t>
  </si>
  <si>
    <t>戰士</t>
  </si>
  <si>
    <t>戰將</t>
  </si>
  <si>
    <t>戰神</t>
  </si>
  <si>
    <t>不滅戰神</t>
  </si>
  <si>
    <t>勝利條件2=召喚水晶HP死亡(小於等於0)</t>
  </si>
  <si>
    <t>重裝騎士</t>
  </si>
  <si>
    <t>鋼鐵騎士</t>
  </si>
  <si>
    <t>守護戰神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</si>
  <si>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</si>
  <si>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</si>
  <si>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盜賊</t>
  </si>
  <si>
    <t>可以把英雄 跟召喚水晶理解成前排與後排，前排的英雄可以抵擋傷害，當前排死亡時；所有遠本會打到前排的攻擊(所有5個位置都會)，都會打到後排的召喚水晶</t>
  </si>
  <si>
    <t>武器升級</t>
  </si>
  <si>
    <t>劇毒匕首</t>
  </si>
  <si>
    <t>死亡的英雄不再顯示於行動順序上；每個回合將重新排序</t>
  </si>
  <si>
    <t>對敵方1體造成3.1物攻的物理傷害，並附加中毒效果</t>
  </si>
  <si>
    <t>弓手</t>
  </si>
  <si>
    <t>狙擊者</t>
  </si>
  <si>
    <t>傷害溢出功能，當次的攻擊可以造成角色死亡時；該多餘的傷害需要直接傷害到水晶(傷害不變)</t>
  </si>
  <si>
    <t>天穹獵手</t>
  </si>
  <si>
    <t>星弦獵神</t>
  </si>
  <si>
    <t>水晶直接攻擊 的 水晶直接傷害追加一個規則，就是必定造成傷害再追加100%(總共兩倍)</t>
  </si>
  <si>
    <t>全隊增加爆擊率</t>
  </si>
  <si>
    <t>復活時不再透過角色hp來減少當下的s_hp</t>
  </si>
  <si>
    <t>全隊增加爆擊率上升</t>
  </si>
  <si>
    <t>遊俠</t>
  </si>
  <si>
    <t>element有互克關係；水剋火,火剋木,木剋水，剋制關係時造成的最終傷害增加+30%(水打火)、被剋制關係時火打水時造成的最終傷害-30%</t>
  </si>
  <si>
    <t>森林王</t>
  </si>
  <si>
    <t>萬獸獵王</t>
  </si>
  <si>
    <t>魔法師</t>
  </si>
  <si>
    <t>level</t>
  </si>
  <si>
    <t>武器升星</t>
  </si>
  <si>
    <t>掛機系統</t>
  </si>
  <si>
    <t>影刃</t>
  </si>
  <si>
    <t>暗影宗師</t>
  </si>
  <si>
    <t>虛空刺客</t>
  </si>
  <si>
    <t>HP / ATK / MATK / DEF / MDEF / MP = 起始數值 * (1 + level * 0.03)</t>
  </si>
  <si>
    <t>全體點燃</t>
  </si>
  <si>
    <t>對敵方全體造成0.6魔攻的魔法傷害，並附加灼傷</t>
  </si>
  <si>
    <t xml:space="preserve"> AGI = 起始AGI * (1 + level * 0.01) level = 0 時完全不縮放，維持原始數值</t>
  </si>
  <si>
    <t>遊蕩者</t>
  </si>
  <si>
    <t>暗夜獵手</t>
  </si>
  <si>
    <t>幻影宗師</t>
  </si>
  <si>
    <t>全隊增加魔攻上升</t>
  </si>
  <si>
    <t>傷害(物理傷害) = Self_Atk*Self_Atk / (Enemy_Def+Self_Atk) * (Skill_Self_SkillRate*Skill係數) *   if(cri亂數決定是否爆擊true * criDamge[最低150%依照後續追加] )</t>
  </si>
  <si>
    <t>捕獲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</si>
  <si>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</si>
  <si>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</si>
  <si>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</si>
  <si>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</si>
  <si>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</si>
  <si>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</si>
  <si>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</si>
  <si>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</si>
  <si>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副本-試煉之塔(推塔)</t>
  </si>
  <si>
    <t>自動下一關開放</t>
  </si>
  <si>
    <t>治療</t>
  </si>
  <si>
    <t>對我方隨機2體3AP魔攻的HP恢復</t>
  </si>
  <si>
    <t>祭司</t>
  </si>
  <si>
    <t>主教</t>
  </si>
  <si>
    <t>聖者</t>
  </si>
  <si>
    <t>聖女／聖王</t>
  </si>
  <si>
    <t>神格</t>
  </si>
  <si>
    <t>全隊增加魔防</t>
  </si>
  <si>
    <t>一般、普通、困難、惡夢(難度選擇；等級區間)</t>
  </si>
  <si>
    <t>為全體附加魔防上升</t>
  </si>
  <si>
    <t>攻擊傷害 = (Self_atk^2 / (Self_atk+enemy_def ))* Damage *IfCri</t>
  </si>
  <si>
    <t>戰鬥祭司</t>
  </si>
  <si>
    <t>神殿騎士</t>
  </si>
  <si>
    <t>聖裁者</t>
  </si>
  <si>
    <t>迴旋打擊</t>
  </si>
  <si>
    <t>為隨機3名敵人造成&lt;AD&gt;的物理傷害</t>
  </si>
  <si>
    <t>職業裝備</t>
  </si>
  <si>
    <t>無限地城(10~50自己切換)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</si>
  <si>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</si>
  <si>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</si>
  <si>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</si>
  <si>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</si>
  <si>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轉職</t>
  </si>
  <si>
    <t>Damage =  (1+self_damageIncrease +  selfBuff_damageIncrease) * (1- enemy_damageReduce)*(1- enemyBuff_damageReduce)</t>
  </si>
  <si>
    <t>魔法石</t>
  </si>
  <si>
    <t>副本-殲滅任務(多wave)</t>
  </si>
  <si>
    <t>無限地城(10~130自己切換)</t>
  </si>
  <si>
    <t>*戰鬥中有可能會有相對應的Buff被追加，self / enemy是帶入戰鬥時的基礎；有cuerrent要被加到1+與1- 的算式中</t>
  </si>
  <si>
    <t>無限地城(50~100自己切換)</t>
  </si>
  <si>
    <t>*紅字可以直接透過slot結果帶入</t>
  </si>
  <si>
    <t>主線(一般)</t>
  </si>
  <si>
    <t>50鑽石</t>
  </si>
  <si>
    <t>主線(BOSS節點)</t>
  </si>
  <si>
    <t>1000鑽石</t>
  </si>
  <si>
    <t>計算爆擊:      (self_cri  - enemy_criReduce ) 減後；計算爆擊率</t>
  </si>
  <si>
    <t>爆擊時    :     IfCri =  150% + (self_criDamage - enemy_criDamageReduce) ；()內值最小=0</t>
  </si>
  <si>
    <t>tpye</t>
  </si>
  <si>
    <t>星0</t>
  </si>
  <si>
    <t>星1</t>
  </si>
  <si>
    <t>星2</t>
  </si>
  <si>
    <t>星3</t>
  </si>
  <si>
    <t>limite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</si>
  <si>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</si>
  <si>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</si>
  <si>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</si>
  <si>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</si>
  <si>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</si>
  <si>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</si>
  <si>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</si>
  <si>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</si>
  <si>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</si>
  <si>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ATK</t>
  </si>
  <si>
    <t>-</t>
  </si>
  <si>
    <t>MATK</t>
  </si>
  <si>
    <t>★</t>
  </si>
  <si>
    <t>DEF</t>
  </si>
  <si>
    <t>★★</t>
  </si>
  <si>
    <t>MDEF</t>
  </si>
  <si>
    <t>★★★</t>
  </si>
  <si>
    <t>★★★★</t>
  </si>
  <si>
    <t>CRI</t>
  </si>
  <si>
    <t>★★★★★</t>
  </si>
  <si>
    <t>☆★★★★</t>
  </si>
  <si>
    <t>☆☆★★★</t>
  </si>
  <si>
    <t>cri_resist</t>
  </si>
  <si>
    <t>☆☆☆★★</t>
  </si>
  <si>
    <t>AGI</t>
  </si>
  <si>
    <t>☆☆☆☆★</t>
  </si>
  <si>
    <t>damage_reflect</t>
  </si>
  <si>
    <t>☆☆☆☆☆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</si>
  <si>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</si>
  <si>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</si>
  <si>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</si>
  <si>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</si>
  <si>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</si>
  <si>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</si>
  <si>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</si>
  <si>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#魔器</t>
  </si>
  <si>
    <t>shield_rate</t>
  </si>
  <si>
    <t>permeate</t>
  </si>
  <si>
    <t>atypical_rate</t>
  </si>
  <si>
    <t>heal_rate</t>
  </si>
  <si>
    <t>#魔法</t>
  </si>
  <si>
    <t>#輸出</t>
  </si>
  <si>
    <t>#毀天滅地</t>
  </si>
  <si>
    <t>nature_info</t>
  </si>
  <si>
    <t>#元素狂襲</t>
  </si>
  <si>
    <t>#灼熱</t>
  </si>
  <si>
    <t>火之迦具土神劍</t>
  </si>
  <si>
    <t>buff_id</t>
  </si>
  <si>
    <t>#深思熟慮</t>
  </si>
  <si>
    <t>業火一閃</t>
  </si>
  <si>
    <t>#壯如巨樹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</si>
  <si>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</si>
  <si>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</si>
  <si>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</si>
  <si>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</si>
  <si>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</si>
  <si>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</si>
  <si>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</si>
  <si>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</si>
  <si>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</si>
  <si>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</si>
  <si>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</si>
  <si>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</si>
  <si>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</si>
  <si>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</si>
  <si>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</si>
  <si>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</si>
  <si>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</si>
  <si>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</si>
  <si>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</si>
  <si>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</si>
  <si>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#高速移動</t>
  </si>
  <si>
    <t>#名刀</t>
  </si>
  <si>
    <t>#致命一擊</t>
  </si>
  <si>
    <t>#臨寒</t>
  </si>
  <si>
    <t>#自然之怒</t>
  </si>
  <si>
    <t>童子切安綱</t>
  </si>
  <si>
    <t>#力大無窮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</si>
  <si>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</si>
  <si>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</si>
  <si>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</si>
  <si>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</si>
  <si>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</si>
  <si>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</si>
  <si>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</si>
  <si>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#彈無虛發</t>
  </si>
  <si>
    <t>冰凍機率增加30%，並且凍傷發動機率追加30%</t>
  </si>
  <si>
    <t>該武器基礎追加魔攻15%</t>
  </si>
  <si>
    <t>#無限精神</t>
  </si>
  <si>
    <t>神酒破鬼陣</t>
  </si>
  <si>
    <t>CD:8</t>
  </si>
  <si>
    <t>#領悟</t>
  </si>
  <si>
    <t>對敵方3體造成傷害，並附加魔防下降3層</t>
  </si>
  <si>
    <t>對受擊者附加凍傷效果1層</t>
  </si>
  <si>
    <t>對受擊者附加凍傷效果改為3層</t>
  </si>
  <si>
    <t>#強壯</t>
  </si>
  <si>
    <t>#速度</t>
  </si>
  <si>
    <t>#恢復</t>
  </si>
  <si>
    <t>#生生不息</t>
  </si>
  <si>
    <t>#巧奪天工</t>
  </si>
  <si>
    <t>村雨</t>
  </si>
  <si>
    <t>#力量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</si>
  <si>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</si>
  <si>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</si>
  <si>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</si>
  <si>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</si>
  <si>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</si>
  <si>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#精確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</si>
  <si>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</si>
  <si>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</si>
  <si>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</si>
  <si>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</si>
  <si>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</si>
  <si>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#精神</t>
  </si>
  <si>
    <t>#宮廷的法師</t>
  </si>
  <si>
    <t>清泉怒濤</t>
  </si>
  <si>
    <t>CD:6</t>
  </si>
  <si>
    <t>對我方全體恢復hp</t>
  </si>
  <si>
    <t>#極意攻勢</t>
  </si>
  <si>
    <t>額外附加攻擊上升與魔攻上升效果2層</t>
  </si>
  <si>
    <t>額外附加技能傷害上升與爆擊上升效果</t>
  </si>
  <si>
    <t>#防禦怪獸</t>
  </si>
  <si>
    <t>#又快又準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</si>
  <si>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</si>
  <si>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</si>
  <si>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</si>
  <si>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</si>
  <si>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</si>
  <si>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</si>
  <si>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</si>
  <si>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</si>
  <si>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</si>
  <si>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</si>
  <si>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</si>
  <si>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</si>
  <si>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</si>
  <si>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</si>
  <si>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</si>
  <si>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</si>
  <si>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</si>
  <si>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</si>
  <si>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</si>
  <si>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</si>
  <si>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</si>
  <si>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</si>
  <si>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</si>
  <si>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</si>
  <si>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</si>
  <si>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</si>
  <si>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</si>
  <si>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</si>
  <si>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</si>
  <si>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</si>
  <si>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</si>
  <si>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</si>
  <si>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</si>
  <si>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</si>
  <si>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</si>
  <si>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</si>
  <si>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</si>
  <si>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</si>
  <si>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</si>
  <si>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</si>
  <si>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</si>
  <si>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</si>
  <si>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</si>
  <si>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</si>
  <si>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</si>
  <si>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</si>
  <si>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</si>
  <si>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</si>
  <si>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</si>
  <si>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</si>
  <si>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</si>
  <si>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</si>
  <si>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</si>
  <si>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</si>
  <si>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</si>
  <si>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</si>
  <si>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</si>
  <si>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</si>
  <si>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</si>
  <si>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</si>
  <si>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</si>
  <si>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</si>
  <si>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</si>
  <si>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</si>
  <si>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</si>
  <si>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</si>
  <si>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</si>
  <si>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</si>
  <si>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</si>
  <si>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</si>
  <si>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</si>
  <si>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</si>
  <si>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</si>
  <si>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</si>
  <si>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</si>
  <si>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</si>
  <si>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</si>
  <si>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</si>
  <si>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</si>
  <si>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</si>
  <si>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</si>
  <si>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</si>
  <si>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</si>
  <si>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</si>
  <si>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</si>
  <si>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skill_id</t>
  </si>
  <si>
    <t>額外自身技能傷害上升</t>
  </si>
  <si>
    <t>額外自身附加爆傷上升</t>
  </si>
  <si>
    <t>對象改2人</t>
  </si>
  <si>
    <t>爆傷上升、傷害上升、爆擊上升改為2層)</t>
  </si>
  <si>
    <t>技能名稱</t>
  </si>
  <si>
    <t>攻擊對象數量</t>
  </si>
  <si>
    <t>是否為隨機</t>
  </si>
  <si>
    <t>是否自身施放</t>
  </si>
  <si>
    <t>攻擊次數</t>
  </si>
  <si>
    <t>震天雷霆斬</t>
  </si>
  <si>
    <t>CD:4</t>
  </si>
  <si>
    <t>AD(技能係數)</t>
  </si>
  <si>
    <t>AP(技能係數)</t>
  </si>
  <si>
    <t>對敵方隨機1體造成3次，40%自身附加攻擊上升</t>
  </si>
  <si>
    <t>任意攻擊改為4次</t>
  </si>
  <si>
    <t>current_hp</t>
  </si>
  <si>
    <t>cooldown</t>
  </si>
  <si>
    <t>任意攻擊改為6次</t>
  </si>
  <si>
    <t>isrole</t>
  </si>
  <si>
    <t>type</t>
  </si>
  <si>
    <t>MP_cost</t>
  </si>
  <si>
    <t>MP_revocer</t>
  </si>
  <si>
    <t>self_add_buff_id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</si>
  <si>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</si>
  <si>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</si>
  <si>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</si>
  <si>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</si>
  <si>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</si>
  <si>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</si>
  <si>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self_buff_rate_overwrite</t>
  </si>
  <si>
    <t>額外40%附加凍傷</t>
  </si>
  <si>
    <t>弱化附加機率追加至50%</t>
  </si>
  <si>
    <t>弱化附加機率追加至80%</t>
  </si>
  <si>
    <t>add_buff_id</t>
  </si>
  <si>
    <t>add_buff_rate_overwrite</t>
  </si>
  <si>
    <t>remove_buff_id</t>
  </si>
  <si>
    <t>remove_buff_rate_overwrite</t>
  </si>
  <si>
    <t>isMpDamage</t>
  </si>
  <si>
    <t>噬魂開鋒</t>
  </si>
  <si>
    <t>prefeb_atk</t>
  </si>
  <si>
    <t>對敵方1體隨機&lt;AD&gt;，額外40%附加停止</t>
  </si>
  <si>
    <t>prefeb_hit1</t>
  </si>
  <si>
    <t>額外40%附加暈眩</t>
  </si>
  <si>
    <t>prefeb_hit2</t>
  </si>
  <si>
    <t>對象改2人，額外40%附加麻痺</t>
  </si>
  <si>
    <t>說明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</si>
  <si>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</si>
  <si>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</si>
  <si>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</si>
  <si>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</si>
  <si>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</si>
  <si>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</si>
  <si>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黑暗契約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</si>
  <si>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</si>
  <si>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</si>
  <si>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</si>
  <si>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</si>
  <si>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</si>
  <si>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</si>
  <si>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</si>
  <si>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</si>
  <si>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</si>
  <si>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</si>
  <si>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</si>
  <si>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</si>
  <si>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</si>
  <si>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</si>
  <si>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</si>
  <si>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</si>
  <si>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</si>
  <si>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</si>
  <si>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</si>
  <si>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</si>
  <si>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消耗一張"暗黑契約卷"對敵方1體進行契約，如契約成功戰鬥勝利新增至武器清單中。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</si>
  <si>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</si>
  <si>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</si>
  <si>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</si>
  <si>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phycial</t>
  </si>
  <si>
    <t>潘朵拉的魔盒</t>
  </si>
  <si>
    <t>slash</t>
  </si>
  <si>
    <t>對敵方造成&lt;AD&gt;的物理傷害</t>
  </si>
  <si>
    <t>釋放世間災禍與痛苦的禁忌器物。</t>
  </si>
  <si>
    <t>buff名稱</t>
  </si>
  <si>
    <t>物理2體攻擊</t>
  </si>
  <si>
    <t>buff_info</t>
  </si>
  <si>
    <t>#備註用</t>
  </si>
  <si>
    <t>尼米安之皮</t>
  </si>
  <si>
    <t>buff_exchange</t>
  </si>
  <si>
    <t>tag</t>
  </si>
  <si>
    <t>基督教傳說中刺穿耶穌基督側腹的聖槍。</t>
  </si>
  <si>
    <t>element</t>
  </si>
  <si>
    <t>對隨機2名敵方造成&lt;AD&gt;的物理傷害</t>
  </si>
  <si>
    <t>八尺瓊勾玉</t>
  </si>
  <si>
    <t>希臘神話中刀槍不入的獅皮防具。</t>
  </si>
  <si>
    <t>物理群體攻擊</t>
  </si>
  <si>
    <t>#法器</t>
  </si>
  <si>
    <t>五行鏡</t>
  </si>
  <si>
    <t>日本神話中的三神器之一，象徵「仁」，為古老而神聖的勾玉寶器。</t>
  </si>
  <si>
    <t>reflashAble</t>
  </si>
  <si>
    <t>max_stack</t>
  </si>
  <si>
    <t>持續回合數</t>
  </si>
  <si>
    <t>對隨機3名敵方造成&lt;AD&gt;的物理傷害</t>
  </si>
  <si>
    <t>effective_turn</t>
  </si>
  <si>
    <t>所羅門之鑰</t>
  </si>
  <si>
    <t>effective_currenthp_higher</t>
  </si>
  <si>
    <t>effective_currenthp_lower</t>
  </si>
  <si>
    <t>東方道法中用以觀照靈體、破除幻境的鏡類法器。</t>
  </si>
  <si>
    <t>額外附加治療反轉</t>
  </si>
  <si>
    <t>invisible</t>
  </si>
  <si>
    <t>set_info</t>
  </si>
  <si>
    <t>set_effective_count</t>
  </si>
  <si>
    <t>降魔杵</t>
  </si>
  <si>
    <t>凱爾特神話中太陽神的光之貫穿之槍。</t>
  </si>
  <si>
    <t>攻擊上升</t>
  </si>
  <si>
    <t>數珠丸恆次</t>
  </si>
  <si>
    <t>象徵至高權能與驅使靈體之力的祈福寶器。</t>
  </si>
  <si>
    <t>magic</t>
  </si>
  <si>
    <t>magic_throw</t>
  </si>
  <si>
    <t>布里歐納克</t>
  </si>
  <si>
    <t>explode</t>
  </si>
  <si>
    <t>對敵方敵方造成&lt;AP&gt;的魔法傷害</t>
  </si>
  <si>
    <t>佛教密宗中用以摧毀煩惱、鎮伏妖魔的金剛法器。</t>
  </si>
  <si>
    <t>魔法2體攻擊</t>
  </si>
  <si>
    <t>buff</t>
  </si>
  <si>
    <t>級武器清單</t>
  </si>
  <si>
    <t>對隨機2名敵方造成&lt;AP&gt;的魔法傷害</t>
  </si>
  <si>
    <t>魔法群體攻擊</t>
  </si>
  <si>
    <t>鬼丸國綱</t>
  </si>
  <si>
    <t>降伏之刃</t>
  </si>
  <si>
    <t>對隨機3名敵方造成&lt;AP&gt;的魔法傷害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</si>
  <si>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</si>
  <si>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</si>
  <si>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</si>
  <si>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</si>
  <si>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</si>
  <si>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</si>
  <si>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防禦上升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</si>
  <si>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</si>
  <si>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</si>
  <si>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</si>
  <si>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</si>
  <si>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</si>
  <si>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</si>
  <si>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</si>
  <si>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</si>
  <si>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</si>
  <si>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</si>
  <si>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</si>
  <si>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魔攻上升</t>
  </si>
  <si>
    <t>鬼魅之護</t>
  </si>
  <si>
    <t>對我方2體恢復&lt;AP&gt;魔攻的HP，並附加護盾</t>
  </si>
  <si>
    <t>額外附加受到傷害減少效果</t>
  </si>
  <si>
    <t>對象改為3人</t>
  </si>
  <si>
    <t>magic_fire</t>
  </si>
  <si>
    <t>fire</t>
  </si>
  <si>
    <t>冥府威壓</t>
  </si>
  <si>
    <t>為敵方2體造成物理傷害，並30%機率附加暈眩</t>
  </si>
  <si>
    <t>魔防上升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</si>
  <si>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</si>
  <si>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</si>
  <si>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</si>
  <si>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</si>
  <si>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</si>
  <si>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</si>
  <si>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</si>
  <si>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heal</t>
  </si>
  <si>
    <t>機率追加60%</t>
  </si>
  <si>
    <t>爆擊上升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</si>
  <si>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</si>
  <si>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</si>
  <si>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</si>
  <si>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</si>
  <si>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</si>
  <si>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</si>
  <si>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</si>
  <si>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</si>
  <si>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爆傷上升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</si>
  <si>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</si>
  <si>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</si>
  <si>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</si>
  <si>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</si>
  <si>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</si>
  <si>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</si>
  <si>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技能傷害上升</t>
  </si>
  <si>
    <t>閃光折躍</t>
  </si>
  <si>
    <t>為敵方隨機3體造成&lt;AP&gt;魔攻的魔法傷害，40%機率為自身附加技能傷害上升</t>
  </si>
  <si>
    <t>額外為自身附加魔攻上升效果</t>
  </si>
  <si>
    <t>shield</t>
  </si>
  <si>
    <t>轟天衝擊</t>
  </si>
  <si>
    <t>為敵方2體造成傷害，並30%機率附加麻痺</t>
  </si>
  <si>
    <t>debuff</t>
  </si>
  <si>
    <t>美杜莎之盾</t>
  </si>
  <si>
    <t>死亡凝視</t>
  </si>
  <si>
    <t>爆擊抗性上升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</si>
  <si>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</si>
  <si>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</si>
  <si>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</si>
  <si>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</si>
  <si>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</si>
  <si>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</si>
  <si>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</si>
  <si>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</si>
  <si>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</si>
  <si>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爆傷抗性上升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</si>
  <si>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</si>
  <si>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</si>
  <si>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</si>
  <si>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</si>
  <si>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</si>
  <si>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對敵方1體造成&lt;AD&gt;物攻的物理傷害；並為自身附加爆擊上升</t>
  </si>
  <si>
    <t>布倫希爾德之盾</t>
  </si>
  <si>
    <t>技能抵抗上升</t>
  </si>
  <si>
    <t>阿斯克勒庇俄斯之杖</t>
  </si>
  <si>
    <t>巴魯蒙格</t>
  </si>
  <si>
    <t>黛安娜的月弓</t>
  </si>
  <si>
    <t>對敵方1體造成&lt;AD&gt;物攻的物理傷害，並40%附加裂傷</t>
  </si>
  <si>
    <t>增加造成傷害</t>
  </si>
  <si>
    <t>赫菲斯托斯之錘</t>
  </si>
  <si>
    <t>#靈能爆發</t>
  </si>
  <si>
    <t>諸神黃昏號角</t>
  </si>
  <si>
    <t>對我方2體&lt;AD&gt;物攻的護盾，自身死亡後3回合將自動重生</t>
  </si>
  <si>
    <t>荷魯斯之眼</t>
  </si>
  <si>
    <t>阿爾忒彌斯之矢</t>
  </si>
  <si>
    <t>角色id</t>
  </si>
  <si>
    <t>角色名稱</t>
  </si>
  <si>
    <t>減少受到傷害</t>
  </si>
  <si>
    <t>rare</t>
  </si>
  <si>
    <t>體系</t>
  </si>
  <si>
    <t>堅鐵長矛</t>
  </si>
  <si>
    <t>stab</t>
  </si>
  <si>
    <t>equipment_type</t>
  </si>
  <si>
    <t>重擲穿刺</t>
  </si>
  <si>
    <t>為敵方2體造成&lt;AD&gt;物攻的物理傷害，並50%附加防禦下降</t>
  </si>
  <si>
    <t>resist_buff</t>
  </si>
  <si>
    <t>skill0_id</t>
  </si>
  <si>
    <t>附加下降追加50%</t>
  </si>
  <si>
    <t>skill1_id</t>
  </si>
  <si>
    <t>skill2_id</t>
  </si>
  <si>
    <t>role_ addition</t>
  </si>
  <si>
    <t>hp</t>
  </si>
  <si>
    <t>atk</t>
  </si>
  <si>
    <t>對3個敵方造成&lt;AD&gt;物攻的物理傷害並40%機率附加自身攻擊上升</t>
  </si>
  <si>
    <t>貫穿刺擊</t>
  </si>
  <si>
    <t>matk</t>
  </si>
  <si>
    <t>def</t>
  </si>
  <si>
    <t>對敵方1體造成傷害，並50%為自身附加爆擊上升</t>
  </si>
  <si>
    <t>mdef</t>
  </si>
  <si>
    <t>mp</t>
  </si>
  <si>
    <t>重生回合數</t>
  </si>
  <si>
    <t>#六維</t>
  </si>
  <si>
    <t>對我方2體恢復&lt;AP&gt;魔攻的HP</t>
  </si>
  <si>
    <t>capture_rate</t>
  </si>
  <si>
    <t>尖刺短刀</t>
  </si>
  <si>
    <t>exchange_id</t>
  </si>
  <si>
    <t>exchange_amount</t>
  </si>
  <si>
    <t>尖刺突落</t>
  </si>
  <si>
    <t>為敵方2體造成&lt;AD&gt;物攻的物理傷害，並25%機率附加裂傷</t>
  </si>
  <si>
    <t>star_refine_id</t>
  </si>
  <si>
    <t>star_cost_id</t>
  </si>
  <si>
    <t>附加機率追加30%</t>
  </si>
  <si>
    <t>star1_skill1</t>
  </si>
  <si>
    <t>附加潰防(潰防；降30%物禦)</t>
  </si>
  <si>
    <t>star2_skill1</t>
  </si>
  <si>
    <t>star3_skill1</t>
  </si>
  <si>
    <t>star4_skill1</t>
  </si>
  <si>
    <t>star5_skill1</t>
  </si>
  <si>
    <t>star1_skill2</t>
  </si>
  <si>
    <t>毒棘之吻</t>
  </si>
  <si>
    <t>CD:12</t>
  </si>
  <si>
    <t>star2_skill2</t>
  </si>
  <si>
    <t>為敵方全體造成傷害，機率附加35%中毒</t>
  </si>
  <si>
    <t>star3_skill2</t>
  </si>
  <si>
    <t>star4_skill2</t>
  </si>
  <si>
    <t>star5_skill2</t>
  </si>
  <si>
    <t>火之迦具土</t>
  </si>
  <si>
    <t>學徒法杖</t>
  </si>
  <si>
    <t>火球術</t>
  </si>
  <si>
    <t>對敵方1體造成&lt;AP&gt;魔攻的魔法傷害，並25%附加灼傷</t>
  </si>
  <si>
    <t>對象改為2人</t>
  </si>
  <si>
    <t>weapon</t>
  </si>
  <si>
    <t>冰凍術</t>
  </si>
  <si>
    <t>對敵方2體造成傷害，並25%附加凍傷</t>
  </si>
  <si>
    <t>對我方隨機1體恢復&lt;AP&gt;魔攻的HP，並額外附加防禦上升效果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</si>
  <si>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</si>
  <si>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</si>
  <si>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</si>
  <si>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</si>
  <si>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</si>
  <si>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</si>
  <si>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攻擊下降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</si>
  <si>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</si>
  <si>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</si>
  <si>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</si>
  <si>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</si>
  <si>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</si>
  <si>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</si>
  <si>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</si>
  <si>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</si>
  <si>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</si>
  <si>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</si>
  <si>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</si>
  <si>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</si>
  <si>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防禦下降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</si>
  <si>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</si>
  <si>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</si>
  <si>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</si>
  <si>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</si>
  <si>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</si>
  <si>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</si>
  <si>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</si>
  <si>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</si>
  <si>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魔攻下降</t>
  </si>
  <si>
    <t>雙重切削</t>
  </si>
  <si>
    <t>為敵方2體造成&lt;AD&gt;物攻的物理傷害，並25%附加裂傷</t>
  </si>
  <si>
    <t>連鎖突進</t>
  </si>
  <si>
    <t>beat</t>
  </si>
  <si>
    <t>為敵方隨機1體進行2次攻擊</t>
  </si>
  <si>
    <t>魔防下降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</si>
  <si>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</si>
  <si>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</si>
  <si>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</si>
  <si>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</si>
  <si>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</si>
  <si>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</si>
  <si>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</si>
  <si>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爆擊下降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</si>
  <si>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</si>
  <si>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</si>
  <si>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</si>
  <si>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</si>
  <si>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</si>
  <si>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</si>
  <si>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</si>
  <si>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 xml:space="preserve"> </t>
  </si>
  <si>
    <t>爆傷下降</t>
  </si>
  <si>
    <t>技能傷害下降</t>
  </si>
  <si>
    <t>shield2</t>
  </si>
  <si>
    <t>爆擊抗性下降</t>
  </si>
  <si>
    <t>throw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</si>
  <si>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</si>
  <si>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</si>
  <si>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</si>
  <si>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</si>
  <si>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</si>
  <si>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</si>
  <si>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</si>
  <si>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為我方隨機2體恢復&lt;AP&gt;魔攻的HP</t>
  </si>
  <si>
    <t>赤焰皮裝</t>
  </si>
  <si>
    <t>金凌戰獵甲</t>
  </si>
  <si>
    <t>爆傷抗性下降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</si>
  <si>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</si>
  <si>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</si>
  <si>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</si>
  <si>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</si>
  <si>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</si>
  <si>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</si>
  <si>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</si>
  <si>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</si>
  <si>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</si>
  <si>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</si>
  <si>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技能抵抗下降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</si>
  <si>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</si>
  <si>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</si>
  <si>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</si>
  <si>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</si>
  <si>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</si>
  <si>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</si>
  <si>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</si>
  <si>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</si>
  <si>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</si>
  <si>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</si>
  <si>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</si>
  <si>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</si>
  <si>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</si>
  <si>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</si>
  <si>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</si>
  <si>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</si>
  <si>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</si>
  <si>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</si>
  <si>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</si>
  <si>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</si>
  <si>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</si>
  <si>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</si>
  <si>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</si>
  <si>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</si>
  <si>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</si>
  <si>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</si>
  <si>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</si>
  <si>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</si>
  <si>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</si>
  <si>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</si>
  <si>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減少造成傷害</t>
  </si>
  <si>
    <t>輕量化皮靴</t>
  </si>
  <si>
    <t>殘破英靈褲</t>
  </si>
  <si>
    <t>冥月布褲</t>
  </si>
  <si>
    <t>增加受到傷害</t>
  </si>
  <si>
    <t>隆基努斯槍</t>
  </si>
  <si>
    <t>57,12,13,1,2,3</t>
  </si>
  <si>
    <t>重複執行次數</t>
  </si>
  <si>
    <t>傷害分擔</t>
  </si>
  <si>
    <t>對敵方全體造成&lt;AP&gt;魔攻的魔法傷害，並附加灼傷效果</t>
  </si>
  <si>
    <t>傷害反彈</t>
  </si>
  <si>
    <t>對敵方3體造成&lt;AP&gt;魔攻的魔法傷害，並附加魔防下降3層</t>
  </si>
  <si>
    <t>受護衛效果</t>
  </si>
  <si>
    <t>護盾</t>
  </si>
  <si>
    <t>對我方全體恢復魔攻&lt;AP&gt;的HP</t>
  </si>
  <si>
    <t>對敵方3體造成&lt;AD&gt;物攻的物理傷害，自身附加行動加快</t>
  </si>
  <si>
    <t>59,18,13,5,9,17</t>
  </si>
  <si>
    <t>一刀流・破</t>
  </si>
  <si>
    <t>slash2</t>
  </si>
  <si>
    <t>對敵方1體造成&lt;AD&gt;物攻的物理傷害，為自身附加鬼人狀態(1回合爆擊+30%)</t>
  </si>
  <si>
    <t>持續恢復</t>
  </si>
  <si>
    <t>shield1</t>
  </si>
  <si>
    <t>對我方全體附加魔攻&lt;AP&gt;的護盾</t>
  </si>
  <si>
    <t>持續回魔</t>
  </si>
  <si>
    <t>為敵方隨機2體造成&lt;AP&gt;魔攻的魔法傷害，附加爆擊下降</t>
  </si>
  <si>
    <t>行動加快</t>
  </si>
  <si>
    <t>61,18,5,9,20</t>
  </si>
  <si>
    <t>聖護</t>
  </si>
  <si>
    <t>對敵方隨機1體造成&lt;AD&gt;物攻的物理傷害共3次，40%自身附加攻擊上升</t>
  </si>
  <si>
    <t>減少受到傷害20%</t>
  </si>
  <si>
    <t>對敵方1體隨機造成&lt;AD&gt;物攻的物理傷害，額外40%附加停止</t>
  </si>
  <si>
    <t>潰防</t>
  </si>
  <si>
    <t>降低30%物理防禦</t>
  </si>
  <si>
    <t>對敵方1體造成&lt;AD&gt;物攻的物理傷害，造成40%暈眩</t>
  </si>
  <si>
    <t>潰魔</t>
  </si>
  <si>
    <t>降低30%魔防防禦</t>
  </si>
  <si>
    <t>59,12,15,10,22</t>
  </si>
  <si>
    <t>鬼人</t>
  </si>
  <si>
    <t>對我方1體恢復魔攻&lt;AP&gt;的hp，追加立即恢復對象mp150</t>
  </si>
  <si>
    <t>爆擊率增加30%</t>
  </si>
  <si>
    <t>炎帝</t>
  </si>
  <si>
    <t>對敵方1體造成&lt;AD&gt;物攻的物理傷害並附加(潰魔；降30%魔防)</t>
  </si>
  <si>
    <t>魔攻+30%</t>
  </si>
  <si>
    <t>極•炎帝</t>
  </si>
  <si>
    <t>對敵方3體隨機造成&lt;AD&gt;物攻的物理傷害並附加潰防(潰防；降30%物禦)</t>
  </si>
  <si>
    <t>魔攻+50%，技能傷害+10%)</t>
  </si>
  <si>
    <t>為敵方2體造成&lt;AP&gt;魔攻的魔法傷害，並30%機率附加暈眩</t>
  </si>
  <si>
    <t>妖刀</t>
  </si>
  <si>
    <t>爆擊率+50%</t>
  </si>
  <si>
    <t>60,14,15,22,8</t>
  </si>
  <si>
    <t>妖刀●滅</t>
  </si>
  <si>
    <t>爆擊傷害+50%</t>
  </si>
  <si>
    <t>極意鬼人</t>
  </si>
  <si>
    <t>為敵方隨機2體造成&lt;AP&gt;魔攻的魔法傷害，40%機率附加技能傷害上升</t>
  </si>
  <si>
    <t>爆擊+30%，爆擊傷害+40%</t>
  </si>
  <si>
    <t>真言</t>
  </si>
  <si>
    <t>魔攻、物攻50%、1回</t>
  </si>
  <si>
    <t>為我方2體恢復&lt;AP&gt;魔攻的HP，並附加傷害反射</t>
  </si>
  <si>
    <t>56,16,13,2,1</t>
  </si>
  <si>
    <t>真理</t>
  </si>
  <si>
    <t>技能傷害10%、2回</t>
  </si>
  <si>
    <t>對敵方隨機2體造成&lt;AP&gt;魔攻的魔法傷害，30%灼傷</t>
  </si>
  <si>
    <t>聖光</t>
  </si>
  <si>
    <t>技能傷害抵抗50%、1回</t>
  </si>
  <si>
    <t>為敵方2體造成造成&lt;AP&gt;魔攻的魔法傷害，並30%機率附加麻痺</t>
  </si>
  <si>
    <t>聖斬效果</t>
  </si>
  <si>
    <t>爆擊率+100%、1回</t>
  </si>
  <si>
    <t>不屈</t>
  </si>
  <si>
    <t>減少受到傷害10%，爆擊傷害抵抗50% 2回</t>
  </si>
  <si>
    <t>mana_cost</t>
  </si>
  <si>
    <t>為敵方隨機3體造成&lt;AP&gt;魔攻的MP傷害</t>
  </si>
  <si>
    <t>56,16,13,4,52</t>
  </si>
  <si>
    <t>逆轉</t>
  </si>
  <si>
    <t>攻擊與魔攻+80%；持續5回</t>
  </si>
  <si>
    <t>2002,2004</t>
  </si>
  <si>
    <t>奇襲</t>
  </si>
  <si>
    <t>爆擊率+100%；持續3回</t>
  </si>
  <si>
    <t>為敵方隨機2體造成&lt;AD&gt;物攻的物理傷害，並60%防禦下降與魔法下降</t>
  </si>
  <si>
    <t>#名刀附加攻擊+30%、爆擊率+20%，爆擊傷害+50%；持續3回</t>
  </si>
  <si>
    <t>對敵方1體造成&lt;AD&gt;物攻的物理傷害，並50%為自身附加爆擊上升</t>
  </si>
  <si>
    <t>58,17,15,51,10</t>
  </si>
  <si>
    <t>為敵方全體造成&lt;AD&gt;物攻的物理傷害，機率附加35%中毒</t>
  </si>
  <si>
    <t>對敵方2體造成&lt;AP&gt;魔攻的魔法傷害，並25%附加凍傷</t>
  </si>
  <si>
    <t>灼傷</t>
  </si>
  <si>
    <t>58,17,51,20</t>
  </si>
  <si>
    <t>1002,1002</t>
  </si>
  <si>
    <t>凍傷</t>
  </si>
  <si>
    <t>裂傷</t>
  </si>
  <si>
    <t>為敵方1體造成&lt;AD&gt;物攻的物理傷害；並40%為自身附加爆擊傷害上升</t>
  </si>
  <si>
    <t>中毒</t>
  </si>
  <si>
    <t>57,17,15,52,10</t>
  </si>
  <si>
    <t>治療反轉</t>
  </si>
  <si>
    <t>受到治療時轉為傷害</t>
  </si>
  <si>
    <t>info</t>
  </si>
  <si>
    <t>begin_time</t>
  </si>
  <si>
    <t>end_time</t>
  </si>
  <si>
    <t>#備註</t>
  </si>
  <si>
    <t>為敵方隨機1體造成&lt;AD&gt;物攻的物理傷害2次</t>
  </si>
  <si>
    <t>#固定玩法</t>
  </si>
  <si>
    <t>tower</t>
  </si>
  <si>
    <t>light</t>
  </si>
  <si>
    <t>為隨機我方2體恢復&lt;AP&gt;魔攻的HP，並40%附加魔防上升</t>
  </si>
  <si>
    <t>annihilation</t>
  </si>
  <si>
    <t>麻痺</t>
  </si>
  <si>
    <t>1回合無法行動</t>
  </si>
  <si>
    <t>25%為自身附加行動加快</t>
  </si>
  <si>
    <t>暈眩</t>
  </si>
  <si>
    <t>57,17,13,18,53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</si>
  <si>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</si>
  <si>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</si>
  <si>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</si>
  <si>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</si>
  <si>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</si>
  <si>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</si>
  <si>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57,17,13,6,6</t>
  </si>
  <si>
    <t>殲滅套裝x2</t>
  </si>
  <si>
    <t>兩件攻擊力+10% / 魔攻+10%，三件爆擊率+15%，六件敏捷+5%</t>
  </si>
  <si>
    <t>對敵方1體造成&lt;AD&gt;物攻的物理傷害，並50%附加暈眩</t>
  </si>
  <si>
    <t>殲滅的</t>
  </si>
  <si>
    <t>重斧防禦</t>
  </si>
  <si>
    <t>殲滅套裝x3</t>
  </si>
  <si>
    <t>殲滅套裝x6</t>
  </si>
  <si>
    <t>對我方隨機2體附加&lt;AD&gt;的護盾</t>
  </si>
  <si>
    <t>戰士套裝X2</t>
  </si>
  <si>
    <t>兩件防禦+15% ，三件攻擊+20%，六件技能傷害+10%</t>
  </si>
  <si>
    <t>戰士的</t>
  </si>
  <si>
    <t>戰士套裝X3</t>
  </si>
  <si>
    <t>對敵方2體造成&lt;AD&gt;物攻的物理傷害，並為自身附加行動加快</t>
  </si>
  <si>
    <t>59,17,15,20,9</t>
  </si>
  <si>
    <t>戰士套裝X6</t>
  </si>
  <si>
    <t>對敵方1體造成&lt;AD&gt;物攻的物理傷害，並附加中毒效果</t>
  </si>
  <si>
    <t>尖刺套裝X2</t>
  </si>
  <si>
    <t>兩件防禦+20% ，三件魔防+20%，傷害反射+15%</t>
  </si>
  <si>
    <t>尖刺的</t>
  </si>
  <si>
    <t>尖刺套裝X3</t>
  </si>
  <si>
    <t>尖刺套裝X6</t>
  </si>
  <si>
    <t>對敵方全體造成&lt;AP&gt;魔攻的魔法傷害，並附加灼傷</t>
  </si>
  <si>
    <t>魔導套裝X2</t>
  </si>
  <si>
    <t>兩件魔防+15% ，三件魔攻+20%，六件技能傷害+10%</t>
  </si>
  <si>
    <t>治療術</t>
  </si>
  <si>
    <t>魔導的</t>
  </si>
  <si>
    <t>魔導套裝X3</t>
  </si>
  <si>
    <t>58,16,13,51,4</t>
  </si>
  <si>
    <t>對我方隨機2體&lt;AP&gt;魔攻的HP恢復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</si>
  <si>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</si>
  <si>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</si>
  <si>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</si>
  <si>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</si>
  <si>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</si>
  <si>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mapid</t>
  </si>
  <si>
    <t>chapter</t>
  </si>
  <si>
    <t>hint</t>
  </si>
  <si>
    <t>tag_limit</t>
  </si>
  <si>
    <t>quest</t>
  </si>
  <si>
    <t>arrangement</t>
  </si>
  <si>
    <t>致命套裝X6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</si>
  <si>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</si>
  <si>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</si>
  <si>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</si>
  <si>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</si>
  <si>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</si>
  <si>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</si>
  <si>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</si>
  <si>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</si>
  <si>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</si>
  <si>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16,13,4</t>
  </si>
  <si>
    <t>event2_buff</t>
  </si>
  <si>
    <t>event2_time</t>
  </si>
  <si>
    <t>event2_target</t>
  </si>
  <si>
    <t>event2_rate</t>
  </si>
  <si>
    <t>loot1_id</t>
  </si>
  <si>
    <t>loot1_amount</t>
  </si>
  <si>
    <t>抵抗套裝X2</t>
  </si>
  <si>
    <t>loot1_rate</t>
  </si>
  <si>
    <t>loot2_id</t>
  </si>
  <si>
    <t>受到傷害減少+10%,，三件爆擊抗性+20%，六件爆擊傷害抗性+45%)</t>
  </si>
  <si>
    <t>loot2_amount</t>
  </si>
  <si>
    <t>loot2_rate</t>
  </si>
  <si>
    <t>第1層</t>
  </si>
  <si>
    <t>抵抗的</t>
  </si>
  <si>
    <t>全體物攻上升</t>
  </si>
  <si>
    <t>抵抗套裝X3</t>
  </si>
  <si>
    <t>{role:-1},
{id:-1},{id:-1},{id:-1},{id:-1},{id:-1},
{id:10002},{id:10004},{id:10005},{id:10007},{id:10008}</t>
  </si>
  <si>
    <t>為我方全體物攻上升</t>
  </si>
  <si>
    <t>抵抗套裝X6</t>
  </si>
  <si>
    <t>全體防禦力上升</t>
  </si>
  <si>
    <t>select_enemy</t>
  </si>
  <si>
    <t>逆轉套裝X6</t>
  </si>
  <si>
    <t>六件戰鬥第5回合後獲得逆轉效果(攻擊力/魔攻+80%持續5回合)</t>
  </si>
  <si>
    <t>16,13,2</t>
  </si>
  <si>
    <t>為我方全體防禦力上升</t>
  </si>
  <si>
    <t>逆襲的</t>
  </si>
  <si>
    <t>奇襲套裝X6</t>
  </si>
  <si>
    <t>六件戰鬥第2回合後獲得奇襲效果(爆擊率+100%持續3回合)</t>
  </si>
  <si>
    <t>全體技能傷害上升</t>
  </si>
  <si>
    <t>磁場共振</t>
  </si>
  <si>
    <t>奇襲的</t>
  </si>
  <si>
    <t>1,4</t>
  </si>
  <si>
    <t>炙熱套裝X3</t>
  </si>
  <si>
    <t>為我方全體技能傷害上升</t>
  </si>
  <si>
    <t>僅對火屬性生效，三件攻擊魔攻+20%，六件爆擊率+5% / 敏捷+10%</t>
  </si>
  <si>
    <t>全體爆擊率上升</t>
  </si>
  <si>
    <t>炙熱的</t>
  </si>
  <si>
    <t>炙熱套裝X6</t>
  </si>
  <si>
    <t>第2層</t>
  </si>
  <si>
    <t>為我方全體爆擊率上升</t>
  </si>
  <si>
    <t>{role:-1},
{id:-1},{id:-1},{id:-1},{id:-1},{id:-1}, {id:10001},{id:10003},{id:10006},{id:10011},{id:10013}</t>
  </si>
  <si>
    <t>酸雨</t>
  </si>
  <si>
    <t>全體魔攻上升</t>
  </si>
  <si>
    <t>3,6</t>
  </si>
  <si>
    <t>水紋套裝X3</t>
  </si>
  <si>
    <t>僅對水屬性生效，三件攻擊魔攻+20%，六件爆擊率+5% / 敏捷+10%</t>
  </si>
  <si>
    <t>信號干擾</t>
  </si>
  <si>
    <t>5,9</t>
  </si>
  <si>
    <t>為我方全體魔攻上升</t>
  </si>
  <si>
    <t>第3層</t>
  </si>
  <si>
    <t>水紋的</t>
  </si>
  <si>
    <t>61,17,6</t>
  </si>
  <si>
    <t>{role:-1},
{id:-1},{id:-1},{id:-1},{id:-1},{id:-1}, {id:10002},{id:10004},{id:10005},{id:10008},{id:10012}</t>
  </si>
  <si>
    <t>水紋套裝X6</t>
  </si>
  <si>
    <t>全隊魔防上升</t>
  </si>
  <si>
    <t>大晴天</t>
  </si>
  <si>
    <t>2,7,9</t>
  </si>
  <si>
    <t>信息同享</t>
  </si>
  <si>
    <t>11,12,13</t>
  </si>
  <si>
    <t>為我方全隊魔防上升</t>
  </si>
  <si>
    <t>第4層</t>
  </si>
  <si>
    <t>{role:-1},
{id:-1},{id:-1},{id:-1},{id:-1},{id:-1}, {id:10003},{id:10004},{id:10009},{id:10013},{id:10014}</t>
  </si>
  <si>
    <t>木訥套裝X3</t>
  </si>
  <si>
    <t>僅對木屬性生效，三件攻擊魔攻+20%，六件爆擊率+5% / 敏捷+10%</t>
  </si>
  <si>
    <t>木訥的</t>
  </si>
  <si>
    <t>木訥套裝X6</t>
  </si>
  <si>
    <t>3,6,9</t>
  </si>
  <si>
    <t>為所有#名刀附加攻擊上升5層與爆擊傷害上升5層</t>
  </si>
  <si>
    <t>泥濘</t>
  </si>
  <si>
    <t>第5層</t>
  </si>
  <si>
    <t>{role:-1},
{id:-1},{id:-1},{id:-1},{id:-1},{id:-1}, {id:10005},{id:10010},{id:10015},{id:10001},{id:10002}</t>
  </si>
  <si>
    <t>select_self</t>
  </si>
  <si>
    <t>6,4</t>
  </si>
  <si>
    <t>暴風雪</t>
  </si>
  <si>
    <t>self_buff_rate</t>
  </si>
  <si>
    <t>第6層</t>
  </si>
  <si>
    <t>58,17,20,14,53</t>
  </si>
  <si>
    <t>{role:-1},
{id:-1},{id:-1},{id:-1},{id:-1},{id:-1}, {id:10001},{id:10006},{id:10011},{id:10002},{id:10007}</t>
  </si>
  <si>
    <t>3,5,9</t>
  </si>
  <si>
    <t>業火一閃★</t>
  </si>
  <si>
    <t>第7層</t>
  </si>
  <si>
    <t>對隨機敵方2體造成&lt;AP&gt;魔攻的魔法傷害，並50%機率附加灼傷</t>
  </si>
  <si>
    <t>第8層</t>
  </si>
  <si>
    <t>業火一閃★2</t>
  </si>
  <si>
    <t>{role:-1},
{id:-1},{id:-1},{id:-1},{id:-1},{id:-1}, {id:10003},{id:10009},{id:10013},{id:10004},{id:10014}</t>
  </si>
  <si>
    <t>3,6,11</t>
  </si>
  <si>
    <t>火焰寶石LV.1</t>
  </si>
  <si>
    <t>第9層</t>
  </si>
  <si>
    <t>{role:-1},
{id:-1},{id:-1},{id:-1},{id:-1},{id:-1}, {id:10016},{id:10019},{id:10022},{id:10025},{id:10028}</t>
  </si>
  <si>
    <t>59,16,15,9,11</t>
  </si>
  <si>
    <t>2,5,8</t>
  </si>
  <si>
    <t>對隨機敵方2體造成&lt;AP&gt;魔攻的魔法傷害，並70%機率附加灼傷</t>
  </si>
  <si>
    <t>業火一閃★3</t>
  </si>
  <si>
    <t>第10層</t>
  </si>
  <si>
    <t>火焰寶石LV.2</t>
  </si>
  <si>
    <t>{role:-1},
{id:-1},{id:-1},{id:-1},{id:-1},{id:-1}, {id:10017},{id:10020},{id:10023},{id:10026},{id:10029}</t>
  </si>
  <si>
    <t>4,6</t>
  </si>
  <si>
    <t>對隨機敵方4體造成&lt;AP&gt;魔攻的魔法傷害，並70%機率附加灼傷</t>
  </si>
  <si>
    <t>業火一閃★4</t>
  </si>
  <si>
    <t>第11層</t>
  </si>
  <si>
    <t>火焰寶石LV.3</t>
  </si>
  <si>
    <t>{role:-1},
{id:-1},{id:-1},{id:-1},{id:-1},{id:-1}, {id:10018},{id:10021},{id:10024},{id:10027},{id:10030}</t>
  </si>
  <si>
    <t>2,3,4,5,6,7,8,9,10</t>
  </si>
  <si>
    <t>對隨機敵方4體造成&lt;AP&gt;魔攻的魔法傷害，並100%機率附加灼傷</t>
  </si>
  <si>
    <t>11,12,13,14</t>
  </si>
  <si>
    <t>火焰寶石LV.4</t>
  </si>
  <si>
    <t>業火一閃•極</t>
  </si>
  <si>
    <t>第12層</t>
  </si>
  <si>
    <t>{role:-1},
{id:-1}{id:-1},{id:-1}, {id:10024},{id:10027},{id:10030}</t>
  </si>
  <si>
    <t>火焰寶石LV.5</t>
  </si>
  <si>
    <t>16,13,1</t>
  </si>
  <si>
    <t>對隨機敵方4體造成&lt;AP&gt;魔攻的魔法傷害，並100%機率附加灼傷；並解除受擊者護盾效果</t>
  </si>
  <si>
    <t>第13層</t>
  </si>
  <si>
    <t>火焰寶石LV.6</t>
  </si>
  <si>
    <t>{role:-1},
{id:-1},{id:-1},{id:-1},{id:-1},{id:-1}, {id:10018,hp:99999},{id:10021,hp:99999},{id:10024,hp:99999},{id:10027,hp:99999},{id:10030,hp:99999}</t>
  </si>
  <si>
    <t>麻痺、暈眩、冰凍</t>
  </si>
  <si>
    <t>1,2,3,4,5,6,7,8,9,10</t>
  </si>
  <si>
    <t>火焰寶石LV.7</t>
  </si>
  <si>
    <t>除魔霜障★</t>
  </si>
  <si>
    <t>第14層</t>
  </si>
  <si>
    <t>停止、凝聚</t>
  </si>
  <si>
    <t>對隨機敵方2體造成&lt;AP&gt;魔攻的魔法傷害，並40%機率附加凍傷與魔防下降1層</t>
  </si>
  <si>
    <t>火焰寶石LV.8</t>
  </si>
  <si>
    <t>除魔霜障★2</t>
  </si>
  <si>
    <t>60,17,14,8</t>
  </si>
  <si>
    <t>capability</t>
  </si>
  <si>
    <t>火焰寶石LV.9</t>
  </si>
  <si>
    <t>對隨機敵方2體造成&lt;AP&gt;魔攻的魔法傷害，並50%機率附加凍傷與魔防下降1層</t>
  </si>
  <si>
    <t>火焰寶石LV.10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</si>
  <si>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</si>
  <si>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</si>
  <si>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</si>
  <si>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除魔霜障★3</t>
  </si>
  <si>
    <t>綠光寶石LV.1</t>
  </si>
  <si>
    <t>{role:-1},
{id:-1},{id:-1},{id:-1},{id:-1},{id:-1}
{id:40001},{id:40002}</t>
  </si>
  <si>
    <t>對隨機敵方3體造成&lt;AP&gt;魔攻的魔法傷害，並50%機率附加凍傷與魔防下降1層</t>
  </si>
  <si>
    <t>天氣變化</t>
  </si>
  <si>
    <t>60,16,20</t>
  </si>
  <si>
    <t>除魔霜障★4</t>
  </si>
  <si>
    <t>綠光寶石LV.2</t>
  </si>
  <si>
    <t>對隨機敵方2體造成&lt;AP&gt;魔攻的魔法傷害，並50%機率附加凍傷、50%機率冰凍與魔防下降1層</t>
  </si>
  <si>
    <t>場地變化</t>
  </si>
  <si>
    <t>除魔霜障•極</t>
  </si>
  <si>
    <t>對隨機敵方2體造成&lt;AP&gt;魔攻的魔法傷害，並80%機率附加凍傷、80%機率冰凍與魔防下降1層</t>
  </si>
  <si>
    <t>綠光寶石LV.3</t>
  </si>
  <si>
    <t>58,17,15,10</t>
  </si>
  <si>
    <t>萬物洗淨★</t>
  </si>
  <si>
    <t>綠光寶石LV.4</t>
  </si>
  <si>
    <t>為我方2體恢復&lt;AP&gt;魔攻的HP，為受治療的對象附加防禦上升效果2層</t>
  </si>
  <si>
    <t>{role:-1},
{id:-1},{id:-1},{id:-1},{id:-1},{id:-1}
{id:40002},{id:40003}</t>
  </si>
  <si>
    <t>萬物洗淨★2</t>
  </si>
  <si>
    <t>綠光寶石LV.5</t>
  </si>
  <si>
    <t>綠光寶石LV.6</t>
  </si>
  <si>
    <t>為我方2體恢復&lt;AP&gt;魔攻的HP，為受治療的對象附加防禦上升效果2層並且解除灼傷</t>
  </si>
  <si>
    <t>萬物洗淨★3</t>
  </si>
  <si>
    <t>"{role:-1},
{id:-1},{id:-1},{id:-1},,{id:-1},{id:-1}
{id:40001},{id:40004},{id:40005}"</t>
  </si>
  <si>
    <t>16,2,1</t>
  </si>
  <si>
    <t>綠光寶石LV.7</t>
  </si>
  <si>
    <t>為我方2體恢復&lt;AP&gt;魔攻的HP，為受治療的對象附加防禦上升效果2層與並持續回魔效果且解除灼傷</t>
  </si>
  <si>
    <t>萬物洗淨★4</t>
  </si>
  <si>
    <t>"{role:-1},
{id:-1},{id:-1},{id:-1},,{id:-1},{id:-1}
{id:40003},{id:40002},{id:40004}"</t>
  </si>
  <si>
    <t>綠光寶石LV.8</t>
  </si>
  <si>
    <t>為我方4體恢復&lt;AP&gt;魔攻的HP，為受治療的對象附加防禦上升效果2層與並持續回魔效果且解除灼傷</t>
  </si>
  <si>
    <t>綠光寶石LV.9</t>
  </si>
  <si>
    <t>萬物洗淨•極</t>
  </si>
  <si>
    <t>"{role:-1},
{id:-1},{id:-1},{id:-1},,{id:-1},{id:-1}
{id:40005},{id:40001},{id:40004}"</t>
  </si>
  <si>
    <t>綠光寶石LV.10</t>
  </si>
  <si>
    <t>琉璃寶石LV.1</t>
  </si>
  <si>
    <t>{role:-1},
{id:-1},{id:-1},{id:-1},,{id:-1},{id:-1}
{id:40003},{id:40002},{id:40001},{id:40004}</t>
  </si>
  <si>
    <t>為我方2體恢復&lt;AP&gt;魔攻的HP，為受治療的對象附加防禦上升效果2層與並持續回魔效果且解除所有異常狀態</t>
  </si>
  <si>
    <t>防禦崩解★</t>
  </si>
  <si>
    <t>琉璃寶石LV.2</t>
  </si>
  <si>
    <t>對隨機敵方4體造成&lt;AD&gt;物攻的物理攻擊，附加防禦下降與2層爆擊下降</t>
  </si>
  <si>
    <t>{role:-1},
{id:-1},{id:-1},{id:-1},,{id:-1},{id:-1}
{id:40001},{id:40002},{id:40003},{id:40004}</t>
  </si>
  <si>
    <t>role</t>
  </si>
  <si>
    <t>物攻</t>
  </si>
  <si>
    <t>2,3,4,5,6,7</t>
  </si>
  <si>
    <t>琉璃寶石LV.3</t>
  </si>
  <si>
    <t>防禦崩解★2</t>
  </si>
  <si>
    <t>琉璃寶石LV.4</t>
  </si>
  <si>
    <t>{role:-1},
{id:-1},{id:-1},{id:-1},,{id:-1},{id:-1}
{id:40005},{id:40003},{id:40002},{id:40001},{id:40004}</t>
  </si>
  <si>
    <t>對隨機敵方全體造成&lt;AD&gt;物攻的物理攻擊，附加防禦下降與2層爆擊下降</t>
  </si>
  <si>
    <t>琉璃寶石LV.5</t>
  </si>
  <si>
    <t>防禦崩解★3</t>
  </si>
  <si>
    <t>{role:-1},
{id:-1},{id:-1},{id:-1},,{id:-1},{id:-1}
{id:40005},{id:40002},{id:40002},{id:40001},{id:40004}</t>
  </si>
  <si>
    <t>琉璃寶石LV.6</t>
  </si>
  <si>
    <t>琉璃寶石LV.7</t>
  </si>
  <si>
    <t>對隨機敵方全體造成&lt;AD&gt;物攻的物理攻擊，附加防禦與魔防下降2層與2層爆擊下降</t>
  </si>
  <si>
    <t>{role:-1},
{id:-1},{id:-1},{id:-1},,{id:-1},{id:-1}
{id:40005},{id:40003},{id:40002},{id:40001},{id:40003}</t>
  </si>
  <si>
    <t>防禦崩解★4</t>
  </si>
  <si>
    <t>物防</t>
  </si>
  <si>
    <t>琉璃寶石LV.8</t>
  </si>
  <si>
    <t>{role:-1},
{id:-1},{id:-1},{id:-1},,{id:-1},{id:-1}
{id:40005},{id:40002},{id:40002},{id:40004},{id:40004}</t>
  </si>
  <si>
    <t>對隨機敵方全體造成&lt;AD&gt;物攻的物理攻擊，附加防禦與魔防下降2層、爆擊下降2層、技能傷害下降2層</t>
  </si>
  <si>
    <t>琉璃寶石LV.9</t>
  </si>
  <si>
    <t>防禦崩解•極</t>
  </si>
  <si>
    <t>琉璃寶石LV.10</t>
  </si>
  <si>
    <t>星空寶石LV.1</t>
  </si>
  <si>
    <t>對隨機敵方全體造成&lt;AD&gt;物攻的物理攻擊，附加防禦與魔防下降2層、爆擊下降2層、技能傷害下降2層，並清除對象的上升狀態</t>
  </si>
  <si>
    <t>極限斬擊★</t>
  </si>
  <si>
    <t>星空寶石LV.2</t>
  </si>
  <si>
    <t>{role:-1},
{id:-1},{id:-1},{id:-1},,{id:-1},{id:-1}
{id:40005},{id:40005},{id:40003},{id:40002},{id:40002}</t>
  </si>
  <si>
    <t>對敵方隨機1體造成&lt;AD&gt;物攻的物理攻擊，並附加爆擊抗性下降，附加自身爆擊上升</t>
  </si>
  <si>
    <t>極限斬擊★2</t>
  </si>
  <si>
    <t>星空寶石LV.3</t>
  </si>
  <si>
    <t>星空寶石LV.4</t>
  </si>
  <si>
    <t>對敵方隨機1體造成&lt;AD&gt;物攻的物理攻擊，並附加爆擊抗性下降，附加自身爆擊上升、行動加快</t>
  </si>
  <si>
    <t>星空寶石LV.5</t>
  </si>
  <si>
    <t>極限斬擊★3</t>
  </si>
  <si>
    <t>{role:-1},
{id:-1},{id:-1},{id:-1},,{id:-1},{id:-1}
{id:40004},{id:40004},{id:40001},{id:40001},{id:40001}</t>
  </si>
  <si>
    <t>星空寶石LV.6</t>
  </si>
  <si>
    <t>對敵方隨機1體造成&lt;AD&gt;物攻的物理攻擊，附加自身爆擊上升額外附加自身爆擊上升、行動加快與妖刀效果</t>
  </si>
  <si>
    <t>極限斬擊★4</t>
  </si>
  <si>
    <t>星空寶石LV.7</t>
  </si>
  <si>
    <t>{role:-1},
{id:-1},{id:-1},{id:-1},,{id:-1},{id:-1}
{id:40003},{id:40002},{id:40002},{id:40001},{id:40004}</t>
  </si>
  <si>
    <t>星空寶石LV.8</t>
  </si>
  <si>
    <t>星空寶石LV.9</t>
  </si>
  <si>
    <t>極限斬擊•極</t>
  </si>
  <si>
    <t>星空寶石LV.10</t>
  </si>
  <si>
    <t>{role:-1},
{id:-1},{id:-1},{id:-1},,{id:-1},{id:-1}
{id:40005},{id:40003},{id:40002},{id:40001},{id:40005}</t>
  </si>
  <si>
    <t>對敵方隨機1體造成&lt;AD&gt;物攻的物理攻擊，附加自身爆擊上升額外附加自身爆擊上升、行動加快、妖刀與妖刀●滅效果</t>
  </si>
  <si>
    <t>月影彩石LV.1</t>
  </si>
  <si>
    <t>神威退魔★</t>
  </si>
  <si>
    <t>{role:-1},
{id:-1},{id:-1},{id:-1},,{id:-1},{id:-1}
{id:40003},{id:40003},{id:40001},{id:40001},{id:40004}</t>
  </si>
  <si>
    <t>為我方2體隨機附加傷害分擔；並附加自身持續恢復效果</t>
  </si>
  <si>
    <t>月影彩石LV.2</t>
  </si>
  <si>
    <t>月影彩石LV.3</t>
  </si>
  <si>
    <t>神威退魔★2</t>
  </si>
  <si>
    <t>{role:-1},
{id:-1},{id:-1},{id:-1},{id:-1},{id:-1}, {id:40005},{id:40003},{id:50001},{id:40001},{id:40004}</t>
  </si>
  <si>
    <t>{1.7},{1.7},{0.9},{1.6},{0.9}</t>
  </si>
  <si>
    <t>月影彩石LV.4</t>
  </si>
  <si>
    <t>為我方2體隨機附加傷害分擔；並附加自身持續恢復與減少受到傷害效果</t>
  </si>
  <si>
    <t>月影彩石LV.5</t>
  </si>
  <si>
    <t>{role:-1},
{id:-1},{id:-1},{id:-1},{id:-1},{id:-1}
{id:40011},{id:40013},{id:40012},{id:40014},{id:40014}</t>
  </si>
  <si>
    <t>神威退魔★3</t>
  </si>
  <si>
    <t>突發狀況</t>
  </si>
  <si>
    <t>月影彩石LV.6</t>
  </si>
  <si>
    <t>為我方3體隨機附加傷害分擔；並附加自身持續恢復與減少受到傷害效果</t>
  </si>
  <si>
    <t>神威退魔★4</t>
  </si>
  <si>
    <t>{role:-1},
{id:-1},{id:-1},{id:-1},{id:-1},{id:-1}
{id:40011},{id:40011},{id:40012},{id:40012},{id:40011}</t>
  </si>
  <si>
    <t>月影彩石LV.7</t>
  </si>
  <si>
    <t>為我方3體隨機附加傷害分擔；並附加自身持續恢復與2層減少受到傷害效果</t>
  </si>
  <si>
    <t>月影彩石LV.8</t>
  </si>
  <si>
    <t>神威退魔•極</t>
  </si>
  <si>
    <t>為我方3體隨機附加傷害分擔；並附加自身持續恢復與2層減少受到傷害效果；額外解除凍傷效果</t>
  </si>
  <si>
    <t>月影彩石LV.9</t>
  </si>
  <si>
    <t>陰月靈鋒★</t>
  </si>
  <si>
    <t>月影彩石LV.10</t>
  </si>
  <si>
    <t>為我方2體附加附加自身&lt;AD&gt;物攻的護盾並附加傷害分擔效果</t>
  </si>
  <si>
    <t>陰月靈鋒★2</t>
  </si>
  <si>
    <t>幻影彩石LV.1</t>
  </si>
  <si>
    <t>為我方2體附加附加自身&lt;AD&gt;物攻的護盾並附加傷害分擔效果；額外為自身附加行動加快效果</t>
  </si>
  <si>
    <t>陰月靈鋒★3</t>
  </si>
  <si>
    <t>幻影彩石LV.2</t>
  </si>
  <si>
    <t>為我方2體附加附加自身&lt;AD&gt;物攻的護盾並附加傷害分擔效果；額外為自身附加行動加快與傷害反射效果</t>
  </si>
  <si>
    <t>陰月靈鋒★4</t>
  </si>
  <si>
    <t>幻影彩石LV.3</t>
  </si>
  <si>
    <t>為我方2體附加附加自身&lt;AD&gt;物攻的護盾、傷害分擔、魔防上升與防禦上升效果；額外為自身附加行動加快與傷害反射效果</t>
  </si>
  <si>
    <t>幻影彩石LV.4</t>
  </si>
  <si>
    <t>陰月靈鋒•極</t>
  </si>
  <si>
    <t>3,6,7,8</t>
  </si>
  <si>
    <t>幻影彩石LV.5</t>
  </si>
  <si>
    <t>為我方3體附加附加自身&lt;AD&gt;物攻的護盾、傷害分擔、魔防上升與防禦上升效果；額外為自身附加行動加快與傷害反射效果</t>
  </si>
  <si>
    <t>聖劍光輝★</t>
  </si>
  <si>
    <t>幻影彩石LV.6</t>
  </si>
  <si>
    <t>對敵方1體造成&lt;AP&gt;魔攻的魔法傷害，並50%機率灼傷；並額外自身附加魔攻上升</t>
  </si>
  <si>
    <t>幻影彩石LV.7</t>
  </si>
  <si>
    <t>聖劍光輝★2</t>
  </si>
  <si>
    <t>幻影彩石LV.8</t>
  </si>
  <si>
    <t>對敵方1體造成&lt;AP&gt;魔攻的魔法傷害，並100%機率灼傷；並額外自身附加魔攻上升</t>
  </si>
  <si>
    <t>聖劍光輝★3</t>
  </si>
  <si>
    <t>幻影彩石LV.9</t>
  </si>
  <si>
    <t>對敵方2體造成&lt;AP&gt;魔攻的魔法傷害，並100%機率灼傷；並額外自身附加魔攻上升</t>
  </si>
  <si>
    <t>聖劍光輝★4</t>
  </si>
  <si>
    <t>幻影彩石LV.10</t>
  </si>
  <si>
    <t>對敵方2體造成&lt;AP&gt;魔攻的魔法傷害，並100%機率灼傷；並額外自身附加魔攻上升與行動加快</t>
  </si>
  <si>
    <t>1,6,9</t>
  </si>
  <si>
    <t>紫凝暴晶LV.1</t>
  </si>
  <si>
    <t>聖劍光輝•極</t>
  </si>
  <si>
    <t>對敵方3體造成&lt;AP&gt;魔攻的魔法傷害，並100%機率灼傷；並額外自身附加魔攻上升與行動加快</t>
  </si>
  <si>
    <t>棕熊</t>
  </si>
  <si>
    <t>monster</t>
  </si>
  <si>
    <t>1,3,9</t>
  </si>
  <si>
    <t>神威震嶽★</t>
  </si>
  <si>
    <t>紫凝暴晶LV.2</t>
  </si>
  <si>
    <t>對敵方1體造成&lt;AP&gt;魔攻的魔法傷害；並為自身附加爆擊上升與自身行動加快</t>
  </si>
  <si>
    <t>神威震嶽★2</t>
  </si>
  <si>
    <t>紫凝暴晶LV.3</t>
  </si>
  <si>
    <t>紫凝暴晶LV.4</t>
  </si>
  <si>
    <t>對敵方1體造成&lt;AP&gt;魔攻的魔法傷害；並為自身附加爆擊上升、自身行動加快與能傷害上升</t>
  </si>
  <si>
    <t>紫凝暴晶LV.5</t>
  </si>
  <si>
    <t>對敵方1體造成&lt;AP&gt;魔攻的魔法傷害；並為自身附加爆擊上升、自身行動加快、技能傷害上升與爆傷上升</t>
  </si>
  <si>
    <t>紫凝暴晶LV.6</t>
  </si>
  <si>
    <t>灰狼</t>
  </si>
  <si>
    <t>紫凝暴晶LV.7</t>
  </si>
  <si>
    <t>對敵方2體造成&lt;AP&gt;魔攻的魔法傷害；並為自身附加爆擊上升、自身行動加快、技能傷害上升與爆傷上升</t>
  </si>
  <si>
    <t>紫凝暴晶LV.8</t>
  </si>
  <si>
    <t>神威震嶽•極</t>
  </si>
  <si>
    <t>{role:-1},
{id:-1}{id:-1},{id:-1},{id:-1},{id:-1}, {id:40012},{id:40011},{id:50002},{id:40013},{id:40015}</t>
  </si>
  <si>
    <t>岩石怪</t>
  </si>
  <si>
    <t>紫凝暴晶LV.9</t>
  </si>
  <si>
    <t>對敵方2體造成&lt;AP&gt;魔攻的魔法傷害；並為自身附加自身行動加快、爆擊上升2層、技能傷害上升2層與爆傷上升2層</t>
  </si>
  <si>
    <t>血祭詛咒★</t>
  </si>
  <si>
    <t>尖牙兔</t>
  </si>
  <si>
    <t>{role:-1},
{id:-1},{id:-1},{id:-1},{id:-1},{id:-1}
{id:40009},{id:40008},{id:40007},{id:40006},{id:40010}</t>
  </si>
  <si>
    <t>紫凝暴晶LV.10</t>
  </si>
  <si>
    <t>對敵方1體造成&lt;AD&gt;物攻的物理傷害，並40%附加裂傷與中毒</t>
  </si>
  <si>
    <t>金凌暴晶LV.1</t>
  </si>
  <si>
    <t>血祭詛咒★2</t>
  </si>
  <si>
    <t>{role:-1},
{id:-1},{id:-1},{id:-1},{id:-1},{id:-1}
{id:40005},{id:40008},{id:40009},{id:40006},{id:40010}</t>
  </si>
  <si>
    <t>樹精</t>
  </si>
  <si>
    <t>對敵方1體造成&lt;AD&gt;物攻的物理傷害，並40%附加裂傷、中毒與灼傷</t>
  </si>
  <si>
    <t>金凌暴晶LV.2</t>
  </si>
  <si>
    <t>血祭詛咒★3</t>
  </si>
  <si>
    <t>尖刺鼠</t>
  </si>
  <si>
    <t>對敵方1體造成&lt;AD&gt;物攻的物理傷害，並40%附加裂傷、中毒、灼傷與凍傷</t>
  </si>
  <si>
    <t>金凌暴晶LV.3</t>
  </si>
  <si>
    <t>血祭詛咒★4</t>
  </si>
  <si>
    <t>符文龜</t>
  </si>
  <si>
    <t>金凌暴晶LV.4</t>
  </si>
  <si>
    <t>對敵方1體造成&lt;AD&gt;物攻的物理傷害，並50%附加裂傷、中毒、灼傷與凍傷</t>
  </si>
  <si>
    <t>血祭詛咒•極</t>
  </si>
  <si>
    <t>金凌暴晶LV.5</t>
  </si>
  <si>
    <t>利爪貓</t>
  </si>
  <si>
    <t>對敵方1體造成&lt;AD&gt;物攻的物理傷害，並80%附加裂傷、中毒、灼傷與凍傷</t>
  </si>
  <si>
    <t>金凌暴晶LV.6</t>
  </si>
  <si>
    <t>神聖庇護★</t>
  </si>
  <si>
    <t>火焰雞</t>
  </si>
  <si>
    <t>金凌暴晶LV.7</t>
  </si>
  <si>
    <t>對我方2體&lt;AD&gt;物攻的護盾與附加持續回魔，自身死亡後3回合將自動重生</t>
  </si>
  <si>
    <t>金凌暴晶LV.8</t>
  </si>
  <si>
    <t>草精</t>
  </si>
  <si>
    <t>金凌暴晶LV.9</t>
  </si>
  <si>
    <t>對我方2體&lt;AD&gt;物攻的護盾並附加持續回魔、受護衛效果，自身死亡後3回合將自動重生</t>
  </si>
  <si>
    <t>金凌暴晶LV.10</t>
  </si>
  <si>
    <t>天使史萊姆</t>
  </si>
  <si>
    <t>對我方2體&lt;AD&gt;物攻的護盾並附加持續回魔、真言與受護衛效果，自身死亡後3回合將自動重生</t>
  </si>
  <si>
    <t>史萊姆</t>
  </si>
  <si>
    <t>神聖庇護•極</t>
  </si>
  <si>
    <t>對我方2體&lt;AD&gt;物攻的護盾並附加持續回魔、真言、真理與受護衛效果，自身死亡後3回合將自動重生</t>
  </si>
  <si>
    <t>冰凍史萊姆</t>
  </si>
  <si>
    <t>龍血洗禮★</t>
  </si>
  <si>
    <t>effective_count</t>
  </si>
  <si>
    <t>全體上陣攻擊力+1%</t>
  </si>
  <si>
    <t>龍血洗禮★2</t>
  </si>
  <si>
    <t>火焰史萊姆</t>
  </si>
  <si>
    <t>龍血洗禮★3</t>
  </si>
  <si>
    <t>沼澤史萊姆</t>
  </si>
  <si>
    <t>龍血洗禮★4</t>
  </si>
  <si>
    <t>金屬史萊姆</t>
  </si>
  <si>
    <t>龍血洗禮•極</t>
  </si>
  <si>
    <t>活化魔導書</t>
  </si>
  <si>
    <t>魔導失控體</t>
  </si>
  <si>
    <t>{role:-1},
{id:-1},{id:-1},{id:-1},,{id:-1},{id:-1}
{id:40005},{id:40006},{id:40007},{id:40008},{id:40010}</t>
  </si>
  <si>
    <t>魔能水晶獸</t>
  </si>
  <si>
    <t>闇影使魔</t>
  </si>
  <si>
    <t>失控魔像</t>
  </si>
  <si>
    <t>解鎖劍豪</t>
  </si>
  <si>
    <t>炎帝降世★</t>
  </si>
  <si>
    <t>失控冒險者</t>
  </si>
  <si>
    <t>{role:-1},
{id:-1}{id:-1},{id:-1},{id:-1},{id:-1} {id:40008},{id:40007},{id:50003},{id:40010},{id:40009}</t>
  </si>
  <si>
    <t>炎帝降世★2</t>
  </si>
  <si>
    <t>繃帶屍鬼</t>
  </si>
  <si>
    <t>對敵方全體造成&lt;AP&gt;魔攻的魔法傷害，並附加灼傷效果；自身額外附加炎帝效果</t>
  </si>
  <si>
    <t>炎帝降世★3</t>
  </si>
  <si>
    <t>傭兵犬</t>
  </si>
  <si>
    <t>godcharacter</t>
  </si>
  <si>
    <t>名刀限制進入</t>
  </si>
  <si>
    <t>炎帝降世★4</t>
  </si>
  <si>
    <t>炎帝降世•極</t>
  </si>
  <si>
    <t>盜匪斥候</t>
  </si>
  <si>
    <t>對敵方全體造成&lt;AP&gt;魔攻的魔法傷害，並附加灼傷效果；自身額外附加炎帝與極•炎帝效果</t>
  </si>
  <si>
    <t>魔化獵犬</t>
  </si>
  <si>
    <t>神酒破鬼陣★</t>
  </si>
  <si>
    <t>magic_ice</t>
  </si>
  <si>
    <t>ice</t>
  </si>
  <si>
    <t>黑市術士</t>
  </si>
  <si>
    <t>神酒破鬼陣★2</t>
  </si>
  <si>
    <t>{role:-1},
{id:-1}{id:-1},{id:-1},{id:-1},{id:-1}, {id:40012},{id:40011},{id:50002},{id:40013},{id:40015},{state:60001}</t>
  </si>
  <si>
    <t>森林妖精</t>
  </si>
  <si>
    <t>對敵方3體造成&lt;AP&gt;魔攻的魔法傷害，並附加魔防下降3層與凍傷效果</t>
  </si>
  <si>
    <t>{role:-1},
{id:-1},{id:-1},{id:-1},{id:-1},{id:-1}, {id:40005},{id:40003},{id:50001},{id:40001},{id:40004},{state:60001}</t>
  </si>
  <si>
    <t>神酒破鬼陣★3</t>
  </si>
  <si>
    <t>{role:-1},
{id:-1}{id:-1},{id:-1},{id:-1},{id:-1} {id:40008},{id:40007},{id:50003},{id:40010},{id:40009},{state:60001}</t>
  </si>
  <si>
    <t>毒藤獸</t>
  </si>
  <si>
    <t>解鎖狂戰士</t>
  </si>
  <si>
    <t>神酒破鬼陣★4</t>
  </si>
  <si>
    <t>木靈</t>
  </si>
  <si>
    <t>神酒破鬼陣•極</t>
  </si>
  <si>
    <t>狼群</t>
  </si>
  <si>
    <t>對敵方3體造成&lt;AP&gt;魔攻的魔法傷害，並附加魔防下降3層與3層凍傷效果</t>
  </si>
  <si>
    <t>清泉怒濤★</t>
  </si>
  <si>
    <t>{role:-1},
{id:-1}{id:-1},{id:-1},{id:-1},{id:-1}, {id:40012},{id:40011},{id:50002},{id:40013},{id:40015},{state:60006}</t>
  </si>
  <si>
    <t>{role:-1},
{id:-1},{id:-1},{id:-1},{id:-1},{id:-1}, {id:40005},{id:40003},{id:50001},{id:40001},{id:40004},{state:60006}</t>
  </si>
  <si>
    <t>清泉怒濤★2</t>
  </si>
  <si>
    <t>黑鴉人</t>
  </si>
  <si>
    <t>{role:-1},
{id:-1}{id:-1},{id:-1},{id:-1},{id:-1} {id:40008},{id:40007},{id:50003},{id:40010},{id:40009},{state:60006}</t>
  </si>
  <si>
    <t>對我方全體恢復魔攻&lt;AP&gt;的HP,並額外附加攻擊上升與魔攻上升2層</t>
  </si>
  <si>
    <t>清泉怒濤★3</t>
  </si>
  <si>
    <t>樹人幼體</t>
  </si>
  <si>
    <t>清泉怒濤★4</t>
  </si>
  <si>
    <t>清泉怒濤•極</t>
  </si>
  <si>
    <t>魔導書靈</t>
  </si>
  <si>
    <t>{role:-1},
{id:-1}{id:-1},{id:-1},{id:-1},{id:-1}, {id:40012},{id:40011},{id:50002},{id:40013},{id:40015},{state:60009}</t>
  </si>
  <si>
    <t>對我方全體恢復魔攻&lt;AP&gt;的HP,並額外附加攻擊上升2層、魔攻上升2層、技能傷害上升與爆擊上升效果</t>
  </si>
  <si>
    <t>{role:-1},
{id:-1},{id:-1},{id:-1},{id:-1},{id:-1}, {id:40005},{id:40003},{id:50001},{id:40001},{id:40004},{state:60009}</t>
  </si>
  <si>
    <t>神罰裁決★1</t>
  </si>
  <si>
    <t>暗影刺客</t>
  </si>
  <si>
    <t>解鎖神射手</t>
  </si>
  <si>
    <t>神罰裁決★2</t>
  </si>
  <si>
    <t>{role:-1},
{id:-1}{id:-1},{id:-1},{id:-1},{id:-1} {id:40008},{id:40007},{id:50003},{id:40010},{id:40009},{state:60009}</t>
  </si>
  <si>
    <t>水晶傀儡</t>
  </si>
  <si>
    <t>神罰裁決★3</t>
  </si>
  <si>
    <t>對敵方3體造成&lt;AD&gt;物攻的物理傷害，自身附加行動加快；40%附加對象麻痺狀態</t>
  </si>
  <si>
    <t>幻術妖</t>
  </si>
  <si>
    <t>神罰裁決★4</t>
  </si>
  <si>
    <t>神罰裁決•極</t>
  </si>
  <si>
    <t>失控術士</t>
  </si>
  <si>
    <t>一刀流・破★</t>
  </si>
  <si>
    <t>元素精靈</t>
  </si>
  <si>
    <t>對敵方1體造成&lt;AD&gt;物攻的物理傷害，為自身附加鬼人狀態</t>
  </si>
  <si>
    <t>一刀流・破★2</t>
  </si>
  <si>
    <t>魔法傀儡</t>
  </si>
  <si>
    <t>一刀流・破★3</t>
  </si>
  <si>
    <t>對敵方1體造成&lt;AD&gt;物攻的物理傷害，為自身附加鬼人與極意鬼人狀態</t>
  </si>
  <si>
    <t>禁術學徒</t>
  </si>
  <si>
    <t>一刀流・破★4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</si>
  <si>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</si>
  <si>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</si>
  <si>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解鎖刺客</t>
  </si>
  <si>
    <t>一刀流・斷</t>
  </si>
  <si>
    <t>魔法攻擊力+1%</t>
  </si>
  <si>
    <t>光獸</t>
  </si>
  <si>
    <t>鏡花身法★</t>
  </si>
  <si>
    <t>魔能幽魂</t>
  </si>
  <si>
    <t>鏡花身法★2</t>
  </si>
  <si>
    <t>連續5wave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</si>
  <si>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</si>
  <si>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對我方全體附加魔攻&lt;AP&gt;的護盾；額外附加減少受到傷害1層</t>
  </si>
  <si>
    <t>異界召喚獸</t>
  </si>
  <si>
    <t>鏡花身法★3</t>
  </si>
  <si>
    <t>聖光屍骸</t>
  </si>
  <si>
    <t>鏡花身法★4</t>
  </si>
  <si>
    <t>map_red</t>
  </si>
  <si>
    <t>紅色大門1</t>
  </si>
  <si>
    <t>紅色大門2</t>
  </si>
  <si>
    <t>鏡花身法•極</t>
  </si>
  <si>
    <t>紅色大門3</t>
  </si>
  <si>
    <t>狂熱信徒</t>
  </si>
  <si>
    <t>對我方全體附加魔攻&lt;AP&gt;的護盾；額外附加減少受到傷害3層</t>
  </si>
  <si>
    <t>紅色大門4</t>
  </si>
  <si>
    <t>魂力獻祭★</t>
  </si>
  <si>
    <t>墮光騎士</t>
  </si>
  <si>
    <t>map_blue</t>
  </si>
  <si>
    <t>藍色大門1</t>
  </si>
  <si>
    <t>藍色大門2</t>
  </si>
  <si>
    <t>魂力獻祭★2</t>
  </si>
  <si>
    <t>解鎖魔導士</t>
  </si>
  <si>
    <t>藍色大門3</t>
  </si>
  <si>
    <t>為敵方隨機2體造成&lt;AP&gt;魔攻的魔法傷害，附加爆擊下降與攻擊下降效果</t>
  </si>
  <si>
    <t>藍色大門4</t>
  </si>
  <si>
    <t>魂力獻祭★3</t>
  </si>
  <si>
    <t>聖光獅</t>
  </si>
  <si>
    <t>map_purple</t>
  </si>
  <si>
    <t>紫色大門1</t>
  </si>
  <si>
    <t>紫色大門2</t>
  </si>
  <si>
    <t>魂力獻祭★4</t>
  </si>
  <si>
    <t>紫色大門3</t>
  </si>
  <si>
    <t>聖堂亡魂</t>
  </si>
  <si>
    <t>魂力獻祭•極</t>
  </si>
  <si>
    <t>紫色大門4</t>
  </si>
  <si>
    <t>雪狼</t>
  </si>
  <si>
    <t>map_yellow</t>
  </si>
  <si>
    <t>為敵方隨機3體造成&lt;AP&gt;魔攻的魔法傷害，附加爆擊下降、攻擊下降、防禦下降與魔防下降效果</t>
  </si>
  <si>
    <t>增益大門1</t>
  </si>
  <si>
    <t>增益選擇</t>
  </si>
  <si>
    <t>誓約之火★</t>
  </si>
  <si>
    <t>增益大門2</t>
  </si>
  <si>
    <t>聖骸兵</t>
  </si>
  <si>
    <t>誓約之火★2</t>
  </si>
  <si>
    <t>增益大門3</t>
  </si>
  <si>
    <t>增益大門4</t>
  </si>
  <si>
    <t>對我方全體附加魔攻上升2層與魔攻的&lt;AP&gt;護頓效果</t>
  </si>
  <si>
    <t>赤焰妖狐</t>
  </si>
  <si>
    <t>誓約之火★3</t>
  </si>
  <si>
    <t>誓約之火★4</t>
  </si>
  <si>
    <t>誓約亡魂</t>
  </si>
  <si>
    <t>誓約之火•極</t>
  </si>
  <si>
    <t>鬼火</t>
  </si>
  <si>
    <t>對我方全體附加魔攻上升2層、爆傷上升2層與魔攻的&lt;AP&gt;護頓效果</t>
  </si>
  <si>
    <t>震天雷霆斬★</t>
  </si>
  <si>
    <t>骸骨食屍鬼</t>
  </si>
  <si>
    <t>震天雷霆斬★2</t>
  </si>
  <si>
    <t>解鎖神官</t>
  </si>
  <si>
    <t>暗黑鳥人</t>
  </si>
  <si>
    <t>對敵方隨機1體造成&lt;AD&gt;物攻的物理傷害共4次，40%自身附加攻擊上升</t>
  </si>
  <si>
    <t>震天雷霆斬★3</t>
  </si>
  <si>
    <t>火岩魔像</t>
  </si>
  <si>
    <t>震天雷霆斬★4</t>
  </si>
  <si>
    <t>炎翼蝙蝠</t>
  </si>
  <si>
    <t>震天雷霆斬•破</t>
  </si>
  <si>
    <t>對敵方隨機1體造成&lt;AD&gt;物攻的物理傷害共6次，40%自身附加攻擊上升</t>
  </si>
  <si>
    <t>噬魂開鋒★</t>
  </si>
  <si>
    <t>靈魂收割者</t>
  </si>
  <si>
    <t>噬魂開鋒★2</t>
  </si>
  <si>
    <t>艷陽高照</t>
  </si>
  <si>
    <t>ATK+10%</t>
  </si>
  <si>
    <t>冰甲熊</t>
  </si>
  <si>
    <t>對敵方1體隨機造成&lt;AD&gt;物攻的物理傷害，額外40%附加停止與暈眩</t>
  </si>
  <si>
    <t>草原風</t>
  </si>
  <si>
    <t>噬魂開鋒★3</t>
  </si>
  <si>
    <t>agi+5%</t>
  </si>
  <si>
    <t>寒冰精靈</t>
  </si>
  <si>
    <t>大雨滂沱</t>
  </si>
  <si>
    <t>agi-10%</t>
  </si>
  <si>
    <t>噬魂開鋒★4</t>
  </si>
  <si>
    <t>毛毛雨</t>
  </si>
  <si>
    <t>mdef-10%</t>
  </si>
  <si>
    <t>深淵魔兵</t>
  </si>
  <si>
    <t>噬魂開鋒•破</t>
  </si>
  <si>
    <t>神諭</t>
  </si>
  <si>
    <t>MATK+10%</t>
  </si>
  <si>
    <t>對敵方2體隨機造成&lt;AD&gt;物攻的物理傷害，額外40%附加停止、暈眩與麻痺</t>
  </si>
  <si>
    <t>雪原巨魔</t>
  </si>
  <si>
    <t>滑動陷阱</t>
  </si>
  <si>
    <t>聖光衝擊★</t>
  </si>
  <si>
    <t>增加受到傷害+10%</t>
  </si>
  <si>
    <t>強風陷阱</t>
  </si>
  <si>
    <t>DEF/MDEF-10%</t>
  </si>
  <si>
    <t>聖光衝擊★2</t>
  </si>
  <si>
    <t>浪人武士</t>
  </si>
  <si>
    <t>衰弱陷阱</t>
  </si>
  <si>
    <t>ATK/MATK-10%</t>
  </si>
  <si>
    <t>對敵方1體造成&lt;AD&gt;物攻的物理傷害，造成40%暈眩；為自身附加持續回魔與持續恢復效果</t>
  </si>
  <si>
    <t>同伴幫助</t>
  </si>
  <si>
    <t>聖光衝擊★3</t>
  </si>
  <si>
    <t>持續回魔10</t>
  </si>
  <si>
    <t>能量流失</t>
  </si>
  <si>
    <t>持續扣魔10</t>
  </si>
  <si>
    <t>亡靈法師</t>
  </si>
  <si>
    <t>聖光衝擊★4</t>
  </si>
  <si>
    <t>魔能外漏</t>
  </si>
  <si>
    <t>mdef-20%</t>
  </si>
  <si>
    <t>敵人干擾</t>
  </si>
  <si>
    <t>ATK-20%</t>
  </si>
  <si>
    <t>血腥食屍鬼</t>
  </si>
  <si>
    <t>聖光衝擊•破</t>
  </si>
  <si>
    <t>對敵方1體造成&lt;AD&gt;物攻的物理傷害，造成100%暈眩；為自身附加持續回魔與持續恢復效果</t>
  </si>
  <si>
    <t>深淵曼陀羅</t>
  </si>
  <si>
    <t>英雄意志★</t>
  </si>
  <si>
    <t>英雄意志★2</t>
  </si>
  <si>
    <t>惡魔統領</t>
  </si>
  <si>
    <t>對我方1體恢復魔攻&lt;AP&gt;的hp，追加立即恢復對象mp150，並附加不屈效果</t>
  </si>
  <si>
    <t>地獄使者</t>
  </si>
  <si>
    <t>英雄意志★3</t>
  </si>
  <si>
    <t>英雄意志★4</t>
  </si>
  <si>
    <t>英雄意志•堅</t>
  </si>
  <si>
    <t>深淵巨獸</t>
  </si>
  <si>
    <t>對我方2恢復魔攻&lt;AP&gt;的hp，追加立即恢復對象mp150，恢復的對象額外追加現在HP30%的血量恢復</t>
  </si>
  <si>
    <t>prefeb_map</t>
  </si>
  <si>
    <t>list</t>
  </si>
  <si>
    <t>power</t>
  </si>
  <si>
    <t>is_end</t>
  </si>
  <si>
    <t>gate4</t>
  </si>
  <si>
    <t>gate4_2</t>
  </si>
  <si>
    <t>gate3_3</t>
  </si>
  <si>
    <t>魔王</t>
  </si>
  <si>
    <t>gate3_2</t>
  </si>
  <si>
    <t>野蠻衝撞</t>
  </si>
  <si>
    <t>gate3</t>
  </si>
  <si>
    <t>gate2_3</t>
  </si>
  <si>
    <t>對敵方2體造成&lt;AD&gt;物攻的物理傷害</t>
  </si>
  <si>
    <t>爪擊</t>
  </si>
  <si>
    <t>gate2_2</t>
  </si>
  <si>
    <t>gate2</t>
  </si>
  <si>
    <t>尖石攻擊</t>
  </si>
  <si>
    <t>gate1_2</t>
  </si>
  <si>
    <t>對敵方3體造成&lt;AD&gt;物攻的物理傷害，並25%附加暈眩</t>
  </si>
  <si>
    <t>gate1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</si>
  <si>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</si>
  <si>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</si>
  <si>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</si>
  <si>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</si>
  <si>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</si>
  <si>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巨型狼王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</si>
  <si>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</si>
  <si>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</si>
  <si>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</si>
  <si>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</si>
  <si>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</si>
  <si>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</si>
  <si>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史萊姆國王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</si>
  <si>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</si>
  <si>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</si>
  <si>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</si>
  <si>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</si>
  <si>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伊芙莉特</t>
  </si>
  <si>
    <t>對敵方2體造成&lt;AP&gt;魔攻的魔法傷害</t>
  </si>
  <si>
    <t>火球攻擊</t>
  </si>
  <si>
    <t>對敵方2體造成&lt;AP&gt;魔攻的魔法傷害，40%機率附加灼傷</t>
  </si>
  <si>
    <t>影之竊賊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</si>
  <si>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</si>
  <si>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</si>
  <si>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</si>
  <si>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</si>
  <si>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黑市首領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</si>
  <si>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</si>
  <si>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</si>
  <si>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</si>
  <si>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</si>
  <si>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古樹之王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</si>
  <si>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</si>
  <si>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</si>
  <si>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</si>
  <si>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</si>
  <si>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</si>
  <si>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大賢者・摩爾德</t>
  </si>
  <si>
    <t>虛空撕裂</t>
  </si>
  <si>
    <t>timing</t>
  </si>
  <si>
    <t>聖光裁決</t>
  </si>
  <si>
    <t>操作備註</t>
  </si>
  <si>
    <t>禁術塔主</t>
  </si>
  <si>
    <t>guide</t>
  </si>
  <si>
    <t>召喚聖光懲戒單體敵人，造成高額法術傷害。</t>
  </si>
  <si>
    <t>{start_gift}</t>
  </si>
  <si>
    <t>遊戲一開始就獲得這給的道具；並且不顯示起始禮包領取的頁面
隱藏提供，直接進入劇情</t>
  </si>
  <si>
    <t>狂怒重斬</t>
  </si>
  <si>
    <t>story</t>
  </si>
  <si>
    <t>before</t>
  </si>
  <si>
    <t>夜色籠罩整片魔王領域。
遠方的天空已經被黑紅色的雲層完全覆蓋。
終焉神殿懸浮在破碎的大地之上。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</si>
  <si>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</si>
  <si>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蓄力對單體敵人進行重擊，造成高額物理傷害。(暈眩</t>
  </si>
  <si>
    <t>{battle}</t>
  </si>
  <si>
    <t>裂地波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</si>
  <si>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</si>
  <si>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聖痕騎士長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</si>
  <si>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</si>
  <si>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</si>
  <si>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</si>
  <si>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猛擊地面發出衝擊波，對前排3名敵人造成物理傷害。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</si>
  <si>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</si>
  <si>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</si>
  <si>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寒冰吐息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</si>
  <si>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</si>
  <si>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</si>
  <si>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</si>
  <si>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</si>
  <si>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墮落聖者</t>
  </si>
  <si>
    <t>噴吐極寒冰霧，對3名敵人造成法術傷害。(凍傷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</si>
  <si>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</si>
  <si>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</si>
  <si>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烈焰風暴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</si>
  <si>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</si>
  <si>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</si>
  <si>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{arrangement}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</si>
  <si>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</si>
  <si>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</si>
  <si>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聖槍守護者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</si>
  <si>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</si>
  <si>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</si>
  <si>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召喚狂暴火焰風暴，對4名敵人造成法術傷害。(灼傷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</si>
  <si>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</si>
  <si>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影襲連斬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</si>
  <si>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</si>
  <si>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</si>
  <si>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</si>
  <si>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快速閃現連擊，對單體敵人造成3次物理傷害。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</si>
  <si>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</si>
  <si>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妖刀將軍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</si>
  <si>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</si>
  <si>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</si>
  <si>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</si>
  <si>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</si>
  <si>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劇毒絞殺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</si>
  <si>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</si>
  <si>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</si>
  <si>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</si>
  <si>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炎獄巨龍</t>
  </si>
  <si>
    <t>釋放劇毒藤蔓，對2名敵人造成物理傷害。(中毒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</si>
  <si>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</si>
  <si>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</si>
  <si>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靈魂抽取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</si>
  <si>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</si>
  <si>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</si>
  <si>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</si>
  <si>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</si>
  <si>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侵蝕敵人靈魂，對單體敵人造成大量法術傷害。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</si>
  <si>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</si>
  <si>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冰冠大公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</si>
  <si>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</si>
  <si>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聖槍貫穿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</si>
  <si>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</si>
  <si>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</si>
  <si>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</si>
  <si>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</si>
  <si>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</si>
  <si>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投擲聖光長槍，對2名貫穿目標造成物理傷害。(裂傷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</si>
  <si>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</si>
  <si>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冥王使徒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</si>
  <si>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</si>
  <si>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禁術狂潮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</si>
  <si>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</si>
  <si>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</si>
  <si>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</si>
  <si>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釋放失控的禁忌魔法，對全體5名敵人造成法術傷害。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</si>
  <si>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</si>
  <si>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</si>
  <si>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</si>
  <si>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熔岩踐踏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</si>
  <si>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</si>
  <si>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</si>
  <si>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踩踏地面引爆火山熔岩，對3名敵人造成物理傷害。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</si>
  <si>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</si>
  <si>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</si>
  <si>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虛空絞殺</t>
  </si>
  <si>
    <t>撕裂虛空，對2名敵人造成2次法術傷害。</t>
  </si>
  <si>
    <t>state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</si>
  <si>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</si>
  <si>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</si>
  <si>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</si>
  <si>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</si>
  <si>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</si>
  <si>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</si>
  <si>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rate_add</t>
  </si>
  <si>
    <t>guarant_min</t>
  </si>
  <si>
    <t>guarant_max</t>
  </si>
  <si>
    <t>buff_max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</si>
  <si>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</si>
  <si>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</si>
  <si>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</si>
  <si>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</si>
  <si>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</si>
  <si>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</si>
  <si>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</si>
  <si>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</si>
  <si>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</si>
  <si>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</si>
  <si>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</si>
  <si>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</si>
  <si>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</si>
  <si>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</si>
  <si>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</si>
  <si>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</si>
  <si>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</si>
  <si>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</si>
  <si>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</si>
  <si>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</si>
  <si>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</si>
  <si>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</si>
  <si>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</si>
  <si>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</si>
  <si>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</si>
  <si>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</si>
  <si>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</si>
  <si>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</si>
  <si>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</si>
  <si>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</si>
  <si>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id</t>
  </si>
  <si>
    <t>為我方全體附加&lt;AD&gt;護盾，並附加傷害反射效果</t>
  </si>
  <si>
    <t>連續爪擊</t>
  </si>
  <si>
    <t>recipe</t>
  </si>
  <si>
    <t>recipe_rate</t>
  </si>
  <si>
    <t>buff_pasive</t>
  </si>
  <si>
    <t>refine_id</t>
  </si>
  <si>
    <t>cost_id</t>
  </si>
  <si>
    <t>build</t>
  </si>
  <si>
    <t>對敵方隨機1體造成&lt;AD&gt;物攻的物理傷害3次</t>
  </si>
  <si>
    <t>重力魔法</t>
  </si>
  <si>
    <t>gem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</si>
  <si>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</si>
  <si>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</si>
  <si>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</si>
  <si>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</si>
  <si>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</si>
  <si>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</si>
  <si>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</si>
  <si>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</si>
  <si>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</si>
  <si>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</si>
  <si>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</si>
  <si>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</si>
  <si>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</si>
  <si>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</si>
  <si>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</si>
  <si>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</si>
  <si>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</si>
  <si>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</si>
  <si>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</si>
  <si>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</si>
  <si>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</si>
  <si>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</si>
  <si>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</si>
  <si>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</si>
  <si>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</si>
  <si>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</si>
  <si>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</si>
  <si>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</si>
  <si>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</si>
  <si>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</si>
  <si>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</si>
  <si>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</si>
  <si>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</si>
  <si>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</si>
  <si>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</si>
  <si>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group_id</t>
  </si>
  <si>
    <t>value_offset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</si>
  <si>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</si>
  <si>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</si>
  <si>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</si>
  <si>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</si>
  <si>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</si>
  <si>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</si>
  <si>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</si>
  <si>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</si>
  <si>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</si>
  <si>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</si>
  <si>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</si>
  <si>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</si>
  <si>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</si>
  <si>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</si>
  <si>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</si>
  <si>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</si>
  <si>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</si>
  <si>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</si>
  <si>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</si>
  <si>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</si>
  <si>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</si>
  <si>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</si>
  <si>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</si>
  <si>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</si>
  <si>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</si>
  <si>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</si>
  <si>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</si>
  <si>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</si>
  <si>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</si>
  <si>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</si>
  <si>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</si>
  <si>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</si>
  <si>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</si>
  <si>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</si>
  <si>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</si>
  <si>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id_amount</t>
  </si>
  <si>
    <t>赤焰皮帽</t>
  </si>
  <si>
    <t>赤焰皮大衣</t>
  </si>
  <si>
    <t>赤焰皮鞋</t>
  </si>
  <si>
    <t>赤焰短批</t>
  </si>
  <si>
    <t>赤焰長褲</t>
  </si>
  <si>
    <t>金凌刃環</t>
  </si>
  <si>
    <t>名稱</t>
  </si>
  <si>
    <t>金凌獵皮盔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</si>
  <si>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</si>
  <si>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</si>
  <si>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</si>
  <si>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</si>
  <si>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</si>
  <si>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</si>
  <si>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</si>
  <si>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</si>
  <si>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金凌獵戰甲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</si>
  <si>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</si>
  <si>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</si>
  <si>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</si>
  <si>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</si>
  <si>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</si>
  <si>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</si>
  <si>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</si>
  <si>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</si>
  <si>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</si>
  <si>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金凌獵皮靴</t>
  </si>
  <si>
    <t>火之迦具土神劍碎片</t>
  </si>
  <si>
    <t>童子切安綱碎片</t>
  </si>
  <si>
    <t>金凌斗篷</t>
  </si>
  <si>
    <t>村雨碎片</t>
  </si>
  <si>
    <t>隆基努斯之槍碎片</t>
  </si>
  <si>
    <t>村正碎片</t>
  </si>
  <si>
    <t>金凌獵皮褲</t>
  </si>
  <si>
    <t>天叢雲劍碎片</t>
  </si>
  <si>
    <t>干將莫邪碎片</t>
  </si>
  <si>
    <t>月影奇襲短刃</t>
  </si>
  <si>
    <t>埃斯卡利巴碎片</t>
  </si>
  <si>
    <t>布都御魂碎片</t>
  </si>
  <si>
    <t>提爾鋒碎片</t>
  </si>
  <si>
    <t>月影奇襲皮盔</t>
  </si>
  <si>
    <t>真十字架碎片</t>
  </si>
  <si>
    <t>阿斯卡隆碎片</t>
  </si>
  <si>
    <t>鬼丸國綱碎片</t>
  </si>
  <si>
    <t>阿隆戴特碎片</t>
  </si>
  <si>
    <t>月影奇襲甲</t>
  </si>
  <si>
    <t>哈迪斯之盔碎片</t>
  </si>
  <si>
    <t>封印之書碎片</t>
  </si>
  <si>
    <t>永恆聖鏡碎片</t>
  </si>
  <si>
    <t>月影奇襲皮靴</t>
  </si>
  <si>
    <t>熔岩之鼎碎片</t>
  </si>
  <si>
    <t>布里歐納克碎片</t>
  </si>
  <si>
    <t>美杜莎之盾碎片</t>
  </si>
  <si>
    <t>月影奇襲斗篷</t>
  </si>
  <si>
    <t>赫格尼之劍碎片</t>
  </si>
  <si>
    <t>堅鐵長矛碎片</t>
  </si>
  <si>
    <t>尖刺短刀碎片</t>
  </si>
  <si>
    <t>月影奇襲皮褲</t>
  </si>
  <si>
    <t>學徒法杖碎片</t>
  </si>
  <si>
    <t>枯木魔杖碎片</t>
  </si>
  <si>
    <t>十字堅盾碎片</t>
  </si>
  <si>
    <t>獵人之弓碎片</t>
  </si>
  <si>
    <t>青銅長劍</t>
  </si>
  <si>
    <t>修行者法球碎片</t>
  </si>
  <si>
    <t>迴旋鏈刃碎片</t>
  </si>
  <si>
    <t>青銅頭盔</t>
  </si>
  <si>
    <t>晨星鎚碎片</t>
  </si>
  <si>
    <t>戰鬥者長劍碎片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</si>
  <si>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</si>
  <si>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</si>
  <si>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</si>
  <si>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</si>
  <si>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</si>
  <si>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</si>
  <si>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</si>
  <si>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</si>
  <si>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</si>
  <si>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</si>
  <si>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</si>
  <si>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</si>
  <si>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</si>
  <si>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random_play</t>
  </si>
  <si>
    <t>雷霆披風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</si>
  <si>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</si>
  <si>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</si>
  <si>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</si>
  <si>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</si>
  <si>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</si>
  <si>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</si>
  <si>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</si>
  <si>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</si>
  <si>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</si>
  <si>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</si>
  <si>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</si>
  <si>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</si>
  <si>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</si>
  <si>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</si>
  <si>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</si>
  <si>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</si>
  <si>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</si>
  <si>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</si>
  <si>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</si>
  <si>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</si>
  <si>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</si>
  <si>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</si>
  <si>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</si>
  <si>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</si>
  <si>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</si>
  <si>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</si>
  <si>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</si>
  <si>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</si>
  <si>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</si>
  <si>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</si>
  <si>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</si>
  <si>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</si>
  <si>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</si>
  <si>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</si>
  <si>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</si>
  <si>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</si>
  <si>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</si>
  <si>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</si>
  <si>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</si>
  <si>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</si>
  <si>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</si>
  <si>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</si>
  <si>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</si>
  <si>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</si>
  <si>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</si>
  <si>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</si>
  <si>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</si>
  <si>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</si>
  <si>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</si>
  <si>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</si>
  <si>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</si>
  <si>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</si>
  <si>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</si>
  <si>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</si>
  <si>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</si>
  <si>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</si>
  <si>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</si>
  <si>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</si>
  <si>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item1_id</t>
  </si>
  <si>
    <t>item1_amount</t>
  </si>
  <si>
    <t>item2_id</t>
  </si>
  <si>
    <t>item2_amount</t>
  </si>
  <si>
    <t>rate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</si>
  <si>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</si>
  <si>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</si>
  <si>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</si>
  <si>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</si>
  <si>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</si>
  <si>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</si>
  <si>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</si>
  <si>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</si>
  <si>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</si>
  <si>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</si>
  <si>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</si>
  <si>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</si>
  <si>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</si>
  <si>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</si>
  <si>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</si>
  <si>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</si>
  <si>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</si>
  <si>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</si>
  <si>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</si>
  <si>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當cost表中的item_id為-1時；觸發特例狀況，其代表的含意為消耗的素材等於傳入的角色ID-900的item_id</t>
  </si>
  <si>
    <t>SR武器升星-物攻3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</si>
  <si>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</si>
  <si>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</si>
  <si>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SR武器升星-物攻4</t>
  </si>
  <si>
    <t>武器升星2</t>
  </si>
  <si>
    <t>武器升星3</t>
  </si>
  <si>
    <t>武器升星4</t>
  </si>
  <si>
    <t>SR武器升星-物攻5</t>
  </si>
  <si>
    <t>武器升星5</t>
  </si>
  <si>
    <t>武器升星6</t>
  </si>
  <si>
    <t>SR武器升星-物攻6</t>
  </si>
  <si>
    <t>武器升星7</t>
  </si>
  <si>
    <t>重複獲取</t>
  </si>
  <si>
    <t>獲取片數</t>
  </si>
  <si>
    <t>武器升星8</t>
  </si>
  <si>
    <t>SR武器升星-物攻7</t>
  </si>
  <si>
    <t>武器升星9</t>
  </si>
  <si>
    <t>武器升星10</t>
  </si>
  <si>
    <t>SR武器升星-物攻8</t>
  </si>
  <si>
    <t>魔物升星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</si>
  <si>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</si>
  <si>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</si>
  <si>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</si>
  <si>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</si>
  <si>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</si>
  <si>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</si>
  <si>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</si>
  <si>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</si>
  <si>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</si>
  <si>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</si>
  <si>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</si>
  <si>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</si>
  <si>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#</t>
  </si>
  <si>
    <t>R武器升星-物攻1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</si>
  <si>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</si>
  <si>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</si>
  <si>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</si>
  <si>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</si>
  <si>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</si>
  <si>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</si>
  <si>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</si>
  <si>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</si>
  <si>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R武器升星-物攻2</t>
  </si>
  <si>
    <t>heal且補血目標超過3</t>
  </si>
  <si>
    <t>shield且物攻係數的護盾</t>
  </si>
  <si>
    <t>shield且魔攻係數的護盾</t>
  </si>
  <si>
    <t>R武器升星-物攻3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</si>
  <si>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</si>
  <si>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</si>
  <si>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</si>
  <si>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</si>
  <si>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</si>
  <si>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</si>
  <si>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</si>
  <si>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R武器升星-物攻4</t>
  </si>
  <si>
    <t>攻擊是magic類的技能</t>
  </si>
  <si>
    <t>有燒傷技能</t>
  </si>
  <si>
    <t>有冰凍或凍傷技能</t>
  </si>
  <si>
    <t>有削弱技能</t>
  </si>
  <si>
    <t>聯想</t>
  </si>
  <si>
    <t>R武器升星-物攻5</t>
  </si>
  <si>
    <t>R武器升星-物攻6</t>
  </si>
  <si>
    <t>形象</t>
  </si>
  <si>
    <t>R武器升星-物攻7</t>
  </si>
  <si>
    <t>R武器升星-物攻8</t>
  </si>
  <si>
    <t>group</t>
  </si>
  <si>
    <t>unlock_job</t>
  </si>
  <si>
    <t>R武器升星-物攻9</t>
  </si>
  <si>
    <t>劍士天賦</t>
  </si>
  <si>
    <t>戰士天賦</t>
  </si>
  <si>
    <t>R武器升星-物攻10</t>
  </si>
  <si>
    <t>弓劍手天賦</t>
  </si>
  <si>
    <t>盜賊天賦</t>
  </si>
  <si>
    <t>魔法師天賦</t>
  </si>
  <si>
    <t>實習祭司天賦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</si>
  <si>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</si>
  <si>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</si>
  <si>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</si>
  <si>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</si>
  <si>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</si>
  <si>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</si>
  <si>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</si>
  <si>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</si>
  <si>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</si>
  <si>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</si>
  <si>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</si>
  <si>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</si>
  <si>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</si>
  <si>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</si>
  <si>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</si>
  <si>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</si>
  <si>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</si>
  <si>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next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</si>
  <si>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</si>
  <si>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</si>
  <si>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point</t>
  </si>
  <si>
    <t>#總點數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</si>
  <si>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</si>
  <si>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</si>
  <si>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</si>
  <si>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</si>
  <si>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cost1_id</t>
  </si>
  <si>
    <t>cost1_amount</t>
  </si>
  <si>
    <t>cost10_id</t>
  </si>
  <si>
    <t>cost10_amount</t>
  </si>
  <si>
    <t>裝備轉蛋</t>
  </si>
  <si>
    <t>寶石轉蛋</t>
  </si>
  <si>
    <t>{0},{0},{175},{0},{0}
{0},{176},{0},{177},{0}
{0},{178},{0},{179},{0}
{180},{0},{181},{0},{182}
{0},{183},{0},{184},{0}
{185},{0},{0},{0},{186}
{0},{187},{0},{188},{0}
{0},{0},{189},{0},{0}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</si>
</sst>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color rgb="FF1F1F1F"/>
      <name val="Google Sans Text"/>
    </font>
    <font>
      <b/>
      <sz val="12.0"/>
      <color rgb="FF1F1F1F"/>
      <name val="Arial"/>
    </font>
    <font>
      <sz val="12.0"/>
      <color rgb="FF1F1F1F"/>
      <name val="Arial"/>
    </font>
    <font>
      <color rgb="FF1F1F1F"/>
      <name val="&quot;Google Sans Text&quot;"/>
    </font>
    <font>
      <sz val="10.0"/>
      <color theme="1"/>
      <name val="Arial"/>
      <scheme val="minor"/>
    </font>
    <font>
      <b/>
      <color rgb="FF1F1F1F"/>
      <name val="&quot;Google Sans Text&quot;"/>
    </font>
    <font>
      <color rgb="FF444746"/>
      <name val="&quot;Google Sans Text&quot;"/>
    </font>
    <font>
      <color rgb="FFEFEFEF"/>
      <name val="Arial"/>
      <scheme val="minor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0" fillId="0" fontId="1" numFmtId="0" xfId="0" applyAlignment="1" applyFont="1">
      <alignment readingOrder="0"/>
    </xf>
    <xf borderId="1" fillId="2" fontId="1" numFmtId="0" xfId="0" applyAlignment="1" applyBorder="1" applyFill="1" applyFont="1">
      <alignment readingOrder="0"/>
    </xf>
    <xf borderId="1" fillId="0" fontId="1" numFmtId="0" xfId="0" applyAlignment="1" applyBorder="1" applyFont="1">
      <alignment readingOrder="0"/>
    </xf>
    <xf borderId="0" fillId="0" fontId="2" numFmtId="0" xfId="0" applyAlignment="1" applyFont="1">
      <alignment vertical="bottom"/>
    </xf>
    <xf borderId="2" fillId="2" fontId="1" numFmtId="0" xfId="0" applyAlignment="1" applyBorder="1" applyFill="1" applyFont="1">
      <alignment readingOrder="0"/>
    </xf>
    <xf borderId="2" fillId="2" fontId="2" numFmtId="0" xfId="0" applyAlignment="1" applyBorder="1" applyFill="1" applyFont="1">
      <alignment vertical="bottom"/>
    </xf>
    <xf borderId="3" fillId="0" fontId="3" numFmtId="0" xfId="0" applyBorder="1" applyFont="1"/>
    <xf borderId="4" fillId="0" fontId="3" numFmtId="0" xfId="0" applyBorder="1" applyFont="1"/>
    <xf borderId="5" fillId="0" fontId="2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vertical="bottom"/>
    </xf>
    <xf borderId="6" fillId="0" fontId="3" numFmtId="0" xfId="0" applyBorder="1" applyFont="1"/>
    <xf borderId="1" fillId="0" fontId="1" numFmtId="9" xfId="0" applyAlignment="1" applyBorder="1" applyFont="1" applyNumberFormat="1">
      <alignment readingOrder="0"/>
    </xf>
    <xf borderId="1" fillId="0" fontId="1" numFmtId="0" xfId="0" applyBorder="1" applyFont="1"/>
    <xf borderId="1" fillId="0" fontId="4" numFmtId="0" xfId="0" applyAlignment="1" applyBorder="1" applyFont="1">
      <alignment readingOrder="0" vertical="bottom"/>
    </xf>
    <xf borderId="7" fillId="0" fontId="3" numFmtId="0" xfId="0" applyBorder="1" applyFont="1"/>
    <xf borderId="1" fillId="0" fontId="2" numFmtId="0" xfId="0" applyAlignment="1" applyBorder="1" applyFont="1">
      <alignment vertical="bottom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right" vertical="bottom"/>
    </xf>
    <xf borderId="2" fillId="0" fontId="2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1" fillId="0" fontId="2" numFmtId="0" xfId="0" applyAlignment="1" applyBorder="1" applyFont="1">
      <alignment vertical="bottom"/>
    </xf>
    <xf borderId="12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9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  <xf borderId="2" fillId="0" fontId="2" numFmtId="0" xfId="0" applyAlignment="1" applyBorder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0" xfId="0" applyFont="1"/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readingOrder="0"/>
    </xf>
    <xf borderId="1" fillId="0" fontId="6" numFmtId="0" xfId="0" applyAlignment="1" applyBorder="1" applyFont="1">
      <alignment readingOrder="0" shrinkToFit="0" wrapText="0"/>
    </xf>
    <xf borderId="1" fillId="0" fontId="1" numFmtId="0" xfId="0" applyAlignment="1" applyBorder="1" applyFont="1">
      <alignment horizontal="center" readingOrder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1" fillId="0" fontId="1" numFmtId="10" xfId="0" applyAlignment="1" applyBorder="1" applyFont="1" applyNumberFormat="1">
      <alignment readingOrder="0"/>
    </xf>
    <xf borderId="0" fillId="0" fontId="7" numFmtId="9" xfId="0" applyAlignment="1" applyFont="1" applyNumberFormat="1">
      <alignment readingOrder="0" shrinkToFit="0" wrapText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1" fillId="2" fontId="1" numFmtId="0" xfId="0" applyAlignment="1" applyBorder="1" applyFill="1" applyFont="1">
      <alignment horizontal="left" readingOrder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2" fillId="0" fontId="1" numFmtId="0" xfId="0" applyAlignment="1" applyBorder="1" applyFont="1">
      <alignment readingOrder="0"/>
    </xf>
    <xf borderId="1" fillId="0" fontId="8" numFmtId="0" xfId="0" applyAlignment="1" applyBorder="1" applyFont="1">
      <alignment readingOrder="0" vertical="bottom"/>
    </xf>
    <xf borderId="9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0" fillId="0" fontId="9" numFmtId="0" xfId="0" applyAlignment="1" applyFont="1">
      <alignment readingOrder="0" shrinkToFit="0" wrapText="0"/>
    </xf>
    <xf borderId="1" fillId="0" fontId="1" numFmtId="9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10" numFmtId="0" xfId="0" applyAlignment="1" applyBorder="1" applyFont="1">
      <alignment readingOrder="0" shrinkToFit="0" wrapText="0"/>
    </xf>
    <xf borderId="0" fillId="0" fontId="10" numFmtId="0" xfId="0" applyAlignment="1" applyFont="1">
      <alignment readingOrder="0" shrinkToFit="0" wrapText="0"/>
    </xf>
    <xf borderId="1" fillId="0" fontId="6" numFmtId="0" xfId="0" applyAlignment="1" applyBorder="1" applyFont="1">
      <alignment shrinkToFit="0" wrapText="0"/>
    </xf>
    <xf borderId="0" fillId="0" fontId="1" numFmtId="0" xfId="0" applyFont="1"/>
    <xf borderId="1" fillId="0" fontId="11" numFmtId="0" xfId="0" applyAlignment="1" applyBorder="1" applyFont="1">
      <alignment readingOrder="0"/>
    </xf>
    <xf borderId="1" fillId="0" fontId="11" numFmtId="0" xfId="0" applyAlignment="1" applyBorder="1" applyFont="1">
      <alignment horizontal="center" readingOrder="0"/>
    </xf>
    <xf borderId="1" fillId="0" fontId="11" numFmtId="0" xfId="0" applyBorder="1" applyFont="1"/>
    <xf borderId="1" fillId="0" fontId="11" numFmtId="0" xfId="0" applyAlignment="1" applyBorder="1" applyFont="1">
      <alignment horizontal="left"/>
    </xf>
    <xf borderId="1" fillId="0" fontId="11" numFmtId="0" xfId="0" applyAlignment="1" applyBorder="1" applyFont="1">
      <alignment horizontal="left" readingOrder="0"/>
    </xf>
    <xf borderId="1" fillId="0" fontId="11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8" numFmtId="0" xfId="0" applyAlignment="1" applyBorder="1" applyFont="1">
      <alignment vertical="bottom"/>
    </xf>
    <xf borderId="0" fillId="0" fontId="12" numFmtId="0" xfId="0" applyAlignment="1" applyFont="1">
      <alignment horizontal="center"/>
    </xf>
    <xf borderId="1" fillId="2" fontId="12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2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" numFmtId="0" xfId="0" applyAlignment="1" applyBorder="1" applyFont="1">
      <alignment horizontal="right" readingOrder="0"/>
    </xf>
    <xf borderId="1" fillId="0" fontId="10" numFmtId="9" xfId="0" applyAlignment="1" applyBorder="1" applyFont="1" applyNumberFormat="1">
      <alignment readingOrder="0" shrinkToFit="0" wrapText="0"/>
    </xf>
    <xf borderId="0" fillId="4" fontId="1" numFmtId="0" xfId="0" applyFill="1" applyFont="1"/>
    <xf borderId="0" fillId="0" fontId="7" numFmtId="0" xfId="0" applyAlignment="1" applyFont="1">
      <alignment horizontal="left" shrinkToFit="0" wrapText="0"/>
    </xf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1" fillId="0" fontId="1" numFmtId="3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center" readingOrder="0"/>
    </xf>
    <xf borderId="1" fillId="0" fontId="1" numFmtId="1" xfId="0" applyBorder="1" applyFont="1" applyNumberFormat="1"/>
    <xf borderId="1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left" vertical="bottom"/>
    </xf>
    <xf borderId="0" fillId="0" fontId="13" numFmtId="0" xfId="0" applyAlignment="1" applyFont="1">
      <alignment readingOrder="0"/>
    </xf>
    <xf borderId="0" fillId="0" fontId="11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14" numFmtId="0" xfId="0" applyAlignment="1" applyFont="1">
      <alignment readingOrder="0"/>
    </xf>
    <xf borderId="0" fillId="0" fontId="2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6" numFmtId="0" xfId="0" applyAlignment="1" applyFont="1">
      <alignment horizontal="left" readingOrder="0" shrinkToFit="0" wrapText="0"/>
    </xf>
    <xf borderId="1" fillId="0" fontId="1" numFmtId="3" xfId="0" applyAlignment="1" applyBorder="1" applyFont="1" applyNumberFormat="1">
      <alignment readingOrder="0"/>
    </xf>
    <xf borderId="1" fillId="0" fontId="15" numFmtId="0" xfId="0" applyAlignment="1" applyBorder="1" applyFont="1">
      <alignment horizontal="left"/>
    </xf>
    <xf borderId="1" fillId="5" fontId="1" numFmtId="0" xfId="0" applyAlignment="1" applyBorder="1" applyFill="1" applyFont="1">
      <alignment horizontal="left" readingOrder="0"/>
    </xf>
    <xf borderId="0" fillId="5" fontId="1" numFmtId="0" xfId="0" applyAlignment="1" applyFill="1" applyFont="1">
      <alignment readingOrder="0"/>
    </xf>
    <xf borderId="1" fillId="5" fontId="15" numFmtId="0" xfId="0" applyAlignment="1" applyBorder="1" applyFill="1" applyFont="1">
      <alignment horizontal="left"/>
    </xf>
    <xf borderId="0" fillId="5" fontId="11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1" fillId="5" fontId="1" numFmtId="0" xfId="0" applyAlignment="1" applyBorder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5" fontId="12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vertical="bottom"/>
    </xf>
    <xf borderId="0" fillId="6" fontId="1" numFmtId="0" xfId="0" applyAlignment="1" applyFill="1" applyFont="1">
      <alignment readingOrder="0"/>
    </xf>
    <xf borderId="0" fillId="6" fontId="14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16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0" fillId="0" fontId="17" numFmtId="0" xfId="0" applyAlignment="1" applyFont="1">
      <alignment readingOrder="0"/>
    </xf>
    <xf borderId="0" fillId="7" fontId="1" numFmtId="0" xfId="0" applyAlignment="1" applyFill="1" applyFont="1">
      <alignment readingOrder="0"/>
    </xf>
    <xf borderId="1" fillId="0" fontId="18" numFmtId="0" xfId="0" applyAlignment="1" applyBorder="1" applyFont="1">
      <alignment readingOrder="0" shrinkToFit="0" wrapText="0"/>
    </xf>
    <xf borderId="1" fillId="0" fontId="19" numFmtId="0" xfId="0" applyAlignment="1" applyBorder="1" applyFont="1">
      <alignment readingOrder="0"/>
    </xf>
    <xf borderId="1" fillId="0" fontId="12" numFmtId="0" xfId="0" applyAlignment="1" applyBorder="1" applyFont="1">
      <alignment horizont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2" fillId="0" fontId="2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2" fillId="0" fontId="2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right" readingOrder="0" vertical="bottom"/>
    </xf>
    <xf borderId="0" fillId="0" fontId="11" numFmtId="0" xfId="0" applyFont="1"/>
    <xf borderId="9" fillId="0" fontId="21" numFmtId="0" xfId="0" applyAlignment="1" applyBorder="1" applyFont="1">
      <alignment horizontal="center" readingOrder="0" shrinkToFit="0" wrapText="0"/>
    </xf>
    <xf borderId="9" fillId="0" fontId="22" numFmtId="0" xfId="0" applyAlignment="1" applyBorder="1" applyFont="1">
      <alignment horizontal="center" readingOrder="0" shrinkToFit="0" wrapText="0"/>
    </xf>
    <xf borderId="9" fillId="0" fontId="23" numFmtId="0" xfId="0" applyAlignment="1" applyBorder="1" applyFont="1">
      <alignment horizontal="center" readingOrder="0"/>
    </xf>
    <xf borderId="9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</row>
    <row r="6">
      <c r="B6" s="10" t="s">
        <v>10</v>
      </c>
      <c r="C6" s="12"/>
      <c r="D6" s="12"/>
      <c r="E6" s="12"/>
      <c r="F6" s="16"/>
    </row>
    <row r="7">
      <c r="B7" s="18"/>
      <c r="C7" s="19"/>
      <c r="D7" s="19"/>
      <c r="E7" s="19"/>
      <c r="F7" s="20"/>
    </row>
    <row r="8">
      <c r="B8" s="21" t="s">
        <v>48</v>
      </c>
      <c r="C8" s="21" t="s">
        <v>52</v>
      </c>
      <c r="D8" s="21" t="s">
        <v>57</v>
      </c>
      <c r="E8" s="21" t="s">
        <v>58</v>
      </c>
      <c r="F8" s="21" t="s">
        <v>59</v>
      </c>
    </row>
    <row r="9">
      <c r="B9" s="24"/>
      <c r="C9" s="25"/>
      <c r="D9" s="25"/>
      <c r="E9" s="25"/>
      <c r="F9" s="26"/>
    </row>
    <row r="10">
      <c r="B10" s="28"/>
      <c r="C10" s="5"/>
      <c r="D10" s="5"/>
      <c r="E10" s="5"/>
      <c r="F10" s="29"/>
    </row>
    <row r="11">
      <c r="B11" s="28"/>
      <c r="C11" s="5"/>
      <c r="D11" s="5"/>
      <c r="E11" s="5"/>
      <c r="F11" s="29"/>
    </row>
    <row r="12">
      <c r="B12" s="30"/>
      <c r="C12" s="31"/>
      <c r="D12" s="31"/>
      <c r="E12" s="31"/>
      <c r="F12" s="32"/>
    </row>
    <row r="13">
      <c r="B13" s="21" t="s">
        <v>100</v>
      </c>
      <c r="C13" s="21" t="s">
        <v>104</v>
      </c>
      <c r="D13" s="21" t="s">
        <v>107</v>
      </c>
      <c r="E13" s="21" t="s">
        <v>109</v>
      </c>
      <c r="F13" s="21" t="s">
        <v>111</v>
      </c>
    </row>
    <row r="14">
      <c r="B14" s="10" t="s">
        <v>10</v>
      </c>
      <c r="C14" s="12"/>
      <c r="D14" s="12"/>
      <c r="E14" s="12"/>
      <c r="F14" s="16"/>
    </row>
    <row r="15">
      <c r="B15" s="18"/>
      <c r="C15" s="19"/>
      <c r="D15" s="19"/>
      <c r="E15" s="19"/>
      <c r="F15" s="20"/>
    </row>
    <row r="18">
      <c r="A18" s="2" t="s">
        <v>134</v>
      </c>
    </row>
    <row r="62">
      <c r="D62" s="37">
        <v>0.03</v>
      </c>
      <c r="E62" s="2">
        <v>12.0</v>
      </c>
      <c r="F62" s="39">
        <f t="shared" ref="F62:F64" si="1">D62/E62</f>
        <v>0.0025</v>
      </c>
      <c r="G62" s="2">
        <v>30.0</v>
      </c>
      <c r="H62" s="39">
        <f>G62*F62</f>
        <v>0.075</v>
      </c>
    </row>
    <row r="63">
      <c r="D63" s="37">
        <v>0.22</v>
      </c>
      <c r="E63" s="2">
        <v>9.0</v>
      </c>
      <c r="F63" s="39">
        <f t="shared" si="1"/>
        <v>0.02444444444</v>
      </c>
      <c r="G63" s="39">
        <f>H62/F63</f>
        <v>3.068181818</v>
      </c>
      <c r="H63" s="2">
        <v>10.0</v>
      </c>
    </row>
    <row r="64">
      <c r="D64" s="37">
        <f>1-D63-D62</f>
        <v>0.75</v>
      </c>
      <c r="E64" s="2">
        <v>10.0</v>
      </c>
      <c r="F64" s="39">
        <f t="shared" si="1"/>
        <v>0.075</v>
      </c>
      <c r="G64" s="39">
        <f>H62/F64</f>
        <v>1</v>
      </c>
      <c r="H64" s="2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2" t="s">
        <v>1</v>
      </c>
    </row>
    <row r="2">
      <c r="A2" s="4" t="s">
        <v>4</v>
      </c>
      <c r="B2" s="4" t="s">
        <v>7</v>
      </c>
    </row>
    <row r="3">
      <c r="A3" s="5"/>
    </row>
    <row r="4">
      <c r="A4" s="7" t="s">
        <v>8</v>
      </c>
      <c r="B4" s="9"/>
    </row>
    <row r="5">
      <c r="A5" s="11" t="s">
        <v>12</v>
      </c>
      <c r="B5" s="15" t="s">
        <v>20</v>
      </c>
    </row>
    <row r="6">
      <c r="A6" s="17" t="s">
        <v>27</v>
      </c>
      <c r="B6" s="17" t="s">
        <v>31</v>
      </c>
    </row>
    <row r="7">
      <c r="A7" s="11" t="s">
        <v>37</v>
      </c>
      <c r="B7" s="11" t="s">
        <v>39</v>
      </c>
    </row>
    <row r="8">
      <c r="A8" s="11" t="s">
        <v>45</v>
      </c>
      <c r="B8" s="11" t="s">
        <v>47</v>
      </c>
    </row>
    <row r="9">
      <c r="A9" s="5"/>
      <c r="B9" s="5"/>
    </row>
    <row r="10">
      <c r="A10" s="5"/>
      <c r="B10" s="5"/>
    </row>
    <row r="11">
      <c r="A11" s="23" t="s">
        <v>56</v>
      </c>
      <c r="B11" s="9"/>
    </row>
    <row r="12">
      <c r="A12" s="17" t="s">
        <v>68</v>
      </c>
      <c r="B12" s="17" t="s">
        <v>70</v>
      </c>
    </row>
    <row r="13">
      <c r="A13" s="17" t="s">
        <v>73</v>
      </c>
      <c r="B13" s="27" t="s">
        <v>77</v>
      </c>
    </row>
    <row r="14">
      <c r="A14" s="17" t="s">
        <v>95</v>
      </c>
      <c r="B14" s="17" t="s">
        <v>98</v>
      </c>
    </row>
    <row r="15">
      <c r="A15" s="17" t="s">
        <v>99</v>
      </c>
      <c r="B15" s="17" t="s">
        <v>103</v>
      </c>
    </row>
    <row r="16">
      <c r="A16" s="17" t="s">
        <v>110</v>
      </c>
      <c r="B16" s="17" t="s">
        <v>103</v>
      </c>
    </row>
    <row r="17">
      <c r="A17" s="17" t="s">
        <v>114</v>
      </c>
      <c r="B17" s="17" t="s">
        <v>116</v>
      </c>
    </row>
    <row r="18">
      <c r="A18" s="17" t="s">
        <v>119</v>
      </c>
      <c r="B18" s="17" t="s">
        <v>121</v>
      </c>
    </row>
    <row r="19">
      <c r="A19" s="17" t="s">
        <v>122</v>
      </c>
      <c r="B19" s="27" t="s">
        <v>124</v>
      </c>
    </row>
    <row r="20">
      <c r="A20" s="5"/>
      <c r="B20" s="5"/>
    </row>
    <row r="21">
      <c r="B21" s="5"/>
    </row>
    <row r="22">
      <c r="A22" s="34" t="s">
        <v>132</v>
      </c>
      <c r="B22" s="9"/>
    </row>
    <row r="23">
      <c r="A23" s="17" t="s">
        <v>142</v>
      </c>
      <c r="B23" s="14"/>
    </row>
    <row r="24">
      <c r="A24" s="17" t="s">
        <v>147</v>
      </c>
      <c r="B24" s="14"/>
    </row>
    <row r="25">
      <c r="A25" s="2" t="s">
        <v>151</v>
      </c>
    </row>
    <row r="26">
      <c r="A26" s="2" t="s">
        <v>152</v>
      </c>
    </row>
    <row r="27">
      <c r="A27" s="2" t="s">
        <v>154</v>
      </c>
    </row>
    <row r="28">
      <c r="A28" s="2" t="s">
        <v>157</v>
      </c>
    </row>
    <row r="29">
      <c r="A29" s="2" t="s">
        <v>161</v>
      </c>
    </row>
    <row r="30">
      <c r="A30" s="2" t="s">
        <v>164</v>
      </c>
    </row>
    <row r="31">
      <c r="A31" s="2" t="s">
        <v>166</v>
      </c>
    </row>
    <row r="32">
      <c r="A32" s="2" t="s">
        <v>169</v>
      </c>
    </row>
    <row r="36">
      <c r="A36" s="2" t="s">
        <v>173</v>
      </c>
    </row>
    <row r="37">
      <c r="A37" s="2" t="s">
        <v>179</v>
      </c>
    </row>
    <row r="38">
      <c r="A38" s="2" t="s">
        <v>182</v>
      </c>
    </row>
    <row r="41">
      <c r="B41" s="2" t="s">
        <v>187</v>
      </c>
    </row>
    <row r="44">
      <c r="A44" s="5" t="str">
        <f>"(1)"</f>
        <v>(1)</v>
      </c>
      <c r="B44" s="5"/>
      <c r="C44" s="5"/>
      <c r="D44" s="5"/>
      <c r="E44" s="5"/>
      <c r="F44" s="5"/>
    </row>
    <row r="45">
      <c r="A45" s="38" t="s">
        <v>209</v>
      </c>
    </row>
    <row r="46">
      <c r="A46" s="5" t="str">
        <f>"(2)"</f>
        <v>(2)</v>
      </c>
      <c r="B46" s="5"/>
      <c r="C46" s="5"/>
      <c r="D46" s="5"/>
      <c r="E46" s="5"/>
      <c r="F46" s="5"/>
    </row>
    <row r="47">
      <c r="A47" s="5" t="s">
        <v>222</v>
      </c>
      <c r="B47" s="5"/>
      <c r="C47" s="5"/>
      <c r="D47" s="5"/>
      <c r="E47" s="5"/>
      <c r="F47" s="5"/>
    </row>
    <row r="48">
      <c r="A48" s="5" t="s">
        <v>226</v>
      </c>
      <c r="B48" s="5"/>
      <c r="C48" s="5"/>
      <c r="D48" s="5"/>
      <c r="E48" s="5"/>
      <c r="F48" s="5"/>
    </row>
    <row r="49">
      <c r="A49" s="5" t="s">
        <v>228</v>
      </c>
      <c r="B49" s="5"/>
      <c r="C49" s="5"/>
      <c r="D49" s="5"/>
      <c r="E49" s="5"/>
      <c r="F49" s="5"/>
    </row>
    <row r="50">
      <c r="A50" s="5" t="str">
        <f>"(3)"</f>
        <v>(3)</v>
      </c>
      <c r="B50" s="5"/>
      <c r="C50" s="5"/>
      <c r="D50" s="5"/>
      <c r="E50" s="5"/>
      <c r="F50" s="5"/>
    </row>
    <row r="51">
      <c r="A51" s="5" t="s">
        <v>233</v>
      </c>
      <c r="C51" s="5"/>
      <c r="D51" s="5"/>
      <c r="E51" s="5"/>
      <c r="F51" s="5"/>
    </row>
    <row r="52">
      <c r="A52" s="38" t="s">
        <v>234</v>
      </c>
      <c r="C52" s="5"/>
      <c r="D52" s="5"/>
      <c r="E52" s="5"/>
      <c r="F52" s="5"/>
    </row>
    <row r="53">
      <c r="B53" s="5"/>
      <c r="C53" s="5"/>
      <c r="D53" s="5"/>
      <c r="E53" s="5"/>
      <c r="F53" s="5"/>
    </row>
    <row r="54">
      <c r="B54" s="5"/>
      <c r="C54" s="5"/>
      <c r="D54" s="5"/>
      <c r="E54" s="5"/>
      <c r="F54" s="5"/>
    </row>
    <row r="55">
      <c r="B55" s="5"/>
      <c r="C55" s="5"/>
      <c r="D55" s="5"/>
      <c r="E55" s="5"/>
      <c r="F55" s="5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2" t="s">
        <v>2</v>
      </c>
      <c r="P2" s="4" t="s">
        <v>9</v>
      </c>
      <c r="Q2" s="4">
        <v>1.0</v>
      </c>
      <c r="R2" s="4">
        <v>2.0</v>
      </c>
      <c r="S2" s="4">
        <v>3.0</v>
      </c>
      <c r="T2" s="4">
        <v>4.0</v>
      </c>
    </row>
    <row r="3">
      <c r="P3" s="4" t="s">
        <v>15</v>
      </c>
      <c r="Q3" s="13">
        <v>4.8</v>
      </c>
      <c r="R3" s="13">
        <v>2.4</v>
      </c>
      <c r="S3" s="13">
        <v>1.6</v>
      </c>
      <c r="T3" s="13">
        <v>1.2</v>
      </c>
    </row>
    <row r="4">
      <c r="G4" s="17" t="s">
        <v>25</v>
      </c>
      <c r="P4" s="4" t="s">
        <v>33</v>
      </c>
      <c r="Q4" s="13">
        <v>3.8</v>
      </c>
      <c r="R4" s="13">
        <v>1.9</v>
      </c>
      <c r="S4" s="13">
        <v>1.25</v>
      </c>
      <c r="T4" s="13">
        <v>0.95</v>
      </c>
    </row>
    <row r="5">
      <c r="G5" s="17" t="s">
        <v>41</v>
      </c>
      <c r="P5" s="4" t="s">
        <v>43</v>
      </c>
      <c r="Q5" s="13">
        <v>3.0</v>
      </c>
      <c r="R5" s="13">
        <v>1.55</v>
      </c>
      <c r="S5" s="13">
        <v>1.05</v>
      </c>
      <c r="T5" s="13">
        <v>0.75</v>
      </c>
    </row>
    <row r="6">
      <c r="B6" s="2" t="s">
        <v>43</v>
      </c>
      <c r="C6" s="2" t="s">
        <v>51</v>
      </c>
      <c r="D6" s="2" t="s">
        <v>54</v>
      </c>
      <c r="E6" s="22">
        <v>110001.0</v>
      </c>
      <c r="J6" s="2" t="s">
        <v>62</v>
      </c>
    </row>
    <row r="7">
      <c r="D7" s="2" t="s">
        <v>63</v>
      </c>
      <c r="E7" s="2" t="s">
        <v>65</v>
      </c>
      <c r="F7" s="2" t="s">
        <v>69</v>
      </c>
      <c r="J7" s="2" t="s">
        <v>71</v>
      </c>
    </row>
    <row r="8">
      <c r="D8" s="2" t="s">
        <v>74</v>
      </c>
      <c r="E8" s="2" t="s">
        <v>76</v>
      </c>
      <c r="F8" s="2" t="s">
        <v>78</v>
      </c>
      <c r="J8" s="2" t="s">
        <v>79</v>
      </c>
      <c r="O8" s="2" t="s">
        <v>81</v>
      </c>
      <c r="P8" s="4" t="s">
        <v>9</v>
      </c>
      <c r="Q8" s="4">
        <v>1.0</v>
      </c>
      <c r="R8" s="4">
        <v>2.0</v>
      </c>
      <c r="S8" s="4">
        <v>3.0</v>
      </c>
      <c r="T8" s="4">
        <v>4.0</v>
      </c>
    </row>
    <row r="9">
      <c r="J9" s="2" t="s">
        <v>86</v>
      </c>
      <c r="P9" s="4" t="s">
        <v>15</v>
      </c>
      <c r="Q9" s="13">
        <v>5.0</v>
      </c>
      <c r="R9" s="13">
        <v>2.5</v>
      </c>
      <c r="S9" s="13">
        <v>1.7</v>
      </c>
      <c r="T9" s="13">
        <v>1.25</v>
      </c>
    </row>
    <row r="10">
      <c r="C10" s="2" t="s">
        <v>89</v>
      </c>
      <c r="D10" s="2" t="s">
        <v>54</v>
      </c>
      <c r="E10" s="22">
        <v>110001.0</v>
      </c>
      <c r="J10" s="2" t="s">
        <v>97</v>
      </c>
      <c r="P10" s="4" t="s">
        <v>33</v>
      </c>
      <c r="Q10" s="13">
        <v>4.0</v>
      </c>
      <c r="R10" s="13">
        <v>2.0</v>
      </c>
      <c r="S10" s="13">
        <v>1.3</v>
      </c>
      <c r="T10" s="13">
        <v>1.0</v>
      </c>
    </row>
    <row r="11">
      <c r="D11" s="2" t="s">
        <v>101</v>
      </c>
      <c r="E11" s="2" t="s">
        <v>65</v>
      </c>
      <c r="F11" s="2" t="s">
        <v>105</v>
      </c>
      <c r="J11" s="2" t="s">
        <v>106</v>
      </c>
      <c r="P11" s="4" t="s">
        <v>43</v>
      </c>
      <c r="Q11" s="13">
        <v>3.15</v>
      </c>
      <c r="R11" s="13">
        <v>1.65</v>
      </c>
      <c r="S11" s="13">
        <v>1.1</v>
      </c>
      <c r="T11" s="13">
        <v>0.8</v>
      </c>
    </row>
    <row r="12">
      <c r="D12" s="2" t="s">
        <v>113</v>
      </c>
      <c r="E12" s="2" t="s">
        <v>76</v>
      </c>
      <c r="F12" s="2" t="s">
        <v>117</v>
      </c>
    </row>
    <row r="13">
      <c r="O13" s="33" t="s">
        <v>120</v>
      </c>
      <c r="P13" s="33" t="s">
        <v>123</v>
      </c>
      <c r="Q13" s="33" t="s">
        <v>125</v>
      </c>
      <c r="R13" s="33" t="s">
        <v>126</v>
      </c>
      <c r="S13" s="33" t="s">
        <v>127</v>
      </c>
    </row>
    <row r="14">
      <c r="C14" s="2" t="s">
        <v>128</v>
      </c>
      <c r="D14" s="2" t="s">
        <v>54</v>
      </c>
      <c r="E14" s="22">
        <v>110001.0</v>
      </c>
      <c r="O14" s="2" t="s">
        <v>129</v>
      </c>
      <c r="Q14" s="2" t="s">
        <v>130</v>
      </c>
      <c r="R14" s="2" t="s">
        <v>131</v>
      </c>
      <c r="S14" s="2" t="s">
        <v>133</v>
      </c>
    </row>
    <row r="15">
      <c r="D15" s="2" t="s">
        <v>135</v>
      </c>
      <c r="E15" s="2" t="s">
        <v>65</v>
      </c>
      <c r="F15" s="2" t="s">
        <v>136</v>
      </c>
      <c r="Q15" s="2" t="s">
        <v>137</v>
      </c>
      <c r="R15" s="2" t="s">
        <v>138</v>
      </c>
      <c r="S15" s="2" t="s">
        <v>139</v>
      </c>
    </row>
    <row r="16">
      <c r="D16" s="2" t="s">
        <v>140</v>
      </c>
      <c r="E16" s="2" t="s">
        <v>76</v>
      </c>
      <c r="F16" s="2" t="s">
        <v>141</v>
      </c>
    </row>
    <row r="17">
      <c r="O17" s="2" t="s">
        <v>143</v>
      </c>
      <c r="Q17" s="2" t="s">
        <v>144</v>
      </c>
      <c r="R17" s="2" t="s">
        <v>145</v>
      </c>
      <c r="S17" s="2" t="s">
        <v>146</v>
      </c>
    </row>
    <row r="18">
      <c r="Q18" s="2" t="s">
        <v>148</v>
      </c>
      <c r="R18" s="2" t="s">
        <v>149</v>
      </c>
      <c r="S18" s="2" t="s">
        <v>150</v>
      </c>
    </row>
    <row r="19">
      <c r="C19" s="2" t="s">
        <v>153</v>
      </c>
      <c r="D19" s="2" t="s">
        <v>54</v>
      </c>
      <c r="E19" s="22">
        <v>110001.0</v>
      </c>
    </row>
    <row r="20">
      <c r="D20" s="2" t="s">
        <v>156</v>
      </c>
      <c r="E20" s="2" t="s">
        <v>65</v>
      </c>
      <c r="F20" s="2" t="s">
        <v>158</v>
      </c>
      <c r="O20" s="2" t="s">
        <v>159</v>
      </c>
      <c r="Q20" s="2" t="s">
        <v>160</v>
      </c>
      <c r="R20" s="2" t="s">
        <v>162</v>
      </c>
      <c r="S20" s="2" t="s">
        <v>163</v>
      </c>
    </row>
    <row r="21">
      <c r="D21" s="2" t="s">
        <v>165</v>
      </c>
      <c r="E21" s="2" t="s">
        <v>76</v>
      </c>
      <c r="F21" s="2" t="s">
        <v>167</v>
      </c>
      <c r="Q21" s="2" t="s">
        <v>168</v>
      </c>
      <c r="R21" s="2" t="s">
        <v>170</v>
      </c>
      <c r="S21" s="2" t="s">
        <v>171</v>
      </c>
    </row>
    <row r="23">
      <c r="C23" s="2" t="s">
        <v>172</v>
      </c>
      <c r="D23" s="2" t="s">
        <v>54</v>
      </c>
      <c r="E23" s="22">
        <v>110011.0</v>
      </c>
      <c r="O23" s="2" t="s">
        <v>153</v>
      </c>
      <c r="Q23" s="2" t="s">
        <v>176</v>
      </c>
      <c r="R23" s="2" t="s">
        <v>177</v>
      </c>
      <c r="S23" s="2" t="s">
        <v>178</v>
      </c>
    </row>
    <row r="24">
      <c r="D24" s="2" t="s">
        <v>180</v>
      </c>
      <c r="E24" s="2" t="s">
        <v>65</v>
      </c>
      <c r="F24" s="2" t="s">
        <v>181</v>
      </c>
      <c r="Q24" s="2" t="s">
        <v>183</v>
      </c>
      <c r="R24" s="2" t="s">
        <v>184</v>
      </c>
      <c r="S24" s="2" t="s">
        <v>185</v>
      </c>
    </row>
    <row r="25">
      <c r="D25" s="2" t="s">
        <v>186</v>
      </c>
      <c r="E25" s="2" t="s">
        <v>76</v>
      </c>
      <c r="F25" s="2" t="s">
        <v>186</v>
      </c>
    </row>
    <row r="26">
      <c r="O26" s="2" t="s">
        <v>189</v>
      </c>
      <c r="Q26" s="2" t="s">
        <v>190</v>
      </c>
      <c r="R26" s="2" t="s">
        <v>191</v>
      </c>
      <c r="S26" s="2" t="s">
        <v>192</v>
      </c>
    </row>
    <row r="27">
      <c r="Q27" s="2" t="s">
        <v>193</v>
      </c>
      <c r="R27" s="2" t="s">
        <v>194</v>
      </c>
      <c r="S27" s="2" t="s">
        <v>195</v>
      </c>
    </row>
    <row r="28">
      <c r="C28" s="2" t="s">
        <v>196</v>
      </c>
      <c r="D28" s="2" t="s">
        <v>54</v>
      </c>
      <c r="E28" s="22">
        <v>110011.0</v>
      </c>
    </row>
    <row r="29">
      <c r="D29" s="2" t="s">
        <v>199</v>
      </c>
      <c r="E29" s="2" t="s">
        <v>65</v>
      </c>
      <c r="F29" s="2" t="s">
        <v>200</v>
      </c>
      <c r="O29" s="2" t="s">
        <v>201</v>
      </c>
      <c r="Q29" s="2" t="s">
        <v>202</v>
      </c>
      <c r="R29" s="2" t="s">
        <v>203</v>
      </c>
      <c r="S29" s="2" t="s">
        <v>204</v>
      </c>
    </row>
    <row r="30">
      <c r="D30" s="2" t="s">
        <v>206</v>
      </c>
      <c r="E30" s="2" t="s">
        <v>76</v>
      </c>
      <c r="F30" s="2" t="s">
        <v>208</v>
      </c>
      <c r="Q30" s="2" t="s">
        <v>210</v>
      </c>
      <c r="R30" s="2" t="s">
        <v>211</v>
      </c>
      <c r="S30" s="2" t="s">
        <v>212</v>
      </c>
    </row>
    <row r="33">
      <c r="C33" s="2" t="s">
        <v>133</v>
      </c>
      <c r="D33" s="2" t="s">
        <v>213</v>
      </c>
      <c r="E33" s="2" t="s">
        <v>214</v>
      </c>
      <c r="O33" s="2" t="s">
        <v>51</v>
      </c>
    </row>
    <row r="34">
      <c r="D34" s="2" t="s">
        <v>217</v>
      </c>
      <c r="E34" s="2" t="s">
        <v>218</v>
      </c>
      <c r="O34" s="2" t="s">
        <v>89</v>
      </c>
    </row>
    <row r="35">
      <c r="D35" s="2" t="s">
        <v>219</v>
      </c>
      <c r="E35" s="2" t="s">
        <v>220</v>
      </c>
      <c r="O35" s="2" t="s">
        <v>128</v>
      </c>
    </row>
    <row r="36">
      <c r="O36" s="2" t="s">
        <v>153</v>
      </c>
    </row>
    <row r="37">
      <c r="O37" s="2" t="s">
        <v>172</v>
      </c>
    </row>
    <row r="38">
      <c r="O38" s="2" t="s">
        <v>196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1"/>
      <c r="B3" s="3" t="s">
        <v>3</v>
      </c>
      <c r="C3" s="3" t="s">
        <v>5</v>
      </c>
      <c r="D3" s="6" t="s">
        <v>6</v>
      </c>
      <c r="E3" s="8"/>
      <c r="F3" s="8"/>
      <c r="G3" s="9"/>
      <c r="L3" s="2" t="s">
        <v>11</v>
      </c>
    </row>
    <row r="4">
      <c r="A4" s="4" t="s">
        <v>13</v>
      </c>
      <c r="B4" s="4" t="s">
        <v>14</v>
      </c>
      <c r="C4" s="4" t="s">
        <v>16</v>
      </c>
      <c r="D4" s="4" t="s">
        <v>17</v>
      </c>
      <c r="E4" s="4" t="s">
        <v>18</v>
      </c>
      <c r="F4" s="4" t="s">
        <v>19</v>
      </c>
      <c r="G4" s="14"/>
      <c r="L4" s="2" t="s">
        <v>21</v>
      </c>
      <c r="M4" s="2" t="s">
        <v>22</v>
      </c>
    </row>
    <row r="5">
      <c r="A5" s="4" t="s">
        <v>23</v>
      </c>
      <c r="B5" s="4" t="s">
        <v>24</v>
      </c>
      <c r="C5" s="4" t="s">
        <v>16</v>
      </c>
      <c r="D5" s="4" t="s">
        <v>26</v>
      </c>
      <c r="E5" s="14"/>
      <c r="F5" s="14"/>
      <c r="G5" s="14"/>
      <c r="L5" s="2" t="s">
        <v>28</v>
      </c>
      <c r="M5" s="2" t="s">
        <v>29</v>
      </c>
      <c r="N5" s="2" t="s">
        <v>30</v>
      </c>
    </row>
    <row r="6">
      <c r="A6" s="4" t="s">
        <v>32</v>
      </c>
      <c r="B6" s="4" t="s">
        <v>34</v>
      </c>
      <c r="C6" s="4" t="s">
        <v>35</v>
      </c>
      <c r="D6" s="4" t="s">
        <v>36</v>
      </c>
      <c r="E6" s="4" t="s">
        <v>38</v>
      </c>
      <c r="F6" s="4" t="s">
        <v>40</v>
      </c>
      <c r="G6" s="4" t="s">
        <v>42</v>
      </c>
      <c r="L6" s="2" t="s">
        <v>44</v>
      </c>
      <c r="M6" s="2" t="s">
        <v>46</v>
      </c>
    </row>
    <row r="7">
      <c r="A7" s="4" t="s">
        <v>49</v>
      </c>
      <c r="B7" s="4" t="s">
        <v>50</v>
      </c>
      <c r="C7" s="4" t="s">
        <v>35</v>
      </c>
      <c r="D7" s="4" t="s">
        <v>36</v>
      </c>
      <c r="E7" s="4" t="s">
        <v>38</v>
      </c>
      <c r="F7" s="4" t="s">
        <v>53</v>
      </c>
      <c r="G7" s="4" t="s">
        <v>55</v>
      </c>
    </row>
    <row r="11">
      <c r="A11" s="2" t="s">
        <v>60</v>
      </c>
      <c r="B11" s="2" t="s">
        <v>61</v>
      </c>
    </row>
    <row r="13">
      <c r="B13" s="2" t="s">
        <v>64</v>
      </c>
      <c r="C13" s="2" t="s">
        <v>66</v>
      </c>
      <c r="D13" s="2" t="s">
        <v>67</v>
      </c>
      <c r="E13" s="2" t="s">
        <v>11</v>
      </c>
    </row>
    <row r="14">
      <c r="B14" s="2" t="s">
        <v>72</v>
      </c>
      <c r="C14" s="2" t="s">
        <v>68</v>
      </c>
      <c r="D14" s="2" t="s">
        <v>75</v>
      </c>
      <c r="E14" s="2" t="s">
        <v>44</v>
      </c>
    </row>
    <row r="15">
      <c r="B15" s="2" t="s">
        <v>80</v>
      </c>
      <c r="C15" s="2" t="s">
        <v>67</v>
      </c>
      <c r="D15" s="2" t="s">
        <v>82</v>
      </c>
      <c r="E15" s="2" t="s">
        <v>83</v>
      </c>
    </row>
    <row r="16">
      <c r="B16" s="2" t="s">
        <v>84</v>
      </c>
      <c r="C16" s="2" t="s">
        <v>85</v>
      </c>
      <c r="D16" s="2" t="s">
        <v>87</v>
      </c>
      <c r="E16" s="2" t="s">
        <v>21</v>
      </c>
      <c r="F16" s="2" t="s">
        <v>88</v>
      </c>
    </row>
    <row r="17">
      <c r="B17" s="2" t="s">
        <v>90</v>
      </c>
      <c r="C17" s="2" t="s">
        <v>82</v>
      </c>
      <c r="D17" s="2" t="s">
        <v>87</v>
      </c>
      <c r="E17" s="2" t="s">
        <v>91</v>
      </c>
      <c r="F17" s="2" t="s">
        <v>92</v>
      </c>
    </row>
    <row r="18">
      <c r="B18" s="2" t="s">
        <v>93</v>
      </c>
      <c r="C18" s="2" t="s">
        <v>94</v>
      </c>
      <c r="D18" s="2" t="s">
        <v>66</v>
      </c>
      <c r="E18" s="2" t="s">
        <v>28</v>
      </c>
      <c r="F18" s="2" t="s">
        <v>96</v>
      </c>
    </row>
    <row r="24">
      <c r="A24" s="2" t="s">
        <v>102</v>
      </c>
      <c r="B24" s="2" t="s">
        <v>108</v>
      </c>
    </row>
    <row r="25">
      <c r="B25" s="2" t="s">
        <v>112</v>
      </c>
    </row>
    <row r="26">
      <c r="B26" s="2" t="s">
        <v>115</v>
      </c>
    </row>
    <row r="28">
      <c r="A28" s="2" t="s">
        <v>118</v>
      </c>
      <c r="B28" s="35" t="str">
        <f>"1-10"&amp;",15"</f>
        <v>1-10,15</v>
      </c>
      <c r="C28" s="2" t="s">
        <v>155</v>
      </c>
    </row>
    <row r="29">
      <c r="A29" s="2" t="s">
        <v>118</v>
      </c>
      <c r="B29" s="36" t="str">
        <f>"第一章結束"&amp;",20"</f>
        <v>第一章結束,20</v>
      </c>
      <c r="C29" s="2" t="s">
        <v>174</v>
      </c>
      <c r="D29" s="2" t="s">
        <v>175</v>
      </c>
    </row>
    <row r="30">
      <c r="A30" s="2" t="s">
        <v>118</v>
      </c>
      <c r="B30" s="36" t="str">
        <f>"2-10"&amp;",25"</f>
        <v>2-10,25</v>
      </c>
      <c r="C30" s="2" t="s">
        <v>188</v>
      </c>
    </row>
    <row r="31">
      <c r="A31" s="2" t="s">
        <v>118</v>
      </c>
      <c r="B31" s="36" t="str">
        <f>"第二章結束"&amp;",30"</f>
        <v>第二章結束,30</v>
      </c>
      <c r="C31" s="2" t="s">
        <v>197</v>
      </c>
      <c r="D31" s="2" t="s">
        <v>198</v>
      </c>
    </row>
    <row r="32">
      <c r="A32" s="2" t="s">
        <v>118</v>
      </c>
      <c r="B32" s="36">
        <v>46091.0</v>
      </c>
      <c r="C32" s="2" t="s">
        <v>13</v>
      </c>
      <c r="D32" s="2" t="s">
        <v>205</v>
      </c>
      <c r="E32" s="2" t="s">
        <v>207</v>
      </c>
    </row>
    <row r="33">
      <c r="A33" s="2" t="s">
        <v>118</v>
      </c>
      <c r="B33" s="36" t="str">
        <f>"第三章結束"&amp;",40"</f>
        <v>第三章結束,40</v>
      </c>
      <c r="C33" s="2" t="s">
        <v>215</v>
      </c>
      <c r="D33" s="2" t="s">
        <v>216</v>
      </c>
    </row>
    <row r="34">
      <c r="A34" s="2" t="s">
        <v>118</v>
      </c>
      <c r="B34" s="36" t="str">
        <f>"第四章結束"&amp;",50"</f>
        <v>第四章結束,50</v>
      </c>
      <c r="C34" s="2" t="s">
        <v>221</v>
      </c>
    </row>
    <row r="35">
      <c r="A35" s="2" t="s">
        <v>118</v>
      </c>
      <c r="B35" s="36" t="str">
        <f>"5-10"&amp;",2轉30"</f>
        <v>5-10,2轉30</v>
      </c>
      <c r="C35" s="2" t="s">
        <v>223</v>
      </c>
    </row>
    <row r="36">
      <c r="A36" s="2" t="s">
        <v>118</v>
      </c>
      <c r="B36" s="36" t="str">
        <f>"第5章結束"&amp;",40"</f>
        <v>第5章結束,40</v>
      </c>
      <c r="C36" s="2" t="s">
        <v>224</v>
      </c>
    </row>
    <row r="37">
      <c r="A37" s="2" t="s">
        <v>118</v>
      </c>
      <c r="B37" s="36" t="str">
        <f>"第7章結束"&amp;",50"</f>
        <v>第7章結束,50</v>
      </c>
      <c r="C37" s="2" t="s">
        <v>225</v>
      </c>
      <c r="D37" s="2" t="s">
        <v>227</v>
      </c>
    </row>
    <row r="41">
      <c r="A41" s="2"/>
      <c r="B41" s="2" t="s">
        <v>229</v>
      </c>
      <c r="C41" s="2" t="s">
        <v>230</v>
      </c>
    </row>
    <row r="42">
      <c r="B42" s="2" t="s">
        <v>231</v>
      </c>
      <c r="C42" s="2" t="s">
        <v>232</v>
      </c>
    </row>
    <row r="43">
      <c r="B43" s="2" t="s">
        <v>197</v>
      </c>
      <c r="C43" s="2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2" t="s">
        <v>236</v>
      </c>
      <c r="T1" s="2" t="s">
        <v>237</v>
      </c>
      <c r="U1" s="2" t="s">
        <v>238</v>
      </c>
      <c r="V1" s="2" t="s">
        <v>239</v>
      </c>
      <c r="W1" s="2" t="s">
        <v>241</v>
      </c>
      <c r="X1" s="2" t="s">
        <v>242</v>
      </c>
      <c r="Y1" s="2" t="s">
        <v>243</v>
      </c>
      <c r="Z1" s="2" t="s">
        <v>244</v>
      </c>
      <c r="AA1" s="2" t="s">
        <v>245</v>
      </c>
      <c r="AB1" s="2" t="s">
        <v>246</v>
      </c>
      <c r="AC1" s="2" t="s">
        <v>247</v>
      </c>
    </row>
    <row r="2">
      <c r="H2" s="2">
        <v>3.0</v>
      </c>
      <c r="J2" s="2" t="s">
        <v>248</v>
      </c>
      <c r="K2" s="2" t="s">
        <v>81</v>
      </c>
      <c r="L2" s="2" t="s">
        <v>249</v>
      </c>
      <c r="S2" s="2" t="s">
        <v>251</v>
      </c>
      <c r="T2" s="2" t="s">
        <v>253</v>
      </c>
      <c r="U2" s="2" t="s">
        <v>255</v>
      </c>
      <c r="V2" s="2" t="s">
        <v>257</v>
      </c>
      <c r="W2" s="2" t="s">
        <v>258</v>
      </c>
      <c r="X2" s="2" t="s">
        <v>260</v>
      </c>
      <c r="Y2" s="2" t="s">
        <v>261</v>
      </c>
      <c r="Z2" s="2" t="s">
        <v>262</v>
      </c>
      <c r="AA2" s="2" t="s">
        <v>264</v>
      </c>
      <c r="AB2" s="2" t="s">
        <v>266</v>
      </c>
      <c r="AC2" s="2" t="s">
        <v>268</v>
      </c>
    </row>
    <row r="3">
      <c r="A3" s="2" t="str">
        <f>"58,17,13,3,6,18"</f>
        <v>58,17,13,3,6,18</v>
      </c>
      <c r="B3" s="42" t="s">
        <v>276</v>
      </c>
      <c r="C3" s="42" t="s">
        <v>281</v>
      </c>
      <c r="D3" s="42" t="s">
        <v>282</v>
      </c>
      <c r="E3" s="42" t="s">
        <v>283</v>
      </c>
      <c r="F3" s="42" t="s">
        <v>285</v>
      </c>
      <c r="G3" s="42" t="s">
        <v>286</v>
      </c>
      <c r="H3" s="44" t="s">
        <v>287</v>
      </c>
      <c r="I3" s="45" t="s">
        <v>15</v>
      </c>
      <c r="J3" s="45">
        <v>2.0</v>
      </c>
      <c r="K3" s="45"/>
      <c r="L3" s="47">
        <v>2.4</v>
      </c>
      <c r="M3" s="45" t="s">
        <v>290</v>
      </c>
      <c r="N3" s="45"/>
      <c r="O3" s="2" t="s">
        <v>292</v>
      </c>
      <c r="P3" s="2" t="s">
        <v>293</v>
      </c>
      <c r="S3" s="2" t="s">
        <v>294</v>
      </c>
      <c r="T3" s="2" t="s">
        <v>295</v>
      </c>
      <c r="U3" s="2" t="s">
        <v>296</v>
      </c>
      <c r="V3" s="2" t="s">
        <v>297</v>
      </c>
      <c r="W3" s="2" t="s">
        <v>298</v>
      </c>
      <c r="X3" s="2" t="s">
        <v>299</v>
      </c>
      <c r="Y3" s="2" t="s">
        <v>300</v>
      </c>
      <c r="Z3" s="2" t="s">
        <v>301</v>
      </c>
      <c r="AA3" s="2" t="s">
        <v>302</v>
      </c>
      <c r="AB3" s="2" t="s">
        <v>303</v>
      </c>
      <c r="AC3" s="2" t="s">
        <v>304</v>
      </c>
    </row>
    <row r="4">
      <c r="A4" s="2"/>
      <c r="B4" s="42"/>
      <c r="C4" s="42"/>
      <c r="D4" s="42"/>
      <c r="E4" s="42"/>
      <c r="F4" s="42"/>
      <c r="G4" s="44" t="s">
        <v>305</v>
      </c>
      <c r="H4" s="44"/>
      <c r="I4" s="45" t="s">
        <v>15</v>
      </c>
      <c r="J4" s="45">
        <v>5.0</v>
      </c>
      <c r="K4" s="45"/>
      <c r="L4" s="47">
        <v>1.0</v>
      </c>
      <c r="M4" s="45" t="s">
        <v>306</v>
      </c>
      <c r="N4" s="45" t="s">
        <v>307</v>
      </c>
      <c r="O4" s="2"/>
      <c r="S4" s="2" t="s">
        <v>308</v>
      </c>
      <c r="T4" s="2" t="s">
        <v>309</v>
      </c>
      <c r="U4" s="2" t="s">
        <v>310</v>
      </c>
      <c r="V4" s="2" t="s">
        <v>309</v>
      </c>
      <c r="W4" s="2" t="s">
        <v>309</v>
      </c>
      <c r="X4" s="2" t="s">
        <v>311</v>
      </c>
      <c r="Y4" s="2"/>
      <c r="Z4" s="2"/>
      <c r="AA4" s="2"/>
      <c r="AB4" s="2"/>
      <c r="AC4" s="2"/>
    </row>
    <row r="5">
      <c r="A5" s="2" t="str">
        <f>"58,17,13,2,23,24"</f>
        <v>58,17,13,2,23,24</v>
      </c>
      <c r="B5" s="42" t="s">
        <v>313</v>
      </c>
      <c r="C5" s="42" t="s">
        <v>281</v>
      </c>
      <c r="D5" s="42" t="s">
        <v>282</v>
      </c>
      <c r="E5" s="42" t="s">
        <v>314</v>
      </c>
      <c r="F5" s="42" t="s">
        <v>315</v>
      </c>
      <c r="G5" s="42" t="s">
        <v>316</v>
      </c>
      <c r="H5" s="44" t="s">
        <v>317</v>
      </c>
      <c r="I5" s="45" t="s">
        <v>15</v>
      </c>
      <c r="J5" s="45">
        <v>2.0</v>
      </c>
      <c r="K5" s="45">
        <v>1.0</v>
      </c>
      <c r="L5" s="47">
        <v>2.5</v>
      </c>
      <c r="M5" s="45" t="s">
        <v>319</v>
      </c>
      <c r="N5" s="45"/>
      <c r="O5" s="2" t="s">
        <v>320</v>
      </c>
      <c r="S5" s="2" t="s">
        <v>321</v>
      </c>
      <c r="T5" s="2" t="s">
        <v>322</v>
      </c>
      <c r="U5" s="2" t="s">
        <v>323</v>
      </c>
      <c r="V5" s="2" t="s">
        <v>324</v>
      </c>
      <c r="W5" s="2" t="s">
        <v>325</v>
      </c>
      <c r="X5" s="2" t="s">
        <v>327</v>
      </c>
      <c r="Y5" s="2" t="s">
        <v>300</v>
      </c>
      <c r="Z5" s="2" t="s">
        <v>328</v>
      </c>
      <c r="AA5" s="2" t="s">
        <v>302</v>
      </c>
      <c r="AB5" s="2" t="s">
        <v>303</v>
      </c>
      <c r="AC5" s="2" t="s">
        <v>304</v>
      </c>
    </row>
    <row r="6">
      <c r="A6" s="2"/>
      <c r="B6" s="42"/>
      <c r="C6" s="42"/>
      <c r="D6" s="42"/>
      <c r="E6" s="42"/>
      <c r="F6" s="42"/>
      <c r="G6" s="42"/>
      <c r="H6" s="44"/>
      <c r="I6" s="45" t="s">
        <v>15</v>
      </c>
      <c r="J6" s="45">
        <v>3.0</v>
      </c>
      <c r="K6" s="45"/>
      <c r="L6" s="47">
        <v>1.6</v>
      </c>
      <c r="M6" s="45" t="s">
        <v>330</v>
      </c>
      <c r="N6" s="45" t="s">
        <v>331</v>
      </c>
      <c r="O6" s="2"/>
      <c r="P6" s="2"/>
      <c r="S6" s="2" t="s">
        <v>333</v>
      </c>
      <c r="T6" s="2" t="s">
        <v>309</v>
      </c>
      <c r="U6" s="2" t="s">
        <v>334</v>
      </c>
      <c r="V6" s="2" t="s">
        <v>309</v>
      </c>
      <c r="W6" s="2" t="s">
        <v>309</v>
      </c>
      <c r="X6" s="2" t="s">
        <v>335</v>
      </c>
      <c r="Y6" s="2"/>
      <c r="Z6" s="2"/>
      <c r="AA6" s="2"/>
      <c r="AB6" s="2"/>
      <c r="AC6" s="2"/>
    </row>
    <row r="7">
      <c r="A7" s="2" t="str">
        <f>"58,14,8,25,26"</f>
        <v>58,14,8,25,26</v>
      </c>
      <c r="B7" s="42" t="s">
        <v>313</v>
      </c>
      <c r="C7" s="42" t="s">
        <v>338</v>
      </c>
      <c r="D7" s="42" t="s">
        <v>339</v>
      </c>
      <c r="E7" s="42" t="s">
        <v>340</v>
      </c>
      <c r="F7" s="42" t="s">
        <v>305</v>
      </c>
      <c r="G7" s="42"/>
      <c r="H7" s="44" t="s">
        <v>341</v>
      </c>
      <c r="I7" s="45" t="s">
        <v>15</v>
      </c>
      <c r="J7" s="45">
        <v>-2.0</v>
      </c>
      <c r="K7" s="45"/>
      <c r="L7" s="47">
        <v>2.4</v>
      </c>
      <c r="M7" s="45" t="s">
        <v>343</v>
      </c>
      <c r="N7" s="45"/>
      <c r="O7" s="2" t="s">
        <v>344</v>
      </c>
      <c r="P7" s="2" t="s">
        <v>345</v>
      </c>
      <c r="S7" s="2" t="s">
        <v>346</v>
      </c>
      <c r="T7" s="2" t="s">
        <v>347</v>
      </c>
      <c r="U7" s="2" t="s">
        <v>349</v>
      </c>
      <c r="V7" s="2" t="s">
        <v>350</v>
      </c>
      <c r="W7" s="2" t="s">
        <v>297</v>
      </c>
      <c r="X7" s="2" t="s">
        <v>351</v>
      </c>
      <c r="Y7" s="2" t="s">
        <v>300</v>
      </c>
      <c r="Z7" s="2" t="s">
        <v>328</v>
      </c>
      <c r="AA7" s="2" t="s">
        <v>352</v>
      </c>
      <c r="AB7" s="2" t="s">
        <v>353</v>
      </c>
      <c r="AC7" s="2" t="s">
        <v>304</v>
      </c>
    </row>
    <row r="8">
      <c r="A8" s="2"/>
      <c r="B8" s="42"/>
      <c r="C8" s="42"/>
      <c r="D8" s="42"/>
      <c r="E8" s="42"/>
      <c r="F8" s="42"/>
      <c r="G8" s="42"/>
      <c r="H8" s="44"/>
      <c r="I8" s="45" t="s">
        <v>15</v>
      </c>
      <c r="J8" s="2">
        <v>-5.0</v>
      </c>
      <c r="K8" s="2"/>
      <c r="L8" s="37">
        <v>1.0</v>
      </c>
      <c r="M8" s="2" t="s">
        <v>356</v>
      </c>
      <c r="N8" s="45" t="s">
        <v>357</v>
      </c>
      <c r="O8" s="2"/>
      <c r="S8" s="2" t="s">
        <v>358</v>
      </c>
      <c r="T8" s="2" t="s">
        <v>309</v>
      </c>
      <c r="U8" s="2" t="s">
        <v>360</v>
      </c>
      <c r="V8" s="2" t="s">
        <v>309</v>
      </c>
      <c r="W8" s="2" t="s">
        <v>309</v>
      </c>
      <c r="X8" s="2" t="s">
        <v>361</v>
      </c>
      <c r="Y8" s="2"/>
      <c r="Z8" s="2"/>
      <c r="AA8" s="2"/>
      <c r="AB8" s="2"/>
      <c r="AC8" s="2"/>
    </row>
    <row r="9">
      <c r="A9" s="2" t="str">
        <f>"57,12,13,1,2,3"</f>
        <v>57,12,13,1,2,3</v>
      </c>
      <c r="B9" s="42" t="s">
        <v>364</v>
      </c>
      <c r="C9" s="42" t="s">
        <v>365</v>
      </c>
      <c r="D9" s="42" t="s">
        <v>282</v>
      </c>
      <c r="E9" s="42" t="s">
        <v>314</v>
      </c>
      <c r="F9" s="42" t="s">
        <v>366</v>
      </c>
      <c r="G9" s="42" t="s">
        <v>367</v>
      </c>
      <c r="H9" s="44" t="s">
        <v>368</v>
      </c>
      <c r="I9" s="45" t="s">
        <v>15</v>
      </c>
      <c r="J9" s="45">
        <v>4.0</v>
      </c>
      <c r="K9" s="45">
        <v>1.0</v>
      </c>
      <c r="L9" s="47">
        <v>1.25</v>
      </c>
      <c r="M9" s="45" t="s">
        <v>369</v>
      </c>
      <c r="N9" s="45"/>
      <c r="O9" s="2" t="s">
        <v>370</v>
      </c>
      <c r="S9" s="2" t="s">
        <v>371</v>
      </c>
      <c r="T9" s="2" t="s">
        <v>372</v>
      </c>
      <c r="U9" s="2" t="s">
        <v>373</v>
      </c>
      <c r="V9" s="2" t="s">
        <v>374</v>
      </c>
      <c r="W9" s="2" t="s">
        <v>375</v>
      </c>
      <c r="X9" s="2" t="s">
        <v>376</v>
      </c>
      <c r="Y9" s="2" t="s">
        <v>300</v>
      </c>
      <c r="Z9" s="2" t="s">
        <v>328</v>
      </c>
      <c r="AA9" s="2" t="s">
        <v>302</v>
      </c>
      <c r="AB9" s="2" t="s">
        <v>303</v>
      </c>
      <c r="AC9" s="2" t="s">
        <v>304</v>
      </c>
    </row>
    <row r="10">
      <c r="A10" s="2"/>
      <c r="B10" s="42"/>
      <c r="C10" s="42"/>
      <c r="D10" s="42"/>
      <c r="E10" s="42"/>
      <c r="F10" s="42"/>
      <c r="G10" s="42"/>
      <c r="H10" s="44"/>
      <c r="I10" s="45" t="s">
        <v>15</v>
      </c>
      <c r="J10" s="2">
        <v>3.0</v>
      </c>
      <c r="K10" s="2"/>
      <c r="L10" s="37">
        <v>1.6</v>
      </c>
      <c r="M10" s="2" t="s">
        <v>377</v>
      </c>
      <c r="N10" s="45" t="s">
        <v>307</v>
      </c>
      <c r="O10" s="2"/>
      <c r="S10" s="2" t="s">
        <v>378</v>
      </c>
      <c r="T10" s="2" t="s">
        <v>309</v>
      </c>
      <c r="U10" s="2" t="s">
        <v>379</v>
      </c>
      <c r="V10" s="2" t="s">
        <v>309</v>
      </c>
      <c r="W10" s="2" t="s">
        <v>309</v>
      </c>
      <c r="X10" s="2" t="s">
        <v>380</v>
      </c>
      <c r="Y10" s="2"/>
      <c r="Z10" s="2"/>
      <c r="AA10" s="2"/>
      <c r="AB10" s="2"/>
      <c r="AC10" s="2"/>
    </row>
    <row r="11">
      <c r="A11" s="2" t="str">
        <f>"58,12,13,3,1,2"</f>
        <v>58,12,13,3,1,2</v>
      </c>
      <c r="B11" s="42" t="s">
        <v>313</v>
      </c>
      <c r="C11" s="42" t="s">
        <v>365</v>
      </c>
      <c r="D11" s="42" t="s">
        <v>282</v>
      </c>
      <c r="E11" s="42" t="s">
        <v>367</v>
      </c>
      <c r="F11" s="42" t="s">
        <v>366</v>
      </c>
      <c r="G11" s="42" t="s">
        <v>314</v>
      </c>
      <c r="H11" s="44" t="s">
        <v>381</v>
      </c>
      <c r="I11" s="45" t="s">
        <v>15</v>
      </c>
      <c r="J11" s="45">
        <v>1.0</v>
      </c>
      <c r="K11" s="45">
        <v>1.0</v>
      </c>
      <c r="L11" s="47">
        <v>5.0</v>
      </c>
      <c r="M11" s="45" t="s">
        <v>382</v>
      </c>
      <c r="N11" s="45"/>
      <c r="O11" s="2" t="s">
        <v>383</v>
      </c>
      <c r="S11" s="2" t="s">
        <v>384</v>
      </c>
      <c r="T11" s="2" t="s">
        <v>385</v>
      </c>
      <c r="U11" s="2" t="s">
        <v>386</v>
      </c>
      <c r="V11" s="2" t="s">
        <v>387</v>
      </c>
      <c r="W11" s="2" t="s">
        <v>388</v>
      </c>
      <c r="X11" s="2" t="s">
        <v>389</v>
      </c>
      <c r="Y11" s="2" t="s">
        <v>390</v>
      </c>
      <c r="Z11" s="2" t="s">
        <v>391</v>
      </c>
      <c r="AA11" s="2" t="s">
        <v>302</v>
      </c>
      <c r="AB11" s="2" t="s">
        <v>303</v>
      </c>
      <c r="AC11" s="2" t="s">
        <v>304</v>
      </c>
    </row>
    <row r="12">
      <c r="A12" s="2"/>
      <c r="B12" s="42"/>
      <c r="C12" s="42"/>
      <c r="D12" s="42"/>
      <c r="E12" s="42"/>
      <c r="F12" s="42"/>
      <c r="G12" s="42"/>
      <c r="H12" s="44"/>
      <c r="I12" s="45" t="s">
        <v>15</v>
      </c>
      <c r="J12" s="2">
        <v>1.0</v>
      </c>
      <c r="K12" s="2"/>
      <c r="L12" s="37">
        <v>4.8</v>
      </c>
      <c r="M12" s="2" t="s">
        <v>392</v>
      </c>
      <c r="N12" s="45" t="s">
        <v>357</v>
      </c>
      <c r="O12" s="2"/>
      <c r="S12" s="2" t="s">
        <v>393</v>
      </c>
      <c r="T12" s="2" t="s">
        <v>309</v>
      </c>
      <c r="U12" s="2" t="s">
        <v>394</v>
      </c>
      <c r="V12" s="2" t="s">
        <v>309</v>
      </c>
      <c r="W12" s="2" t="s">
        <v>309</v>
      </c>
      <c r="X12" s="2" t="s">
        <v>388</v>
      </c>
      <c r="Y12" s="2"/>
      <c r="Z12" s="2"/>
      <c r="AA12" s="2"/>
      <c r="AB12" s="2"/>
      <c r="AC12" s="2"/>
    </row>
    <row r="13">
      <c r="A13" s="2" t="str">
        <f>"58,18,5,8,15"</f>
        <v>58,18,5,8,15</v>
      </c>
      <c r="B13" s="42" t="s">
        <v>313</v>
      </c>
      <c r="C13" s="42" t="s">
        <v>281</v>
      </c>
      <c r="D13" s="42" t="s">
        <v>395</v>
      </c>
      <c r="E13" s="42" t="s">
        <v>283</v>
      </c>
      <c r="F13" s="42" t="s">
        <v>305</v>
      </c>
      <c r="G13" s="42" t="s">
        <v>396</v>
      </c>
      <c r="H13" s="44" t="s">
        <v>397</v>
      </c>
      <c r="I13" s="45" t="s">
        <v>15</v>
      </c>
      <c r="J13" s="2">
        <v>-2.0</v>
      </c>
      <c r="K13" s="2">
        <v>1.0</v>
      </c>
      <c r="L13" s="37"/>
      <c r="M13" s="2" t="s">
        <v>398</v>
      </c>
      <c r="N13" s="45"/>
      <c r="O13" s="2" t="s">
        <v>399</v>
      </c>
      <c r="S13" s="2" t="s">
        <v>400</v>
      </c>
      <c r="T13" s="2" t="s">
        <v>401</v>
      </c>
      <c r="U13" s="2" t="s">
        <v>402</v>
      </c>
      <c r="V13" s="2" t="s">
        <v>403</v>
      </c>
      <c r="W13" s="2" t="s">
        <v>404</v>
      </c>
      <c r="X13" s="2" t="s">
        <v>405</v>
      </c>
      <c r="Y13" s="2" t="s">
        <v>406</v>
      </c>
      <c r="Z13" s="2" t="s">
        <v>407</v>
      </c>
      <c r="AA13" s="2" t="s">
        <v>352</v>
      </c>
      <c r="AB13" s="2" t="s">
        <v>353</v>
      </c>
      <c r="AC13" s="2" t="s">
        <v>304</v>
      </c>
    </row>
    <row r="14">
      <c r="A14" s="2"/>
      <c r="B14" s="42"/>
      <c r="C14" s="42"/>
      <c r="D14" s="42"/>
      <c r="E14" s="42"/>
      <c r="F14" s="42"/>
      <c r="G14" s="42"/>
      <c r="H14" s="44"/>
      <c r="I14" s="45" t="s">
        <v>15</v>
      </c>
      <c r="J14" s="45">
        <v>-5.0</v>
      </c>
      <c r="K14" s="45"/>
      <c r="L14" s="47">
        <v>1.0</v>
      </c>
      <c r="M14" s="45" t="s">
        <v>408</v>
      </c>
      <c r="N14" s="45" t="s">
        <v>357</v>
      </c>
      <c r="O14" s="2"/>
      <c r="S14" s="2" t="s">
        <v>409</v>
      </c>
      <c r="T14" s="2" t="s">
        <v>309</v>
      </c>
      <c r="U14" s="2" t="s">
        <v>410</v>
      </c>
      <c r="V14" s="2" t="s">
        <v>309</v>
      </c>
      <c r="W14" s="2" t="s">
        <v>309</v>
      </c>
      <c r="X14" s="2" t="s">
        <v>411</v>
      </c>
      <c r="Y14" s="2"/>
      <c r="Z14" s="2"/>
      <c r="AA14" s="2"/>
      <c r="AB14" s="2"/>
      <c r="AC14" s="2"/>
    </row>
    <row r="15">
      <c r="A15" s="2" t="str">
        <f>"58,12,11,20,1"</f>
        <v>58,12,11,20,1</v>
      </c>
      <c r="B15" s="42" t="s">
        <v>313</v>
      </c>
      <c r="C15" s="42" t="s">
        <v>365</v>
      </c>
      <c r="D15" s="42" t="s">
        <v>412</v>
      </c>
      <c r="E15" s="42" t="s">
        <v>413</v>
      </c>
      <c r="F15" s="42" t="s">
        <v>366</v>
      </c>
      <c r="G15" s="42"/>
      <c r="H15" s="44" t="s">
        <v>414</v>
      </c>
      <c r="I15" s="45" t="s">
        <v>15</v>
      </c>
      <c r="J15" s="45">
        <v>2.0</v>
      </c>
      <c r="K15" s="45"/>
      <c r="L15" s="47">
        <v>2.5</v>
      </c>
      <c r="M15" s="45" t="s">
        <v>415</v>
      </c>
      <c r="N15" s="45"/>
      <c r="O15" s="2" t="s">
        <v>416</v>
      </c>
      <c r="S15" s="2" t="s">
        <v>417</v>
      </c>
      <c r="T15" s="2" t="s">
        <v>418</v>
      </c>
      <c r="U15" s="2" t="s">
        <v>419</v>
      </c>
      <c r="V15" s="2" t="s">
        <v>420</v>
      </c>
      <c r="W15" s="2" t="s">
        <v>421</v>
      </c>
      <c r="X15" s="2" t="s">
        <v>422</v>
      </c>
      <c r="Y15" s="2" t="s">
        <v>423</v>
      </c>
      <c r="Z15" s="2" t="s">
        <v>424</v>
      </c>
      <c r="AA15" s="2" t="s">
        <v>352</v>
      </c>
      <c r="AB15" s="2" t="s">
        <v>353</v>
      </c>
      <c r="AC15" s="2" t="s">
        <v>304</v>
      </c>
    </row>
    <row r="16">
      <c r="A16" s="2"/>
      <c r="B16" s="42"/>
      <c r="C16" s="42"/>
      <c r="D16" s="42"/>
      <c r="E16" s="42"/>
      <c r="F16" s="42"/>
      <c r="G16" s="42"/>
      <c r="H16" s="44"/>
      <c r="I16" s="45" t="s">
        <v>15</v>
      </c>
      <c r="J16" s="45">
        <v>2.0</v>
      </c>
      <c r="K16" s="45">
        <v>1.0</v>
      </c>
      <c r="L16" s="47">
        <v>2.5</v>
      </c>
      <c r="M16" s="45" t="s">
        <v>425</v>
      </c>
      <c r="N16" s="45" t="s">
        <v>331</v>
      </c>
      <c r="O16" s="2"/>
      <c r="S16" s="2" t="s">
        <v>426</v>
      </c>
      <c r="T16" s="2" t="s">
        <v>309</v>
      </c>
      <c r="U16" s="2" t="s">
        <v>427</v>
      </c>
      <c r="V16" s="2" t="s">
        <v>309</v>
      </c>
      <c r="W16" s="2" t="s">
        <v>309</v>
      </c>
      <c r="X16" s="2" t="s">
        <v>428</v>
      </c>
      <c r="Y16" s="2"/>
      <c r="Z16" s="2"/>
      <c r="AA16" s="2"/>
      <c r="AB16" s="2"/>
      <c r="AC16" s="2"/>
    </row>
    <row r="17">
      <c r="A17" s="2" t="str">
        <f>"59,18,13,5,9,17"</f>
        <v>59,18,13,5,9,17</v>
      </c>
      <c r="B17" s="42" t="s">
        <v>429</v>
      </c>
      <c r="C17" s="42" t="s">
        <v>281</v>
      </c>
      <c r="D17" s="42" t="s">
        <v>282</v>
      </c>
      <c r="E17" s="42" t="s">
        <v>283</v>
      </c>
      <c r="F17" s="42" t="s">
        <v>285</v>
      </c>
      <c r="G17" s="42" t="s">
        <v>286</v>
      </c>
      <c r="H17" s="44" t="s">
        <v>430</v>
      </c>
      <c r="I17" s="45" t="s">
        <v>15</v>
      </c>
      <c r="J17" s="2">
        <v>1.0</v>
      </c>
      <c r="K17" s="2"/>
      <c r="L17" s="37">
        <v>4.8</v>
      </c>
      <c r="M17" s="2" t="s">
        <v>431</v>
      </c>
      <c r="N17" s="45"/>
      <c r="O17" s="2" t="s">
        <v>432</v>
      </c>
      <c r="S17" s="2" t="s">
        <v>433</v>
      </c>
      <c r="T17" s="2" t="s">
        <v>434</v>
      </c>
      <c r="U17" s="2" t="s">
        <v>435</v>
      </c>
      <c r="V17" s="2" t="s">
        <v>436</v>
      </c>
      <c r="W17" s="2" t="s">
        <v>437</v>
      </c>
      <c r="X17" s="2" t="s">
        <v>403</v>
      </c>
      <c r="Y17" s="2" t="s">
        <v>300</v>
      </c>
      <c r="Z17" s="2" t="s">
        <v>328</v>
      </c>
      <c r="AA17" s="2" t="s">
        <v>302</v>
      </c>
      <c r="AB17" s="2" t="s">
        <v>303</v>
      </c>
      <c r="AC17" s="2" t="s">
        <v>304</v>
      </c>
    </row>
    <row r="18">
      <c r="A18" s="2"/>
      <c r="B18" s="42"/>
      <c r="C18" s="42"/>
      <c r="D18" s="42"/>
      <c r="E18" s="42"/>
      <c r="F18" s="42"/>
      <c r="G18" s="14"/>
      <c r="H18" s="44"/>
      <c r="I18" s="45" t="s">
        <v>15</v>
      </c>
      <c r="J18" s="45">
        <v>-5.0</v>
      </c>
      <c r="K18" s="45"/>
      <c r="L18" s="47">
        <v>1.0</v>
      </c>
      <c r="M18" s="45" t="s">
        <v>438</v>
      </c>
      <c r="N18" s="45" t="s">
        <v>439</v>
      </c>
      <c r="O18" s="2"/>
      <c r="P18" s="2"/>
      <c r="S18" s="2" t="s">
        <v>440</v>
      </c>
      <c r="T18" s="2" t="s">
        <v>309</v>
      </c>
      <c r="U18" s="2" t="s">
        <v>441</v>
      </c>
      <c r="V18" s="2" t="s">
        <v>309</v>
      </c>
      <c r="W18" s="2" t="s">
        <v>309</v>
      </c>
      <c r="X18" s="2" t="s">
        <v>442</v>
      </c>
      <c r="Y18" s="2"/>
      <c r="Z18" s="2"/>
      <c r="AA18" s="2"/>
      <c r="AB18" s="2"/>
      <c r="AC18" s="2"/>
    </row>
    <row r="19">
      <c r="A19" s="2" t="str">
        <f>"60,18,15,25,26"</f>
        <v>60,18,15,25,26</v>
      </c>
      <c r="B19" s="42" t="s">
        <v>364</v>
      </c>
      <c r="C19" s="42" t="s">
        <v>281</v>
      </c>
      <c r="D19" s="42" t="s">
        <v>443</v>
      </c>
      <c r="E19" s="42" t="s">
        <v>340</v>
      </c>
      <c r="F19" s="42" t="s">
        <v>366</v>
      </c>
      <c r="G19" s="42" t="s">
        <v>305</v>
      </c>
      <c r="H19" s="44" t="s">
        <v>444</v>
      </c>
      <c r="I19" s="45" t="s">
        <v>15</v>
      </c>
      <c r="J19" s="45">
        <v>1.0</v>
      </c>
      <c r="K19" s="45"/>
      <c r="L19" s="47">
        <v>4.8</v>
      </c>
      <c r="M19" s="45" t="s">
        <v>445</v>
      </c>
      <c r="N19" s="45"/>
      <c r="O19" s="2" t="s">
        <v>446</v>
      </c>
      <c r="P19" s="2" t="s">
        <v>447</v>
      </c>
      <c r="S19" s="2" t="s">
        <v>448</v>
      </c>
      <c r="T19" s="2" t="s">
        <v>386</v>
      </c>
      <c r="U19" s="2" t="s">
        <v>450</v>
      </c>
      <c r="V19" s="2" t="s">
        <v>451</v>
      </c>
      <c r="W19" s="2" t="s">
        <v>452</v>
      </c>
      <c r="X19" s="2" t="s">
        <v>453</v>
      </c>
      <c r="Y19" s="2" t="s">
        <v>390</v>
      </c>
      <c r="Z19" s="2" t="s">
        <v>391</v>
      </c>
      <c r="AA19" s="2" t="s">
        <v>302</v>
      </c>
      <c r="AB19" s="2" t="s">
        <v>303</v>
      </c>
      <c r="AC19" s="2" t="s">
        <v>304</v>
      </c>
    </row>
    <row r="20">
      <c r="A20" s="2"/>
      <c r="B20" s="42"/>
      <c r="C20" s="42"/>
      <c r="D20" s="42"/>
      <c r="E20" s="42"/>
      <c r="F20" s="42"/>
      <c r="H20" s="44"/>
      <c r="I20" s="45" t="s">
        <v>15</v>
      </c>
      <c r="J20" s="2">
        <v>1.0</v>
      </c>
      <c r="K20" s="2">
        <v>1.0</v>
      </c>
      <c r="L20" s="37">
        <v>5.0</v>
      </c>
      <c r="M20" s="2" t="s">
        <v>459</v>
      </c>
      <c r="N20" s="45" t="s">
        <v>460</v>
      </c>
      <c r="O20" s="2"/>
      <c r="P20" s="2"/>
      <c r="S20" s="2" t="s">
        <v>463</v>
      </c>
      <c r="T20" s="2" t="s">
        <v>309</v>
      </c>
      <c r="U20" s="2" t="s">
        <v>464</v>
      </c>
      <c r="V20" s="2" t="s">
        <v>309</v>
      </c>
      <c r="W20" s="2" t="s">
        <v>309</v>
      </c>
      <c r="X20" s="2" t="s">
        <v>467</v>
      </c>
      <c r="Y20" s="2"/>
      <c r="Z20" s="2"/>
      <c r="AA20" s="2"/>
      <c r="AB20" s="2"/>
      <c r="AC20" s="2"/>
    </row>
    <row r="21">
      <c r="A21" s="2" t="str">
        <f>"61,18,5,9,20"</f>
        <v>61,18,5,9,20</v>
      </c>
      <c r="B21" s="42" t="s">
        <v>276</v>
      </c>
      <c r="C21" s="42" t="s">
        <v>365</v>
      </c>
      <c r="D21" s="42" t="s">
        <v>283</v>
      </c>
      <c r="E21" s="42" t="s">
        <v>285</v>
      </c>
      <c r="F21" s="42" t="s">
        <v>395</v>
      </c>
      <c r="G21" s="55" t="s">
        <v>413</v>
      </c>
      <c r="H21" s="44" t="s">
        <v>473</v>
      </c>
      <c r="I21" s="45" t="s">
        <v>15</v>
      </c>
      <c r="J21" s="45">
        <v>1.0</v>
      </c>
      <c r="K21" s="45"/>
      <c r="L21" s="47">
        <v>4.8</v>
      </c>
      <c r="M21" s="45" t="s">
        <v>474</v>
      </c>
      <c r="N21" s="45"/>
      <c r="O21" s="2" t="s">
        <v>475</v>
      </c>
      <c r="S21" s="2" t="s">
        <v>476</v>
      </c>
      <c r="T21" s="2" t="s">
        <v>477</v>
      </c>
      <c r="U21" s="2" t="s">
        <v>478</v>
      </c>
      <c r="V21" s="2" t="s">
        <v>480</v>
      </c>
      <c r="W21" s="2" t="s">
        <v>481</v>
      </c>
      <c r="X21" s="2" t="s">
        <v>482</v>
      </c>
      <c r="Y21" s="2" t="s">
        <v>390</v>
      </c>
      <c r="Z21" s="2" t="s">
        <v>391</v>
      </c>
      <c r="AA21" s="2" t="s">
        <v>302</v>
      </c>
      <c r="AB21" s="2" t="s">
        <v>303</v>
      </c>
      <c r="AC21" s="2" t="s">
        <v>304</v>
      </c>
    </row>
    <row r="22">
      <c r="A22" s="2"/>
      <c r="B22" s="42"/>
      <c r="C22" s="42"/>
      <c r="D22" s="42"/>
      <c r="E22" s="42"/>
      <c r="F22" s="42"/>
      <c r="G22" s="55"/>
      <c r="H22" s="44"/>
      <c r="I22" s="45" t="s">
        <v>15</v>
      </c>
      <c r="J22" s="2">
        <v>1.0</v>
      </c>
      <c r="K22" s="2">
        <v>1.0</v>
      </c>
      <c r="L22" s="37">
        <v>5.0</v>
      </c>
      <c r="M22" s="2" t="s">
        <v>488</v>
      </c>
      <c r="N22" s="45" t="s">
        <v>439</v>
      </c>
      <c r="O22" s="2"/>
      <c r="S22" s="2" t="s">
        <v>490</v>
      </c>
      <c r="T22" s="2" t="s">
        <v>309</v>
      </c>
      <c r="U22" s="2" t="s">
        <v>492</v>
      </c>
      <c r="V22" s="2" t="s">
        <v>309</v>
      </c>
      <c r="W22" s="2" t="s">
        <v>309</v>
      </c>
      <c r="X22" s="2" t="s">
        <v>494</v>
      </c>
      <c r="Y22" s="2"/>
      <c r="Z22" s="2"/>
      <c r="AA22" s="2"/>
      <c r="AB22" s="2"/>
      <c r="AC22" s="2"/>
    </row>
    <row r="23">
      <c r="A23" s="2" t="str">
        <f>"59,12,15,10,22"</f>
        <v>59,12,15,10,22</v>
      </c>
      <c r="B23" s="42" t="s">
        <v>429</v>
      </c>
      <c r="C23" s="42" t="s">
        <v>365</v>
      </c>
      <c r="D23" s="42" t="s">
        <v>396</v>
      </c>
      <c r="E23" s="42" t="s">
        <v>496</v>
      </c>
      <c r="F23" s="42" t="s">
        <v>443</v>
      </c>
      <c r="G23" s="42" t="s">
        <v>497</v>
      </c>
      <c r="H23" s="44" t="s">
        <v>498</v>
      </c>
      <c r="I23" s="45" t="s">
        <v>15</v>
      </c>
      <c r="J23" s="45">
        <v>-2.0</v>
      </c>
      <c r="K23" s="45"/>
      <c r="L23" s="47">
        <v>2.4</v>
      </c>
      <c r="M23" s="45" t="s">
        <v>499</v>
      </c>
      <c r="N23" s="45"/>
      <c r="O23" s="2" t="s">
        <v>500</v>
      </c>
      <c r="P23" s="2" t="s">
        <v>501</v>
      </c>
      <c r="S23" s="2" t="s">
        <v>503</v>
      </c>
      <c r="T23" s="2" t="s">
        <v>504</v>
      </c>
      <c r="U23" s="2" t="s">
        <v>505</v>
      </c>
      <c r="V23" s="2" t="s">
        <v>506</v>
      </c>
      <c r="W23" s="2" t="s">
        <v>403</v>
      </c>
      <c r="X23" s="2" t="s">
        <v>507</v>
      </c>
      <c r="Y23" s="2" t="s">
        <v>406</v>
      </c>
      <c r="Z23" s="2" t="s">
        <v>508</v>
      </c>
      <c r="AA23" s="2" t="s">
        <v>352</v>
      </c>
      <c r="AB23" s="2" t="s">
        <v>353</v>
      </c>
      <c r="AC23" s="2" t="s">
        <v>304</v>
      </c>
    </row>
    <row r="24">
      <c r="A24" s="2"/>
      <c r="B24" s="42"/>
      <c r="C24" s="42"/>
      <c r="D24" s="42"/>
      <c r="E24" s="42"/>
      <c r="F24" s="42"/>
      <c r="G24" s="44"/>
      <c r="H24" s="44"/>
      <c r="I24" s="45" t="s">
        <v>15</v>
      </c>
      <c r="J24" s="45">
        <v>1.0</v>
      </c>
      <c r="K24" s="45"/>
      <c r="L24" s="47">
        <v>4.8</v>
      </c>
      <c r="M24" s="45" t="s">
        <v>509</v>
      </c>
      <c r="N24" s="45" t="s">
        <v>357</v>
      </c>
      <c r="O24" s="2"/>
      <c r="S24" s="2" t="s">
        <v>510</v>
      </c>
      <c r="T24" s="2" t="s">
        <v>309</v>
      </c>
      <c r="U24" s="2" t="s">
        <v>511</v>
      </c>
      <c r="V24" s="2" t="s">
        <v>309</v>
      </c>
      <c r="W24" s="2" t="s">
        <v>309</v>
      </c>
      <c r="X24" s="2" t="s">
        <v>512</v>
      </c>
      <c r="Y24" s="2"/>
      <c r="Z24" s="2"/>
      <c r="AA24" s="2"/>
      <c r="AB24" s="2"/>
      <c r="AC24" s="2"/>
    </row>
    <row r="25">
      <c r="A25" s="2" t="str">
        <f>"60,14,15,22,8"</f>
        <v>60,14,15,22,8</v>
      </c>
      <c r="B25" s="42" t="s">
        <v>364</v>
      </c>
      <c r="C25" s="42" t="s">
        <v>338</v>
      </c>
      <c r="D25" s="42" t="s">
        <v>443</v>
      </c>
      <c r="E25" s="42" t="s">
        <v>497</v>
      </c>
      <c r="F25" s="42" t="s">
        <v>339</v>
      </c>
      <c r="G25" s="42" t="s">
        <v>513</v>
      </c>
      <c r="H25" s="44" t="s">
        <v>514</v>
      </c>
      <c r="I25" s="45" t="s">
        <v>15</v>
      </c>
      <c r="J25" s="45">
        <v>-2.0</v>
      </c>
      <c r="K25" s="45">
        <v>1.0</v>
      </c>
      <c r="L25" s="47">
        <v>2.5</v>
      </c>
      <c r="M25" s="45" t="s">
        <v>515</v>
      </c>
      <c r="N25" s="45"/>
      <c r="O25" s="2" t="s">
        <v>516</v>
      </c>
      <c r="S25" s="2" t="s">
        <v>517</v>
      </c>
      <c r="T25" s="2" t="s">
        <v>518</v>
      </c>
      <c r="U25" s="2" t="s">
        <v>403</v>
      </c>
      <c r="V25" s="2" t="s">
        <v>519</v>
      </c>
      <c r="W25" s="2" t="s">
        <v>520</v>
      </c>
      <c r="X25" s="2" t="s">
        <v>521</v>
      </c>
      <c r="Y25" s="2" t="s">
        <v>300</v>
      </c>
      <c r="Z25" s="2" t="s">
        <v>328</v>
      </c>
      <c r="AA25" s="2" t="s">
        <v>302</v>
      </c>
      <c r="AB25" s="2" t="s">
        <v>303</v>
      </c>
      <c r="AC25" s="2" t="s">
        <v>304</v>
      </c>
    </row>
    <row r="26">
      <c r="A26" s="2"/>
      <c r="B26" s="42"/>
      <c r="C26" s="42"/>
      <c r="D26" s="42"/>
      <c r="E26" s="42"/>
      <c r="F26" s="42"/>
      <c r="G26" s="44"/>
      <c r="H26" s="44"/>
      <c r="I26" s="45" t="s">
        <v>15</v>
      </c>
      <c r="J26" s="2">
        <v>-1.0</v>
      </c>
      <c r="K26" s="2"/>
      <c r="L26" s="37">
        <v>4.8</v>
      </c>
      <c r="M26" s="2" t="s">
        <v>522</v>
      </c>
      <c r="N26" s="45" t="s">
        <v>307</v>
      </c>
      <c r="S26" s="2" t="s">
        <v>524</v>
      </c>
      <c r="T26" s="2" t="s">
        <v>309</v>
      </c>
      <c r="U26" s="2" t="s">
        <v>525</v>
      </c>
      <c r="V26" s="2" t="s">
        <v>309</v>
      </c>
      <c r="W26" s="2" t="s">
        <v>309</v>
      </c>
      <c r="X26" s="2" t="s">
        <v>526</v>
      </c>
    </row>
    <row r="27" hidden="1">
      <c r="A27" s="2"/>
    </row>
    <row r="28" hidden="1">
      <c r="A28" s="2"/>
    </row>
    <row r="29" hidden="1">
      <c r="A29" s="2" t="str">
        <f>"61,18,19,5,9,7"</f>
        <v>61,18,19,5,9,7</v>
      </c>
      <c r="B29" s="42" t="s">
        <v>276</v>
      </c>
      <c r="C29" s="42" t="s">
        <v>281</v>
      </c>
      <c r="D29" s="42" t="s">
        <v>395</v>
      </c>
      <c r="E29" s="42" t="s">
        <v>283</v>
      </c>
      <c r="F29" s="42" t="s">
        <v>285</v>
      </c>
      <c r="G29" s="42"/>
      <c r="H29" s="44" t="s">
        <v>528</v>
      </c>
      <c r="I29" s="45"/>
      <c r="J29" s="45"/>
      <c r="K29" s="45"/>
      <c r="L29" s="45"/>
      <c r="M29" s="45"/>
      <c r="N29" s="45"/>
      <c r="O29" s="2" t="s">
        <v>531</v>
      </c>
    </row>
    <row r="30" hidden="1">
      <c r="A30" s="2" t="str">
        <f>"59,12,15,10,23,11"</f>
        <v>59,12,15,10,23,11</v>
      </c>
      <c r="B30" s="42" t="s">
        <v>429</v>
      </c>
      <c r="C30" s="42" t="s">
        <v>365</v>
      </c>
      <c r="D30" s="42" t="s">
        <v>396</v>
      </c>
      <c r="E30" s="42" t="s">
        <v>496</v>
      </c>
      <c r="F30" s="42" t="s">
        <v>513</v>
      </c>
      <c r="G30" s="42" t="s">
        <v>412</v>
      </c>
      <c r="H30" s="44" t="s">
        <v>536</v>
      </c>
      <c r="I30" s="45"/>
      <c r="J30" s="45"/>
      <c r="K30" s="45"/>
      <c r="L30" s="45"/>
      <c r="M30" s="45"/>
      <c r="N30" s="45"/>
      <c r="O30" s="2" t="s">
        <v>539</v>
      </c>
    </row>
    <row r="31" hidden="1">
      <c r="A31" s="2" t="str">
        <f>"60,18,15,22,25,26"</f>
        <v>60,18,15,22,25,26</v>
      </c>
      <c r="B31" s="42" t="s">
        <v>364</v>
      </c>
      <c r="C31" s="42" t="s">
        <v>281</v>
      </c>
      <c r="D31" s="42" t="s">
        <v>396</v>
      </c>
      <c r="E31" s="42" t="s">
        <v>443</v>
      </c>
      <c r="F31" s="42" t="s">
        <v>340</v>
      </c>
      <c r="G31" s="42" t="s">
        <v>305</v>
      </c>
      <c r="H31" s="44" t="s">
        <v>542</v>
      </c>
      <c r="I31" s="45"/>
      <c r="J31" s="45"/>
      <c r="K31" s="45"/>
      <c r="L31" s="45"/>
      <c r="M31" s="45"/>
      <c r="N31" s="45"/>
      <c r="O31" s="2" t="s">
        <v>543</v>
      </c>
      <c r="S31" s="2"/>
    </row>
    <row r="32" hidden="1">
      <c r="A32" s="2" t="str">
        <f>"62,18,24,9,25,26"</f>
        <v>62,18,24,9,25,26</v>
      </c>
      <c r="B32" s="42" t="s">
        <v>545</v>
      </c>
      <c r="C32" s="42" t="s">
        <v>281</v>
      </c>
      <c r="D32" s="42" t="s">
        <v>316</v>
      </c>
      <c r="E32" s="42" t="s">
        <v>285</v>
      </c>
      <c r="F32" s="42" t="s">
        <v>340</v>
      </c>
      <c r="G32" s="42" t="s">
        <v>305</v>
      </c>
      <c r="H32" s="44" t="s">
        <v>546</v>
      </c>
      <c r="I32" s="45"/>
      <c r="J32" s="45"/>
      <c r="K32" s="45"/>
      <c r="L32" s="45"/>
      <c r="M32" s="45"/>
      <c r="N32" s="45"/>
      <c r="O32" s="2" t="s">
        <v>547</v>
      </c>
    </row>
    <row r="33" hidden="1">
      <c r="A33" s="2" t="str">
        <f>"61,18,9,7,25"</f>
        <v>61,18,9,7,25</v>
      </c>
      <c r="B33" s="42" t="s">
        <v>276</v>
      </c>
      <c r="C33" s="42" t="s">
        <v>281</v>
      </c>
      <c r="D33" s="42" t="s">
        <v>285</v>
      </c>
      <c r="E33" s="42" t="s">
        <v>340</v>
      </c>
      <c r="F33" s="42"/>
      <c r="G33" s="42"/>
      <c r="H33" s="44" t="s">
        <v>553</v>
      </c>
      <c r="I33" s="45"/>
      <c r="J33" s="45"/>
      <c r="K33" s="45"/>
      <c r="L33" s="45"/>
      <c r="M33" s="45"/>
      <c r="N33" s="45"/>
      <c r="O33" s="2" t="s">
        <v>556</v>
      </c>
      <c r="U33" s="2" t="s">
        <v>557</v>
      </c>
    </row>
    <row r="34" hidden="1">
      <c r="A34" s="2" t="str">
        <f>"59,12,15,22,10,25"</f>
        <v>59,12,15,22,10,25</v>
      </c>
      <c r="B34" s="42" t="s">
        <v>429</v>
      </c>
      <c r="C34" s="42" t="s">
        <v>365</v>
      </c>
      <c r="D34" s="42" t="s">
        <v>396</v>
      </c>
      <c r="E34" s="42" t="s">
        <v>443</v>
      </c>
      <c r="F34" s="42" t="s">
        <v>496</v>
      </c>
      <c r="G34" s="42" t="s">
        <v>340</v>
      </c>
      <c r="H34" s="44" t="s">
        <v>561</v>
      </c>
      <c r="I34" s="45"/>
      <c r="J34" s="45"/>
      <c r="K34" s="45"/>
      <c r="L34" s="45"/>
      <c r="M34" s="45"/>
      <c r="N34" s="45"/>
      <c r="O34" s="2" t="s">
        <v>562</v>
      </c>
    </row>
    <row r="35" hidden="1">
      <c r="A35" s="2" t="str">
        <f>"58,12,15,10,20"</f>
        <v>58,12,15,10,20</v>
      </c>
      <c r="B35" s="42" t="s">
        <v>313</v>
      </c>
      <c r="C35" s="42" t="s">
        <v>365</v>
      </c>
      <c r="D35" s="42" t="s">
        <v>413</v>
      </c>
      <c r="G35" s="42"/>
      <c r="H35" s="44" t="s">
        <v>564</v>
      </c>
      <c r="I35" s="45"/>
      <c r="J35" s="45"/>
      <c r="K35" s="45"/>
      <c r="L35" s="45"/>
      <c r="M35" s="45"/>
      <c r="N35" s="45"/>
      <c r="O35" s="2" t="s">
        <v>565</v>
      </c>
    </row>
    <row r="36" hidden="1">
      <c r="A36" s="2" t="str">
        <f>"60,18,13,5,21,9"</f>
        <v>60,18,13,5,21,9</v>
      </c>
      <c r="B36" s="42" t="s">
        <v>364</v>
      </c>
      <c r="C36" s="42" t="s">
        <v>281</v>
      </c>
      <c r="D36" s="42" t="s">
        <v>282</v>
      </c>
      <c r="E36" s="42" t="s">
        <v>283</v>
      </c>
      <c r="F36" s="42" t="s">
        <v>285</v>
      </c>
      <c r="G36" s="42"/>
      <c r="H36" s="44" t="s">
        <v>568</v>
      </c>
      <c r="I36" s="45"/>
      <c r="J36" s="45"/>
      <c r="K36" s="45"/>
      <c r="L36" s="45"/>
      <c r="M36" s="45"/>
      <c r="N36" s="45"/>
      <c r="O36" s="2" t="s">
        <v>571</v>
      </c>
    </row>
    <row r="37" hidden="1"/>
    <row r="38">
      <c r="H38" s="2">
        <v>27.0</v>
      </c>
    </row>
    <row r="39">
      <c r="B39" s="64" t="s">
        <v>33</v>
      </c>
      <c r="C39" s="66" t="s">
        <v>574</v>
      </c>
      <c r="E39" s="67"/>
      <c r="F39" s="67"/>
      <c r="G39" s="67"/>
    </row>
    <row r="40">
      <c r="A40" s="39" t="str">
        <f>"56,16,13,2,1"</f>
        <v>56,16,13,2,1</v>
      </c>
      <c r="C40" s="42" t="s">
        <v>313</v>
      </c>
      <c r="D40" s="42" t="s">
        <v>365</v>
      </c>
      <c r="E40" s="42" t="s">
        <v>282</v>
      </c>
      <c r="F40" s="42" t="s">
        <v>314</v>
      </c>
      <c r="G40" s="42" t="s">
        <v>366</v>
      </c>
      <c r="H40" s="68" t="s">
        <v>577</v>
      </c>
      <c r="I40" s="2" t="s">
        <v>33</v>
      </c>
      <c r="J40" s="2">
        <v>2.0</v>
      </c>
      <c r="K40" s="2"/>
      <c r="L40" s="37">
        <v>1.9</v>
      </c>
      <c r="M40" s="2" t="s">
        <v>578</v>
      </c>
      <c r="N40" s="69"/>
      <c r="S40" s="2" t="s">
        <v>580</v>
      </c>
      <c r="T40" s="2" t="s">
        <v>581</v>
      </c>
      <c r="U40" s="2" t="s">
        <v>581</v>
      </c>
      <c r="V40" s="2" t="s">
        <v>582</v>
      </c>
      <c r="W40" s="2" t="s">
        <v>581</v>
      </c>
      <c r="X40" s="2" t="s">
        <v>583</v>
      </c>
    </row>
    <row r="41">
      <c r="C41" s="42"/>
      <c r="D41" s="42"/>
      <c r="E41" s="42"/>
      <c r="F41" s="42"/>
      <c r="G41" s="42"/>
      <c r="H41" s="68"/>
      <c r="I41" s="2" t="s">
        <v>33</v>
      </c>
      <c r="J41" s="2">
        <v>1.0</v>
      </c>
      <c r="K41" s="2"/>
      <c r="L41" s="37">
        <v>3.8</v>
      </c>
      <c r="M41" s="2" t="s">
        <v>584</v>
      </c>
      <c r="N41" s="45" t="s">
        <v>585</v>
      </c>
      <c r="S41" s="2" t="s">
        <v>587</v>
      </c>
      <c r="T41" s="2" t="s">
        <v>309</v>
      </c>
      <c r="U41" s="2" t="s">
        <v>309</v>
      </c>
      <c r="V41" s="2" t="s">
        <v>309</v>
      </c>
      <c r="W41" s="2" t="s">
        <v>309</v>
      </c>
      <c r="X41" s="2" t="s">
        <v>588</v>
      </c>
    </row>
    <row r="42">
      <c r="A42" s="39" t="str">
        <f>"56,16,13,4,52"</f>
        <v>56,16,13,4,52</v>
      </c>
      <c r="C42" s="42" t="s">
        <v>313</v>
      </c>
      <c r="D42" s="42" t="s">
        <v>365</v>
      </c>
      <c r="E42" s="42" t="s">
        <v>282</v>
      </c>
      <c r="F42" s="42" t="s">
        <v>367</v>
      </c>
      <c r="G42" s="42" t="s">
        <v>443</v>
      </c>
      <c r="H42" s="68" t="s">
        <v>589</v>
      </c>
      <c r="I42" s="2" t="s">
        <v>33</v>
      </c>
      <c r="J42" s="2">
        <v>3.0</v>
      </c>
      <c r="K42" s="2"/>
      <c r="L42" s="37">
        <v>1.25</v>
      </c>
      <c r="M42" s="2" t="s">
        <v>590</v>
      </c>
      <c r="N42" s="69"/>
      <c r="S42" s="2" t="s">
        <v>591</v>
      </c>
      <c r="T42" s="2" t="s">
        <v>581</v>
      </c>
      <c r="U42" s="2" t="s">
        <v>581</v>
      </c>
      <c r="V42" s="2" t="s">
        <v>592</v>
      </c>
      <c r="W42" s="2" t="s">
        <v>581</v>
      </c>
      <c r="X42" s="2" t="s">
        <v>593</v>
      </c>
    </row>
    <row r="43">
      <c r="C43" s="42"/>
      <c r="D43" s="42"/>
      <c r="E43" s="42"/>
      <c r="F43" s="42"/>
      <c r="G43" s="42"/>
      <c r="H43" s="68"/>
      <c r="I43" s="2" t="s">
        <v>33</v>
      </c>
      <c r="J43" s="2">
        <v>3.0</v>
      </c>
      <c r="K43" s="2">
        <v>1.0</v>
      </c>
      <c r="L43" s="37">
        <v>1.3</v>
      </c>
      <c r="M43" s="2" t="s">
        <v>594</v>
      </c>
      <c r="N43" s="45" t="s">
        <v>331</v>
      </c>
      <c r="S43" s="2" t="s">
        <v>595</v>
      </c>
      <c r="T43" s="2" t="s">
        <v>309</v>
      </c>
      <c r="U43" s="2" t="s">
        <v>309</v>
      </c>
      <c r="V43" s="2" t="s">
        <v>309</v>
      </c>
      <c r="W43" s="2" t="s">
        <v>309</v>
      </c>
      <c r="X43" s="2" t="s">
        <v>596</v>
      </c>
    </row>
    <row r="44">
      <c r="A44" s="39" t="str">
        <f>"58,17,15,51,10"</f>
        <v>58,17,15,51,10</v>
      </c>
      <c r="C44" s="42" t="s">
        <v>276</v>
      </c>
      <c r="D44" s="42" t="s">
        <v>281</v>
      </c>
      <c r="E44" s="42" t="s">
        <v>396</v>
      </c>
      <c r="F44" s="42" t="s">
        <v>395</v>
      </c>
      <c r="G44" s="42" t="s">
        <v>513</v>
      </c>
      <c r="H44" s="68" t="s">
        <v>597</v>
      </c>
      <c r="I44" s="2" t="s">
        <v>33</v>
      </c>
      <c r="J44" s="2">
        <v>-2.0</v>
      </c>
      <c r="K44" s="2"/>
      <c r="L44" s="37">
        <v>1.9</v>
      </c>
      <c r="M44" s="2" t="s">
        <v>599</v>
      </c>
      <c r="S44" s="2" t="s">
        <v>600</v>
      </c>
      <c r="T44" s="2" t="s">
        <v>581</v>
      </c>
      <c r="U44" s="2" t="s">
        <v>581</v>
      </c>
      <c r="V44" s="2" t="s">
        <v>601</v>
      </c>
      <c r="W44" s="2" t="s">
        <v>581</v>
      </c>
      <c r="X44" s="2" t="s">
        <v>602</v>
      </c>
    </row>
    <row r="45">
      <c r="C45" s="42"/>
      <c r="D45" s="42"/>
      <c r="E45" s="42"/>
      <c r="F45" s="42"/>
      <c r="G45" s="70"/>
      <c r="H45" s="68"/>
      <c r="I45" s="2" t="s">
        <v>33</v>
      </c>
      <c r="J45" s="2">
        <v>2.0</v>
      </c>
      <c r="K45" s="2"/>
      <c r="L45" s="37">
        <v>1.9</v>
      </c>
      <c r="M45" s="2" t="s">
        <v>605</v>
      </c>
      <c r="N45" s="45" t="s">
        <v>585</v>
      </c>
      <c r="S45" s="2" t="s">
        <v>606</v>
      </c>
      <c r="T45" s="2" t="s">
        <v>309</v>
      </c>
      <c r="U45" s="2" t="s">
        <v>309</v>
      </c>
      <c r="V45" s="2" t="s">
        <v>309</v>
      </c>
      <c r="W45" s="2" t="s">
        <v>309</v>
      </c>
      <c r="X45" s="2" t="s">
        <v>592</v>
      </c>
    </row>
    <row r="46">
      <c r="A46" s="39" t="str">
        <f>"58,17,51,20"</f>
        <v>58,17,51,20</v>
      </c>
      <c r="C46" s="42" t="s">
        <v>276</v>
      </c>
      <c r="D46" s="42" t="s">
        <v>281</v>
      </c>
      <c r="E46" s="42" t="s">
        <v>395</v>
      </c>
      <c r="F46" s="42" t="s">
        <v>413</v>
      </c>
      <c r="G46" s="70"/>
      <c r="H46" s="68" t="s">
        <v>608</v>
      </c>
      <c r="I46" s="2" t="s">
        <v>33</v>
      </c>
      <c r="J46" s="2">
        <v>3.0</v>
      </c>
      <c r="K46" s="2">
        <v>1.0</v>
      </c>
      <c r="L46" s="37">
        <v>1.3</v>
      </c>
      <c r="M46" s="2" t="s">
        <v>609</v>
      </c>
      <c r="N46" s="69"/>
      <c r="S46" s="2" t="s">
        <v>610</v>
      </c>
      <c r="T46" s="2" t="s">
        <v>581</v>
      </c>
      <c r="U46" s="2" t="s">
        <v>581</v>
      </c>
      <c r="V46" s="2" t="s">
        <v>611</v>
      </c>
      <c r="W46" s="2" t="s">
        <v>581</v>
      </c>
      <c r="X46" s="2" t="s">
        <v>612</v>
      </c>
    </row>
    <row r="47">
      <c r="C47" s="42"/>
      <c r="D47" s="42"/>
      <c r="E47" s="42"/>
      <c r="F47" s="42"/>
      <c r="G47" s="42"/>
      <c r="H47" s="68"/>
      <c r="I47" s="2" t="s">
        <v>33</v>
      </c>
      <c r="J47" s="2">
        <v>2.0</v>
      </c>
      <c r="K47" s="2">
        <v>1.0</v>
      </c>
      <c r="L47" s="37">
        <v>2.0</v>
      </c>
      <c r="M47" s="2" t="s">
        <v>613</v>
      </c>
      <c r="N47" s="45" t="s">
        <v>307</v>
      </c>
      <c r="S47" s="2" t="s">
        <v>614</v>
      </c>
      <c r="T47" s="2" t="s">
        <v>309</v>
      </c>
      <c r="U47" s="2" t="s">
        <v>309</v>
      </c>
      <c r="V47" s="2" t="s">
        <v>309</v>
      </c>
      <c r="W47" s="2" t="s">
        <v>309</v>
      </c>
      <c r="X47" s="2" t="s">
        <v>616</v>
      </c>
    </row>
    <row r="48">
      <c r="A48" s="39" t="str">
        <f>"57,17,15,52,10"</f>
        <v>57,17,15,52,10</v>
      </c>
      <c r="C48" s="42" t="s">
        <v>364</v>
      </c>
      <c r="D48" s="42" t="s">
        <v>281</v>
      </c>
      <c r="E48" s="42" t="s">
        <v>396</v>
      </c>
      <c r="F48" s="42" t="s">
        <v>443</v>
      </c>
      <c r="G48" s="42" t="s">
        <v>513</v>
      </c>
      <c r="H48" s="68" t="s">
        <v>618</v>
      </c>
      <c r="I48" s="2" t="s">
        <v>33</v>
      </c>
      <c r="J48" s="2">
        <v>-1.0</v>
      </c>
      <c r="K48" s="2">
        <v>1.0</v>
      </c>
      <c r="L48" s="37">
        <v>3.8</v>
      </c>
      <c r="M48" s="2" t="s">
        <v>619</v>
      </c>
      <c r="N48" s="69"/>
      <c r="S48" s="2" t="s">
        <v>620</v>
      </c>
      <c r="T48" s="2" t="s">
        <v>581</v>
      </c>
      <c r="U48" s="2" t="s">
        <v>581</v>
      </c>
      <c r="V48" s="2" t="s">
        <v>621</v>
      </c>
      <c r="W48" s="2" t="s">
        <v>581</v>
      </c>
      <c r="X48" s="2" t="s">
        <v>622</v>
      </c>
    </row>
    <row r="49">
      <c r="C49" s="42"/>
      <c r="D49" s="42"/>
      <c r="E49" s="42"/>
      <c r="F49" s="42"/>
      <c r="G49" s="42"/>
      <c r="H49" s="68"/>
      <c r="I49" s="2" t="s">
        <v>33</v>
      </c>
      <c r="J49" s="2">
        <v>-2.0</v>
      </c>
      <c r="K49" s="2"/>
      <c r="L49" s="37">
        <v>1.9</v>
      </c>
      <c r="M49" s="2" t="s">
        <v>623</v>
      </c>
      <c r="N49" s="45" t="s">
        <v>331</v>
      </c>
      <c r="S49" s="2" t="s">
        <v>624</v>
      </c>
      <c r="T49" s="2" t="s">
        <v>309</v>
      </c>
      <c r="U49" s="2" t="s">
        <v>309</v>
      </c>
      <c r="V49" s="2" t="s">
        <v>309</v>
      </c>
      <c r="W49" s="2" t="s">
        <v>309</v>
      </c>
      <c r="X49" s="2" t="s">
        <v>625</v>
      </c>
    </row>
    <row r="50">
      <c r="A50" s="39" t="str">
        <f>"57,17,13,18,53"</f>
        <v>57,17,13,18,53</v>
      </c>
      <c r="C50" s="42" t="s">
        <v>364</v>
      </c>
      <c r="D50" s="42" t="s">
        <v>281</v>
      </c>
      <c r="E50" s="42" t="s">
        <v>282</v>
      </c>
      <c r="F50" s="42" t="s">
        <v>286</v>
      </c>
      <c r="G50" s="43" t="s">
        <v>316</v>
      </c>
      <c r="H50" s="68" t="s">
        <v>627</v>
      </c>
      <c r="I50" s="2" t="s">
        <v>33</v>
      </c>
      <c r="J50" s="2">
        <v>2.0</v>
      </c>
      <c r="K50" s="2">
        <v>1.0</v>
      </c>
      <c r="L50" s="37">
        <v>2.0</v>
      </c>
      <c r="M50" s="2" t="s">
        <v>628</v>
      </c>
      <c r="N50" s="69"/>
      <c r="S50" s="2" t="s">
        <v>629</v>
      </c>
      <c r="T50" s="2" t="s">
        <v>581</v>
      </c>
      <c r="U50" s="2" t="s">
        <v>581</v>
      </c>
      <c r="V50" s="2" t="s">
        <v>592</v>
      </c>
      <c r="W50" s="2" t="s">
        <v>581</v>
      </c>
      <c r="X50" s="2" t="s">
        <v>602</v>
      </c>
    </row>
    <row r="51">
      <c r="C51" s="42"/>
      <c r="D51" s="42"/>
      <c r="E51" s="42"/>
      <c r="F51" s="42"/>
      <c r="G51" s="42"/>
      <c r="H51" s="68"/>
      <c r="I51" s="2" t="s">
        <v>33</v>
      </c>
      <c r="J51" s="2">
        <v>2.0</v>
      </c>
      <c r="K51" s="2">
        <v>1.0</v>
      </c>
      <c r="L51" s="37">
        <v>2.0</v>
      </c>
      <c r="M51" s="2" t="s">
        <v>630</v>
      </c>
      <c r="N51" s="45" t="s">
        <v>307</v>
      </c>
      <c r="S51" s="2" t="s">
        <v>631</v>
      </c>
      <c r="T51" s="2" t="s">
        <v>309</v>
      </c>
      <c r="U51" s="2" t="s">
        <v>309</v>
      </c>
      <c r="V51" s="2" t="s">
        <v>309</v>
      </c>
      <c r="W51" s="2" t="s">
        <v>309</v>
      </c>
      <c r="X51" s="2" t="s">
        <v>616</v>
      </c>
    </row>
    <row r="52">
      <c r="A52" s="71" t="str">
        <f>"57,17,13,6,6"</f>
        <v>57,17,13,6,6</v>
      </c>
      <c r="C52" s="42" t="s">
        <v>364</v>
      </c>
      <c r="D52" s="42" t="s">
        <v>281</v>
      </c>
      <c r="E52" s="42" t="s">
        <v>282</v>
      </c>
      <c r="F52" s="42" t="s">
        <v>632</v>
      </c>
      <c r="G52" s="42" t="s">
        <v>285</v>
      </c>
      <c r="H52" s="68" t="s">
        <v>568</v>
      </c>
      <c r="I52" s="2" t="s">
        <v>33</v>
      </c>
      <c r="J52" s="2">
        <v>3.0</v>
      </c>
      <c r="K52" s="2">
        <v>1.0</v>
      </c>
      <c r="L52" s="37">
        <v>1.3</v>
      </c>
      <c r="M52" s="2" t="s">
        <v>634</v>
      </c>
      <c r="N52" s="69"/>
      <c r="S52" s="2" t="s">
        <v>635</v>
      </c>
      <c r="T52" s="2" t="s">
        <v>581</v>
      </c>
      <c r="U52" s="2" t="s">
        <v>581</v>
      </c>
      <c r="V52" s="2" t="s">
        <v>592</v>
      </c>
      <c r="W52" s="2" t="s">
        <v>581</v>
      </c>
      <c r="X52" s="2" t="s">
        <v>636</v>
      </c>
    </row>
    <row r="53">
      <c r="C53" s="42"/>
      <c r="D53" s="42"/>
      <c r="E53" s="42"/>
      <c r="F53" s="42"/>
      <c r="G53" s="42"/>
      <c r="H53" s="68"/>
      <c r="I53" s="2" t="s">
        <v>33</v>
      </c>
      <c r="J53" s="2">
        <v>2.0</v>
      </c>
      <c r="K53" s="2"/>
      <c r="L53" s="37">
        <v>1.9</v>
      </c>
      <c r="M53" s="2" t="s">
        <v>638</v>
      </c>
      <c r="N53" s="45" t="s">
        <v>585</v>
      </c>
      <c r="S53" s="2" t="s">
        <v>639</v>
      </c>
      <c r="T53" s="2" t="s">
        <v>309</v>
      </c>
      <c r="U53" s="2" t="s">
        <v>309</v>
      </c>
      <c r="V53" s="2" t="s">
        <v>309</v>
      </c>
      <c r="W53" s="2" t="s">
        <v>309</v>
      </c>
      <c r="X53" s="2" t="s">
        <v>582</v>
      </c>
    </row>
    <row r="54">
      <c r="A54" s="39" t="str">
        <f>"59,17,15,20,9"</f>
        <v>59,17,15,20,9</v>
      </c>
      <c r="C54" s="42" t="s">
        <v>429</v>
      </c>
      <c r="D54" s="42" t="s">
        <v>281</v>
      </c>
      <c r="E54" s="42" t="s">
        <v>396</v>
      </c>
      <c r="F54" s="42" t="s">
        <v>413</v>
      </c>
      <c r="G54" s="42" t="s">
        <v>496</v>
      </c>
      <c r="H54" s="68" t="s">
        <v>641</v>
      </c>
      <c r="I54" s="2" t="s">
        <v>33</v>
      </c>
      <c r="J54" s="2">
        <v>1.0</v>
      </c>
      <c r="K54" s="2">
        <v>1.0</v>
      </c>
      <c r="L54" s="37">
        <v>4.0</v>
      </c>
      <c r="M54" s="2" t="s">
        <v>642</v>
      </c>
      <c r="N54" s="69"/>
      <c r="S54" s="2" t="s">
        <v>644</v>
      </c>
      <c r="T54" s="2" t="s">
        <v>581</v>
      </c>
      <c r="U54" s="2" t="s">
        <v>581</v>
      </c>
      <c r="V54" s="2" t="s">
        <v>592</v>
      </c>
      <c r="W54" s="2" t="s">
        <v>581</v>
      </c>
      <c r="X54" s="2" t="s">
        <v>645</v>
      </c>
    </row>
    <row r="55">
      <c r="C55" s="42"/>
      <c r="D55" s="42"/>
      <c r="E55" s="42"/>
      <c r="F55" s="42"/>
      <c r="G55" s="42"/>
      <c r="H55" s="68"/>
      <c r="I55" s="2" t="s">
        <v>33</v>
      </c>
      <c r="J55" s="2">
        <v>3.0</v>
      </c>
      <c r="K55" s="2">
        <v>1.0</v>
      </c>
      <c r="L55" s="37">
        <v>0.02</v>
      </c>
      <c r="M55" s="2" t="s">
        <v>646</v>
      </c>
      <c r="N55" s="45" t="s">
        <v>647</v>
      </c>
      <c r="S55" s="2" t="s">
        <v>648</v>
      </c>
      <c r="T55" s="2" t="s">
        <v>309</v>
      </c>
      <c r="U55" s="2" t="s">
        <v>309</v>
      </c>
      <c r="V55" s="2" t="s">
        <v>309</v>
      </c>
      <c r="W55" s="2" t="s">
        <v>309</v>
      </c>
      <c r="X55" s="2" t="s">
        <v>649</v>
      </c>
    </row>
    <row r="56">
      <c r="A56" s="39" t="str">
        <f>"58,16,13,51,4"</f>
        <v>58,16,13,51,4</v>
      </c>
      <c r="C56" s="42" t="s">
        <v>276</v>
      </c>
      <c r="D56" s="42" t="s">
        <v>365</v>
      </c>
      <c r="E56" s="42" t="s">
        <v>282</v>
      </c>
      <c r="F56" s="42" t="s">
        <v>395</v>
      </c>
      <c r="G56" s="42" t="s">
        <v>367</v>
      </c>
      <c r="H56" s="68" t="s">
        <v>650</v>
      </c>
      <c r="I56" s="2" t="s">
        <v>33</v>
      </c>
      <c r="J56" s="2">
        <v>4.0</v>
      </c>
      <c r="K56" s="2">
        <v>1.0</v>
      </c>
      <c r="L56" s="37">
        <v>1.0</v>
      </c>
      <c r="M56" s="2" t="s">
        <v>651</v>
      </c>
      <c r="N56" s="69"/>
      <c r="S56" s="2" t="s">
        <v>652</v>
      </c>
      <c r="T56" s="2" t="s">
        <v>581</v>
      </c>
      <c r="U56" s="2" t="s">
        <v>581</v>
      </c>
      <c r="V56" s="2" t="s">
        <v>582</v>
      </c>
      <c r="W56" s="2" t="s">
        <v>581</v>
      </c>
      <c r="X56" s="2" t="s">
        <v>654</v>
      </c>
    </row>
    <row r="57">
      <c r="C57" s="42"/>
      <c r="D57" s="42"/>
      <c r="E57" s="42"/>
      <c r="F57" s="42"/>
      <c r="G57" s="42"/>
      <c r="H57" s="68"/>
      <c r="I57" s="2" t="s">
        <v>33</v>
      </c>
      <c r="J57" s="2">
        <v>2.0</v>
      </c>
      <c r="K57" s="2">
        <v>1.0</v>
      </c>
      <c r="L57" s="37">
        <v>2.0</v>
      </c>
      <c r="M57" s="2" t="s">
        <v>655</v>
      </c>
      <c r="N57" s="45" t="s">
        <v>656</v>
      </c>
      <c r="S57" s="2" t="s">
        <v>657</v>
      </c>
      <c r="T57" s="2" t="s">
        <v>309</v>
      </c>
      <c r="U57" s="2" t="s">
        <v>309</v>
      </c>
      <c r="V57" s="2" t="s">
        <v>309</v>
      </c>
      <c r="W57" s="2" t="s">
        <v>309</v>
      </c>
      <c r="X57" s="2" t="s">
        <v>602</v>
      </c>
    </row>
    <row r="58" hidden="1">
      <c r="T58" s="2" t="s">
        <v>581</v>
      </c>
      <c r="U58" s="2" t="s">
        <v>581</v>
      </c>
    </row>
    <row r="59" hidden="1">
      <c r="C59" s="66" t="s">
        <v>313</v>
      </c>
      <c r="D59" s="66" t="s">
        <v>281</v>
      </c>
      <c r="E59" s="66" t="s">
        <v>282</v>
      </c>
      <c r="F59" s="66" t="s">
        <v>283</v>
      </c>
      <c r="G59" s="66" t="s">
        <v>285</v>
      </c>
      <c r="H59" s="69" t="s">
        <v>658</v>
      </c>
      <c r="I59" s="69"/>
      <c r="J59" s="69"/>
      <c r="K59" s="69"/>
      <c r="L59" s="69"/>
      <c r="M59" s="69"/>
      <c r="N59" s="69"/>
      <c r="T59" s="2" t="s">
        <v>309</v>
      </c>
      <c r="U59" s="2" t="s">
        <v>309</v>
      </c>
    </row>
    <row r="60" hidden="1">
      <c r="C60" s="66" t="s">
        <v>429</v>
      </c>
      <c r="D60" s="66" t="s">
        <v>365</v>
      </c>
      <c r="E60" s="66" t="s">
        <v>396</v>
      </c>
      <c r="F60" s="66" t="s">
        <v>443</v>
      </c>
      <c r="G60" s="66" t="s">
        <v>496</v>
      </c>
      <c r="H60" s="69" t="s">
        <v>660</v>
      </c>
      <c r="I60" s="69"/>
      <c r="J60" s="69"/>
      <c r="K60" s="69"/>
      <c r="L60" s="69"/>
      <c r="M60" s="69"/>
      <c r="N60" s="69"/>
      <c r="T60" s="2" t="s">
        <v>581</v>
      </c>
      <c r="U60" s="2" t="s">
        <v>581</v>
      </c>
    </row>
    <row r="61" hidden="1">
      <c r="C61" s="66" t="s">
        <v>545</v>
      </c>
      <c r="D61" s="66" t="s">
        <v>281</v>
      </c>
      <c r="E61" s="66" t="s">
        <v>338</v>
      </c>
      <c r="F61" s="66" t="s">
        <v>497</v>
      </c>
      <c r="G61" s="66" t="s">
        <v>339</v>
      </c>
      <c r="H61" s="69" t="s">
        <v>662</v>
      </c>
      <c r="I61" s="69"/>
      <c r="J61" s="69"/>
      <c r="K61" s="69"/>
      <c r="L61" s="69"/>
      <c r="M61" s="69"/>
      <c r="N61" s="69"/>
      <c r="T61" s="2" t="s">
        <v>309</v>
      </c>
      <c r="U61" s="2" t="s">
        <v>309</v>
      </c>
    </row>
    <row r="62" hidden="1">
      <c r="C62" s="66" t="s">
        <v>313</v>
      </c>
      <c r="D62" s="66" t="s">
        <v>281</v>
      </c>
      <c r="E62" s="66" t="s">
        <v>282</v>
      </c>
      <c r="F62" s="66" t="s">
        <v>285</v>
      </c>
      <c r="G62" s="66" t="s">
        <v>314</v>
      </c>
      <c r="H62" s="69" t="s">
        <v>663</v>
      </c>
      <c r="I62" s="69"/>
      <c r="J62" s="69"/>
      <c r="K62" s="69"/>
      <c r="L62" s="69"/>
      <c r="M62" s="69"/>
      <c r="N62" s="69"/>
      <c r="T62" s="2" t="s">
        <v>581</v>
      </c>
      <c r="U62" s="2" t="s">
        <v>581</v>
      </c>
    </row>
    <row r="63" hidden="1">
      <c r="C63" s="66" t="s">
        <v>364</v>
      </c>
      <c r="D63" s="66" t="s">
        <v>365</v>
      </c>
      <c r="E63" s="66" t="s">
        <v>282</v>
      </c>
      <c r="F63" s="66" t="s">
        <v>366</v>
      </c>
      <c r="G63" s="66" t="s">
        <v>316</v>
      </c>
      <c r="H63" s="69" t="s">
        <v>664</v>
      </c>
      <c r="I63" s="69"/>
      <c r="J63" s="69"/>
      <c r="K63" s="69"/>
      <c r="L63" s="69"/>
      <c r="M63" s="69"/>
      <c r="N63" s="69"/>
      <c r="T63" s="2" t="s">
        <v>309</v>
      </c>
      <c r="U63" s="2" t="s">
        <v>309</v>
      </c>
    </row>
    <row r="64" hidden="1">
      <c r="C64" s="66" t="s">
        <v>364</v>
      </c>
      <c r="D64" s="66" t="s">
        <v>365</v>
      </c>
      <c r="E64" s="66" t="s">
        <v>282</v>
      </c>
      <c r="F64" s="66" t="s">
        <v>286</v>
      </c>
      <c r="G64" s="66" t="s">
        <v>340</v>
      </c>
      <c r="H64" s="69" t="s">
        <v>667</v>
      </c>
      <c r="I64" s="69"/>
      <c r="J64" s="69"/>
      <c r="K64" s="69"/>
      <c r="L64" s="69"/>
      <c r="M64" s="69"/>
      <c r="N64" s="69"/>
      <c r="T64" s="2" t="s">
        <v>581</v>
      </c>
      <c r="U64" s="2" t="s">
        <v>581</v>
      </c>
    </row>
    <row r="65" hidden="1">
      <c r="C65" s="66" t="s">
        <v>276</v>
      </c>
      <c r="D65" s="66" t="s">
        <v>281</v>
      </c>
      <c r="E65" s="66" t="s">
        <v>413</v>
      </c>
      <c r="F65" s="66" t="s">
        <v>632</v>
      </c>
      <c r="G65" s="66" t="s">
        <v>668</v>
      </c>
      <c r="H65" s="69" t="s">
        <v>669</v>
      </c>
      <c r="I65" s="69"/>
      <c r="J65" s="69"/>
      <c r="K65" s="69"/>
      <c r="L65" s="69"/>
      <c r="M65" s="69"/>
      <c r="N65" s="69"/>
      <c r="T65" s="2" t="s">
        <v>309</v>
      </c>
      <c r="U65" s="2" t="s">
        <v>309</v>
      </c>
    </row>
    <row r="66" hidden="1">
      <c r="C66" s="66" t="s">
        <v>364</v>
      </c>
      <c r="D66" s="66" t="s">
        <v>281</v>
      </c>
      <c r="E66" s="66" t="s">
        <v>443</v>
      </c>
      <c r="F66" s="66" t="s">
        <v>285</v>
      </c>
      <c r="G66" s="66" t="s">
        <v>668</v>
      </c>
      <c r="H66" s="69" t="s">
        <v>671</v>
      </c>
      <c r="I66" s="69"/>
      <c r="J66" s="69"/>
      <c r="K66" s="69"/>
      <c r="L66" s="69"/>
      <c r="M66" s="69"/>
      <c r="N66" s="69"/>
      <c r="T66" s="2" t="s">
        <v>581</v>
      </c>
      <c r="U66" s="2" t="s">
        <v>581</v>
      </c>
    </row>
    <row r="67" hidden="1">
      <c r="C67" s="66" t="s">
        <v>364</v>
      </c>
      <c r="D67" s="66" t="s">
        <v>365</v>
      </c>
      <c r="E67" s="66" t="s">
        <v>282</v>
      </c>
      <c r="F67" s="66" t="s">
        <v>366</v>
      </c>
      <c r="G67" s="66" t="s">
        <v>316</v>
      </c>
      <c r="H67" s="69" t="s">
        <v>672</v>
      </c>
      <c r="I67" s="69"/>
      <c r="J67" s="69"/>
      <c r="K67" s="69"/>
      <c r="L67" s="69"/>
      <c r="M67" s="69"/>
      <c r="N67" s="69"/>
      <c r="T67" s="2" t="s">
        <v>309</v>
      </c>
      <c r="U67" s="2" t="s">
        <v>309</v>
      </c>
    </row>
    <row r="68">
      <c r="H68" s="2">
        <v>70.0</v>
      </c>
      <c r="T68" s="2" t="s">
        <v>581</v>
      </c>
    </row>
    <row r="69">
      <c r="B69" s="64" t="s">
        <v>43</v>
      </c>
      <c r="C69" s="66" t="s">
        <v>574</v>
      </c>
      <c r="E69" s="67"/>
      <c r="F69" s="67"/>
      <c r="T69" s="2" t="s">
        <v>309</v>
      </c>
    </row>
    <row r="70">
      <c r="A70" s="39" t="str">
        <f>"16,13,4"</f>
        <v>16,13,4</v>
      </c>
      <c r="C70" s="42" t="s">
        <v>365</v>
      </c>
      <c r="D70" s="42" t="s">
        <v>282</v>
      </c>
      <c r="E70" s="42" t="s">
        <v>367</v>
      </c>
      <c r="F70" s="42"/>
      <c r="G70" s="14"/>
      <c r="H70" s="68" t="s">
        <v>678</v>
      </c>
      <c r="I70" s="2" t="s">
        <v>43</v>
      </c>
      <c r="J70" s="2">
        <v>2.0</v>
      </c>
      <c r="K70" s="2"/>
      <c r="L70" s="37">
        <v>1.55</v>
      </c>
      <c r="M70" s="2" t="s">
        <v>681</v>
      </c>
      <c r="N70" s="69"/>
      <c r="S70" s="2" t="s">
        <v>682</v>
      </c>
      <c r="T70" s="2" t="s">
        <v>581</v>
      </c>
      <c r="U70" s="2" t="s">
        <v>581</v>
      </c>
      <c r="V70" s="2" t="s">
        <v>685</v>
      </c>
      <c r="W70" s="2" t="s">
        <v>581</v>
      </c>
      <c r="X70" s="2" t="s">
        <v>602</v>
      </c>
    </row>
    <row r="71">
      <c r="C71" s="42"/>
      <c r="D71" s="42"/>
      <c r="E71" s="42"/>
      <c r="F71" s="42"/>
      <c r="G71" s="14"/>
      <c r="H71" s="68"/>
      <c r="I71" s="2" t="s">
        <v>43</v>
      </c>
      <c r="J71" s="2">
        <v>1.0</v>
      </c>
      <c r="K71" s="2"/>
      <c r="L71" s="37">
        <v>3.0</v>
      </c>
      <c r="M71" s="2" t="s">
        <v>692</v>
      </c>
      <c r="N71" s="45" t="s">
        <v>585</v>
      </c>
      <c r="S71" s="2" t="s">
        <v>695</v>
      </c>
      <c r="T71" s="2" t="s">
        <v>309</v>
      </c>
      <c r="U71" s="2" t="s">
        <v>309</v>
      </c>
      <c r="V71" s="2" t="s">
        <v>309</v>
      </c>
      <c r="W71" s="2" t="s">
        <v>309</v>
      </c>
      <c r="X71" s="2" t="s">
        <v>309</v>
      </c>
    </row>
    <row r="72">
      <c r="A72" s="39" t="str">
        <f>"16,13,2"</f>
        <v>16,13,2</v>
      </c>
      <c r="C72" s="42" t="s">
        <v>365</v>
      </c>
      <c r="D72" s="42" t="s">
        <v>282</v>
      </c>
      <c r="E72" s="42" t="s">
        <v>314</v>
      </c>
      <c r="F72" s="42"/>
      <c r="G72" s="14"/>
      <c r="H72" s="68" t="s">
        <v>702</v>
      </c>
      <c r="I72" s="2" t="s">
        <v>43</v>
      </c>
      <c r="J72" s="2">
        <v>2.0</v>
      </c>
      <c r="K72" s="2"/>
      <c r="L72" s="37">
        <v>1.55</v>
      </c>
      <c r="M72" s="2" t="s">
        <v>705</v>
      </c>
      <c r="N72" s="69"/>
      <c r="S72" s="2" t="s">
        <v>706</v>
      </c>
      <c r="T72" s="2" t="s">
        <v>581</v>
      </c>
      <c r="U72" s="2" t="s">
        <v>581</v>
      </c>
      <c r="V72" s="2" t="s">
        <v>709</v>
      </c>
      <c r="W72" s="2" t="s">
        <v>581</v>
      </c>
      <c r="X72" s="2" t="s">
        <v>711</v>
      </c>
    </row>
    <row r="73">
      <c r="C73" s="42"/>
      <c r="D73" s="42"/>
      <c r="E73" s="42"/>
      <c r="F73" s="42"/>
      <c r="G73" s="14"/>
      <c r="H73" s="68"/>
      <c r="I73" s="2" t="s">
        <v>43</v>
      </c>
      <c r="J73" s="2">
        <v>5.0</v>
      </c>
      <c r="L73" s="37">
        <v>0.6</v>
      </c>
      <c r="M73" s="2" t="s">
        <v>717</v>
      </c>
      <c r="N73" s="45" t="s">
        <v>718</v>
      </c>
      <c r="S73" s="2" t="s">
        <v>720</v>
      </c>
      <c r="T73" s="2" t="s">
        <v>309</v>
      </c>
      <c r="U73" s="2" t="s">
        <v>309</v>
      </c>
      <c r="V73" s="2" t="s">
        <v>309</v>
      </c>
      <c r="W73" s="2" t="s">
        <v>309</v>
      </c>
      <c r="X73" s="2" t="s">
        <v>309</v>
      </c>
    </row>
    <row r="74">
      <c r="A74" s="39" t="str">
        <f>"61,17,6"</f>
        <v>61,17,6</v>
      </c>
      <c r="C74" s="42" t="s">
        <v>545</v>
      </c>
      <c r="D74" s="42" t="s">
        <v>281</v>
      </c>
      <c r="E74" s="42" t="s">
        <v>285</v>
      </c>
      <c r="F74" s="42"/>
      <c r="G74" s="14"/>
      <c r="H74" s="68" t="s">
        <v>725</v>
      </c>
      <c r="I74" s="2" t="s">
        <v>43</v>
      </c>
      <c r="J74" s="2">
        <v>1.0</v>
      </c>
      <c r="K74" s="2"/>
      <c r="L74" s="37">
        <v>3.0</v>
      </c>
      <c r="M74" s="2" t="s">
        <v>726</v>
      </c>
      <c r="N74" s="69"/>
      <c r="S74" s="2" t="s">
        <v>727</v>
      </c>
      <c r="T74" s="2" t="s">
        <v>581</v>
      </c>
      <c r="U74" s="2" t="s">
        <v>581</v>
      </c>
      <c r="V74" s="2" t="s">
        <v>709</v>
      </c>
      <c r="W74" s="2" t="s">
        <v>581</v>
      </c>
      <c r="X74" s="2" t="s">
        <v>728</v>
      </c>
    </row>
    <row r="75">
      <c r="C75" s="42"/>
      <c r="D75" s="42"/>
      <c r="E75" s="42"/>
      <c r="F75" s="42"/>
      <c r="G75" s="14"/>
      <c r="H75" s="68"/>
      <c r="I75" s="2" t="s">
        <v>43</v>
      </c>
      <c r="J75" s="2">
        <v>2.0</v>
      </c>
      <c r="K75" s="2"/>
      <c r="L75" s="37">
        <v>1.55</v>
      </c>
      <c r="M75" s="2" t="s">
        <v>730</v>
      </c>
      <c r="N75" s="45" t="s">
        <v>331</v>
      </c>
      <c r="S75" s="2" t="s">
        <v>731</v>
      </c>
      <c r="T75" s="2" t="s">
        <v>309</v>
      </c>
      <c r="U75" s="2" t="s">
        <v>309</v>
      </c>
      <c r="V75" s="2" t="s">
        <v>309</v>
      </c>
      <c r="W75" s="2" t="s">
        <v>309</v>
      </c>
      <c r="X75" s="2" t="s">
        <v>309</v>
      </c>
    </row>
    <row r="76">
      <c r="A76" s="39" t="str">
        <f>"58,17,20,14,53"</f>
        <v>58,17,20,14,53</v>
      </c>
      <c r="C76" s="42" t="s">
        <v>276</v>
      </c>
      <c r="D76" s="42" t="s">
        <v>281</v>
      </c>
      <c r="E76" s="42" t="s">
        <v>413</v>
      </c>
      <c r="F76" s="42" t="s">
        <v>338</v>
      </c>
      <c r="G76" s="42" t="s">
        <v>316</v>
      </c>
      <c r="H76" s="68" t="s">
        <v>733</v>
      </c>
      <c r="I76" s="2" t="s">
        <v>43</v>
      </c>
      <c r="J76" s="2">
        <v>2.0</v>
      </c>
      <c r="K76" s="2">
        <v>1.0</v>
      </c>
      <c r="L76" s="37">
        <v>1.65</v>
      </c>
      <c r="M76" s="2" t="s">
        <v>734</v>
      </c>
      <c r="N76" s="69"/>
      <c r="S76" s="2" t="s">
        <v>735</v>
      </c>
      <c r="T76" s="2" t="s">
        <v>581</v>
      </c>
      <c r="U76" s="2" t="s">
        <v>581</v>
      </c>
      <c r="V76" s="2" t="s">
        <v>709</v>
      </c>
      <c r="W76" s="2" t="s">
        <v>581</v>
      </c>
      <c r="X76" s="2" t="s">
        <v>736</v>
      </c>
    </row>
    <row r="77">
      <c r="C77" s="42"/>
      <c r="D77" s="42"/>
      <c r="E77" s="42"/>
      <c r="F77" s="42"/>
      <c r="G77" s="14"/>
      <c r="H77" s="68"/>
      <c r="I77" s="2" t="s">
        <v>43</v>
      </c>
      <c r="J77" s="2">
        <v>-2.0</v>
      </c>
      <c r="K77" s="2"/>
      <c r="L77" s="37">
        <v>1.55</v>
      </c>
      <c r="M77" s="2" t="s">
        <v>737</v>
      </c>
      <c r="N77" s="45" t="s">
        <v>331</v>
      </c>
      <c r="S77" s="2" t="s">
        <v>738</v>
      </c>
      <c r="T77" s="2" t="s">
        <v>309</v>
      </c>
      <c r="U77" s="2" t="s">
        <v>309</v>
      </c>
      <c r="V77" s="2" t="s">
        <v>309</v>
      </c>
      <c r="W77" s="2" t="s">
        <v>309</v>
      </c>
      <c r="X77" s="2" t="s">
        <v>309</v>
      </c>
    </row>
    <row r="78">
      <c r="A78" s="39" t="str">
        <f>"59,16,15,9,11"</f>
        <v>59,16,15,9,11</v>
      </c>
      <c r="C78" s="42" t="s">
        <v>429</v>
      </c>
      <c r="D78" s="42" t="s">
        <v>365</v>
      </c>
      <c r="E78" s="42" t="s">
        <v>396</v>
      </c>
      <c r="F78" s="42" t="s">
        <v>496</v>
      </c>
      <c r="G78" s="42" t="s">
        <v>412</v>
      </c>
      <c r="H78" s="68" t="s">
        <v>740</v>
      </c>
      <c r="I78" s="2" t="s">
        <v>43</v>
      </c>
      <c r="J78" s="2">
        <v>-2.0</v>
      </c>
      <c r="K78" s="2">
        <v>1.0</v>
      </c>
      <c r="L78" s="37"/>
      <c r="M78" s="2" t="s">
        <v>741</v>
      </c>
      <c r="N78" s="69"/>
      <c r="S78" s="2" t="s">
        <v>742</v>
      </c>
      <c r="T78" s="2" t="s">
        <v>581</v>
      </c>
      <c r="U78" s="2" t="s">
        <v>581</v>
      </c>
      <c r="V78" s="2" t="s">
        <v>743</v>
      </c>
      <c r="W78" s="2" t="s">
        <v>581</v>
      </c>
      <c r="X78" s="2" t="s">
        <v>602</v>
      </c>
    </row>
    <row r="79">
      <c r="C79" s="42"/>
      <c r="D79" s="42"/>
      <c r="E79" s="42"/>
      <c r="F79" s="42"/>
      <c r="G79" s="14"/>
      <c r="H79" s="68"/>
      <c r="I79" s="2" t="s">
        <v>43</v>
      </c>
      <c r="J79" s="2">
        <v>5.0</v>
      </c>
      <c r="K79" s="2"/>
      <c r="L79" s="37">
        <v>0.6</v>
      </c>
      <c r="M79" s="2" t="s">
        <v>744</v>
      </c>
      <c r="N79" s="45" t="s">
        <v>656</v>
      </c>
      <c r="S79" s="2" t="s">
        <v>745</v>
      </c>
      <c r="T79" s="2" t="s">
        <v>309</v>
      </c>
      <c r="U79" s="2" t="s">
        <v>309</v>
      </c>
      <c r="V79" s="2" t="s">
        <v>309</v>
      </c>
      <c r="W79" s="2" t="s">
        <v>309</v>
      </c>
      <c r="X79" s="2" t="s">
        <v>309</v>
      </c>
    </row>
    <row r="80">
      <c r="A80" s="39" t="str">
        <f>"16,13,1"</f>
        <v>16,13,1</v>
      </c>
      <c r="C80" s="42" t="s">
        <v>365</v>
      </c>
      <c r="D80" s="42" t="s">
        <v>282</v>
      </c>
      <c r="E80" s="42" t="s">
        <v>366</v>
      </c>
      <c r="F80" s="42"/>
      <c r="G80" s="14"/>
      <c r="H80" s="68" t="s">
        <v>746</v>
      </c>
      <c r="I80" s="2" t="s">
        <v>43</v>
      </c>
      <c r="J80" s="2">
        <v>1.0</v>
      </c>
      <c r="K80" s="2"/>
      <c r="L80" s="37">
        <v>3.0</v>
      </c>
      <c r="M80" s="2" t="s">
        <v>747</v>
      </c>
      <c r="N80" s="69"/>
      <c r="S80" s="2" t="s">
        <v>748</v>
      </c>
      <c r="T80" s="2" t="s">
        <v>581</v>
      </c>
      <c r="U80" s="2" t="s">
        <v>581</v>
      </c>
      <c r="V80" s="2" t="s">
        <v>749</v>
      </c>
      <c r="W80" s="2" t="s">
        <v>581</v>
      </c>
      <c r="X80" s="2" t="s">
        <v>728</v>
      </c>
    </row>
    <row r="81">
      <c r="C81" s="42"/>
      <c r="D81" s="42"/>
      <c r="E81" s="42"/>
      <c r="F81" s="42"/>
      <c r="G81" s="14"/>
      <c r="H81" s="68"/>
      <c r="I81" s="2" t="s">
        <v>43</v>
      </c>
      <c r="J81" s="2">
        <v>1.0</v>
      </c>
      <c r="K81" s="2"/>
      <c r="L81" s="37">
        <v>3.0</v>
      </c>
      <c r="M81" s="2" t="s">
        <v>750</v>
      </c>
      <c r="N81" s="45" t="s">
        <v>331</v>
      </c>
      <c r="S81" s="2" t="s">
        <v>751</v>
      </c>
      <c r="T81" s="2" t="s">
        <v>309</v>
      </c>
      <c r="U81" s="2" t="s">
        <v>309</v>
      </c>
      <c r="V81" s="2" t="s">
        <v>309</v>
      </c>
      <c r="W81" s="2" t="s">
        <v>309</v>
      </c>
      <c r="X81" s="2" t="s">
        <v>309</v>
      </c>
    </row>
    <row r="82">
      <c r="A82" s="39" t="str">
        <f>"60,17,14,8"</f>
        <v>60,17,14,8</v>
      </c>
      <c r="C82" s="42" t="s">
        <v>753</v>
      </c>
      <c r="D82" s="42" t="s">
        <v>281</v>
      </c>
      <c r="E82" s="42" t="s">
        <v>338</v>
      </c>
      <c r="F82" s="42" t="s">
        <v>339</v>
      </c>
      <c r="G82" s="14"/>
      <c r="H82" s="68" t="s">
        <v>754</v>
      </c>
      <c r="I82" s="2" t="s">
        <v>43</v>
      </c>
      <c r="J82" s="2">
        <v>-2.0</v>
      </c>
      <c r="K82" s="2">
        <v>1.0</v>
      </c>
      <c r="L82" s="37">
        <v>1.65</v>
      </c>
      <c r="M82" s="2" t="s">
        <v>755</v>
      </c>
      <c r="N82" s="69"/>
      <c r="S82" s="2" t="s">
        <v>756</v>
      </c>
      <c r="T82" s="2" t="s">
        <v>581</v>
      </c>
      <c r="U82" s="2" t="s">
        <v>581</v>
      </c>
      <c r="V82" s="2" t="s">
        <v>757</v>
      </c>
      <c r="W82" s="2" t="s">
        <v>581</v>
      </c>
      <c r="X82" s="2" t="s">
        <v>602</v>
      </c>
    </row>
    <row r="83">
      <c r="C83" s="42"/>
      <c r="D83" s="42"/>
      <c r="E83" s="42"/>
      <c r="F83" s="42"/>
      <c r="G83" s="14"/>
      <c r="H83" s="68"/>
      <c r="I83" s="2" t="s">
        <v>43</v>
      </c>
      <c r="J83" s="2">
        <v>-2.0</v>
      </c>
      <c r="K83" s="2"/>
      <c r="L83" s="37">
        <v>1.55</v>
      </c>
      <c r="M83" s="2" t="s">
        <v>758</v>
      </c>
      <c r="N83" s="45" t="s">
        <v>647</v>
      </c>
      <c r="S83" s="2" t="s">
        <v>759</v>
      </c>
      <c r="T83" s="2" t="s">
        <v>309</v>
      </c>
      <c r="U83" s="2" t="s">
        <v>309</v>
      </c>
      <c r="V83" s="2" t="s">
        <v>309</v>
      </c>
      <c r="W83" s="2" t="s">
        <v>309</v>
      </c>
      <c r="X83" s="2" t="s">
        <v>309</v>
      </c>
    </row>
    <row r="84">
      <c r="A84" s="71" t="str">
        <f>"60,16,20"</f>
        <v>60,16,20</v>
      </c>
      <c r="C84" s="42" t="s">
        <v>753</v>
      </c>
      <c r="D84" s="42" t="s">
        <v>365</v>
      </c>
      <c r="E84" s="42" t="s">
        <v>413</v>
      </c>
      <c r="F84" s="42"/>
      <c r="G84" s="14"/>
      <c r="H84" s="68" t="s">
        <v>760</v>
      </c>
      <c r="I84" s="2" t="s">
        <v>43</v>
      </c>
      <c r="J84" s="2">
        <v>2.0</v>
      </c>
      <c r="K84" s="2">
        <v>1.0</v>
      </c>
      <c r="L84" s="37">
        <v>1.65</v>
      </c>
      <c r="M84" s="2" t="s">
        <v>762</v>
      </c>
      <c r="N84" s="69"/>
      <c r="S84" s="2" t="s">
        <v>763</v>
      </c>
      <c r="T84" s="2" t="s">
        <v>581</v>
      </c>
      <c r="U84" s="2" t="s">
        <v>581</v>
      </c>
      <c r="V84" s="2" t="s">
        <v>709</v>
      </c>
      <c r="W84" s="2" t="s">
        <v>581</v>
      </c>
      <c r="X84" s="2" t="s">
        <v>743</v>
      </c>
    </row>
    <row r="85">
      <c r="C85" s="42"/>
      <c r="D85" s="42"/>
      <c r="E85" s="42"/>
      <c r="F85" s="42"/>
      <c r="G85" s="14"/>
      <c r="H85" s="68"/>
      <c r="I85" s="2" t="s">
        <v>43</v>
      </c>
      <c r="J85" s="2">
        <v>1.0</v>
      </c>
      <c r="K85" s="2">
        <v>1.0</v>
      </c>
      <c r="L85" s="37">
        <v>3.15</v>
      </c>
      <c r="M85" s="2" t="s">
        <v>764</v>
      </c>
      <c r="N85" s="45" t="s">
        <v>331</v>
      </c>
      <c r="S85" s="2" t="s">
        <v>766</v>
      </c>
      <c r="T85" s="2" t="s">
        <v>309</v>
      </c>
      <c r="U85" s="2" t="s">
        <v>309</v>
      </c>
      <c r="V85" s="2" t="s">
        <v>309</v>
      </c>
      <c r="W85" s="2" t="s">
        <v>309</v>
      </c>
      <c r="X85" s="2" t="s">
        <v>309</v>
      </c>
    </row>
    <row r="86">
      <c r="A86" s="39" t="str">
        <f>"58,17,15,10"</f>
        <v>58,17,15,10</v>
      </c>
      <c r="C86" s="42" t="s">
        <v>276</v>
      </c>
      <c r="D86" s="42" t="s">
        <v>281</v>
      </c>
      <c r="E86" s="42" t="s">
        <v>396</v>
      </c>
      <c r="F86" s="42" t="s">
        <v>513</v>
      </c>
      <c r="G86" s="14"/>
      <c r="H86" s="68" t="s">
        <v>768</v>
      </c>
      <c r="I86" s="2" t="s">
        <v>43</v>
      </c>
      <c r="J86" s="2">
        <v>4.0</v>
      </c>
      <c r="K86" s="2">
        <v>1.0</v>
      </c>
      <c r="L86" s="37">
        <v>0.75</v>
      </c>
      <c r="M86" s="2" t="s">
        <v>769</v>
      </c>
      <c r="N86" s="69"/>
      <c r="S86" s="2" t="s">
        <v>770</v>
      </c>
      <c r="T86" s="2" t="s">
        <v>581</v>
      </c>
      <c r="U86" s="2" t="s">
        <v>581</v>
      </c>
      <c r="V86" s="2" t="s">
        <v>771</v>
      </c>
      <c r="W86" s="2" t="s">
        <v>581</v>
      </c>
      <c r="X86" s="2" t="s">
        <v>772</v>
      </c>
    </row>
    <row r="87">
      <c r="C87" s="42"/>
      <c r="D87" s="42"/>
      <c r="E87" s="42"/>
      <c r="F87" s="42"/>
      <c r="G87" s="14"/>
      <c r="H87" s="68"/>
      <c r="I87" s="2" t="s">
        <v>43</v>
      </c>
      <c r="J87" s="2">
        <v>-2.0</v>
      </c>
      <c r="K87" s="2">
        <v>1.0</v>
      </c>
      <c r="L87" s="37">
        <v>1.55</v>
      </c>
      <c r="M87" s="2" t="s">
        <v>773</v>
      </c>
      <c r="N87" s="45" t="s">
        <v>585</v>
      </c>
      <c r="S87" s="2" t="s">
        <v>774</v>
      </c>
      <c r="T87" s="2" t="s">
        <v>309</v>
      </c>
      <c r="U87" s="2" t="s">
        <v>309</v>
      </c>
      <c r="V87" s="2" t="s">
        <v>309</v>
      </c>
      <c r="W87" s="2" t="s">
        <v>309</v>
      </c>
      <c r="X87" s="2" t="s">
        <v>309</v>
      </c>
    </row>
    <row r="88">
      <c r="A88" s="39" t="str">
        <f>"16,2,1"</f>
        <v>16,2,1</v>
      </c>
      <c r="C88" s="42" t="s">
        <v>365</v>
      </c>
      <c r="D88" s="42" t="s">
        <v>314</v>
      </c>
      <c r="E88" s="42" t="s">
        <v>366</v>
      </c>
      <c r="F88" s="42"/>
      <c r="G88" s="14"/>
      <c r="H88" s="68" t="s">
        <v>776</v>
      </c>
      <c r="I88" s="2" t="s">
        <v>43</v>
      </c>
      <c r="J88" s="2">
        <v>3.0</v>
      </c>
      <c r="K88" s="2">
        <v>1.0</v>
      </c>
      <c r="L88" s="37">
        <v>1.05</v>
      </c>
      <c r="M88" s="2" t="s">
        <v>777</v>
      </c>
      <c r="N88" s="69"/>
      <c r="S88" s="2" t="s">
        <v>778</v>
      </c>
      <c r="T88" s="2" t="s">
        <v>581</v>
      </c>
      <c r="U88" s="2" t="s">
        <v>581</v>
      </c>
      <c r="V88" s="2" t="s">
        <v>779</v>
      </c>
      <c r="W88" s="2" t="s">
        <v>581</v>
      </c>
      <c r="X88" s="2" t="s">
        <v>780</v>
      </c>
    </row>
    <row r="89">
      <c r="C89" s="42"/>
      <c r="D89" s="42"/>
      <c r="E89" s="42"/>
      <c r="F89" s="42"/>
      <c r="G89" s="14"/>
      <c r="H89" s="68"/>
      <c r="I89" s="2" t="s">
        <v>43</v>
      </c>
      <c r="J89" s="2">
        <v>-1.0</v>
      </c>
      <c r="K89" s="2"/>
      <c r="L89" s="37">
        <v>3.0</v>
      </c>
      <c r="M89" s="2" t="s">
        <v>781</v>
      </c>
      <c r="N89" s="45" t="s">
        <v>656</v>
      </c>
      <c r="S89" s="2" t="s">
        <v>782</v>
      </c>
      <c r="T89" s="2" t="s">
        <v>309</v>
      </c>
      <c r="U89" s="2" t="s">
        <v>309</v>
      </c>
      <c r="V89" s="2" t="s">
        <v>309</v>
      </c>
      <c r="W89" s="2" t="s">
        <v>309</v>
      </c>
      <c r="X89" s="2" t="s">
        <v>309</v>
      </c>
    </row>
    <row r="90">
      <c r="I90" s="69"/>
      <c r="J90" s="69"/>
      <c r="K90" s="69"/>
      <c r="L90" s="69"/>
      <c r="M90" s="69"/>
      <c r="N90" s="69"/>
    </row>
    <row r="91">
      <c r="N91" s="69"/>
    </row>
    <row r="92">
      <c r="C92" s="2" t="s">
        <v>2</v>
      </c>
      <c r="D92" s="4" t="s">
        <v>9</v>
      </c>
      <c r="E92" s="4">
        <v>1.0</v>
      </c>
      <c r="F92" s="4">
        <v>2.0</v>
      </c>
      <c r="G92" s="4">
        <v>3.0</v>
      </c>
      <c r="H92" s="4">
        <v>4.0</v>
      </c>
      <c r="I92" s="68">
        <v>5.0</v>
      </c>
      <c r="J92" s="69"/>
      <c r="K92" s="69"/>
      <c r="L92" s="69"/>
      <c r="M92" s="69"/>
      <c r="N92" s="69"/>
    </row>
    <row r="93">
      <c r="D93" s="4" t="s">
        <v>15</v>
      </c>
      <c r="E93" s="13">
        <v>4.8</v>
      </c>
      <c r="F93" s="13">
        <v>2.4</v>
      </c>
      <c r="G93" s="13">
        <v>1.6</v>
      </c>
      <c r="H93" s="13">
        <v>1.2</v>
      </c>
      <c r="I93" s="88">
        <v>1.0</v>
      </c>
      <c r="J93" s="69"/>
      <c r="K93" s="69"/>
      <c r="L93" s="69"/>
      <c r="M93" s="69"/>
      <c r="N93" s="69"/>
    </row>
    <row r="94">
      <c r="D94" s="4" t="s">
        <v>33</v>
      </c>
      <c r="E94" s="13">
        <v>3.8</v>
      </c>
      <c r="F94" s="13">
        <v>1.9</v>
      </c>
      <c r="G94" s="13">
        <v>1.25</v>
      </c>
      <c r="H94" s="13">
        <v>0.95</v>
      </c>
      <c r="I94" s="88">
        <v>0.75</v>
      </c>
      <c r="J94" s="2"/>
      <c r="K94" s="2"/>
      <c r="N94" s="69"/>
    </row>
    <row r="95">
      <c r="D95" s="4" t="s">
        <v>43</v>
      </c>
      <c r="E95" s="13">
        <v>3.0</v>
      </c>
      <c r="F95" s="13">
        <v>1.55</v>
      </c>
      <c r="G95" s="13">
        <v>1.05</v>
      </c>
      <c r="H95" s="13">
        <v>0.75</v>
      </c>
      <c r="I95" s="88">
        <v>0.6</v>
      </c>
      <c r="J95" s="2"/>
      <c r="K95" s="2"/>
      <c r="N95" s="69"/>
    </row>
    <row r="96">
      <c r="I96" s="69"/>
      <c r="J96" s="69"/>
      <c r="K96" s="69"/>
      <c r="L96" s="69"/>
      <c r="M96" s="69"/>
      <c r="N96" s="69"/>
    </row>
    <row r="98">
      <c r="C98" s="2" t="s">
        <v>81</v>
      </c>
      <c r="D98" s="4" t="s">
        <v>9</v>
      </c>
      <c r="E98" s="4">
        <v>1.0</v>
      </c>
      <c r="F98" s="4">
        <v>2.0</v>
      </c>
      <c r="G98" s="4">
        <v>3.0</v>
      </c>
      <c r="H98" s="4">
        <v>4.0</v>
      </c>
      <c r="I98" s="14"/>
    </row>
    <row r="99">
      <c r="D99" s="4" t="s">
        <v>15</v>
      </c>
      <c r="E99" s="13">
        <v>5.0</v>
      </c>
      <c r="F99" s="13">
        <v>2.5</v>
      </c>
      <c r="G99" s="13">
        <v>1.7</v>
      </c>
      <c r="H99" s="13">
        <v>1.25</v>
      </c>
      <c r="I99" s="13">
        <v>1.1</v>
      </c>
    </row>
    <row r="100">
      <c r="D100" s="4" t="s">
        <v>33</v>
      </c>
      <c r="E100" s="13">
        <v>4.0</v>
      </c>
      <c r="F100" s="13">
        <v>2.0</v>
      </c>
      <c r="G100" s="13">
        <v>1.3</v>
      </c>
      <c r="H100" s="13">
        <v>1.0</v>
      </c>
      <c r="I100" s="13">
        <v>0.85</v>
      </c>
    </row>
    <row r="101">
      <c r="D101" s="4" t="s">
        <v>43</v>
      </c>
      <c r="E101" s="13">
        <v>3.15</v>
      </c>
      <c r="F101" s="13">
        <v>1.65</v>
      </c>
      <c r="G101" s="13">
        <v>1.1</v>
      </c>
      <c r="H101" s="13">
        <v>0.8</v>
      </c>
      <c r="I101" s="13">
        <v>0.65</v>
      </c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  <c r="AG107" s="89"/>
      <c r="AH107" s="89"/>
      <c r="AI107" s="89"/>
    </row>
    <row r="108">
      <c r="B108" s="2" t="s">
        <v>789</v>
      </c>
      <c r="C108" s="2" t="s">
        <v>790</v>
      </c>
      <c r="D108" s="2" t="s">
        <v>43</v>
      </c>
    </row>
    <row r="109">
      <c r="B109" s="2" t="s">
        <v>789</v>
      </c>
      <c r="C109" s="2" t="s">
        <v>791</v>
      </c>
      <c r="D109" s="2" t="s">
        <v>33</v>
      </c>
    </row>
    <row r="110">
      <c r="B110" s="2" t="s">
        <v>789</v>
      </c>
      <c r="C110" s="2" t="s">
        <v>792</v>
      </c>
      <c r="D110" s="2" t="s">
        <v>33</v>
      </c>
    </row>
    <row r="111">
      <c r="B111" s="2" t="s">
        <v>789</v>
      </c>
      <c r="C111" s="2" t="s">
        <v>793</v>
      </c>
      <c r="D111" s="2" t="s">
        <v>15</v>
      </c>
    </row>
    <row r="112">
      <c r="B112" s="2" t="s">
        <v>794</v>
      </c>
      <c r="C112" s="2" t="s">
        <v>795</v>
      </c>
      <c r="D112" s="2" t="s">
        <v>43</v>
      </c>
    </row>
    <row r="113">
      <c r="B113" s="2" t="s">
        <v>794</v>
      </c>
      <c r="C113" s="2" t="s">
        <v>797</v>
      </c>
      <c r="D113" s="2" t="s">
        <v>33</v>
      </c>
    </row>
    <row r="114">
      <c r="B114" s="2" t="s">
        <v>794</v>
      </c>
      <c r="C114" s="2" t="s">
        <v>798</v>
      </c>
      <c r="D114" s="2" t="s">
        <v>33</v>
      </c>
    </row>
    <row r="115">
      <c r="B115" s="2" t="s">
        <v>794</v>
      </c>
      <c r="C115" s="2" t="s">
        <v>800</v>
      </c>
      <c r="D115" s="2" t="s">
        <v>15</v>
      </c>
    </row>
    <row r="116">
      <c r="B116" s="2" t="s">
        <v>801</v>
      </c>
      <c r="C116" s="2" t="s">
        <v>802</v>
      </c>
      <c r="D116" s="2" t="s">
        <v>43</v>
      </c>
    </row>
    <row r="117">
      <c r="B117" s="2" t="s">
        <v>801</v>
      </c>
      <c r="C117" s="2" t="s">
        <v>803</v>
      </c>
      <c r="D117" s="2" t="s">
        <v>33</v>
      </c>
    </row>
    <row r="118">
      <c r="B118" s="2" t="s">
        <v>801</v>
      </c>
      <c r="C118" s="2" t="s">
        <v>804</v>
      </c>
      <c r="D118" s="2" t="s">
        <v>33</v>
      </c>
    </row>
    <row r="119">
      <c r="B119" s="2" t="s">
        <v>801</v>
      </c>
      <c r="C119" s="2" t="s">
        <v>805</v>
      </c>
      <c r="D119" s="2" t="s">
        <v>15</v>
      </c>
    </row>
    <row r="120">
      <c r="C120" s="2" t="s">
        <v>806</v>
      </c>
      <c r="E120" s="2" t="s">
        <v>807</v>
      </c>
    </row>
    <row r="122">
      <c r="B122" s="2" t="s">
        <v>43</v>
      </c>
      <c r="C122" s="2" t="s">
        <v>43</v>
      </c>
      <c r="D122" s="2" t="s">
        <v>43</v>
      </c>
      <c r="E122" s="2" t="s">
        <v>33</v>
      </c>
      <c r="F122" s="2" t="s">
        <v>33</v>
      </c>
      <c r="G122" s="2" t="s">
        <v>15</v>
      </c>
    </row>
    <row r="123">
      <c r="C123" s="2" t="s">
        <v>808</v>
      </c>
      <c r="D123" s="2" t="s">
        <v>809</v>
      </c>
      <c r="E123" s="2" t="s">
        <v>811</v>
      </c>
      <c r="F123" s="2" t="s">
        <v>812</v>
      </c>
      <c r="G123" s="2" t="s">
        <v>813</v>
      </c>
    </row>
    <row r="124">
      <c r="B124" s="2" t="s">
        <v>814</v>
      </c>
      <c r="C124" s="2" t="s">
        <v>815</v>
      </c>
      <c r="D124" s="2" t="s">
        <v>816</v>
      </c>
      <c r="E124" s="2" t="s">
        <v>817</v>
      </c>
      <c r="F124" s="2" t="s">
        <v>818</v>
      </c>
      <c r="G124" s="2" t="s">
        <v>819</v>
      </c>
    </row>
    <row r="125">
      <c r="B125" s="2" t="s">
        <v>820</v>
      </c>
      <c r="C125" s="2" t="s">
        <v>821</v>
      </c>
      <c r="D125" s="2" t="s">
        <v>822</v>
      </c>
      <c r="E125" s="2" t="s">
        <v>823</v>
      </c>
      <c r="F125" s="2" t="s">
        <v>824</v>
      </c>
      <c r="G125" s="2" t="s">
        <v>825</v>
      </c>
    </row>
    <row r="126">
      <c r="B126" s="2" t="s">
        <v>826</v>
      </c>
      <c r="C126" s="2" t="s">
        <v>827</v>
      </c>
      <c r="D126" s="2" t="s">
        <v>828</v>
      </c>
      <c r="E126" s="2" t="s">
        <v>829</v>
      </c>
      <c r="F126" s="2" t="s">
        <v>830</v>
      </c>
      <c r="G126" s="2" t="s">
        <v>831</v>
      </c>
    </row>
    <row r="127">
      <c r="B127" s="2" t="s">
        <v>832</v>
      </c>
      <c r="C127" s="2" t="s">
        <v>833</v>
      </c>
      <c r="D127" s="2" t="s">
        <v>834</v>
      </c>
      <c r="E127" s="2" t="s">
        <v>835</v>
      </c>
      <c r="F127" s="2" t="s">
        <v>836</v>
      </c>
      <c r="G127" s="2" t="s">
        <v>837</v>
      </c>
    </row>
    <row r="128">
      <c r="B128" s="2" t="s">
        <v>838</v>
      </c>
      <c r="C128" s="2" t="s">
        <v>839</v>
      </c>
      <c r="D128" s="2" t="s">
        <v>840</v>
      </c>
      <c r="E128" s="2" t="s">
        <v>842</v>
      </c>
      <c r="F128" s="2" t="s">
        <v>843</v>
      </c>
      <c r="G128" s="2" t="s">
        <v>844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235</v>
      </c>
      <c r="B1" s="40" t="s">
        <v>240</v>
      </c>
      <c r="C1" s="40" t="s">
        <v>68</v>
      </c>
      <c r="D1" s="40" t="s">
        <v>250</v>
      </c>
      <c r="E1" s="40" t="s">
        <v>252</v>
      </c>
      <c r="F1" s="40" t="s">
        <v>254</v>
      </c>
      <c r="G1" s="40" t="s">
        <v>256</v>
      </c>
      <c r="H1" s="40" t="s">
        <v>259</v>
      </c>
      <c r="I1" s="40" t="s">
        <v>73</v>
      </c>
      <c r="J1" s="40" t="s">
        <v>263</v>
      </c>
      <c r="K1" s="40" t="s">
        <v>265</v>
      </c>
      <c r="L1" s="40" t="s">
        <v>267</v>
      </c>
      <c r="M1" s="40" t="s">
        <v>269</v>
      </c>
      <c r="N1" s="40" t="s">
        <v>270</v>
      </c>
      <c r="O1" s="40" t="s">
        <v>271</v>
      </c>
      <c r="P1" s="40" t="s">
        <v>272</v>
      </c>
      <c r="Q1" s="40" t="s">
        <v>273</v>
      </c>
      <c r="R1" s="40" t="s">
        <v>274</v>
      </c>
      <c r="S1" s="41" t="s">
        <v>275</v>
      </c>
      <c r="T1" s="41" t="s">
        <v>277</v>
      </c>
      <c r="U1" s="41" t="s">
        <v>278</v>
      </c>
      <c r="V1" s="41" t="s">
        <v>279</v>
      </c>
      <c r="W1" s="41" t="s">
        <v>280</v>
      </c>
    </row>
    <row r="2">
      <c r="A2" s="4" t="s">
        <v>64</v>
      </c>
      <c r="B2" s="4">
        <v>99.0</v>
      </c>
      <c r="C2" s="14"/>
      <c r="D2" s="14"/>
      <c r="E2" s="43">
        <v>2.0</v>
      </c>
      <c r="F2" s="14"/>
      <c r="G2" s="14"/>
      <c r="H2" s="14"/>
      <c r="I2" s="14"/>
      <c r="J2" s="14"/>
      <c r="K2" s="14"/>
      <c r="L2" s="14"/>
      <c r="M2" s="14"/>
      <c r="N2" s="14"/>
      <c r="O2" s="46">
        <v>0.002</v>
      </c>
      <c r="P2" s="14"/>
      <c r="Q2" s="14"/>
      <c r="R2" s="14"/>
      <c r="S2" s="46">
        <v>0.003</v>
      </c>
      <c r="T2" s="14"/>
      <c r="U2" s="14"/>
      <c r="V2" s="14"/>
      <c r="W2" s="14"/>
    </row>
    <row r="3">
      <c r="A3" s="4" t="s">
        <v>72</v>
      </c>
      <c r="B3" s="4">
        <v>99.0</v>
      </c>
      <c r="C3" s="4">
        <v>20.0</v>
      </c>
      <c r="D3" s="14"/>
      <c r="E3" s="14"/>
      <c r="F3" s="4">
        <v>3.0</v>
      </c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46">
        <v>0.005</v>
      </c>
      <c r="U3" s="14"/>
      <c r="V3" s="14"/>
      <c r="W3" s="14"/>
    </row>
    <row r="4">
      <c r="A4" s="4" t="s">
        <v>80</v>
      </c>
      <c r="B4" s="4">
        <v>99.0</v>
      </c>
      <c r="C4" s="14"/>
      <c r="D4" s="14"/>
      <c r="E4" s="14"/>
      <c r="F4" s="14"/>
      <c r="G4" s="14"/>
      <c r="H4" s="46">
        <v>0.002</v>
      </c>
      <c r="I4" s="14"/>
      <c r="J4" s="14"/>
      <c r="K4" s="4"/>
      <c r="L4" s="14"/>
      <c r="M4" s="14"/>
      <c r="N4" s="14"/>
      <c r="O4" s="46">
        <v>0.004</v>
      </c>
      <c r="P4" s="14"/>
      <c r="Q4" s="48">
        <v>5.0E-4</v>
      </c>
      <c r="R4" s="14"/>
      <c r="S4" s="14"/>
      <c r="T4" s="14"/>
      <c r="U4" s="14"/>
      <c r="V4" s="14"/>
      <c r="W4" s="14"/>
    </row>
    <row r="5">
      <c r="A5" s="4" t="s">
        <v>84</v>
      </c>
      <c r="B5" s="4">
        <v>99.0</v>
      </c>
      <c r="C5" s="14"/>
      <c r="D5" s="4">
        <v>2.0</v>
      </c>
      <c r="E5" s="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48">
        <v>2.5E-4</v>
      </c>
      <c r="R5" s="14"/>
      <c r="S5" s="14"/>
      <c r="T5" s="14"/>
      <c r="U5" s="4">
        <v>2.0</v>
      </c>
      <c r="V5" s="14"/>
      <c r="W5" s="14"/>
    </row>
    <row r="6">
      <c r="A6" s="4" t="s">
        <v>90</v>
      </c>
      <c r="B6" s="4">
        <v>99.0</v>
      </c>
      <c r="C6" s="14"/>
      <c r="D6" s="4">
        <v>1.0</v>
      </c>
      <c r="E6" s="14"/>
      <c r="F6" s="14"/>
      <c r="G6" s="14"/>
      <c r="H6" s="46">
        <v>0.001</v>
      </c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46">
        <v>1.0E-4</v>
      </c>
      <c r="W6" s="14"/>
    </row>
    <row r="7">
      <c r="A7" s="4" t="s">
        <v>93</v>
      </c>
      <c r="B7" s="4">
        <v>99.0</v>
      </c>
      <c r="C7" s="14"/>
      <c r="D7" s="14"/>
      <c r="E7" s="4">
        <v>1.0</v>
      </c>
      <c r="F7" s="14"/>
      <c r="G7" s="4">
        <v>3.0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 t="s">
        <v>284</v>
      </c>
      <c r="B1" s="3" t="s">
        <v>64</v>
      </c>
      <c r="C1" s="3" t="s">
        <v>72</v>
      </c>
      <c r="D1" s="3" t="s">
        <v>80</v>
      </c>
      <c r="E1" s="3" t="s">
        <v>84</v>
      </c>
      <c r="F1" s="3" t="s">
        <v>90</v>
      </c>
      <c r="G1" s="3" t="s">
        <v>93</v>
      </c>
      <c r="H1" s="3" t="s">
        <v>288</v>
      </c>
    </row>
    <row r="2">
      <c r="A2" s="4" t="s">
        <v>289</v>
      </c>
      <c r="B2" s="4">
        <v>99.0</v>
      </c>
      <c r="C2" s="14"/>
      <c r="D2" s="14"/>
      <c r="E2" s="14"/>
      <c r="F2" s="14"/>
      <c r="G2" s="14"/>
      <c r="H2" s="4">
        <v>9900.0</v>
      </c>
    </row>
    <row r="3">
      <c r="A3" s="4" t="s">
        <v>291</v>
      </c>
      <c r="B3" s="14"/>
      <c r="C3" s="4">
        <v>99.0</v>
      </c>
      <c r="D3" s="14"/>
      <c r="E3" s="14"/>
      <c r="F3" s="14"/>
      <c r="G3" s="14"/>
      <c r="H3" s="14">
        <f t="shared" ref="H3:H17" si="1">H2+1</f>
        <v>9901</v>
      </c>
    </row>
    <row r="4">
      <c r="A4" s="4" t="s">
        <v>312</v>
      </c>
      <c r="B4" s="14"/>
      <c r="C4" s="14"/>
      <c r="D4" s="4">
        <v>99.0</v>
      </c>
      <c r="E4" s="14"/>
      <c r="F4" s="14"/>
      <c r="G4" s="14"/>
      <c r="H4" s="14">
        <f t="shared" si="1"/>
        <v>9902</v>
      </c>
    </row>
    <row r="5">
      <c r="A5" s="4" t="s">
        <v>318</v>
      </c>
      <c r="B5" s="14"/>
      <c r="C5" s="14"/>
      <c r="D5" s="14"/>
      <c r="E5" s="4">
        <v>99.0</v>
      </c>
      <c r="F5" s="14"/>
      <c r="G5" s="14"/>
      <c r="H5" s="14">
        <f t="shared" si="1"/>
        <v>9903</v>
      </c>
    </row>
    <row r="6">
      <c r="A6" s="4" t="s">
        <v>326</v>
      </c>
      <c r="B6" s="14"/>
      <c r="C6" s="14"/>
      <c r="D6" s="14"/>
      <c r="E6" s="14"/>
      <c r="F6" s="4">
        <v>99.0</v>
      </c>
      <c r="G6" s="14"/>
      <c r="H6" s="14">
        <f t="shared" si="1"/>
        <v>9904</v>
      </c>
    </row>
    <row r="7">
      <c r="A7" s="4" t="s">
        <v>329</v>
      </c>
      <c r="B7" s="14"/>
      <c r="C7" s="14"/>
      <c r="D7" s="14"/>
      <c r="E7" s="14"/>
      <c r="F7" s="14"/>
      <c r="G7" s="4">
        <v>99.0</v>
      </c>
      <c r="H7" s="14">
        <f t="shared" si="1"/>
        <v>9905</v>
      </c>
    </row>
    <row r="8">
      <c r="A8" s="4" t="s">
        <v>332</v>
      </c>
      <c r="B8" s="4">
        <v>20.0</v>
      </c>
      <c r="C8" s="14"/>
      <c r="D8" s="14"/>
      <c r="E8" s="14"/>
      <c r="F8" s="14"/>
      <c r="G8" s="14"/>
      <c r="H8" s="14">
        <f t="shared" si="1"/>
        <v>9906</v>
      </c>
    </row>
    <row r="9">
      <c r="A9" s="4" t="s">
        <v>336</v>
      </c>
      <c r="B9" s="14"/>
      <c r="C9" s="4">
        <v>20.0</v>
      </c>
      <c r="D9" s="14"/>
      <c r="E9" s="14"/>
      <c r="F9" s="14"/>
      <c r="G9" s="14"/>
      <c r="H9" s="14">
        <f t="shared" si="1"/>
        <v>9907</v>
      </c>
    </row>
    <row r="10">
      <c r="A10" s="4" t="s">
        <v>337</v>
      </c>
      <c r="B10" s="14"/>
      <c r="C10" s="14"/>
      <c r="D10" s="4">
        <v>20.0</v>
      </c>
      <c r="E10" s="14"/>
      <c r="F10" s="14"/>
      <c r="G10" s="14"/>
      <c r="H10" s="14">
        <f t="shared" si="1"/>
        <v>9908</v>
      </c>
    </row>
    <row r="11">
      <c r="A11" s="4" t="s">
        <v>342</v>
      </c>
      <c r="B11" s="14"/>
      <c r="C11" s="14"/>
      <c r="D11" s="14"/>
      <c r="E11" s="4">
        <v>20.0</v>
      </c>
      <c r="F11" s="14"/>
      <c r="G11" s="14"/>
      <c r="H11" s="14">
        <f t="shared" si="1"/>
        <v>9909</v>
      </c>
    </row>
    <row r="12">
      <c r="A12" s="4" t="s">
        <v>348</v>
      </c>
      <c r="B12" s="14"/>
      <c r="C12" s="14"/>
      <c r="D12" s="14"/>
      <c r="E12" s="14"/>
      <c r="F12" s="4">
        <v>20.0</v>
      </c>
      <c r="G12" s="14"/>
      <c r="H12" s="14">
        <f t="shared" si="1"/>
        <v>9910</v>
      </c>
    </row>
    <row r="13">
      <c r="A13" s="4" t="s">
        <v>354</v>
      </c>
      <c r="B13" s="14"/>
      <c r="C13" s="14"/>
      <c r="D13" s="14"/>
      <c r="E13" s="14"/>
      <c r="F13" s="14"/>
      <c r="G13" s="4">
        <v>20.0</v>
      </c>
      <c r="H13" s="14">
        <f t="shared" si="1"/>
        <v>9911</v>
      </c>
    </row>
    <row r="14">
      <c r="A14" s="4" t="s">
        <v>355</v>
      </c>
      <c r="B14" s="4">
        <v>69.0</v>
      </c>
      <c r="C14" s="14"/>
      <c r="D14" s="14"/>
      <c r="E14" s="14"/>
      <c r="F14" s="14"/>
      <c r="G14" s="4">
        <v>69.0</v>
      </c>
      <c r="H14" s="14">
        <f t="shared" si="1"/>
        <v>9912</v>
      </c>
    </row>
    <row r="15">
      <c r="A15" s="4" t="s">
        <v>359</v>
      </c>
      <c r="B15" s="14"/>
      <c r="C15" s="14"/>
      <c r="D15" s="14"/>
      <c r="E15" s="4">
        <v>69.0</v>
      </c>
      <c r="F15" s="4">
        <v>69.0</v>
      </c>
      <c r="G15" s="14"/>
      <c r="H15" s="14">
        <f t="shared" si="1"/>
        <v>9913</v>
      </c>
    </row>
    <row r="16">
      <c r="A16" s="4" t="s">
        <v>362</v>
      </c>
      <c r="B16" s="14"/>
      <c r="C16" s="4">
        <v>69.0</v>
      </c>
      <c r="D16" s="14"/>
      <c r="E16" s="14"/>
      <c r="F16" s="14"/>
      <c r="G16" s="4">
        <v>69.0</v>
      </c>
      <c r="H16" s="14">
        <f t="shared" si="1"/>
        <v>9914</v>
      </c>
    </row>
    <row r="17">
      <c r="A17" s="4" t="s">
        <v>363</v>
      </c>
      <c r="B17" s="14"/>
      <c r="C17" s="14"/>
      <c r="D17" s="4">
        <v>99.0</v>
      </c>
      <c r="E17" s="14"/>
      <c r="F17" s="4">
        <v>49.0</v>
      </c>
      <c r="G17" s="14"/>
      <c r="H17" s="14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0"/>
      <c r="D1" s="50"/>
      <c r="E1" s="51"/>
      <c r="F1" s="51"/>
      <c r="G1" s="51"/>
      <c r="H1" s="51"/>
      <c r="I1" s="51"/>
      <c r="J1" s="51"/>
      <c r="K1" s="51"/>
      <c r="L1" s="51"/>
      <c r="N1" s="52"/>
      <c r="P1" s="53"/>
      <c r="Q1" s="53"/>
      <c r="R1" s="53"/>
      <c r="V1" s="51"/>
    </row>
    <row r="2">
      <c r="A2" s="3" t="s">
        <v>449</v>
      </c>
      <c r="B2" s="3" t="s">
        <v>454</v>
      </c>
      <c r="C2" s="40" t="s">
        <v>455</v>
      </c>
      <c r="D2" s="40" t="s">
        <v>456</v>
      </c>
      <c r="E2" s="40" t="s">
        <v>457</v>
      </c>
      <c r="F2" s="40" t="s">
        <v>458</v>
      </c>
      <c r="G2" s="40" t="s">
        <v>461</v>
      </c>
      <c r="H2" s="40" t="s">
        <v>462</v>
      </c>
      <c r="I2" s="40" t="s">
        <v>265</v>
      </c>
      <c r="J2" s="40" t="s">
        <v>465</v>
      </c>
      <c r="K2" s="40" t="s">
        <v>466</v>
      </c>
      <c r="L2" s="40" t="s">
        <v>468</v>
      </c>
      <c r="M2" s="3" t="s">
        <v>469</v>
      </c>
      <c r="N2" s="54" t="s">
        <v>470</v>
      </c>
      <c r="O2" s="3" t="s">
        <v>471</v>
      </c>
      <c r="P2" s="56" t="s">
        <v>472</v>
      </c>
      <c r="Q2" s="56" t="s">
        <v>479</v>
      </c>
      <c r="R2" s="56" t="s">
        <v>483</v>
      </c>
      <c r="S2" s="56" t="s">
        <v>484</v>
      </c>
      <c r="T2" s="3" t="s">
        <v>485</v>
      </c>
      <c r="U2" s="56" t="s">
        <v>486</v>
      </c>
      <c r="V2" s="43" t="s">
        <v>487</v>
      </c>
      <c r="W2" s="3" t="s">
        <v>489</v>
      </c>
      <c r="X2" s="3" t="s">
        <v>491</v>
      </c>
      <c r="Y2" s="3" t="s">
        <v>493</v>
      </c>
      <c r="Z2" s="6" t="s">
        <v>495</v>
      </c>
      <c r="AA2" s="8"/>
      <c r="AB2" s="8"/>
      <c r="AC2" s="8"/>
      <c r="AD2" s="9"/>
    </row>
    <row r="3">
      <c r="A3" s="4">
        <v>110000.0</v>
      </c>
      <c r="B3" s="4" t="s">
        <v>502</v>
      </c>
      <c r="C3" s="43">
        <v>1.0</v>
      </c>
      <c r="D3" s="43"/>
      <c r="E3" s="57"/>
      <c r="F3" s="43">
        <v>1.0</v>
      </c>
      <c r="G3" s="43"/>
      <c r="H3" s="57"/>
      <c r="I3" s="43"/>
      <c r="J3" s="43"/>
      <c r="K3" s="43"/>
      <c r="L3" s="43"/>
      <c r="M3" s="4"/>
      <c r="N3" s="58"/>
      <c r="O3" s="4"/>
      <c r="P3" s="59"/>
      <c r="Q3" s="59"/>
      <c r="R3" s="59"/>
      <c r="S3" s="14"/>
      <c r="T3" s="14"/>
      <c r="U3" s="14"/>
      <c r="V3" s="57"/>
      <c r="W3" s="4"/>
      <c r="X3" s="4"/>
      <c r="Y3" s="4"/>
      <c r="Z3" s="60" t="s">
        <v>523</v>
      </c>
      <c r="AA3" s="8"/>
      <c r="AB3" s="8"/>
      <c r="AC3" s="8"/>
      <c r="AD3" s="9"/>
    </row>
    <row r="4">
      <c r="A4" s="4">
        <v>110001.0</v>
      </c>
      <c r="B4" s="4" t="s">
        <v>25</v>
      </c>
      <c r="C4" s="43">
        <v>1.0</v>
      </c>
      <c r="D4" s="43"/>
      <c r="E4" s="57"/>
      <c r="F4" s="43">
        <v>1.0</v>
      </c>
      <c r="G4" s="43">
        <v>1.9</v>
      </c>
      <c r="H4" s="57"/>
      <c r="I4" s="43"/>
      <c r="J4" s="43"/>
      <c r="K4" s="43"/>
      <c r="L4" s="43"/>
      <c r="M4" s="4" t="s">
        <v>527</v>
      </c>
      <c r="N4" s="58"/>
      <c r="O4" s="4"/>
      <c r="P4" s="59"/>
      <c r="Q4" s="59"/>
      <c r="R4" s="59"/>
      <c r="S4" s="14"/>
      <c r="T4" s="14"/>
      <c r="U4" s="14"/>
      <c r="V4" s="57"/>
      <c r="W4" s="4"/>
      <c r="X4" s="4"/>
      <c r="Y4" s="4" t="s">
        <v>529</v>
      </c>
      <c r="Z4" s="60" t="s">
        <v>530</v>
      </c>
      <c r="AA4" s="8"/>
      <c r="AB4" s="8"/>
      <c r="AC4" s="8"/>
      <c r="AD4" s="9"/>
    </row>
    <row r="5">
      <c r="A5" s="4">
        <v>110002.0</v>
      </c>
      <c r="B5" s="4" t="s">
        <v>533</v>
      </c>
      <c r="C5" s="43">
        <v>2.0</v>
      </c>
      <c r="D5" s="43">
        <v>1.0</v>
      </c>
      <c r="E5" s="57"/>
      <c r="F5" s="43">
        <v>1.0</v>
      </c>
      <c r="G5" s="43">
        <v>0.9</v>
      </c>
      <c r="H5" s="57"/>
      <c r="I5" s="43"/>
      <c r="J5" s="43"/>
      <c r="K5" s="43"/>
      <c r="L5" s="43"/>
      <c r="M5" s="4" t="s">
        <v>527</v>
      </c>
      <c r="N5" s="58"/>
      <c r="O5" s="4"/>
      <c r="P5" s="59"/>
      <c r="Q5" s="59"/>
      <c r="R5" s="59"/>
      <c r="S5" s="14"/>
      <c r="T5" s="14"/>
      <c r="U5" s="14"/>
      <c r="V5" s="57"/>
      <c r="W5" s="4"/>
      <c r="X5" s="4"/>
      <c r="Y5" s="4" t="s">
        <v>529</v>
      </c>
      <c r="Z5" s="60" t="s">
        <v>541</v>
      </c>
      <c r="AA5" s="8"/>
      <c r="AB5" s="8"/>
      <c r="AC5" s="8"/>
      <c r="AD5" s="9"/>
    </row>
    <row r="6">
      <c r="A6" s="4">
        <v>110003.0</v>
      </c>
      <c r="B6" s="4" t="s">
        <v>544</v>
      </c>
      <c r="C6" s="43">
        <v>3.0</v>
      </c>
      <c r="D6" s="43">
        <v>1.0</v>
      </c>
      <c r="E6" s="57"/>
      <c r="F6" s="43">
        <v>1.0</v>
      </c>
      <c r="G6" s="43">
        <v>0.8</v>
      </c>
      <c r="H6" s="43"/>
      <c r="I6" s="43"/>
      <c r="J6" s="43"/>
      <c r="K6" s="43"/>
      <c r="L6" s="43"/>
      <c r="M6" s="4" t="s">
        <v>527</v>
      </c>
      <c r="N6" s="58"/>
      <c r="O6" s="4"/>
      <c r="P6" s="59"/>
      <c r="Q6" s="59"/>
      <c r="R6" s="59"/>
      <c r="S6" s="14"/>
      <c r="T6" s="14"/>
      <c r="U6" s="14"/>
      <c r="V6" s="57"/>
      <c r="W6" s="61"/>
      <c r="X6" s="4"/>
      <c r="Y6" s="4" t="s">
        <v>529</v>
      </c>
      <c r="Z6" s="60" t="s">
        <v>551</v>
      </c>
      <c r="AA6" s="8"/>
      <c r="AB6" s="8"/>
      <c r="AC6" s="8"/>
      <c r="AD6" s="9"/>
    </row>
    <row r="7">
      <c r="A7" s="4">
        <v>110004.0</v>
      </c>
      <c r="B7" s="4" t="s">
        <v>213</v>
      </c>
      <c r="C7" s="43">
        <v>3.0</v>
      </c>
      <c r="D7" s="43">
        <v>1.0</v>
      </c>
      <c r="E7" s="57"/>
      <c r="F7" s="43"/>
      <c r="G7" s="43">
        <v>1.7</v>
      </c>
      <c r="H7" s="43"/>
      <c r="I7" s="43"/>
      <c r="J7" s="43"/>
      <c r="K7" s="43"/>
      <c r="L7" s="43"/>
      <c r="M7" s="4" t="s">
        <v>527</v>
      </c>
      <c r="N7" s="58"/>
      <c r="O7" s="4"/>
      <c r="P7" s="59"/>
      <c r="Q7" s="59"/>
      <c r="R7" s="59"/>
      <c r="S7" s="14"/>
      <c r="T7" s="14"/>
      <c r="U7" s="14"/>
      <c r="V7" s="57"/>
      <c r="W7" s="61"/>
      <c r="X7" s="4"/>
      <c r="Y7" s="4" t="s">
        <v>529</v>
      </c>
      <c r="Z7" s="62" t="s">
        <v>214</v>
      </c>
      <c r="AA7" s="19"/>
      <c r="AB7" s="19"/>
      <c r="AC7" s="19"/>
      <c r="AD7" s="20"/>
    </row>
    <row r="8">
      <c r="A8" s="4">
        <v>110011.0</v>
      </c>
      <c r="B8" s="4" t="s">
        <v>41</v>
      </c>
      <c r="C8" s="43">
        <v>1.0</v>
      </c>
      <c r="D8" s="43"/>
      <c r="E8" s="57"/>
      <c r="F8" s="43">
        <v>1.0</v>
      </c>
      <c r="G8" s="57"/>
      <c r="H8" s="43">
        <v>2.1</v>
      </c>
      <c r="I8" s="43"/>
      <c r="J8" s="43"/>
      <c r="K8" s="43"/>
      <c r="L8" s="43"/>
      <c r="M8" s="4" t="s">
        <v>566</v>
      </c>
      <c r="N8" s="58"/>
      <c r="O8" s="4"/>
      <c r="P8" s="59"/>
      <c r="Q8" s="59"/>
      <c r="R8" s="59"/>
      <c r="S8" s="14"/>
      <c r="T8" s="14"/>
      <c r="U8" s="14"/>
      <c r="V8" s="57"/>
      <c r="W8" s="61" t="s">
        <v>567</v>
      </c>
      <c r="X8" s="4"/>
      <c r="Y8" s="61" t="s">
        <v>569</v>
      </c>
      <c r="Z8" s="60" t="s">
        <v>570</v>
      </c>
      <c r="AA8" s="8"/>
      <c r="AB8" s="8"/>
      <c r="AC8" s="8"/>
      <c r="AD8" s="9"/>
    </row>
    <row r="9">
      <c r="A9" s="4">
        <v>110012.0</v>
      </c>
      <c r="B9" s="4" t="s">
        <v>572</v>
      </c>
      <c r="C9" s="43">
        <v>2.0</v>
      </c>
      <c r="D9" s="43">
        <v>1.0</v>
      </c>
      <c r="E9" s="57"/>
      <c r="F9" s="43">
        <v>1.0</v>
      </c>
      <c r="G9" s="57"/>
      <c r="H9" s="43">
        <v>1.2</v>
      </c>
      <c r="I9" s="43"/>
      <c r="J9" s="43"/>
      <c r="K9" s="43"/>
      <c r="L9" s="43"/>
      <c r="M9" s="4" t="s">
        <v>566</v>
      </c>
      <c r="N9" s="58"/>
      <c r="O9" s="4"/>
      <c r="P9" s="59"/>
      <c r="Q9" s="59"/>
      <c r="R9" s="59"/>
      <c r="S9" s="14"/>
      <c r="T9" s="14"/>
      <c r="U9" s="14"/>
      <c r="V9" s="57"/>
      <c r="W9" s="61" t="s">
        <v>567</v>
      </c>
      <c r="X9" s="4"/>
      <c r="Y9" s="61" t="s">
        <v>569</v>
      </c>
      <c r="Z9" s="60" t="s">
        <v>575</v>
      </c>
      <c r="AA9" s="8"/>
      <c r="AB9" s="8"/>
      <c r="AC9" s="8"/>
      <c r="AD9" s="9"/>
    </row>
    <row r="10">
      <c r="A10" s="4">
        <v>110013.0</v>
      </c>
      <c r="B10" s="4" t="s">
        <v>576</v>
      </c>
      <c r="C10" s="43">
        <v>3.0</v>
      </c>
      <c r="D10" s="43">
        <v>1.0</v>
      </c>
      <c r="E10" s="57"/>
      <c r="F10" s="43">
        <v>1.0</v>
      </c>
      <c r="G10" s="57"/>
      <c r="H10" s="43">
        <v>0.8</v>
      </c>
      <c r="I10" s="43"/>
      <c r="J10" s="43"/>
      <c r="K10" s="43"/>
      <c r="L10" s="43"/>
      <c r="M10" s="4" t="s">
        <v>566</v>
      </c>
      <c r="N10" s="58"/>
      <c r="O10" s="4"/>
      <c r="P10" s="59"/>
      <c r="Q10" s="59"/>
      <c r="R10" s="59"/>
      <c r="S10" s="14"/>
      <c r="T10" s="14"/>
      <c r="U10" s="14"/>
      <c r="V10" s="57"/>
      <c r="W10" s="61" t="s">
        <v>567</v>
      </c>
      <c r="X10" s="4"/>
      <c r="Y10" s="61" t="s">
        <v>569</v>
      </c>
      <c r="Z10" s="60" t="s">
        <v>579</v>
      </c>
      <c r="AA10" s="8"/>
      <c r="AB10" s="8"/>
      <c r="AC10" s="8"/>
      <c r="AD10" s="9"/>
    </row>
    <row r="11">
      <c r="C11" s="51"/>
      <c r="D11" s="51"/>
      <c r="E11" s="51"/>
      <c r="F11" s="51"/>
      <c r="G11" s="51"/>
      <c r="H11" s="51"/>
      <c r="I11" s="51"/>
      <c r="J11" s="51"/>
      <c r="K11" s="51"/>
      <c r="L11" s="51"/>
      <c r="N11" s="52"/>
      <c r="P11" s="53"/>
      <c r="Q11" s="53"/>
      <c r="R11" s="53"/>
      <c r="V11" s="51"/>
    </row>
    <row r="12">
      <c r="A12" s="3" t="s">
        <v>449</v>
      </c>
      <c r="B12" s="3" t="s">
        <v>454</v>
      </c>
      <c r="C12" s="40" t="s">
        <v>455</v>
      </c>
      <c r="D12" s="40" t="s">
        <v>456</v>
      </c>
      <c r="E12" s="40" t="s">
        <v>457</v>
      </c>
      <c r="F12" s="40" t="s">
        <v>458</v>
      </c>
      <c r="G12" s="40" t="s">
        <v>461</v>
      </c>
      <c r="H12" s="40" t="s">
        <v>462</v>
      </c>
      <c r="I12" s="40" t="s">
        <v>265</v>
      </c>
      <c r="J12" s="40" t="s">
        <v>465</v>
      </c>
      <c r="K12" s="40" t="s">
        <v>466</v>
      </c>
      <c r="L12" s="40" t="s">
        <v>468</v>
      </c>
      <c r="M12" s="3" t="s">
        <v>469</v>
      </c>
      <c r="N12" s="54" t="s">
        <v>470</v>
      </c>
      <c r="O12" s="3" t="s">
        <v>471</v>
      </c>
      <c r="P12" s="56" t="s">
        <v>472</v>
      </c>
      <c r="Q12" s="56" t="s">
        <v>479</v>
      </c>
      <c r="R12" s="56" t="s">
        <v>483</v>
      </c>
      <c r="S12" s="56" t="s">
        <v>484</v>
      </c>
      <c r="T12" s="3" t="s">
        <v>485</v>
      </c>
      <c r="U12" s="56" t="s">
        <v>486</v>
      </c>
      <c r="V12" s="43" t="s">
        <v>487</v>
      </c>
      <c r="W12" s="3" t="s">
        <v>489</v>
      </c>
      <c r="X12" s="3" t="s">
        <v>491</v>
      </c>
      <c r="Y12" s="3" t="s">
        <v>493</v>
      </c>
      <c r="Z12" s="6" t="s">
        <v>495</v>
      </c>
      <c r="AA12" s="8"/>
      <c r="AB12" s="8"/>
      <c r="AC12" s="8"/>
      <c r="AD12" s="9"/>
    </row>
    <row r="13">
      <c r="A13" s="4">
        <v>210001.0</v>
      </c>
      <c r="B13" s="4" t="s">
        <v>290</v>
      </c>
      <c r="C13" s="43">
        <v>2.0</v>
      </c>
      <c r="D13" s="43"/>
      <c r="E13" s="14"/>
      <c r="F13" s="43">
        <v>1.0</v>
      </c>
      <c r="G13" s="43"/>
      <c r="H13" s="43">
        <v>2.4</v>
      </c>
      <c r="I13" s="43"/>
      <c r="J13" s="43"/>
      <c r="K13" s="43"/>
      <c r="L13" s="43"/>
      <c r="M13" s="4" t="s">
        <v>566</v>
      </c>
      <c r="N13" s="58">
        <v>96.0</v>
      </c>
      <c r="O13" s="4"/>
      <c r="P13" s="59"/>
      <c r="Q13" s="63"/>
      <c r="R13" s="59">
        <v>4001.0</v>
      </c>
      <c r="S13" s="63">
        <v>0.4</v>
      </c>
      <c r="T13" s="14"/>
      <c r="U13" s="14"/>
      <c r="V13" s="57"/>
      <c r="W13" s="4" t="s">
        <v>603</v>
      </c>
      <c r="X13" s="4" t="s">
        <v>604</v>
      </c>
      <c r="Y13" s="4"/>
      <c r="Z13" s="60" t="s">
        <v>294</v>
      </c>
      <c r="AA13" s="8"/>
      <c r="AB13" s="8"/>
      <c r="AC13" s="8"/>
      <c r="AD13" s="9"/>
    </row>
    <row r="14">
      <c r="A14" s="4">
        <v>210002.0</v>
      </c>
      <c r="B14" s="4" t="s">
        <v>319</v>
      </c>
      <c r="C14" s="43">
        <v>2.0</v>
      </c>
      <c r="D14" s="43">
        <v>1.0</v>
      </c>
      <c r="E14" s="14"/>
      <c r="F14" s="43">
        <v>1.0</v>
      </c>
      <c r="G14" s="43"/>
      <c r="H14" s="43">
        <v>2.5</v>
      </c>
      <c r="I14" s="43"/>
      <c r="J14" s="43"/>
      <c r="K14" s="43"/>
      <c r="L14" s="43"/>
      <c r="M14" s="4" t="s">
        <v>566</v>
      </c>
      <c r="N14" s="58">
        <v>95.0</v>
      </c>
      <c r="O14" s="4"/>
      <c r="P14" s="59"/>
      <c r="Q14" s="63"/>
      <c r="R14" s="59">
        <v>4002.0</v>
      </c>
      <c r="S14" s="63">
        <v>0.4</v>
      </c>
      <c r="T14" s="14"/>
      <c r="U14" s="14"/>
      <c r="V14" s="57"/>
      <c r="W14" s="61" t="s">
        <v>567</v>
      </c>
      <c r="X14" s="61" t="s">
        <v>569</v>
      </c>
      <c r="Y14" s="4"/>
      <c r="Z14" s="60" t="s">
        <v>321</v>
      </c>
      <c r="AA14" s="8"/>
      <c r="AB14" s="8"/>
      <c r="AC14" s="8"/>
      <c r="AD14" s="9"/>
    </row>
    <row r="15">
      <c r="A15" s="4">
        <v>210003.0</v>
      </c>
      <c r="B15" s="4" t="s">
        <v>343</v>
      </c>
      <c r="C15" s="43">
        <v>-2.0</v>
      </c>
      <c r="D15" s="43"/>
      <c r="E15" s="14"/>
      <c r="F15" s="43">
        <v>1.0</v>
      </c>
      <c r="G15" s="43"/>
      <c r="H15" s="43">
        <v>2.4</v>
      </c>
      <c r="I15" s="43"/>
      <c r="J15" s="43"/>
      <c r="K15" s="43"/>
      <c r="L15" s="43"/>
      <c r="M15" s="4" t="s">
        <v>615</v>
      </c>
      <c r="N15" s="58">
        <v>48.0</v>
      </c>
      <c r="O15" s="4"/>
      <c r="P15" s="59"/>
      <c r="Q15" s="63"/>
      <c r="R15" s="59"/>
      <c r="S15" s="14"/>
      <c r="T15" s="14"/>
      <c r="U15" s="14"/>
      <c r="V15" s="57"/>
      <c r="W15" s="61" t="s">
        <v>567</v>
      </c>
      <c r="X15" s="61" t="s">
        <v>569</v>
      </c>
      <c r="Y15" s="4"/>
      <c r="Z15" s="60" t="s">
        <v>346</v>
      </c>
      <c r="AA15" s="8"/>
      <c r="AB15" s="8"/>
      <c r="AC15" s="8"/>
      <c r="AD15" s="9"/>
    </row>
    <row r="16">
      <c r="A16" s="4">
        <v>210004.0</v>
      </c>
      <c r="B16" s="4" t="s">
        <v>369</v>
      </c>
      <c r="C16" s="43">
        <v>4.0</v>
      </c>
      <c r="D16" s="43">
        <v>1.0</v>
      </c>
      <c r="E16" s="14"/>
      <c r="F16" s="43">
        <v>1.0</v>
      </c>
      <c r="G16" s="43">
        <v>1.25</v>
      </c>
      <c r="H16" s="43"/>
      <c r="I16" s="43"/>
      <c r="J16" s="43"/>
      <c r="K16" s="43"/>
      <c r="L16" s="43"/>
      <c r="M16" s="4" t="s">
        <v>527</v>
      </c>
      <c r="N16" s="58">
        <v>47.0</v>
      </c>
      <c r="O16" s="4"/>
      <c r="P16" s="59"/>
      <c r="Q16" s="63"/>
      <c r="R16" s="59">
        <v>2001.0</v>
      </c>
      <c r="S16" s="14"/>
      <c r="T16" s="14"/>
      <c r="U16" s="14"/>
      <c r="V16" s="57"/>
      <c r="W16" s="4"/>
      <c r="X16" s="4" t="s">
        <v>529</v>
      </c>
      <c r="Y16" s="4"/>
      <c r="Z16" s="60" t="s">
        <v>371</v>
      </c>
      <c r="AA16" s="8"/>
      <c r="AB16" s="8"/>
      <c r="AC16" s="8"/>
      <c r="AD16" s="9"/>
    </row>
    <row r="17">
      <c r="A17" s="4">
        <v>210005.0</v>
      </c>
      <c r="B17" s="4" t="s">
        <v>382</v>
      </c>
      <c r="C17" s="43">
        <v>1.0</v>
      </c>
      <c r="D17" s="43">
        <v>1.0</v>
      </c>
      <c r="E17" s="14"/>
      <c r="F17" s="43">
        <v>1.0</v>
      </c>
      <c r="G17" s="43">
        <v>5.0</v>
      </c>
      <c r="H17" s="43"/>
      <c r="I17" s="43"/>
      <c r="J17" s="43"/>
      <c r="K17" s="43"/>
      <c r="L17" s="43"/>
      <c r="M17" s="4" t="s">
        <v>527</v>
      </c>
      <c r="N17" s="58">
        <v>49.0</v>
      </c>
      <c r="O17" s="4"/>
      <c r="P17" s="59">
        <v>1005.0</v>
      </c>
      <c r="Q17" s="63"/>
      <c r="S17" s="14"/>
      <c r="T17" s="14"/>
      <c r="U17" s="14"/>
      <c r="V17" s="57"/>
      <c r="W17" s="4"/>
      <c r="X17" s="4" t="s">
        <v>529</v>
      </c>
      <c r="Y17" s="4"/>
      <c r="Z17" s="60" t="s">
        <v>384</v>
      </c>
      <c r="AA17" s="8"/>
      <c r="AB17" s="8"/>
      <c r="AC17" s="8"/>
      <c r="AD17" s="9"/>
    </row>
    <row r="18">
      <c r="A18" s="4">
        <v>210006.0</v>
      </c>
      <c r="B18" s="4" t="s">
        <v>398</v>
      </c>
      <c r="C18" s="43">
        <v>-2.0</v>
      </c>
      <c r="D18" s="43">
        <v>1.0</v>
      </c>
      <c r="E18" s="14"/>
      <c r="F18" s="43">
        <v>1.0</v>
      </c>
      <c r="G18" s="43"/>
      <c r="H18" s="57"/>
      <c r="I18" s="43"/>
      <c r="J18" s="43"/>
      <c r="K18" s="43"/>
      <c r="L18" s="43"/>
      <c r="M18" s="4"/>
      <c r="N18" s="58">
        <v>80.0</v>
      </c>
      <c r="O18" s="4"/>
      <c r="P18" s="59"/>
      <c r="Q18" s="63"/>
      <c r="R18" s="59">
        <v>1996.0</v>
      </c>
      <c r="S18" s="14"/>
      <c r="T18" s="14"/>
      <c r="U18" s="14"/>
      <c r="V18" s="57"/>
      <c r="W18" s="4"/>
      <c r="X18" s="61" t="s">
        <v>573</v>
      </c>
      <c r="Y18" s="4"/>
      <c r="Z18" s="60" t="s">
        <v>400</v>
      </c>
      <c r="AA18" s="8"/>
      <c r="AB18" s="8"/>
      <c r="AC18" s="8"/>
      <c r="AD18" s="9"/>
    </row>
    <row r="19">
      <c r="A19" s="4">
        <v>210007.0</v>
      </c>
      <c r="B19" s="4" t="s">
        <v>415</v>
      </c>
      <c r="C19" s="43">
        <v>-2.0</v>
      </c>
      <c r="D19" s="43"/>
      <c r="E19" s="14"/>
      <c r="F19" s="43">
        <v>1.0</v>
      </c>
      <c r="H19" s="43">
        <v>2.5</v>
      </c>
      <c r="I19" s="43"/>
      <c r="J19" s="43"/>
      <c r="K19" s="43"/>
      <c r="L19" s="43"/>
      <c r="M19" s="4" t="s">
        <v>637</v>
      </c>
      <c r="N19" s="58">
        <v>48.0</v>
      </c>
      <c r="O19" s="4"/>
      <c r="P19" s="59"/>
      <c r="Q19" s="63"/>
      <c r="R19" s="59">
        <v>1999.0</v>
      </c>
      <c r="S19" s="14"/>
      <c r="T19" s="4"/>
      <c r="U19" s="4"/>
      <c r="V19" s="43"/>
      <c r="W19" s="4"/>
      <c r="X19" s="61" t="s">
        <v>640</v>
      </c>
      <c r="Y19" s="4"/>
      <c r="Z19" s="60" t="s">
        <v>417</v>
      </c>
      <c r="AA19" s="8"/>
      <c r="AB19" s="8"/>
      <c r="AC19" s="8"/>
      <c r="AD19" s="9"/>
    </row>
    <row r="20">
      <c r="A20" s="4">
        <v>210008.0</v>
      </c>
      <c r="B20" s="72" t="s">
        <v>431</v>
      </c>
      <c r="C20" s="43">
        <v>1.0</v>
      </c>
      <c r="D20" s="73"/>
      <c r="E20" s="14"/>
      <c r="F20" s="43">
        <v>1.0</v>
      </c>
      <c r="G20" s="73"/>
      <c r="H20" s="73">
        <v>4.8</v>
      </c>
      <c r="I20" s="43"/>
      <c r="J20" s="43"/>
      <c r="K20" s="43"/>
      <c r="L20" s="43"/>
      <c r="M20" s="4" t="s">
        <v>566</v>
      </c>
      <c r="N20" s="58">
        <v>96.0</v>
      </c>
      <c r="O20" s="74"/>
      <c r="P20" s="75"/>
      <c r="Q20" s="76"/>
      <c r="R20" s="75">
        <v>4001.0</v>
      </c>
      <c r="S20" s="72">
        <v>0.5</v>
      </c>
      <c r="T20" s="74"/>
      <c r="U20" s="74"/>
      <c r="V20" s="77"/>
      <c r="W20" s="61" t="s">
        <v>567</v>
      </c>
      <c r="X20" s="61" t="s">
        <v>569</v>
      </c>
      <c r="Y20" s="61"/>
      <c r="Z20" s="60" t="s">
        <v>433</v>
      </c>
      <c r="AA20" s="8"/>
      <c r="AB20" s="8"/>
      <c r="AC20" s="8"/>
      <c r="AD20" s="9"/>
    </row>
    <row r="21">
      <c r="A21" s="4">
        <v>210009.0</v>
      </c>
      <c r="B21" s="72" t="s">
        <v>445</v>
      </c>
      <c r="C21" s="43">
        <v>1.0</v>
      </c>
      <c r="D21" s="73"/>
      <c r="E21" s="14"/>
      <c r="F21" s="43">
        <v>1.0</v>
      </c>
      <c r="G21" s="73">
        <v>4.8</v>
      </c>
      <c r="H21" s="77"/>
      <c r="I21" s="43"/>
      <c r="J21" s="43"/>
      <c r="K21" s="43"/>
      <c r="L21" s="43"/>
      <c r="M21" s="4" t="s">
        <v>527</v>
      </c>
      <c r="N21" s="58">
        <v>96.0</v>
      </c>
      <c r="O21" s="74"/>
      <c r="P21" s="75">
        <v>1005.0</v>
      </c>
      <c r="Q21" s="76"/>
      <c r="R21" s="75"/>
      <c r="S21" s="74"/>
      <c r="T21" s="74"/>
      <c r="U21" s="74"/>
      <c r="V21" s="77"/>
      <c r="W21" s="61" t="s">
        <v>567</v>
      </c>
      <c r="X21" s="61" t="s">
        <v>569</v>
      </c>
      <c r="Y21" s="61"/>
      <c r="Z21" s="60" t="s">
        <v>659</v>
      </c>
      <c r="AA21" s="8"/>
      <c r="AB21" s="8"/>
      <c r="AC21" s="8"/>
      <c r="AD21" s="9"/>
    </row>
    <row r="22">
      <c r="A22" s="4">
        <v>210010.0</v>
      </c>
      <c r="B22" s="72" t="s">
        <v>474</v>
      </c>
      <c r="C22" s="73">
        <v>1.0</v>
      </c>
      <c r="D22" s="73"/>
      <c r="E22" s="14"/>
      <c r="F22" s="43">
        <v>1.0</v>
      </c>
      <c r="G22" s="73">
        <v>4.8</v>
      </c>
      <c r="H22" s="73"/>
      <c r="I22" s="43"/>
      <c r="J22" s="43"/>
      <c r="K22" s="43"/>
      <c r="L22" s="43"/>
      <c r="M22" s="4" t="s">
        <v>527</v>
      </c>
      <c r="N22" s="58">
        <v>48.0</v>
      </c>
      <c r="O22" s="74"/>
      <c r="P22" s="75"/>
      <c r="Q22" s="75"/>
      <c r="R22" s="76">
        <v>4003.0</v>
      </c>
      <c r="S22" s="72">
        <v>0.4</v>
      </c>
      <c r="T22" s="74"/>
      <c r="U22" s="74"/>
      <c r="V22" s="78"/>
      <c r="W22" s="79"/>
      <c r="X22" s="4" t="s">
        <v>529</v>
      </c>
      <c r="Y22" s="61"/>
      <c r="Z22" s="60" t="s">
        <v>665</v>
      </c>
      <c r="AA22" s="8"/>
      <c r="AB22" s="8"/>
      <c r="AC22" s="8"/>
      <c r="AD22" s="9"/>
    </row>
    <row r="23">
      <c r="A23" s="4">
        <v>210011.0</v>
      </c>
      <c r="B23" s="72" t="s">
        <v>499</v>
      </c>
      <c r="C23" s="73">
        <v>-2.0</v>
      </c>
      <c r="D23" s="73"/>
      <c r="E23" s="14"/>
      <c r="F23" s="43">
        <v>1.0</v>
      </c>
      <c r="G23" s="73">
        <v>2.4</v>
      </c>
      <c r="H23" s="77"/>
      <c r="I23" s="43"/>
      <c r="J23" s="43"/>
      <c r="K23" s="43"/>
      <c r="L23" s="43"/>
      <c r="M23" s="4" t="s">
        <v>527</v>
      </c>
      <c r="N23" s="58">
        <v>48.0</v>
      </c>
      <c r="O23" s="74"/>
      <c r="P23" s="75"/>
      <c r="Q23" s="75"/>
      <c r="R23" s="75">
        <v>1999.0</v>
      </c>
      <c r="S23" s="74"/>
      <c r="T23" s="74"/>
      <c r="U23" s="74"/>
      <c r="V23" s="78"/>
      <c r="W23" s="61"/>
      <c r="X23" s="61" t="s">
        <v>573</v>
      </c>
      <c r="Y23" s="61"/>
      <c r="Z23" s="60" t="s">
        <v>670</v>
      </c>
      <c r="AA23" s="8"/>
      <c r="AB23" s="8"/>
      <c r="AC23" s="8"/>
      <c r="AD23" s="9"/>
    </row>
    <row r="24">
      <c r="A24" s="4">
        <v>210012.0</v>
      </c>
      <c r="B24" s="72" t="s">
        <v>515</v>
      </c>
      <c r="C24" s="73">
        <v>-2.0</v>
      </c>
      <c r="D24" s="73">
        <v>1.0</v>
      </c>
      <c r="E24" s="14"/>
      <c r="F24" s="43">
        <v>1.0</v>
      </c>
      <c r="G24" s="77"/>
      <c r="H24" s="73">
        <v>2.5</v>
      </c>
      <c r="I24" s="43"/>
      <c r="J24" s="43"/>
      <c r="K24" s="43"/>
      <c r="L24" s="43"/>
      <c r="M24" s="4" t="s">
        <v>566</v>
      </c>
      <c r="N24" s="58">
        <v>99.0</v>
      </c>
      <c r="O24" s="74"/>
      <c r="P24" s="75"/>
      <c r="Q24" s="75"/>
      <c r="R24" s="76">
        <v>3004.0</v>
      </c>
      <c r="S24" s="72"/>
      <c r="T24" s="74"/>
      <c r="U24" s="74"/>
      <c r="V24" s="78"/>
      <c r="W24" s="61"/>
      <c r="X24" s="4" t="s">
        <v>615</v>
      </c>
      <c r="Y24" s="79"/>
      <c r="Z24" s="60" t="s">
        <v>517</v>
      </c>
      <c r="AA24" s="8"/>
      <c r="AB24" s="8"/>
      <c r="AC24" s="8"/>
      <c r="AD24" s="9"/>
    </row>
    <row r="25">
      <c r="A25" s="4">
        <v>210013.0</v>
      </c>
      <c r="B25" s="72" t="s">
        <v>578</v>
      </c>
      <c r="C25" s="73">
        <v>2.0</v>
      </c>
      <c r="D25" s="73"/>
      <c r="E25" s="14"/>
      <c r="F25" s="43">
        <v>1.0</v>
      </c>
      <c r="G25" s="73">
        <v>1.9</v>
      </c>
      <c r="H25" s="77"/>
      <c r="I25" s="43"/>
      <c r="J25" s="43"/>
      <c r="K25" s="43"/>
      <c r="L25" s="43"/>
      <c r="M25" s="4" t="s">
        <v>527</v>
      </c>
      <c r="N25" s="58">
        <v>38.0</v>
      </c>
      <c r="O25" s="74"/>
      <c r="P25" s="75">
        <v>3003.0</v>
      </c>
      <c r="Q25" s="76"/>
      <c r="R25" s="75"/>
      <c r="S25" s="74"/>
      <c r="T25" s="74"/>
      <c r="U25" s="74"/>
      <c r="V25" s="78"/>
      <c r="W25" s="61"/>
      <c r="X25" s="4" t="s">
        <v>679</v>
      </c>
      <c r="Y25" s="61"/>
      <c r="Z25" s="60" t="s">
        <v>580</v>
      </c>
      <c r="AA25" s="8"/>
      <c r="AB25" s="8"/>
      <c r="AC25" s="8"/>
      <c r="AD25" s="9"/>
    </row>
    <row r="26">
      <c r="A26" s="4">
        <v>210014.0</v>
      </c>
      <c r="B26" s="72" t="s">
        <v>590</v>
      </c>
      <c r="C26" s="73">
        <v>3.0</v>
      </c>
      <c r="D26" s="73"/>
      <c r="E26" s="14"/>
      <c r="F26" s="43">
        <v>1.0</v>
      </c>
      <c r="G26" s="73">
        <v>1.25</v>
      </c>
      <c r="H26" s="73"/>
      <c r="I26" s="43"/>
      <c r="J26" s="43"/>
      <c r="K26" s="43"/>
      <c r="L26" s="43"/>
      <c r="M26" s="4" t="s">
        <v>527</v>
      </c>
      <c r="N26" s="58">
        <v>38.0</v>
      </c>
      <c r="O26" s="74"/>
      <c r="P26" s="75">
        <v>1001.0</v>
      </c>
      <c r="Q26" s="76"/>
      <c r="R26" s="75"/>
      <c r="S26" s="74"/>
      <c r="T26" s="74"/>
      <c r="U26" s="74"/>
      <c r="V26" s="78"/>
      <c r="W26" s="79"/>
      <c r="X26" s="4" t="s">
        <v>679</v>
      </c>
      <c r="Y26" s="79"/>
      <c r="Z26" s="60" t="s">
        <v>691</v>
      </c>
      <c r="AA26" s="8"/>
      <c r="AB26" s="8"/>
      <c r="AC26" s="8"/>
      <c r="AD26" s="9"/>
    </row>
    <row r="27">
      <c r="A27" s="4">
        <v>210015.0</v>
      </c>
      <c r="B27" s="72" t="s">
        <v>599</v>
      </c>
      <c r="C27" s="73">
        <v>-2.0</v>
      </c>
      <c r="D27" s="73"/>
      <c r="E27" s="14"/>
      <c r="F27" s="43">
        <v>1.0</v>
      </c>
      <c r="G27" s="77"/>
      <c r="H27" s="73">
        <v>1.9</v>
      </c>
      <c r="I27" s="43"/>
      <c r="J27" s="43"/>
      <c r="K27" s="43"/>
      <c r="L27" s="43"/>
      <c r="M27" s="4" t="s">
        <v>615</v>
      </c>
      <c r="N27" s="58">
        <v>76.0</v>
      </c>
      <c r="O27" s="74"/>
      <c r="P27" s="75"/>
      <c r="Q27" s="75"/>
      <c r="R27" s="75">
        <v>1999.0</v>
      </c>
      <c r="S27" s="74"/>
      <c r="T27" s="74"/>
      <c r="U27" s="74"/>
      <c r="V27" s="78"/>
      <c r="W27" s="79"/>
      <c r="X27" s="4" t="s">
        <v>615</v>
      </c>
      <c r="Y27" s="61"/>
      <c r="Z27" s="60" t="s">
        <v>700</v>
      </c>
      <c r="AA27" s="8"/>
      <c r="AB27" s="8"/>
      <c r="AC27" s="8"/>
      <c r="AD27" s="9"/>
    </row>
    <row r="28">
      <c r="A28" s="4">
        <f t="shared" ref="A28:A43" si="1">A27+1</f>
        <v>210016</v>
      </c>
      <c r="B28" s="72" t="s">
        <v>609</v>
      </c>
      <c r="C28" s="73">
        <v>3.0</v>
      </c>
      <c r="D28" s="73">
        <v>1.0</v>
      </c>
      <c r="E28" s="14"/>
      <c r="F28" s="43">
        <v>1.0</v>
      </c>
      <c r="G28" s="73"/>
      <c r="H28" s="73">
        <v>1.3</v>
      </c>
      <c r="I28" s="43"/>
      <c r="J28" s="43"/>
      <c r="K28" s="43"/>
      <c r="L28" s="43"/>
      <c r="M28" s="4" t="s">
        <v>566</v>
      </c>
      <c r="N28" s="58">
        <v>78.0</v>
      </c>
      <c r="O28" s="74"/>
      <c r="P28" s="75"/>
      <c r="Q28" s="75"/>
      <c r="R28" s="75"/>
      <c r="S28" s="74"/>
      <c r="T28" s="74"/>
      <c r="U28" s="74"/>
      <c r="V28" s="78"/>
      <c r="W28" s="79"/>
      <c r="X28" s="61" t="s">
        <v>569</v>
      </c>
      <c r="Y28" s="61"/>
      <c r="Z28" s="60" t="s">
        <v>610</v>
      </c>
      <c r="AA28" s="8"/>
      <c r="AB28" s="8"/>
      <c r="AC28" s="8"/>
      <c r="AD28" s="9"/>
    </row>
    <row r="29">
      <c r="A29" s="4">
        <f t="shared" si="1"/>
        <v>210017</v>
      </c>
      <c r="B29" s="72" t="s">
        <v>619</v>
      </c>
      <c r="C29" s="73">
        <v>-1.0</v>
      </c>
      <c r="D29" s="73">
        <v>1.0</v>
      </c>
      <c r="E29" s="14"/>
      <c r="F29" s="43">
        <v>1.0</v>
      </c>
      <c r="G29" s="77"/>
      <c r="H29" s="73">
        <v>3.8</v>
      </c>
      <c r="I29" s="43"/>
      <c r="J29" s="43"/>
      <c r="K29" s="43"/>
      <c r="L29" s="43"/>
      <c r="M29" s="4" t="s">
        <v>615</v>
      </c>
      <c r="N29" s="58">
        <v>38.0</v>
      </c>
      <c r="O29" s="74"/>
      <c r="P29" s="75"/>
      <c r="Q29" s="75"/>
      <c r="R29" s="76">
        <v>1002.0</v>
      </c>
      <c r="S29" s="74"/>
      <c r="T29" s="74"/>
      <c r="U29" s="74"/>
      <c r="V29" s="78"/>
      <c r="W29" s="79"/>
      <c r="X29" s="4" t="s">
        <v>615</v>
      </c>
      <c r="Y29" s="79"/>
      <c r="Z29" s="60" t="s">
        <v>732</v>
      </c>
      <c r="AA29" s="8"/>
      <c r="AB29" s="8"/>
      <c r="AC29" s="8"/>
      <c r="AD29" s="9"/>
    </row>
    <row r="30">
      <c r="A30" s="4">
        <f t="shared" si="1"/>
        <v>210018</v>
      </c>
      <c r="B30" s="72" t="s">
        <v>628</v>
      </c>
      <c r="C30" s="73">
        <v>2.0</v>
      </c>
      <c r="D30" s="73">
        <v>1.0</v>
      </c>
      <c r="E30" s="14"/>
      <c r="F30" s="43">
        <v>1.0</v>
      </c>
      <c r="G30" s="73"/>
      <c r="H30" s="73">
        <v>2.0</v>
      </c>
      <c r="I30" s="43"/>
      <c r="J30" s="43"/>
      <c r="K30" s="43"/>
      <c r="L30" s="43"/>
      <c r="M30" s="4" t="s">
        <v>566</v>
      </c>
      <c r="N30" s="58">
        <v>82.0</v>
      </c>
      <c r="O30" s="74"/>
      <c r="P30" s="75"/>
      <c r="Q30" s="76"/>
      <c r="R30" s="75">
        <v>4001.0</v>
      </c>
      <c r="S30" s="72">
        <v>0.3</v>
      </c>
      <c r="T30" s="74"/>
      <c r="U30" s="74"/>
      <c r="V30" s="78"/>
      <c r="W30" s="4" t="s">
        <v>603</v>
      </c>
      <c r="X30" s="4" t="s">
        <v>604</v>
      </c>
      <c r="Y30" s="61"/>
      <c r="Z30" s="60" t="s">
        <v>629</v>
      </c>
      <c r="AA30" s="8"/>
      <c r="AB30" s="8"/>
      <c r="AC30" s="8"/>
      <c r="AD30" s="9"/>
    </row>
    <row r="31">
      <c r="A31" s="4">
        <f t="shared" si="1"/>
        <v>210019</v>
      </c>
      <c r="B31" s="72" t="s">
        <v>634</v>
      </c>
      <c r="C31" s="73">
        <v>3.0</v>
      </c>
      <c r="D31" s="73">
        <v>1.0</v>
      </c>
      <c r="E31" s="14"/>
      <c r="F31" s="43">
        <v>1.0</v>
      </c>
      <c r="G31" s="77"/>
      <c r="H31" s="73">
        <v>1.3</v>
      </c>
      <c r="I31" s="43"/>
      <c r="J31" s="43"/>
      <c r="K31" s="43"/>
      <c r="L31" s="43"/>
      <c r="M31" s="4" t="s">
        <v>566</v>
      </c>
      <c r="N31" s="58">
        <v>77.0</v>
      </c>
      <c r="O31" s="74"/>
      <c r="P31" s="76">
        <v>1007.0</v>
      </c>
      <c r="Q31" s="72">
        <v>0.4</v>
      </c>
      <c r="R31" s="14"/>
      <c r="S31" s="14"/>
      <c r="T31" s="74"/>
      <c r="U31" s="74"/>
      <c r="V31" s="78"/>
      <c r="W31" s="61" t="s">
        <v>567</v>
      </c>
      <c r="X31" s="61" t="s">
        <v>569</v>
      </c>
      <c r="Y31" s="79"/>
      <c r="Z31" s="60" t="s">
        <v>635</v>
      </c>
      <c r="AA31" s="8"/>
      <c r="AB31" s="8"/>
      <c r="AC31" s="8"/>
      <c r="AD31" s="9"/>
    </row>
    <row r="32">
      <c r="A32" s="4">
        <f t="shared" si="1"/>
        <v>210020</v>
      </c>
      <c r="B32" s="72" t="s">
        <v>642</v>
      </c>
      <c r="C32" s="73">
        <v>1.0</v>
      </c>
      <c r="D32" s="73">
        <v>1.0</v>
      </c>
      <c r="E32" s="14"/>
      <c r="F32" s="43">
        <v>1.0</v>
      </c>
      <c r="G32" s="77"/>
      <c r="H32" s="73">
        <v>4.0</v>
      </c>
      <c r="I32" s="43"/>
      <c r="J32" s="43"/>
      <c r="K32" s="43"/>
      <c r="L32" s="43"/>
      <c r="M32" s="4" t="s">
        <v>566</v>
      </c>
      <c r="N32" s="58">
        <v>80.0</v>
      </c>
      <c r="O32" s="74"/>
      <c r="P32" s="75"/>
      <c r="Q32" s="75"/>
      <c r="R32" s="76">
        <v>5004.0</v>
      </c>
      <c r="S32" s="72">
        <v>0.4</v>
      </c>
      <c r="T32" s="74"/>
      <c r="U32" s="74"/>
      <c r="V32" s="78"/>
      <c r="W32" s="61" t="s">
        <v>567</v>
      </c>
      <c r="X32" s="61" t="s">
        <v>569</v>
      </c>
      <c r="Y32" s="79"/>
      <c r="Z32" s="60" t="s">
        <v>644</v>
      </c>
      <c r="AA32" s="8"/>
      <c r="AB32" s="8"/>
      <c r="AC32" s="8"/>
      <c r="AD32" s="9"/>
    </row>
    <row r="33">
      <c r="A33" s="4">
        <f t="shared" si="1"/>
        <v>210021</v>
      </c>
      <c r="B33" s="72" t="s">
        <v>651</v>
      </c>
      <c r="C33" s="73">
        <v>4.0</v>
      </c>
      <c r="D33" s="73">
        <v>1.0</v>
      </c>
      <c r="E33" s="14"/>
      <c r="F33" s="43">
        <v>1.0</v>
      </c>
      <c r="G33" s="73">
        <v>1.0</v>
      </c>
      <c r="H33" s="73"/>
      <c r="I33" s="43"/>
      <c r="J33" s="43"/>
      <c r="K33" s="43"/>
      <c r="L33" s="43"/>
      <c r="M33" s="4" t="s">
        <v>527</v>
      </c>
      <c r="N33" s="58">
        <v>40.0</v>
      </c>
      <c r="O33" s="74"/>
      <c r="P33" s="75"/>
      <c r="Q33" s="75"/>
      <c r="R33" s="76"/>
      <c r="S33" s="74"/>
      <c r="T33" s="72">
        <v>1999.0</v>
      </c>
      <c r="U33" s="72">
        <v>0.5</v>
      </c>
      <c r="V33" s="78"/>
      <c r="W33" s="79"/>
      <c r="X33" s="4" t="s">
        <v>679</v>
      </c>
      <c r="Y33" s="79"/>
      <c r="Z33" s="60" t="s">
        <v>652</v>
      </c>
      <c r="AA33" s="8"/>
      <c r="AB33" s="8"/>
      <c r="AC33" s="8"/>
      <c r="AD33" s="9"/>
    </row>
    <row r="34">
      <c r="A34" s="4">
        <f t="shared" si="1"/>
        <v>210022</v>
      </c>
      <c r="B34" s="72" t="s">
        <v>681</v>
      </c>
      <c r="C34" s="73">
        <v>2.0</v>
      </c>
      <c r="D34" s="73"/>
      <c r="E34" s="14"/>
      <c r="F34" s="43">
        <v>1.0</v>
      </c>
      <c r="G34" s="73">
        <v>1.55</v>
      </c>
      <c r="H34" s="73"/>
      <c r="I34" s="43"/>
      <c r="J34" s="43"/>
      <c r="K34" s="43"/>
      <c r="L34" s="43"/>
      <c r="M34" s="4" t="s">
        <v>527</v>
      </c>
      <c r="N34" s="58">
        <v>31.0</v>
      </c>
      <c r="O34" s="74"/>
      <c r="P34" s="75"/>
      <c r="Q34" s="75"/>
      <c r="R34" s="75">
        <v>2002.0</v>
      </c>
      <c r="S34" s="72">
        <v>0.5</v>
      </c>
      <c r="T34" s="74"/>
      <c r="U34" s="74"/>
      <c r="V34" s="78"/>
      <c r="W34" s="4"/>
      <c r="X34" s="61" t="s">
        <v>765</v>
      </c>
      <c r="Y34" s="79"/>
      <c r="Z34" s="60" t="s">
        <v>682</v>
      </c>
      <c r="AA34" s="8"/>
      <c r="AB34" s="8"/>
      <c r="AC34" s="8"/>
      <c r="AD34" s="9"/>
    </row>
    <row r="35">
      <c r="A35" s="4">
        <f t="shared" si="1"/>
        <v>210023</v>
      </c>
      <c r="B35" s="72" t="s">
        <v>705</v>
      </c>
      <c r="C35" s="73">
        <v>2.0</v>
      </c>
      <c r="D35" s="73"/>
      <c r="E35" s="14"/>
      <c r="F35" s="43">
        <v>1.0</v>
      </c>
      <c r="G35" s="73">
        <v>1.55</v>
      </c>
      <c r="H35" s="73"/>
      <c r="I35" s="43"/>
      <c r="J35" s="43"/>
      <c r="K35" s="43"/>
      <c r="L35" s="43"/>
      <c r="M35" s="4" t="s">
        <v>527</v>
      </c>
      <c r="N35" s="58">
        <v>33.0</v>
      </c>
      <c r="O35" s="74"/>
      <c r="P35" s="75"/>
      <c r="Q35" s="76"/>
      <c r="R35" s="75">
        <v>4003.0</v>
      </c>
      <c r="S35" s="72">
        <v>0.25</v>
      </c>
      <c r="T35" s="74"/>
      <c r="U35" s="74"/>
      <c r="V35" s="78"/>
      <c r="W35" s="61"/>
      <c r="X35" s="61" t="s">
        <v>765</v>
      </c>
      <c r="Y35" s="61"/>
      <c r="Z35" s="60" t="s">
        <v>706</v>
      </c>
      <c r="AA35" s="8"/>
      <c r="AB35" s="8"/>
      <c r="AC35" s="8"/>
      <c r="AD35" s="9"/>
      <c r="AO35" s="2" t="s">
        <v>783</v>
      </c>
    </row>
    <row r="36">
      <c r="A36" s="4">
        <f t="shared" si="1"/>
        <v>210024</v>
      </c>
      <c r="B36" s="72" t="s">
        <v>726</v>
      </c>
      <c r="C36" s="73">
        <v>1.0</v>
      </c>
      <c r="D36" s="73"/>
      <c r="E36" s="14"/>
      <c r="F36" s="43">
        <v>1.0</v>
      </c>
      <c r="G36" s="73"/>
      <c r="H36" s="73">
        <v>3.0</v>
      </c>
      <c r="I36" s="43"/>
      <c r="J36" s="43"/>
      <c r="K36" s="43"/>
      <c r="L36" s="43"/>
      <c r="M36" s="4" t="s">
        <v>566</v>
      </c>
      <c r="N36" s="58">
        <v>60.0</v>
      </c>
      <c r="O36" s="74"/>
      <c r="P36" s="75"/>
      <c r="Q36" s="76"/>
      <c r="R36" s="75">
        <v>4001.0</v>
      </c>
      <c r="S36" s="72">
        <v>0.25</v>
      </c>
      <c r="T36" s="74"/>
      <c r="U36" s="74"/>
      <c r="V36" s="78"/>
      <c r="W36" s="61" t="s">
        <v>567</v>
      </c>
      <c r="X36" s="4" t="s">
        <v>604</v>
      </c>
      <c r="Y36" s="79"/>
      <c r="Z36" s="60" t="s">
        <v>727</v>
      </c>
      <c r="AA36" s="8"/>
      <c r="AB36" s="8"/>
      <c r="AC36" s="8"/>
      <c r="AD36" s="9"/>
    </row>
    <row r="37">
      <c r="A37" s="4">
        <f t="shared" si="1"/>
        <v>210025</v>
      </c>
      <c r="B37" s="72" t="s">
        <v>734</v>
      </c>
      <c r="C37" s="73">
        <v>2.0</v>
      </c>
      <c r="D37" s="73">
        <v>1.0</v>
      </c>
      <c r="E37" s="14"/>
      <c r="F37" s="43">
        <v>1.0</v>
      </c>
      <c r="G37" s="77"/>
      <c r="H37" s="73">
        <v>1.65</v>
      </c>
      <c r="I37" s="43"/>
      <c r="J37" s="43"/>
      <c r="K37" s="43"/>
      <c r="L37" s="43"/>
      <c r="M37" s="4" t="s">
        <v>566</v>
      </c>
      <c r="N37" s="58">
        <v>66.0</v>
      </c>
      <c r="O37" s="74"/>
      <c r="P37" s="75"/>
      <c r="Q37" s="75"/>
      <c r="R37" s="75">
        <v>5001.0</v>
      </c>
      <c r="S37" s="72">
        <v>0.25</v>
      </c>
      <c r="T37" s="74"/>
      <c r="U37" s="74"/>
      <c r="V37" s="78"/>
      <c r="W37" s="61" t="s">
        <v>567</v>
      </c>
      <c r="X37" s="61" t="s">
        <v>569</v>
      </c>
      <c r="Y37" s="61"/>
      <c r="Z37" s="60" t="s">
        <v>735</v>
      </c>
      <c r="AA37" s="8"/>
      <c r="AB37" s="8"/>
      <c r="AC37" s="8"/>
      <c r="AD37" s="9"/>
    </row>
    <row r="38">
      <c r="A38" s="4">
        <f t="shared" si="1"/>
        <v>210026</v>
      </c>
      <c r="B38" s="72" t="s">
        <v>741</v>
      </c>
      <c r="C38" s="73">
        <v>-2.0</v>
      </c>
      <c r="D38" s="73">
        <v>1.0</v>
      </c>
      <c r="E38" s="14"/>
      <c r="F38" s="43">
        <v>1.0</v>
      </c>
      <c r="G38" s="73"/>
      <c r="H38" s="73"/>
      <c r="I38" s="43"/>
      <c r="J38" s="43"/>
      <c r="K38" s="43"/>
      <c r="L38" s="43"/>
      <c r="M38" s="4"/>
      <c r="N38" s="58">
        <v>30.0</v>
      </c>
      <c r="O38" s="74"/>
      <c r="P38" s="75"/>
      <c r="Q38" s="75"/>
      <c r="R38" s="75">
        <v>1996.0</v>
      </c>
      <c r="S38" s="74"/>
      <c r="T38" s="74"/>
      <c r="U38" s="74"/>
      <c r="V38" s="78"/>
      <c r="W38" s="79"/>
      <c r="X38" s="4" t="s">
        <v>786</v>
      </c>
      <c r="Y38" s="79"/>
      <c r="Z38" s="60" t="s">
        <v>742</v>
      </c>
      <c r="AA38" s="8"/>
      <c r="AB38" s="8"/>
      <c r="AC38" s="8"/>
      <c r="AD38" s="9"/>
    </row>
    <row r="39">
      <c r="A39" s="4">
        <f t="shared" si="1"/>
        <v>210027</v>
      </c>
      <c r="B39" s="72" t="s">
        <v>747</v>
      </c>
      <c r="C39" s="73">
        <v>1.0</v>
      </c>
      <c r="D39" s="73"/>
      <c r="E39" s="14"/>
      <c r="F39" s="43">
        <v>1.0</v>
      </c>
      <c r="G39" s="73">
        <v>3.0</v>
      </c>
      <c r="H39" s="73"/>
      <c r="I39" s="43"/>
      <c r="J39" s="43"/>
      <c r="K39" s="43"/>
      <c r="L39" s="43"/>
      <c r="M39" s="4" t="s">
        <v>527</v>
      </c>
      <c r="N39" s="58">
        <v>30.0</v>
      </c>
      <c r="O39" s="74"/>
      <c r="P39" s="75"/>
      <c r="Q39" s="76"/>
      <c r="R39" s="75">
        <v>1005.0</v>
      </c>
      <c r="S39" s="72">
        <v>0.4</v>
      </c>
      <c r="T39" s="74"/>
      <c r="U39" s="74"/>
      <c r="V39" s="78"/>
      <c r="W39" s="4" t="s">
        <v>788</v>
      </c>
      <c r="X39" s="61" t="s">
        <v>569</v>
      </c>
      <c r="Y39" s="79"/>
      <c r="Z39" s="60" t="s">
        <v>748</v>
      </c>
      <c r="AA39" s="8"/>
      <c r="AB39" s="8"/>
      <c r="AC39" s="8"/>
      <c r="AD39" s="9"/>
    </row>
    <row r="40">
      <c r="A40" s="4">
        <f t="shared" si="1"/>
        <v>210028</v>
      </c>
      <c r="B40" s="72" t="s">
        <v>755</v>
      </c>
      <c r="C40" s="73">
        <v>-2.0</v>
      </c>
      <c r="D40" s="73">
        <v>1.0</v>
      </c>
      <c r="E40" s="14"/>
      <c r="F40" s="43">
        <v>1.0</v>
      </c>
      <c r="G40" s="73"/>
      <c r="H40" s="73">
        <v>1.65</v>
      </c>
      <c r="I40" s="43"/>
      <c r="J40" s="43"/>
      <c r="K40" s="43"/>
      <c r="L40" s="43"/>
      <c r="M40" s="4" t="s">
        <v>566</v>
      </c>
      <c r="N40" s="58">
        <v>66.0</v>
      </c>
      <c r="O40" s="74"/>
      <c r="P40" s="75"/>
      <c r="Q40" s="75"/>
      <c r="R40" s="75"/>
      <c r="S40" s="74"/>
      <c r="T40" s="74"/>
      <c r="U40" s="74"/>
      <c r="V40" s="78"/>
      <c r="W40" s="79"/>
      <c r="X40" s="61" t="s">
        <v>615</v>
      </c>
      <c r="Y40" s="61"/>
      <c r="Z40" s="60" t="s">
        <v>796</v>
      </c>
      <c r="AA40" s="8"/>
      <c r="AB40" s="8"/>
      <c r="AC40" s="8"/>
      <c r="AD40" s="9"/>
    </row>
    <row r="41">
      <c r="A41" s="4">
        <f t="shared" si="1"/>
        <v>210029</v>
      </c>
      <c r="B41" s="72" t="s">
        <v>762</v>
      </c>
      <c r="C41" s="73">
        <v>2.0</v>
      </c>
      <c r="D41" s="73">
        <v>1.0</v>
      </c>
      <c r="E41" s="14"/>
      <c r="F41" s="43">
        <v>1.0</v>
      </c>
      <c r="G41" s="73">
        <v>1.65</v>
      </c>
      <c r="H41" s="73"/>
      <c r="I41" s="43"/>
      <c r="J41" s="43"/>
      <c r="K41" s="43"/>
      <c r="L41" s="43"/>
      <c r="M41" s="4" t="s">
        <v>527</v>
      </c>
      <c r="N41" s="58">
        <v>33.0</v>
      </c>
      <c r="O41" s="74"/>
      <c r="P41" s="75"/>
      <c r="Q41" s="75"/>
      <c r="R41" s="76">
        <v>4003.0</v>
      </c>
      <c r="S41" s="72">
        <v>0.25</v>
      </c>
      <c r="T41" s="74"/>
      <c r="U41" s="74"/>
      <c r="V41" s="78"/>
      <c r="W41" s="79"/>
      <c r="X41" s="4" t="s">
        <v>679</v>
      </c>
      <c r="Y41" s="61"/>
      <c r="Z41" s="60" t="s">
        <v>763</v>
      </c>
      <c r="AA41" s="8"/>
      <c r="AB41" s="8"/>
      <c r="AC41" s="8"/>
      <c r="AD41" s="9"/>
    </row>
    <row r="42">
      <c r="A42" s="4">
        <f t="shared" si="1"/>
        <v>210030</v>
      </c>
      <c r="B42" s="72" t="s">
        <v>769</v>
      </c>
      <c r="C42" s="73">
        <v>4.0</v>
      </c>
      <c r="D42" s="73">
        <v>1.0</v>
      </c>
      <c r="E42" s="14"/>
      <c r="F42" s="43">
        <v>1.0</v>
      </c>
      <c r="G42" s="77"/>
      <c r="H42" s="73">
        <v>0.75</v>
      </c>
      <c r="I42" s="43"/>
      <c r="J42" s="43"/>
      <c r="K42" s="43"/>
      <c r="L42" s="43"/>
      <c r="M42" s="4" t="s">
        <v>566</v>
      </c>
      <c r="N42" s="58">
        <v>59.0</v>
      </c>
      <c r="O42" s="74"/>
      <c r="P42" s="75"/>
      <c r="Q42" s="75"/>
      <c r="R42" s="76">
        <v>2004.0</v>
      </c>
      <c r="S42" s="72">
        <v>0.25</v>
      </c>
      <c r="T42" s="74"/>
      <c r="U42" s="74"/>
      <c r="V42" s="78"/>
      <c r="W42" s="61" t="s">
        <v>567</v>
      </c>
      <c r="X42" s="61" t="s">
        <v>569</v>
      </c>
      <c r="Y42" s="79"/>
      <c r="Z42" s="60" t="s">
        <v>770</v>
      </c>
      <c r="AA42" s="8"/>
      <c r="AB42" s="8"/>
      <c r="AC42" s="8"/>
      <c r="AD42" s="9"/>
      <c r="AE42" s="90"/>
      <c r="AF42" s="90"/>
      <c r="AG42" s="90"/>
    </row>
    <row r="43">
      <c r="A43" s="4">
        <f t="shared" si="1"/>
        <v>210031</v>
      </c>
      <c r="B43" s="72" t="s">
        <v>777</v>
      </c>
      <c r="C43" s="73">
        <v>3.0</v>
      </c>
      <c r="D43" s="73">
        <v>1.0</v>
      </c>
      <c r="E43" s="14"/>
      <c r="F43" s="43">
        <v>1.0</v>
      </c>
      <c r="G43" s="73">
        <v>1.05</v>
      </c>
      <c r="H43" s="73"/>
      <c r="I43" s="43"/>
      <c r="J43" s="43"/>
      <c r="K43" s="43"/>
      <c r="L43" s="43"/>
      <c r="M43" s="4" t="s">
        <v>527</v>
      </c>
      <c r="N43" s="58">
        <v>31.0</v>
      </c>
      <c r="O43" s="74"/>
      <c r="P43" s="75"/>
      <c r="Q43" s="75"/>
      <c r="R43" s="76">
        <v>4003.0</v>
      </c>
      <c r="S43" s="72">
        <v>0.25</v>
      </c>
      <c r="T43" s="74"/>
      <c r="U43" s="74"/>
      <c r="V43" s="78"/>
      <c r="W43" s="79"/>
      <c r="X43" s="4" t="s">
        <v>529</v>
      </c>
      <c r="Y43" s="79"/>
      <c r="Z43" s="60" t="s">
        <v>778</v>
      </c>
      <c r="AA43" s="8"/>
      <c r="AB43" s="8"/>
      <c r="AC43" s="8"/>
      <c r="AD43" s="9"/>
      <c r="AE43" s="90"/>
      <c r="AF43" s="90"/>
      <c r="AG43" s="90"/>
    </row>
    <row r="44">
      <c r="C44" s="51"/>
      <c r="D44" s="51"/>
      <c r="E44" s="51"/>
      <c r="F44" s="51"/>
      <c r="G44" s="51"/>
      <c r="H44" s="51"/>
      <c r="I44" s="51"/>
      <c r="J44" s="51"/>
      <c r="K44" s="51"/>
      <c r="L44" s="51"/>
      <c r="N44" s="52"/>
      <c r="P44" s="53"/>
      <c r="Q44" s="53"/>
      <c r="R44" s="53"/>
      <c r="V44" s="51"/>
      <c r="AE44" s="90"/>
      <c r="AF44" s="90"/>
      <c r="AG44" s="90"/>
    </row>
    <row r="45">
      <c r="A45" s="3" t="s">
        <v>449</v>
      </c>
      <c r="B45" s="3" t="s">
        <v>454</v>
      </c>
      <c r="C45" s="40" t="s">
        <v>455</v>
      </c>
      <c r="D45" s="40" t="s">
        <v>456</v>
      </c>
      <c r="E45" s="40" t="s">
        <v>457</v>
      </c>
      <c r="F45" s="40" t="s">
        <v>848</v>
      </c>
      <c r="G45" s="40" t="s">
        <v>461</v>
      </c>
      <c r="H45" s="40" t="s">
        <v>462</v>
      </c>
      <c r="I45" s="40" t="s">
        <v>265</v>
      </c>
      <c r="J45" s="40" t="s">
        <v>465</v>
      </c>
      <c r="K45" s="40" t="s">
        <v>466</v>
      </c>
      <c r="L45" s="40" t="s">
        <v>468</v>
      </c>
      <c r="M45" s="3" t="s">
        <v>469</v>
      </c>
      <c r="N45" s="54" t="s">
        <v>470</v>
      </c>
      <c r="O45" s="3" t="s">
        <v>471</v>
      </c>
      <c r="P45" s="56" t="s">
        <v>472</v>
      </c>
      <c r="Q45" s="56" t="s">
        <v>479</v>
      </c>
      <c r="R45" s="56" t="s">
        <v>483</v>
      </c>
      <c r="S45" s="56" t="s">
        <v>484</v>
      </c>
      <c r="T45" s="3" t="s">
        <v>485</v>
      </c>
      <c r="U45" s="56" t="s">
        <v>486</v>
      </c>
      <c r="V45" s="43" t="s">
        <v>487</v>
      </c>
      <c r="W45" s="3" t="s">
        <v>489</v>
      </c>
      <c r="X45" s="3" t="s">
        <v>491</v>
      </c>
      <c r="Y45" s="3" t="s">
        <v>493</v>
      </c>
      <c r="Z45" s="6" t="s">
        <v>495</v>
      </c>
      <c r="AA45" s="8"/>
      <c r="AB45" s="8"/>
      <c r="AC45" s="8"/>
      <c r="AD45" s="9"/>
      <c r="AE45" s="90"/>
      <c r="AF45" s="90"/>
      <c r="AG45" s="90"/>
    </row>
    <row r="46">
      <c r="A46" s="4">
        <v>310001.0</v>
      </c>
      <c r="B46" s="4" t="s">
        <v>306</v>
      </c>
      <c r="C46" s="43">
        <v>5.0</v>
      </c>
      <c r="D46" s="43"/>
      <c r="E46" s="43"/>
      <c r="F46" s="43">
        <v>1.0</v>
      </c>
      <c r="G46" s="43"/>
      <c r="H46" s="43">
        <v>1.0</v>
      </c>
      <c r="I46" s="43"/>
      <c r="J46" s="43"/>
      <c r="K46" s="43">
        <v>7.0</v>
      </c>
      <c r="L46" s="43"/>
      <c r="M46" s="4" t="s">
        <v>566</v>
      </c>
      <c r="N46" s="58">
        <v>103.0</v>
      </c>
      <c r="O46" s="14"/>
      <c r="P46" s="59"/>
      <c r="Q46" s="59"/>
      <c r="R46" s="63">
        <v>4001.0</v>
      </c>
      <c r="S46" s="14"/>
      <c r="T46" s="14"/>
      <c r="U46" s="14"/>
      <c r="V46" s="57"/>
      <c r="W46" s="4" t="s">
        <v>603</v>
      </c>
      <c r="X46" s="4" t="s">
        <v>604</v>
      </c>
      <c r="Y46" s="4"/>
      <c r="Z46" s="60" t="s">
        <v>850</v>
      </c>
      <c r="AA46" s="8"/>
      <c r="AB46" s="8"/>
      <c r="AC46" s="8"/>
      <c r="AD46" s="9"/>
      <c r="AE46" s="90"/>
      <c r="AF46" s="90"/>
      <c r="AG46" s="90"/>
      <c r="AH46" s="53"/>
      <c r="AI46" s="90"/>
    </row>
    <row r="47">
      <c r="A47" s="4">
        <v>310002.0</v>
      </c>
      <c r="B47" s="4" t="s">
        <v>330</v>
      </c>
      <c r="C47" s="43">
        <v>3.0</v>
      </c>
      <c r="D47" s="43"/>
      <c r="E47" s="43"/>
      <c r="F47" s="43">
        <v>1.0</v>
      </c>
      <c r="G47" s="43"/>
      <c r="H47" s="43">
        <v>1.6</v>
      </c>
      <c r="I47" s="43"/>
      <c r="J47" s="43"/>
      <c r="K47" s="43">
        <v>8.0</v>
      </c>
      <c r="L47" s="43"/>
      <c r="M47" s="4" t="s">
        <v>566</v>
      </c>
      <c r="N47" s="58">
        <v>96.00000000000001</v>
      </c>
      <c r="O47" s="14"/>
      <c r="P47" s="59"/>
      <c r="Q47" s="59"/>
      <c r="R47" s="63" t="str">
        <f>"2004,2004,2004"</f>
        <v>2004,2004,2004</v>
      </c>
      <c r="S47" s="14"/>
      <c r="T47" s="14"/>
      <c r="U47" s="14"/>
      <c r="V47" s="57"/>
      <c r="W47" s="61" t="s">
        <v>567</v>
      </c>
      <c r="X47" s="61" t="s">
        <v>569</v>
      </c>
      <c r="Y47" s="4"/>
      <c r="Z47" s="60" t="s">
        <v>852</v>
      </c>
      <c r="AA47" s="8"/>
      <c r="AB47" s="8"/>
      <c r="AC47" s="8"/>
      <c r="AD47" s="9"/>
      <c r="AE47" s="90"/>
      <c r="AF47" s="90"/>
      <c r="AG47" s="90"/>
      <c r="AH47" s="53"/>
      <c r="AI47" s="90"/>
    </row>
    <row r="48">
      <c r="A48" s="4">
        <v>310003.0</v>
      </c>
      <c r="B48" s="4" t="s">
        <v>356</v>
      </c>
      <c r="C48" s="43">
        <v>-5.0</v>
      </c>
      <c r="D48" s="43"/>
      <c r="E48" s="43"/>
      <c r="F48" s="43">
        <v>1.0</v>
      </c>
      <c r="G48" s="43"/>
      <c r="H48" s="43">
        <v>1.0</v>
      </c>
      <c r="I48" s="43"/>
      <c r="J48" s="43"/>
      <c r="K48" s="43">
        <v>6.0</v>
      </c>
      <c r="L48" s="43"/>
      <c r="M48" s="4" t="s">
        <v>615</v>
      </c>
      <c r="N48" s="58">
        <v>49.0</v>
      </c>
      <c r="O48" s="14"/>
      <c r="P48" s="59"/>
      <c r="Q48" s="59"/>
      <c r="R48" s="59"/>
      <c r="S48" s="14"/>
      <c r="T48" s="14"/>
      <c r="U48" s="14"/>
      <c r="V48" s="57"/>
      <c r="W48" s="4"/>
      <c r="X48" s="4" t="s">
        <v>615</v>
      </c>
      <c r="Y48" s="4"/>
      <c r="Z48" s="60" t="s">
        <v>855</v>
      </c>
      <c r="AA48" s="8"/>
      <c r="AB48" s="8"/>
      <c r="AC48" s="8"/>
      <c r="AD48" s="9"/>
      <c r="AE48" s="90"/>
      <c r="AF48" s="90"/>
      <c r="AG48" s="90"/>
      <c r="AH48" s="53"/>
      <c r="AI48" s="90"/>
    </row>
    <row r="49">
      <c r="A49" s="4">
        <v>310004.0</v>
      </c>
      <c r="B49" s="4" t="s">
        <v>377</v>
      </c>
      <c r="C49" s="43">
        <v>3.0</v>
      </c>
      <c r="D49" s="43"/>
      <c r="E49" s="57"/>
      <c r="F49" s="43">
        <v>1.0</v>
      </c>
      <c r="G49" s="43">
        <v>1.6</v>
      </c>
      <c r="H49" s="43"/>
      <c r="I49" s="43"/>
      <c r="J49" s="43"/>
      <c r="K49" s="43">
        <v>7.0</v>
      </c>
      <c r="L49" s="43"/>
      <c r="M49" s="4" t="s">
        <v>527</v>
      </c>
      <c r="N49" s="58">
        <v>48.00000000000001</v>
      </c>
      <c r="O49" s="14"/>
      <c r="P49" s="63">
        <v>3003.0</v>
      </c>
      <c r="Q49" s="59"/>
      <c r="R49" s="59"/>
      <c r="S49" s="14"/>
      <c r="T49" s="14"/>
      <c r="U49" s="14"/>
      <c r="V49" s="57"/>
      <c r="W49" s="4"/>
      <c r="X49" s="4" t="s">
        <v>679</v>
      </c>
      <c r="Y49" s="4"/>
      <c r="Z49" s="60" t="s">
        <v>856</v>
      </c>
      <c r="AA49" s="8"/>
      <c r="AB49" s="8"/>
      <c r="AC49" s="8"/>
      <c r="AD49" s="9"/>
      <c r="AE49" s="90"/>
      <c r="AF49" s="90"/>
      <c r="AG49" s="90"/>
      <c r="AH49" s="53"/>
      <c r="AI49" s="90"/>
    </row>
    <row r="50">
      <c r="A50" s="4">
        <v>310005.0</v>
      </c>
      <c r="B50" s="4" t="s">
        <v>858</v>
      </c>
      <c r="C50" s="43">
        <v>1.0</v>
      </c>
      <c r="D50" s="43"/>
      <c r="E50" s="57"/>
      <c r="F50" s="43">
        <v>1.0</v>
      </c>
      <c r="G50" s="43">
        <v>4.8</v>
      </c>
      <c r="H50" s="43"/>
      <c r="I50" s="43"/>
      <c r="J50" s="43"/>
      <c r="K50" s="43">
        <v>6.0</v>
      </c>
      <c r="L50" s="43"/>
      <c r="M50" s="4" t="s">
        <v>527</v>
      </c>
      <c r="N50" s="58">
        <v>48.0</v>
      </c>
      <c r="O50" s="4"/>
      <c r="P50" s="63">
        <v>3007.0</v>
      </c>
      <c r="Q50" s="59"/>
      <c r="R50" s="59"/>
      <c r="S50" s="14"/>
      <c r="T50" s="14"/>
      <c r="U50" s="14"/>
      <c r="V50" s="57"/>
      <c r="W50" s="4"/>
      <c r="X50" s="4" t="s">
        <v>859</v>
      </c>
      <c r="Y50" s="4"/>
      <c r="Z50" s="60" t="s">
        <v>860</v>
      </c>
      <c r="AA50" s="8"/>
      <c r="AB50" s="8"/>
      <c r="AC50" s="8"/>
      <c r="AD50" s="9"/>
      <c r="AE50" s="90"/>
      <c r="AF50" s="90"/>
      <c r="AG50" s="90"/>
      <c r="AH50" s="53"/>
      <c r="AI50" s="53"/>
    </row>
    <row r="51">
      <c r="A51" s="4">
        <v>310006.0</v>
      </c>
      <c r="B51" s="4" t="s">
        <v>408</v>
      </c>
      <c r="C51" s="43">
        <v>-5.0</v>
      </c>
      <c r="D51" s="43"/>
      <c r="E51" s="57"/>
      <c r="F51" s="43">
        <v>1.0</v>
      </c>
      <c r="G51" s="43"/>
      <c r="H51" s="43">
        <v>1.0</v>
      </c>
      <c r="I51" s="43"/>
      <c r="J51" s="43"/>
      <c r="K51" s="43">
        <v>6.0</v>
      </c>
      <c r="L51" s="43"/>
      <c r="M51" s="4" t="s">
        <v>637</v>
      </c>
      <c r="N51" s="58">
        <v>98.0</v>
      </c>
      <c r="O51" s="14"/>
      <c r="P51" s="59"/>
      <c r="Q51" s="59"/>
      <c r="R51" s="63">
        <v>1999.0</v>
      </c>
      <c r="S51" s="14"/>
      <c r="T51" s="14"/>
      <c r="U51" s="14"/>
      <c r="V51" s="57"/>
      <c r="W51" s="4"/>
      <c r="X51" s="4" t="s">
        <v>862</v>
      </c>
      <c r="Y51" s="4"/>
      <c r="Z51" s="60" t="s">
        <v>863</v>
      </c>
      <c r="AA51" s="8"/>
      <c r="AB51" s="8"/>
      <c r="AC51" s="8"/>
      <c r="AD51" s="9"/>
      <c r="AE51" s="90"/>
      <c r="AF51" s="90"/>
      <c r="AG51" s="90"/>
      <c r="AH51" s="53"/>
      <c r="AI51" s="90"/>
    </row>
    <row r="52">
      <c r="A52" s="4">
        <v>310007.0</v>
      </c>
      <c r="B52" s="4" t="s">
        <v>425</v>
      </c>
      <c r="C52" s="43">
        <v>2.0</v>
      </c>
      <c r="D52" s="43">
        <v>1.0</v>
      </c>
      <c r="E52" s="57"/>
      <c r="F52" s="43">
        <v>1.0</v>
      </c>
      <c r="G52" s="57"/>
      <c r="H52" s="43">
        <v>2.5</v>
      </c>
      <c r="I52" s="43"/>
      <c r="J52" s="43"/>
      <c r="K52" s="43">
        <v>8.0</v>
      </c>
      <c r="L52" s="43"/>
      <c r="M52" s="4" t="s">
        <v>566</v>
      </c>
      <c r="N52" s="58">
        <v>105.0</v>
      </c>
      <c r="O52" s="14"/>
      <c r="P52" s="59"/>
      <c r="Q52" s="59"/>
      <c r="R52" s="63">
        <v>2005.0</v>
      </c>
      <c r="S52" s="14"/>
      <c r="T52" s="14"/>
      <c r="U52" s="14"/>
      <c r="V52" s="57"/>
      <c r="W52" s="61" t="s">
        <v>567</v>
      </c>
      <c r="X52" s="61" t="s">
        <v>569</v>
      </c>
      <c r="Y52" s="4"/>
      <c r="Z52" s="60" t="s">
        <v>865</v>
      </c>
      <c r="AA52" s="8"/>
      <c r="AB52" s="8"/>
      <c r="AC52" s="8"/>
      <c r="AD52" s="9"/>
      <c r="AE52" s="90"/>
      <c r="AF52" s="90"/>
      <c r="AG52" s="90"/>
      <c r="AH52" s="53"/>
      <c r="AI52" s="53"/>
    </row>
    <row r="53">
      <c r="A53" s="4">
        <v>310008.0</v>
      </c>
      <c r="B53" s="4" t="s">
        <v>438</v>
      </c>
      <c r="C53" s="43">
        <v>-5.0</v>
      </c>
      <c r="D53" s="43"/>
      <c r="E53" s="57"/>
      <c r="F53" s="43">
        <v>1.0</v>
      </c>
      <c r="G53" s="73"/>
      <c r="H53" s="73"/>
      <c r="I53" s="43"/>
      <c r="J53" s="43"/>
      <c r="K53" s="43">
        <v>5.0</v>
      </c>
      <c r="L53" s="43"/>
      <c r="M53" s="4"/>
      <c r="N53" s="58">
        <v>90.0</v>
      </c>
      <c r="O53" s="14"/>
      <c r="P53" s="59"/>
      <c r="Q53" s="59"/>
      <c r="R53" s="59" t="str">
        <f>"1003,1003"</f>
        <v>1003,1003</v>
      </c>
      <c r="S53" s="14"/>
      <c r="T53" s="14"/>
      <c r="U53" s="14"/>
      <c r="V53" s="57"/>
      <c r="W53" s="4"/>
      <c r="X53" s="4" t="s">
        <v>573</v>
      </c>
      <c r="Y53" s="4"/>
      <c r="Z53" s="60" t="s">
        <v>440</v>
      </c>
      <c r="AA53" s="8"/>
      <c r="AB53" s="8"/>
      <c r="AC53" s="8"/>
      <c r="AD53" s="9"/>
      <c r="AE53" s="90"/>
      <c r="AF53" s="90"/>
      <c r="AG53" s="90"/>
      <c r="AH53" s="53"/>
      <c r="AI53" s="90"/>
    </row>
    <row r="54">
      <c r="A54" s="4">
        <v>310009.0</v>
      </c>
      <c r="B54" s="4" t="s">
        <v>459</v>
      </c>
      <c r="C54" s="43">
        <v>1.0</v>
      </c>
      <c r="D54" s="43">
        <v>1.0</v>
      </c>
      <c r="E54" s="57"/>
      <c r="F54" s="43">
        <v>3.0</v>
      </c>
      <c r="G54" s="73">
        <v>1.6</v>
      </c>
      <c r="H54" s="77"/>
      <c r="I54" s="43"/>
      <c r="J54" s="43"/>
      <c r="K54" s="43">
        <v>4.0</v>
      </c>
      <c r="L54" s="43"/>
      <c r="M54" s="4" t="s">
        <v>527</v>
      </c>
      <c r="N54" s="58">
        <v>23.0</v>
      </c>
      <c r="O54" s="14"/>
      <c r="P54" s="59">
        <v>1001.0</v>
      </c>
      <c r="Q54" s="63">
        <v>0.4</v>
      </c>
      <c r="R54" s="59"/>
      <c r="S54" s="14"/>
      <c r="T54" s="14"/>
      <c r="U54" s="14"/>
      <c r="V54" s="57"/>
      <c r="W54" s="4"/>
      <c r="X54" s="4" t="s">
        <v>529</v>
      </c>
      <c r="Y54" s="4"/>
      <c r="Z54" s="60" t="s">
        <v>869</v>
      </c>
      <c r="AA54" s="8"/>
      <c r="AB54" s="8"/>
      <c r="AC54" s="8"/>
      <c r="AD54" s="9"/>
      <c r="AE54" s="90"/>
      <c r="AF54" s="90"/>
      <c r="AG54" s="90"/>
      <c r="AH54" s="53"/>
      <c r="AI54" s="90"/>
    </row>
    <row r="55">
      <c r="A55" s="4">
        <v>310010.0</v>
      </c>
      <c r="B55" s="4" t="s">
        <v>488</v>
      </c>
      <c r="C55" s="43">
        <v>1.0</v>
      </c>
      <c r="D55" s="43">
        <v>1.0</v>
      </c>
      <c r="E55" s="57"/>
      <c r="F55" s="43">
        <v>1.0</v>
      </c>
      <c r="G55" s="73">
        <v>5.0</v>
      </c>
      <c r="H55" s="73"/>
      <c r="I55" s="43"/>
      <c r="J55" s="43"/>
      <c r="K55" s="43">
        <v>5.0</v>
      </c>
      <c r="L55" s="43"/>
      <c r="M55" s="4" t="s">
        <v>527</v>
      </c>
      <c r="N55" s="58">
        <v>100.0</v>
      </c>
      <c r="O55" s="14"/>
      <c r="P55" s="59"/>
      <c r="Q55" s="59"/>
      <c r="R55" s="59">
        <v>5004.0</v>
      </c>
      <c r="S55" s="4">
        <v>0.4</v>
      </c>
      <c r="T55" s="14"/>
      <c r="U55" s="14"/>
      <c r="V55" s="57"/>
      <c r="W55" s="61" t="s">
        <v>567</v>
      </c>
      <c r="X55" s="61" t="s">
        <v>569</v>
      </c>
      <c r="Y55" s="4"/>
      <c r="Z55" s="60" t="s">
        <v>871</v>
      </c>
      <c r="AA55" s="8"/>
      <c r="AB55" s="8"/>
      <c r="AC55" s="8"/>
      <c r="AD55" s="9"/>
      <c r="AE55" s="90"/>
      <c r="AF55" s="90"/>
      <c r="AG55" s="90"/>
      <c r="AH55" s="53"/>
      <c r="AI55" s="90"/>
    </row>
    <row r="56">
      <c r="A56" s="4">
        <v>310011.0</v>
      </c>
      <c r="B56" s="4" t="s">
        <v>509</v>
      </c>
      <c r="C56" s="43">
        <v>1.0</v>
      </c>
      <c r="D56" s="43"/>
      <c r="E56" s="57"/>
      <c r="F56" s="43">
        <v>1.0</v>
      </c>
      <c r="G56" s="73">
        <v>4.8</v>
      </c>
      <c r="H56" s="77"/>
      <c r="I56" s="43"/>
      <c r="J56" s="43"/>
      <c r="K56" s="43">
        <v>6.0</v>
      </c>
      <c r="L56" s="43"/>
      <c r="M56" s="4" t="s">
        <v>527</v>
      </c>
      <c r="N56" s="58">
        <v>44.0</v>
      </c>
      <c r="O56" s="14"/>
      <c r="P56" s="59"/>
      <c r="Q56" s="59"/>
      <c r="R56" s="59">
        <v>5002.0</v>
      </c>
      <c r="S56" s="4">
        <v>0.4</v>
      </c>
      <c r="T56" s="14"/>
      <c r="U56" s="14"/>
      <c r="V56" s="57"/>
      <c r="W56" s="4"/>
      <c r="X56" s="4" t="s">
        <v>679</v>
      </c>
      <c r="Y56" s="4"/>
      <c r="Z56" s="60" t="s">
        <v>874</v>
      </c>
      <c r="AA56" s="8"/>
      <c r="AB56" s="8"/>
      <c r="AC56" s="8"/>
      <c r="AD56" s="9"/>
      <c r="AE56" s="90"/>
      <c r="AF56" s="90"/>
      <c r="AG56" s="90"/>
      <c r="AH56" s="53"/>
      <c r="AI56" s="90"/>
    </row>
    <row r="57">
      <c r="A57" s="4">
        <v>310012.0</v>
      </c>
      <c r="B57" s="4" t="s">
        <v>522</v>
      </c>
      <c r="C57" s="43">
        <v>-1.0</v>
      </c>
      <c r="D57" s="43"/>
      <c r="E57" s="57"/>
      <c r="F57" s="43">
        <v>1.0</v>
      </c>
      <c r="G57" s="77"/>
      <c r="H57" s="73">
        <v>4.8</v>
      </c>
      <c r="I57" s="43"/>
      <c r="J57" s="43"/>
      <c r="K57" s="43">
        <v>7.0</v>
      </c>
      <c r="L57" s="43"/>
      <c r="M57" s="4" t="s">
        <v>615</v>
      </c>
      <c r="N57" s="58">
        <v>48.0</v>
      </c>
      <c r="O57" s="4">
        <v>150.0</v>
      </c>
      <c r="P57" s="59"/>
      <c r="Q57" s="59"/>
      <c r="R57" s="59"/>
      <c r="S57" s="14"/>
      <c r="T57" s="14"/>
      <c r="U57" s="14"/>
      <c r="V57" s="57"/>
      <c r="W57" s="4"/>
      <c r="X57" s="4" t="s">
        <v>615</v>
      </c>
      <c r="Y57" s="4"/>
      <c r="Z57" s="60" t="s">
        <v>879</v>
      </c>
      <c r="AA57" s="8"/>
      <c r="AB57" s="8"/>
      <c r="AC57" s="8"/>
      <c r="AD57" s="9"/>
      <c r="AE57" s="90"/>
      <c r="AF57" s="90"/>
      <c r="AG57" s="90"/>
      <c r="AH57" s="53"/>
      <c r="AI57" s="53"/>
    </row>
    <row r="58">
      <c r="A58" s="4">
        <v>310013.0</v>
      </c>
      <c r="B58" s="4" t="s">
        <v>584</v>
      </c>
      <c r="C58" s="43">
        <v>1.0</v>
      </c>
      <c r="D58" s="43"/>
      <c r="E58" s="57"/>
      <c r="F58" s="43">
        <v>1.0</v>
      </c>
      <c r="G58" s="73">
        <v>3.8</v>
      </c>
      <c r="H58" s="77"/>
      <c r="I58" s="43"/>
      <c r="J58" s="43"/>
      <c r="K58" s="43">
        <v>9.0</v>
      </c>
      <c r="L58" s="43"/>
      <c r="M58" s="4" t="s">
        <v>527</v>
      </c>
      <c r="N58" s="58">
        <v>38.0</v>
      </c>
      <c r="O58" s="14"/>
      <c r="P58" s="59"/>
      <c r="Q58" s="59"/>
      <c r="R58" s="63">
        <v>3006.0</v>
      </c>
      <c r="S58" s="14"/>
      <c r="T58" s="14"/>
      <c r="U58" s="14"/>
      <c r="V58" s="57"/>
      <c r="W58" s="4"/>
      <c r="X58" s="4" t="s">
        <v>679</v>
      </c>
      <c r="Y58" s="4"/>
      <c r="Z58" s="60" t="s">
        <v>882</v>
      </c>
      <c r="AA58" s="8"/>
      <c r="AB58" s="8"/>
      <c r="AC58" s="8"/>
      <c r="AD58" s="9"/>
      <c r="AE58" s="90"/>
      <c r="AF58" s="90"/>
      <c r="AG58" s="90"/>
      <c r="AH58" s="53"/>
      <c r="AI58" s="53"/>
    </row>
    <row r="59">
      <c r="A59" s="4">
        <v>310014.0</v>
      </c>
      <c r="B59" s="4" t="s">
        <v>594</v>
      </c>
      <c r="C59" s="43">
        <v>3.0</v>
      </c>
      <c r="D59" s="43">
        <v>1.0</v>
      </c>
      <c r="E59" s="57"/>
      <c r="F59" s="43">
        <v>1.0</v>
      </c>
      <c r="G59" s="73">
        <v>1.3</v>
      </c>
      <c r="H59" s="73"/>
      <c r="I59" s="43"/>
      <c r="J59" s="43"/>
      <c r="K59" s="43">
        <v>8.0</v>
      </c>
      <c r="L59" s="43"/>
      <c r="M59" s="4" t="s">
        <v>527</v>
      </c>
      <c r="N59" s="58">
        <v>39.0</v>
      </c>
      <c r="O59" s="14"/>
      <c r="P59" s="59"/>
      <c r="Q59" s="59"/>
      <c r="R59" s="63">
        <v>3005.0</v>
      </c>
      <c r="S59" s="14"/>
      <c r="T59" s="14"/>
      <c r="U59" s="14"/>
      <c r="V59" s="57"/>
      <c r="W59" s="4"/>
      <c r="X59" s="4" t="s">
        <v>529</v>
      </c>
      <c r="Y59" s="4"/>
      <c r="Z59" s="60" t="s">
        <v>885</v>
      </c>
      <c r="AA59" s="8"/>
      <c r="AB59" s="8"/>
      <c r="AC59" s="8"/>
      <c r="AD59" s="9"/>
      <c r="AE59" s="90"/>
      <c r="AF59" s="90"/>
      <c r="AG59" s="90"/>
      <c r="AH59" s="53"/>
      <c r="AI59" s="53"/>
    </row>
    <row r="60">
      <c r="A60" s="4">
        <v>310015.0</v>
      </c>
      <c r="B60" s="4" t="s">
        <v>605</v>
      </c>
      <c r="C60" s="43">
        <v>2.0</v>
      </c>
      <c r="D60" s="43"/>
      <c r="E60" s="57"/>
      <c r="F60" s="43">
        <v>1.0</v>
      </c>
      <c r="G60" s="77"/>
      <c r="H60" s="73">
        <v>1.9</v>
      </c>
      <c r="I60" s="43"/>
      <c r="J60" s="43"/>
      <c r="K60" s="43">
        <v>9.0</v>
      </c>
      <c r="L60" s="43"/>
      <c r="M60" s="4" t="s">
        <v>566</v>
      </c>
      <c r="N60" s="58">
        <v>76.0</v>
      </c>
      <c r="O60" s="14"/>
      <c r="P60" s="59"/>
      <c r="Q60" s="59"/>
      <c r="R60" s="59">
        <v>5002.0</v>
      </c>
      <c r="S60" s="4">
        <v>0.3</v>
      </c>
      <c r="T60" s="14"/>
      <c r="U60" s="14"/>
      <c r="V60" s="57"/>
      <c r="W60" s="61" t="s">
        <v>567</v>
      </c>
      <c r="X60" s="61" t="s">
        <v>569</v>
      </c>
      <c r="Y60" s="4"/>
      <c r="Z60" s="60" t="s">
        <v>887</v>
      </c>
      <c r="AA60" s="8"/>
      <c r="AB60" s="8"/>
      <c r="AC60" s="8"/>
      <c r="AD60" s="9"/>
      <c r="AE60" s="90"/>
      <c r="AF60" s="90"/>
      <c r="AG60" s="90"/>
      <c r="AH60" s="53"/>
      <c r="AI60" s="53"/>
    </row>
    <row r="61">
      <c r="A61" s="4">
        <f t="shared" ref="A61:A76" si="2">A60+1</f>
        <v>310016</v>
      </c>
      <c r="B61" s="4" t="s">
        <v>613</v>
      </c>
      <c r="C61" s="43">
        <v>2.0</v>
      </c>
      <c r="D61" s="43">
        <v>1.0</v>
      </c>
      <c r="E61" s="57"/>
      <c r="F61" s="43">
        <v>1.0</v>
      </c>
      <c r="G61" s="73"/>
      <c r="H61" s="73">
        <v>2.0</v>
      </c>
      <c r="I61" s="43"/>
      <c r="J61" s="43"/>
      <c r="K61" s="43">
        <v>7.0</v>
      </c>
      <c r="L61" s="43"/>
      <c r="M61" s="4" t="s">
        <v>566</v>
      </c>
      <c r="N61" s="58">
        <v>80.0</v>
      </c>
      <c r="O61" s="14"/>
      <c r="P61" s="59">
        <v>1007.0</v>
      </c>
      <c r="Q61" s="4">
        <v>0.4</v>
      </c>
      <c r="R61" s="59"/>
      <c r="S61" s="14"/>
      <c r="T61" s="14"/>
      <c r="U61" s="14"/>
      <c r="V61" s="57"/>
      <c r="W61" s="61" t="s">
        <v>567</v>
      </c>
      <c r="X61" s="61" t="s">
        <v>569</v>
      </c>
      <c r="Y61" s="4"/>
      <c r="Z61" s="60" t="s">
        <v>894</v>
      </c>
      <c r="AA61" s="8"/>
      <c r="AB61" s="8"/>
      <c r="AC61" s="8"/>
      <c r="AD61" s="9"/>
      <c r="AE61" s="90"/>
      <c r="AF61" s="90"/>
      <c r="AG61" s="90"/>
      <c r="AH61" s="53"/>
      <c r="AI61" s="53"/>
    </row>
    <row r="62">
      <c r="A62" s="4">
        <f t="shared" si="2"/>
        <v>310017</v>
      </c>
      <c r="B62" s="4" t="s">
        <v>623</v>
      </c>
      <c r="C62" s="43">
        <v>-2.0</v>
      </c>
      <c r="D62" s="43"/>
      <c r="E62" s="57"/>
      <c r="F62" s="43">
        <v>1.0</v>
      </c>
      <c r="G62" s="77"/>
      <c r="H62" s="73">
        <v>1.9</v>
      </c>
      <c r="I62" s="43"/>
      <c r="J62" s="43"/>
      <c r="K62" s="43">
        <v>8.0</v>
      </c>
      <c r="L62" s="43"/>
      <c r="M62" s="4" t="s">
        <v>615</v>
      </c>
      <c r="N62" s="58">
        <v>37.0</v>
      </c>
      <c r="O62" s="14"/>
      <c r="P62" s="59"/>
      <c r="Q62" s="59"/>
      <c r="R62" s="59">
        <v>1997.0</v>
      </c>
      <c r="S62" s="14"/>
      <c r="T62" s="14"/>
      <c r="U62" s="14"/>
      <c r="V62" s="57"/>
      <c r="W62" s="4"/>
      <c r="X62" s="4" t="s">
        <v>615</v>
      </c>
      <c r="Y62" s="4"/>
      <c r="Z62" s="2" t="s">
        <v>898</v>
      </c>
      <c r="AE62" s="90"/>
      <c r="AF62" s="90"/>
      <c r="AG62" s="90"/>
      <c r="AH62" s="53"/>
      <c r="AI62" s="53"/>
    </row>
    <row r="63">
      <c r="A63" s="4">
        <f t="shared" si="2"/>
        <v>310018</v>
      </c>
      <c r="B63" s="4" t="s">
        <v>630</v>
      </c>
      <c r="C63" s="43">
        <v>2.0</v>
      </c>
      <c r="D63" s="43">
        <v>1.0</v>
      </c>
      <c r="E63" s="57"/>
      <c r="F63" s="43">
        <v>1.0</v>
      </c>
      <c r="G63" s="73"/>
      <c r="H63" s="73">
        <v>2.0</v>
      </c>
      <c r="I63" s="43"/>
      <c r="J63" s="43"/>
      <c r="K63" s="43">
        <v>7.0</v>
      </c>
      <c r="L63" s="43"/>
      <c r="M63" s="4" t="s">
        <v>566</v>
      </c>
      <c r="N63" s="58">
        <v>76.0</v>
      </c>
      <c r="O63" s="14"/>
      <c r="P63" s="59"/>
      <c r="Q63" s="59"/>
      <c r="R63" s="63">
        <v>4001.0</v>
      </c>
      <c r="S63" s="4">
        <v>0.3</v>
      </c>
      <c r="T63" s="14"/>
      <c r="U63" s="14"/>
      <c r="V63" s="57"/>
      <c r="W63" s="61" t="s">
        <v>567</v>
      </c>
      <c r="X63" s="61" t="s">
        <v>569</v>
      </c>
      <c r="Y63" s="4"/>
      <c r="Z63" s="60" t="s">
        <v>902</v>
      </c>
      <c r="AA63" s="8"/>
      <c r="AB63" s="8"/>
      <c r="AC63" s="8"/>
      <c r="AD63" s="9"/>
      <c r="AE63" s="90"/>
      <c r="AF63" s="90"/>
      <c r="AG63" s="90"/>
      <c r="AH63" s="53"/>
      <c r="AI63" s="53"/>
    </row>
    <row r="64">
      <c r="A64" s="4">
        <f t="shared" si="2"/>
        <v>310019</v>
      </c>
      <c r="B64" s="4" t="s">
        <v>638</v>
      </c>
      <c r="C64" s="43">
        <v>2.0</v>
      </c>
      <c r="D64" s="43"/>
      <c r="E64" s="57"/>
      <c r="F64" s="43">
        <v>1.0</v>
      </c>
      <c r="G64" s="77"/>
      <c r="H64" s="73">
        <v>1.9</v>
      </c>
      <c r="I64" s="43"/>
      <c r="J64" s="43"/>
      <c r="K64" s="43">
        <v>9.0</v>
      </c>
      <c r="L64" s="43"/>
      <c r="M64" s="4" t="s">
        <v>566</v>
      </c>
      <c r="N64" s="58">
        <v>69.0</v>
      </c>
      <c r="O64" s="14"/>
      <c r="P64" s="59"/>
      <c r="Q64" s="59"/>
      <c r="R64" s="59">
        <v>5001.0</v>
      </c>
      <c r="S64" s="4">
        <v>0.3</v>
      </c>
      <c r="T64" s="14"/>
      <c r="U64" s="14"/>
      <c r="V64" s="57"/>
      <c r="W64" s="61" t="s">
        <v>567</v>
      </c>
      <c r="X64" s="61" t="s">
        <v>569</v>
      </c>
      <c r="Y64" s="4"/>
      <c r="Z64" s="60" t="s">
        <v>905</v>
      </c>
      <c r="AA64" s="8"/>
      <c r="AB64" s="8"/>
      <c r="AC64" s="8"/>
      <c r="AD64" s="9"/>
      <c r="AE64" s="90"/>
      <c r="AF64" s="90"/>
      <c r="AG64" s="90"/>
      <c r="AH64" s="53"/>
      <c r="AI64" s="53"/>
    </row>
    <row r="65">
      <c r="A65" s="4">
        <f t="shared" si="2"/>
        <v>310020</v>
      </c>
      <c r="B65" s="4" t="s">
        <v>646</v>
      </c>
      <c r="C65" s="43">
        <v>3.0</v>
      </c>
      <c r="D65" s="43">
        <v>1.0</v>
      </c>
      <c r="E65" s="57"/>
      <c r="F65" s="43">
        <v>1.0</v>
      </c>
      <c r="G65" s="77"/>
      <c r="H65" s="73">
        <v>0.02</v>
      </c>
      <c r="I65" s="43"/>
      <c r="J65" s="43"/>
      <c r="K65" s="43">
        <v>11.0</v>
      </c>
      <c r="L65" s="43"/>
      <c r="M65" s="4" t="s">
        <v>566</v>
      </c>
      <c r="N65" s="58">
        <v>59.0</v>
      </c>
      <c r="O65" s="14"/>
      <c r="P65" s="59"/>
      <c r="Q65" s="59"/>
      <c r="R65" s="59"/>
      <c r="S65" s="14"/>
      <c r="T65" s="14"/>
      <c r="U65" s="14"/>
      <c r="V65" s="57"/>
      <c r="W65" s="61" t="s">
        <v>567</v>
      </c>
      <c r="X65" s="4" t="s">
        <v>910</v>
      </c>
      <c r="Y65" s="4"/>
      <c r="Z65" s="60" t="s">
        <v>911</v>
      </c>
      <c r="AA65" s="8"/>
      <c r="AB65" s="8"/>
      <c r="AC65" s="8"/>
      <c r="AD65" s="9"/>
      <c r="AE65" s="90"/>
      <c r="AF65" s="90"/>
      <c r="AG65" s="90"/>
      <c r="AH65" s="53"/>
      <c r="AI65" s="53"/>
    </row>
    <row r="66">
      <c r="A66" s="4">
        <f t="shared" si="2"/>
        <v>310021</v>
      </c>
      <c r="B66" s="4" t="s">
        <v>655</v>
      </c>
      <c r="C66" s="43">
        <v>2.0</v>
      </c>
      <c r="D66" s="43">
        <v>1.0</v>
      </c>
      <c r="E66" s="57"/>
      <c r="F66" s="43">
        <v>1.0</v>
      </c>
      <c r="G66" s="73">
        <v>2.0</v>
      </c>
      <c r="H66" s="73"/>
      <c r="I66" s="43"/>
      <c r="J66" s="43"/>
      <c r="K66" s="43">
        <v>10.0</v>
      </c>
      <c r="L66" s="43"/>
      <c r="M66" s="4" t="s">
        <v>527</v>
      </c>
      <c r="N66" s="58">
        <v>39.0</v>
      </c>
      <c r="O66" s="14"/>
      <c r="P66" s="59"/>
      <c r="Q66" s="59"/>
      <c r="R66" s="93" t="s">
        <v>915</v>
      </c>
      <c r="S66" s="4">
        <v>0.6</v>
      </c>
      <c r="T66" s="14"/>
      <c r="U66" s="14"/>
      <c r="V66" s="57"/>
      <c r="W66" s="4"/>
      <c r="X66" s="4" t="s">
        <v>529</v>
      </c>
      <c r="Y66" s="4"/>
      <c r="Z66" s="60" t="s">
        <v>918</v>
      </c>
      <c r="AA66" s="8"/>
      <c r="AB66" s="8"/>
      <c r="AC66" s="8"/>
      <c r="AD66" s="9"/>
      <c r="AE66" s="90"/>
      <c r="AF66" s="90"/>
      <c r="AG66" s="90"/>
      <c r="AH66" s="53"/>
      <c r="AI66" s="53"/>
    </row>
    <row r="67">
      <c r="A67" s="4">
        <f t="shared" si="2"/>
        <v>310022</v>
      </c>
      <c r="B67" s="4" t="s">
        <v>692</v>
      </c>
      <c r="C67" s="43">
        <v>1.0</v>
      </c>
      <c r="D67" s="43"/>
      <c r="E67" s="57"/>
      <c r="F67" s="43">
        <v>1.0</v>
      </c>
      <c r="G67" s="73">
        <v>3.0</v>
      </c>
      <c r="H67" s="73"/>
      <c r="I67" s="43"/>
      <c r="J67" s="43"/>
      <c r="K67" s="43">
        <v>9.0</v>
      </c>
      <c r="L67" s="43"/>
      <c r="M67" s="4" t="s">
        <v>527</v>
      </c>
      <c r="N67" s="58">
        <v>22.0</v>
      </c>
      <c r="O67" s="14"/>
      <c r="P67" s="59"/>
      <c r="Q67" s="59"/>
      <c r="R67" s="59">
        <v>1006.0</v>
      </c>
      <c r="S67" s="4">
        <v>0.5</v>
      </c>
      <c r="T67" s="14"/>
      <c r="U67" s="14"/>
      <c r="V67" s="57"/>
      <c r="W67" s="4"/>
      <c r="X67" s="4" t="s">
        <v>529</v>
      </c>
      <c r="Y67" s="4"/>
      <c r="Z67" s="60" t="s">
        <v>920</v>
      </c>
      <c r="AA67" s="8"/>
      <c r="AB67" s="8"/>
      <c r="AC67" s="8"/>
      <c r="AD67" s="9"/>
      <c r="AE67" s="90"/>
      <c r="AF67" s="90"/>
      <c r="AG67" s="90"/>
      <c r="AH67" s="53"/>
      <c r="AI67" s="53"/>
    </row>
    <row r="68">
      <c r="A68" s="4">
        <f t="shared" si="2"/>
        <v>310023</v>
      </c>
      <c r="B68" s="4" t="s">
        <v>717</v>
      </c>
      <c r="C68" s="43">
        <v>5.0</v>
      </c>
      <c r="D68" s="43"/>
      <c r="E68" s="57"/>
      <c r="F68" s="43">
        <v>1.0</v>
      </c>
      <c r="G68" s="73">
        <v>0.6</v>
      </c>
      <c r="H68" s="73"/>
      <c r="I68" s="43"/>
      <c r="J68" s="43"/>
      <c r="K68" s="43">
        <v>12.0</v>
      </c>
      <c r="L68" s="43"/>
      <c r="M68" s="4" t="s">
        <v>527</v>
      </c>
      <c r="N68" s="58">
        <v>27.0</v>
      </c>
      <c r="O68" s="14"/>
      <c r="P68" s="59"/>
      <c r="Q68" s="59"/>
      <c r="R68" s="59">
        <v>4004.0</v>
      </c>
      <c r="S68" s="4">
        <v>0.35</v>
      </c>
      <c r="T68" s="14"/>
      <c r="U68" s="14"/>
      <c r="V68" s="57"/>
      <c r="X68" s="4" t="s">
        <v>679</v>
      </c>
      <c r="Y68" s="4"/>
      <c r="Z68" s="60" t="s">
        <v>922</v>
      </c>
      <c r="AA68" s="8"/>
      <c r="AB68" s="8"/>
      <c r="AC68" s="8"/>
      <c r="AD68" s="9"/>
      <c r="AE68" s="90"/>
      <c r="AF68" s="90"/>
      <c r="AG68" s="90"/>
      <c r="AH68" s="53"/>
      <c r="AI68" s="53"/>
    </row>
    <row r="69">
      <c r="A69" s="4">
        <f t="shared" si="2"/>
        <v>310024</v>
      </c>
      <c r="B69" s="4" t="s">
        <v>730</v>
      </c>
      <c r="C69" s="43">
        <v>2.0</v>
      </c>
      <c r="D69" s="43"/>
      <c r="E69" s="57"/>
      <c r="F69" s="43">
        <v>1.0</v>
      </c>
      <c r="G69" s="73"/>
      <c r="H69" s="73">
        <v>1.55</v>
      </c>
      <c r="I69" s="43"/>
      <c r="J69" s="43"/>
      <c r="K69" s="43">
        <v>8.0</v>
      </c>
      <c r="L69" s="43"/>
      <c r="M69" s="4" t="s">
        <v>566</v>
      </c>
      <c r="N69" s="58">
        <v>62.0</v>
      </c>
      <c r="O69" s="14"/>
      <c r="P69" s="59"/>
      <c r="Q69" s="59"/>
      <c r="R69" s="59">
        <v>4002.0</v>
      </c>
      <c r="S69" s="4">
        <v>0.25</v>
      </c>
      <c r="T69" s="14"/>
      <c r="U69" s="14"/>
      <c r="V69" s="57"/>
      <c r="W69" s="61" t="s">
        <v>567</v>
      </c>
      <c r="X69" s="61" t="s">
        <v>569</v>
      </c>
      <c r="Y69" s="4"/>
      <c r="Z69" s="60" t="s">
        <v>923</v>
      </c>
      <c r="AA69" s="8"/>
      <c r="AB69" s="8"/>
      <c r="AC69" s="8"/>
      <c r="AD69" s="9"/>
      <c r="AE69" s="90"/>
      <c r="AF69" s="90"/>
      <c r="AG69" s="90"/>
      <c r="AH69" s="53"/>
      <c r="AI69" s="53"/>
    </row>
    <row r="70">
      <c r="A70" s="4">
        <f t="shared" si="2"/>
        <v>310025</v>
      </c>
      <c r="B70" s="4" t="s">
        <v>737</v>
      </c>
      <c r="C70" s="43">
        <v>-2.0</v>
      </c>
      <c r="D70" s="43"/>
      <c r="E70" s="57"/>
      <c r="F70" s="43">
        <v>1.0</v>
      </c>
      <c r="G70" s="77"/>
      <c r="H70" s="73">
        <v>1.55</v>
      </c>
      <c r="I70" s="43"/>
      <c r="J70" s="43"/>
      <c r="K70" s="43">
        <v>8.0</v>
      </c>
      <c r="L70" s="43"/>
      <c r="M70" s="4" t="s">
        <v>615</v>
      </c>
      <c r="N70" s="58">
        <v>31.0</v>
      </c>
      <c r="O70" s="14"/>
      <c r="P70" s="59"/>
      <c r="Q70" s="59"/>
      <c r="R70" s="59"/>
      <c r="S70" s="14"/>
      <c r="T70" s="14"/>
      <c r="U70" s="14"/>
      <c r="V70" s="57"/>
      <c r="W70" s="4"/>
      <c r="X70" s="4" t="s">
        <v>615</v>
      </c>
      <c r="Y70" s="4"/>
      <c r="Z70" s="60" t="s">
        <v>346</v>
      </c>
      <c r="AA70" s="8"/>
      <c r="AB70" s="8"/>
      <c r="AC70" s="8"/>
      <c r="AD70" s="9"/>
      <c r="AE70" s="90"/>
      <c r="AF70" s="90"/>
      <c r="AG70" s="90"/>
      <c r="AH70" s="53"/>
      <c r="AI70" s="53"/>
    </row>
    <row r="71">
      <c r="A71" s="4">
        <f t="shared" si="2"/>
        <v>310026</v>
      </c>
      <c r="B71" s="4" t="s">
        <v>744</v>
      </c>
      <c r="C71" s="43">
        <v>-5.0</v>
      </c>
      <c r="D71" s="43"/>
      <c r="E71" s="57"/>
      <c r="F71" s="43">
        <v>1.0</v>
      </c>
      <c r="G71" s="73"/>
      <c r="H71" s="73"/>
      <c r="I71" s="43"/>
      <c r="J71" s="43"/>
      <c r="K71" s="43">
        <v>10.0</v>
      </c>
      <c r="L71" s="43"/>
      <c r="M71" s="4"/>
      <c r="N71" s="58">
        <v>32.0</v>
      </c>
      <c r="O71" s="14"/>
      <c r="P71" s="59"/>
      <c r="Q71" s="59"/>
      <c r="R71" s="59" t="s">
        <v>926</v>
      </c>
      <c r="S71" s="14"/>
      <c r="T71" s="14"/>
      <c r="U71" s="14"/>
      <c r="V71" s="57"/>
      <c r="W71" s="4"/>
      <c r="X71" s="4" t="s">
        <v>573</v>
      </c>
      <c r="Y71" s="4"/>
      <c r="Z71" s="60" t="s">
        <v>745</v>
      </c>
      <c r="AA71" s="8"/>
      <c r="AB71" s="8"/>
      <c r="AC71" s="8"/>
      <c r="AD71" s="9"/>
      <c r="AE71" s="90"/>
      <c r="AF71" s="90"/>
      <c r="AG71" s="90"/>
      <c r="AH71" s="53"/>
      <c r="AI71" s="91"/>
    </row>
    <row r="72">
      <c r="A72" s="4">
        <f t="shared" si="2"/>
        <v>310027</v>
      </c>
      <c r="B72" s="4" t="s">
        <v>750</v>
      </c>
      <c r="C72" s="43">
        <v>1.0</v>
      </c>
      <c r="D72" s="43"/>
      <c r="E72" s="57"/>
      <c r="F72" s="43">
        <v>1.0</v>
      </c>
      <c r="G72" s="73">
        <v>3.0</v>
      </c>
      <c r="H72" s="73"/>
      <c r="I72" s="43"/>
      <c r="J72" s="43"/>
      <c r="K72" s="43">
        <v>8.0</v>
      </c>
      <c r="L72" s="43"/>
      <c r="M72" s="4" t="s">
        <v>527</v>
      </c>
      <c r="N72" s="58">
        <v>27.0</v>
      </c>
      <c r="O72" s="14"/>
      <c r="P72" s="59">
        <v>1005.0</v>
      </c>
      <c r="Q72" s="63">
        <v>0.4</v>
      </c>
      <c r="R72" s="59"/>
      <c r="S72" s="14"/>
      <c r="T72" s="14"/>
      <c r="U72" s="14"/>
      <c r="V72" s="57"/>
      <c r="W72" s="4"/>
      <c r="X72" s="4" t="s">
        <v>529</v>
      </c>
      <c r="Y72" s="4"/>
      <c r="Z72" s="60" t="s">
        <v>929</v>
      </c>
      <c r="AA72" s="8"/>
      <c r="AB72" s="8"/>
      <c r="AC72" s="8"/>
      <c r="AD72" s="9"/>
      <c r="AE72" s="90"/>
      <c r="AF72" s="90"/>
      <c r="AG72" s="90"/>
      <c r="AH72" s="53"/>
      <c r="AI72" s="53"/>
    </row>
    <row r="73">
      <c r="A73" s="4">
        <f t="shared" si="2"/>
        <v>310028</v>
      </c>
      <c r="B73" s="4" t="s">
        <v>758</v>
      </c>
      <c r="C73" s="43">
        <v>-2.0</v>
      </c>
      <c r="D73" s="43"/>
      <c r="E73" s="57"/>
      <c r="F73" s="43">
        <v>1.0</v>
      </c>
      <c r="G73" s="73"/>
      <c r="H73" s="73"/>
      <c r="I73" s="43"/>
      <c r="J73" s="43"/>
      <c r="K73" s="43">
        <v>11.0</v>
      </c>
      <c r="L73" s="43"/>
      <c r="M73" s="4"/>
      <c r="N73" s="58">
        <v>38.0</v>
      </c>
      <c r="O73" s="4">
        <v>80.0</v>
      </c>
      <c r="P73" s="59"/>
      <c r="Q73" s="59"/>
      <c r="R73" s="59"/>
      <c r="S73" s="14"/>
      <c r="T73" s="14"/>
      <c r="U73" s="14"/>
      <c r="V73" s="57"/>
      <c r="W73" s="4"/>
      <c r="X73" s="4" t="s">
        <v>910</v>
      </c>
      <c r="Y73" s="4"/>
      <c r="Z73" s="60" t="s">
        <v>759</v>
      </c>
      <c r="AA73" s="8"/>
      <c r="AB73" s="8"/>
      <c r="AC73" s="8"/>
      <c r="AD73" s="9"/>
      <c r="AE73" s="90"/>
      <c r="AF73" s="90"/>
      <c r="AG73" s="90"/>
      <c r="AH73" s="53"/>
      <c r="AI73" s="53"/>
    </row>
    <row r="74">
      <c r="A74" s="4">
        <f t="shared" si="2"/>
        <v>310029</v>
      </c>
      <c r="B74" s="4" t="s">
        <v>764</v>
      </c>
      <c r="C74" s="43">
        <v>1.0</v>
      </c>
      <c r="D74" s="43">
        <v>1.0</v>
      </c>
      <c r="E74" s="57"/>
      <c r="F74" s="43">
        <v>1.0</v>
      </c>
      <c r="G74" s="73">
        <v>3.15</v>
      </c>
      <c r="H74" s="73"/>
      <c r="I74" s="43"/>
      <c r="J74" s="43"/>
      <c r="K74" s="43">
        <v>8.0</v>
      </c>
      <c r="L74" s="43"/>
      <c r="M74" s="4" t="s">
        <v>527</v>
      </c>
      <c r="N74" s="58">
        <v>30.0</v>
      </c>
      <c r="O74" s="14"/>
      <c r="P74" s="59"/>
      <c r="Q74" s="59"/>
      <c r="R74" s="59"/>
      <c r="S74" s="14"/>
      <c r="T74" s="14"/>
      <c r="U74" s="14"/>
      <c r="V74" s="57"/>
      <c r="W74" s="4"/>
      <c r="X74" s="4" t="s">
        <v>529</v>
      </c>
      <c r="Y74" s="4"/>
      <c r="Z74" s="60" t="s">
        <v>938</v>
      </c>
      <c r="AA74" s="8"/>
      <c r="AB74" s="8"/>
      <c r="AC74" s="8"/>
      <c r="AD74" s="9"/>
      <c r="AE74" s="90"/>
      <c r="AF74" s="90"/>
      <c r="AG74" s="90"/>
      <c r="AH74" s="53"/>
      <c r="AI74" s="53"/>
    </row>
    <row r="75">
      <c r="A75" s="4">
        <f t="shared" si="2"/>
        <v>310030</v>
      </c>
      <c r="B75" s="4" t="s">
        <v>773</v>
      </c>
      <c r="C75" s="43">
        <v>-2.0</v>
      </c>
      <c r="D75" s="43">
        <v>1.0</v>
      </c>
      <c r="E75" s="57"/>
      <c r="F75" s="43">
        <v>1.0</v>
      </c>
      <c r="G75" s="77"/>
      <c r="H75" s="73">
        <v>1.55</v>
      </c>
      <c r="I75" s="43"/>
      <c r="J75" s="43"/>
      <c r="K75" s="43">
        <v>9.0</v>
      </c>
      <c r="L75" s="43"/>
      <c r="M75" s="4" t="s">
        <v>615</v>
      </c>
      <c r="N75" s="58">
        <v>32.0</v>
      </c>
      <c r="O75" s="14"/>
      <c r="P75" s="59"/>
      <c r="Q75" s="59"/>
      <c r="R75" s="59">
        <v>1004.0</v>
      </c>
      <c r="S75" s="4">
        <v>0.4</v>
      </c>
      <c r="T75" s="14"/>
      <c r="U75" s="14"/>
      <c r="V75" s="57"/>
      <c r="W75" s="4"/>
      <c r="X75" s="61" t="s">
        <v>941</v>
      </c>
      <c r="Y75" s="4"/>
      <c r="Z75" s="60" t="s">
        <v>942</v>
      </c>
      <c r="AA75" s="8"/>
      <c r="AB75" s="8"/>
      <c r="AC75" s="8"/>
      <c r="AD75" s="9"/>
      <c r="AE75" s="90"/>
      <c r="AF75" s="90"/>
      <c r="AG75" s="90"/>
      <c r="AH75" s="53"/>
      <c r="AI75" s="53"/>
    </row>
    <row r="76">
      <c r="A76" s="4">
        <f t="shared" si="2"/>
        <v>310031</v>
      </c>
      <c r="B76" s="4" t="s">
        <v>781</v>
      </c>
      <c r="C76" s="43">
        <v>-1.0</v>
      </c>
      <c r="D76" s="57"/>
      <c r="E76" s="57"/>
      <c r="F76" s="43">
        <v>1.0</v>
      </c>
      <c r="G76" s="73"/>
      <c r="H76" s="73"/>
      <c r="I76" s="57"/>
      <c r="J76" s="57"/>
      <c r="K76" s="43">
        <v>10.0</v>
      </c>
      <c r="L76" s="57"/>
      <c r="M76" s="4"/>
      <c r="N76" s="58">
        <v>29.0</v>
      </c>
      <c r="O76" s="14"/>
      <c r="P76" s="63">
        <v>3003.0</v>
      </c>
      <c r="Q76" s="63">
        <v>0.25</v>
      </c>
      <c r="R76" s="59"/>
      <c r="S76" s="14"/>
      <c r="T76" s="14"/>
      <c r="U76" s="14"/>
      <c r="V76" s="57"/>
      <c r="W76" s="14"/>
      <c r="X76" s="4" t="s">
        <v>573</v>
      </c>
      <c r="Y76" s="14"/>
      <c r="Z76" s="60" t="s">
        <v>946</v>
      </c>
      <c r="AA76" s="8"/>
      <c r="AB76" s="8"/>
      <c r="AC76" s="8"/>
      <c r="AD76" s="9"/>
      <c r="AE76" s="90"/>
      <c r="AF76" s="90"/>
      <c r="AG76" s="90"/>
      <c r="AH76" s="53"/>
      <c r="AI76" s="53"/>
    </row>
    <row r="77">
      <c r="A77" s="4"/>
      <c r="B77" s="2"/>
      <c r="C77" s="51"/>
      <c r="D77" s="51"/>
      <c r="E77" s="51"/>
      <c r="F77" s="51"/>
      <c r="G77" s="51"/>
      <c r="H77" s="51"/>
      <c r="I77" s="51"/>
      <c r="J77" s="51"/>
      <c r="K77" s="51"/>
      <c r="L77" s="51"/>
      <c r="N77" s="52"/>
      <c r="P77" s="53"/>
      <c r="Q77" s="53"/>
      <c r="R77" s="53"/>
      <c r="V77" s="51"/>
      <c r="AG77" s="53"/>
      <c r="AH77" s="53"/>
      <c r="AI77" s="91"/>
    </row>
    <row r="78">
      <c r="A78" s="3" t="s">
        <v>449</v>
      </c>
      <c r="B78" s="3" t="s">
        <v>454</v>
      </c>
      <c r="C78" s="40" t="s">
        <v>455</v>
      </c>
      <c r="D78" s="40" t="s">
        <v>456</v>
      </c>
      <c r="E78" s="40" t="s">
        <v>457</v>
      </c>
      <c r="F78" s="40" t="s">
        <v>848</v>
      </c>
      <c r="G78" s="40" t="s">
        <v>461</v>
      </c>
      <c r="H78" s="40" t="s">
        <v>462</v>
      </c>
      <c r="I78" s="40" t="s">
        <v>265</v>
      </c>
      <c r="J78" s="40" t="s">
        <v>465</v>
      </c>
      <c r="K78" s="40" t="s">
        <v>466</v>
      </c>
      <c r="L78" s="40" t="s">
        <v>468</v>
      </c>
      <c r="M78" s="3" t="s">
        <v>469</v>
      </c>
      <c r="N78" s="54" t="s">
        <v>470</v>
      </c>
      <c r="O78" s="3" t="s">
        <v>471</v>
      </c>
      <c r="P78" s="56" t="s">
        <v>472</v>
      </c>
      <c r="Q78" s="56" t="s">
        <v>479</v>
      </c>
      <c r="R78" s="40" t="s">
        <v>483</v>
      </c>
      <c r="S78" s="40" t="s">
        <v>484</v>
      </c>
      <c r="T78" s="3" t="s">
        <v>485</v>
      </c>
      <c r="U78" s="56" t="s">
        <v>486</v>
      </c>
      <c r="V78" s="43" t="s">
        <v>487</v>
      </c>
      <c r="W78" s="3" t="s">
        <v>489</v>
      </c>
      <c r="X78" s="3" t="s">
        <v>491</v>
      </c>
      <c r="Y78" s="3" t="s">
        <v>493</v>
      </c>
      <c r="Z78" s="6" t="s">
        <v>495</v>
      </c>
      <c r="AA78" s="8"/>
      <c r="AB78" s="8"/>
      <c r="AC78" s="8"/>
      <c r="AD78" s="9"/>
      <c r="AG78" s="53"/>
      <c r="AH78" s="53"/>
      <c r="AI78" s="53"/>
    </row>
    <row r="79">
      <c r="A79" s="14">
        <v>890001.0</v>
      </c>
      <c r="B79" s="4" t="s">
        <v>63</v>
      </c>
      <c r="C79" s="43">
        <v>1.0</v>
      </c>
      <c r="D79" s="57"/>
      <c r="E79" s="57"/>
      <c r="F79" s="43"/>
      <c r="G79" s="43">
        <v>3.0</v>
      </c>
      <c r="H79" s="14"/>
      <c r="I79" s="57"/>
      <c r="J79" s="57"/>
      <c r="K79" s="43"/>
      <c r="L79" s="43"/>
      <c r="M79" s="4" t="s">
        <v>527</v>
      </c>
      <c r="N79" s="95"/>
      <c r="O79" s="14"/>
      <c r="P79" s="59"/>
      <c r="Q79" s="63"/>
      <c r="R79" s="43">
        <v>5002.0</v>
      </c>
      <c r="S79" s="43">
        <v>0.5</v>
      </c>
      <c r="T79" s="14"/>
      <c r="U79" s="14"/>
      <c r="V79" s="57"/>
      <c r="W79" s="14"/>
      <c r="X79" s="4" t="s">
        <v>679</v>
      </c>
      <c r="Y79" s="14"/>
      <c r="Z79" s="34" t="s">
        <v>958</v>
      </c>
      <c r="AA79" s="8"/>
      <c r="AB79" s="8"/>
      <c r="AC79" s="8"/>
      <c r="AD79" s="9"/>
      <c r="AG79" s="53"/>
      <c r="AH79" s="53"/>
      <c r="AI79" s="53"/>
    </row>
    <row r="80">
      <c r="A80" s="14">
        <v>890002.0</v>
      </c>
      <c r="B80" s="4" t="s">
        <v>960</v>
      </c>
      <c r="C80" s="43">
        <v>-2.0</v>
      </c>
      <c r="D80" s="43">
        <v>1.0</v>
      </c>
      <c r="E80" s="57"/>
      <c r="F80" s="43"/>
      <c r="G80" s="43">
        <v>3.0</v>
      </c>
      <c r="H80" s="14"/>
      <c r="I80" s="57"/>
      <c r="J80" s="57"/>
      <c r="K80" s="43"/>
      <c r="L80" s="43"/>
      <c r="M80" s="4" t="s">
        <v>637</v>
      </c>
      <c r="N80" s="95"/>
      <c r="O80" s="14"/>
      <c r="P80" s="59"/>
      <c r="Q80" s="59"/>
      <c r="R80" s="43">
        <v>1999.0</v>
      </c>
      <c r="S80" s="57"/>
      <c r="T80" s="14"/>
      <c r="U80" s="14"/>
      <c r="V80" s="57"/>
      <c r="W80" s="4"/>
      <c r="X80" s="4" t="s">
        <v>862</v>
      </c>
      <c r="Y80" s="14"/>
      <c r="Z80" s="34" t="s">
        <v>963</v>
      </c>
      <c r="AA80" s="8"/>
      <c r="AB80" s="8"/>
      <c r="AC80" s="8"/>
      <c r="AD80" s="9"/>
      <c r="AG80" s="53"/>
      <c r="AH80" s="53"/>
      <c r="AI80" s="53"/>
    </row>
    <row r="81">
      <c r="A81" s="14">
        <v>890003.0</v>
      </c>
      <c r="B81" s="4" t="s">
        <v>135</v>
      </c>
      <c r="C81" s="43">
        <v>2.0</v>
      </c>
      <c r="D81" s="57"/>
      <c r="E81" s="57"/>
      <c r="F81" s="43"/>
      <c r="G81" s="43">
        <v>1.65</v>
      </c>
      <c r="H81" s="14"/>
      <c r="I81" s="57"/>
      <c r="J81" s="57"/>
      <c r="K81" s="43"/>
      <c r="L81" s="43"/>
      <c r="M81" s="4" t="s">
        <v>527</v>
      </c>
      <c r="N81" s="95"/>
      <c r="O81" s="14"/>
      <c r="P81" s="63">
        <v>3003.0</v>
      </c>
      <c r="Q81" s="63"/>
      <c r="R81" s="57"/>
      <c r="S81" s="57"/>
      <c r="T81" s="14"/>
      <c r="U81" s="14"/>
      <c r="V81" s="57"/>
      <c r="W81" s="14"/>
      <c r="X81" s="4" t="s">
        <v>529</v>
      </c>
      <c r="Y81" s="14"/>
      <c r="Z81" s="34" t="s">
        <v>968</v>
      </c>
      <c r="AA81" s="8"/>
      <c r="AB81" s="8"/>
      <c r="AC81" s="8"/>
      <c r="AD81" s="9"/>
      <c r="AG81" s="53"/>
      <c r="AH81" s="53"/>
      <c r="AI81" s="53"/>
    </row>
    <row r="82">
      <c r="A82" s="14">
        <v>890004.0</v>
      </c>
      <c r="B82" s="4" t="s">
        <v>156</v>
      </c>
      <c r="C82" s="43">
        <v>1.0</v>
      </c>
      <c r="D82" s="57"/>
      <c r="E82" s="57"/>
      <c r="F82" s="43"/>
      <c r="G82" s="43">
        <v>3.1</v>
      </c>
      <c r="H82" s="14"/>
      <c r="I82" s="57"/>
      <c r="J82" s="57"/>
      <c r="K82" s="43"/>
      <c r="L82" s="43"/>
      <c r="M82" s="4" t="s">
        <v>527</v>
      </c>
      <c r="N82" s="95"/>
      <c r="O82" s="14"/>
      <c r="P82" s="63"/>
      <c r="Q82" s="63"/>
      <c r="R82" s="43">
        <v>4004.0</v>
      </c>
      <c r="S82" s="57"/>
      <c r="T82" s="14"/>
      <c r="U82" s="14"/>
      <c r="V82" s="57"/>
      <c r="W82" s="14"/>
      <c r="X82" s="4" t="s">
        <v>679</v>
      </c>
      <c r="Y82" s="14"/>
      <c r="Z82" s="34" t="s">
        <v>971</v>
      </c>
      <c r="AA82" s="8"/>
      <c r="AB82" s="8"/>
      <c r="AC82" s="8"/>
      <c r="AD82" s="9"/>
      <c r="AG82" s="53"/>
      <c r="AH82" s="53"/>
      <c r="AI82" s="53"/>
    </row>
    <row r="83">
      <c r="A83" s="14">
        <v>890005.0</v>
      </c>
      <c r="B83" s="4" t="s">
        <v>180</v>
      </c>
      <c r="C83" s="43">
        <v>5.0</v>
      </c>
      <c r="D83" s="57"/>
      <c r="E83" s="57"/>
      <c r="F83" s="43"/>
      <c r="G83" s="57"/>
      <c r="H83" s="4">
        <v>0.6</v>
      </c>
      <c r="I83" s="57"/>
      <c r="J83" s="57"/>
      <c r="K83" s="43"/>
      <c r="L83" s="43"/>
      <c r="M83" s="4" t="s">
        <v>566</v>
      </c>
      <c r="N83" s="95"/>
      <c r="O83" s="14"/>
      <c r="P83" s="59"/>
      <c r="Q83" s="59"/>
      <c r="R83" s="43">
        <v>4001.0</v>
      </c>
      <c r="S83" s="57"/>
      <c r="T83" s="14"/>
      <c r="U83" s="14"/>
      <c r="V83" s="57"/>
      <c r="W83" s="4" t="s">
        <v>603</v>
      </c>
      <c r="X83" s="4" t="s">
        <v>604</v>
      </c>
      <c r="Y83" s="14"/>
      <c r="Z83" s="34" t="s">
        <v>977</v>
      </c>
      <c r="AA83" s="8"/>
      <c r="AB83" s="8"/>
      <c r="AC83" s="8"/>
      <c r="AD83" s="9"/>
      <c r="AG83" s="53"/>
      <c r="AH83" s="53"/>
      <c r="AI83" s="53"/>
    </row>
    <row r="84">
      <c r="A84" s="4">
        <v>890006.0</v>
      </c>
      <c r="B84" s="4" t="s">
        <v>980</v>
      </c>
      <c r="C84" s="43">
        <v>-2.0</v>
      </c>
      <c r="D84" s="43">
        <v>1.0</v>
      </c>
      <c r="E84" s="57"/>
      <c r="F84" s="43"/>
      <c r="G84" s="57"/>
      <c r="H84" s="4">
        <v>3.0</v>
      </c>
      <c r="I84" s="57"/>
      <c r="J84" s="57"/>
      <c r="K84" s="43"/>
      <c r="L84" s="43"/>
      <c r="M84" s="4" t="s">
        <v>615</v>
      </c>
      <c r="N84" s="95"/>
      <c r="O84" s="14"/>
      <c r="P84" s="59"/>
      <c r="Q84" s="59"/>
      <c r="R84" s="59"/>
      <c r="S84" s="14"/>
      <c r="T84" s="14"/>
      <c r="U84" s="14"/>
      <c r="V84" s="57"/>
      <c r="W84" s="14"/>
      <c r="X84" s="4" t="s">
        <v>615</v>
      </c>
      <c r="Y84" s="14"/>
      <c r="Z84" s="34" t="s">
        <v>984</v>
      </c>
      <c r="AA84" s="8"/>
      <c r="AB84" s="8"/>
      <c r="AC84" s="8"/>
      <c r="AD84" s="9"/>
      <c r="AG84" s="53"/>
      <c r="AH84" s="53"/>
      <c r="AI84" s="53"/>
    </row>
    <row r="85">
      <c r="A85" s="4">
        <v>890007.0</v>
      </c>
      <c r="B85" s="4" t="s">
        <v>217</v>
      </c>
      <c r="C85" s="43">
        <v>3.0</v>
      </c>
      <c r="D85" s="57"/>
      <c r="E85" s="57"/>
      <c r="F85" s="43"/>
      <c r="G85" s="57"/>
      <c r="H85" s="43"/>
      <c r="I85" s="57"/>
      <c r="J85" s="57"/>
      <c r="K85" s="43"/>
      <c r="L85" s="43"/>
      <c r="M85" s="4" t="s">
        <v>527</v>
      </c>
      <c r="N85" s="95"/>
      <c r="O85" s="14"/>
      <c r="P85" s="59"/>
      <c r="Q85" s="59"/>
      <c r="R85" s="93" t="str">
        <f>"2002,2002"</f>
        <v>2002,2002</v>
      </c>
      <c r="S85" s="14"/>
      <c r="T85" s="14"/>
      <c r="U85" s="14"/>
      <c r="V85" s="57"/>
      <c r="W85" s="14"/>
      <c r="X85" s="4" t="s">
        <v>529</v>
      </c>
      <c r="Y85" s="14"/>
      <c r="Z85" s="60" t="s">
        <v>218</v>
      </c>
      <c r="AA85" s="8"/>
      <c r="AB85" s="8"/>
      <c r="AC85" s="8"/>
      <c r="AD85" s="9"/>
      <c r="AG85" s="53"/>
      <c r="AH85" s="53"/>
      <c r="AI85" s="53"/>
    </row>
    <row r="86">
      <c r="C86" s="51"/>
      <c r="D86" s="51"/>
      <c r="E86" s="51"/>
      <c r="F86" s="51"/>
      <c r="G86" s="51"/>
      <c r="H86" s="51"/>
      <c r="I86" s="51"/>
      <c r="J86" s="51"/>
      <c r="K86" s="51"/>
      <c r="L86" s="51"/>
      <c r="N86" s="52"/>
      <c r="P86" s="53"/>
      <c r="Q86" s="53"/>
      <c r="R86" s="53"/>
      <c r="V86" s="51"/>
      <c r="AG86" s="53"/>
      <c r="AH86" s="53"/>
      <c r="AI86" s="53"/>
    </row>
    <row r="87">
      <c r="A87" s="3" t="s">
        <v>449</v>
      </c>
      <c r="B87" s="3" t="s">
        <v>454</v>
      </c>
      <c r="C87" s="40" t="s">
        <v>455</v>
      </c>
      <c r="D87" s="40" t="s">
        <v>456</v>
      </c>
      <c r="E87" s="40" t="s">
        <v>457</v>
      </c>
      <c r="F87" s="40" t="s">
        <v>848</v>
      </c>
      <c r="G87" s="40" t="s">
        <v>461</v>
      </c>
      <c r="H87" s="40" t="s">
        <v>462</v>
      </c>
      <c r="I87" s="40" t="s">
        <v>265</v>
      </c>
      <c r="J87" s="40" t="s">
        <v>465</v>
      </c>
      <c r="K87" s="40" t="s">
        <v>466</v>
      </c>
      <c r="L87" s="40" t="s">
        <v>468</v>
      </c>
      <c r="M87" s="3" t="s">
        <v>469</v>
      </c>
      <c r="N87" s="54" t="s">
        <v>470</v>
      </c>
      <c r="O87" s="3" t="s">
        <v>471</v>
      </c>
      <c r="P87" s="56" t="s">
        <v>472</v>
      </c>
      <c r="Q87" s="56" t="s">
        <v>479</v>
      </c>
      <c r="R87" s="56" t="s">
        <v>483</v>
      </c>
      <c r="S87" s="56" t="s">
        <v>484</v>
      </c>
      <c r="T87" s="3" t="s">
        <v>485</v>
      </c>
      <c r="U87" s="56" t="s">
        <v>486</v>
      </c>
      <c r="V87" s="43" t="s">
        <v>487</v>
      </c>
      <c r="W87" s="3" t="s">
        <v>489</v>
      </c>
      <c r="X87" s="3" t="s">
        <v>491</v>
      </c>
      <c r="Y87" s="3" t="s">
        <v>493</v>
      </c>
      <c r="Z87" s="6" t="s">
        <v>495</v>
      </c>
      <c r="AA87" s="8"/>
      <c r="AB87" s="8"/>
      <c r="AC87" s="8"/>
      <c r="AD87" s="9"/>
      <c r="AG87" s="53"/>
      <c r="AH87" s="53"/>
      <c r="AI87" s="53"/>
    </row>
    <row r="88">
      <c r="A88" s="14">
        <v>990001.0</v>
      </c>
      <c r="B88" s="4" t="s">
        <v>1021</v>
      </c>
      <c r="C88" s="43">
        <v>-5.0</v>
      </c>
      <c r="D88" s="57"/>
      <c r="E88" s="4"/>
      <c r="F88" s="43"/>
      <c r="G88" s="43"/>
      <c r="H88" s="57"/>
      <c r="I88" s="57"/>
      <c r="J88" s="57"/>
      <c r="K88" s="43">
        <v>3.0</v>
      </c>
      <c r="L88" s="43"/>
      <c r="M88" s="4"/>
      <c r="N88" s="95"/>
      <c r="O88" s="14"/>
      <c r="P88" s="59"/>
      <c r="Q88" s="59"/>
      <c r="R88" s="78">
        <v>1001.0</v>
      </c>
      <c r="S88" s="57"/>
      <c r="T88" s="57"/>
      <c r="U88" s="57"/>
      <c r="V88" s="57"/>
      <c r="W88" s="57"/>
      <c r="X88" s="43" t="s">
        <v>573</v>
      </c>
      <c r="Y88" s="57"/>
      <c r="Z88" s="60" t="s">
        <v>1024</v>
      </c>
      <c r="AA88" s="8"/>
      <c r="AB88" s="8"/>
      <c r="AC88" s="8"/>
      <c r="AD88" s="9"/>
      <c r="AG88" s="53"/>
      <c r="AH88" s="53"/>
      <c r="AI88" s="53"/>
    </row>
    <row r="89">
      <c r="A89" s="14">
        <v>990002.0</v>
      </c>
      <c r="B89" s="27" t="s">
        <v>1026</v>
      </c>
      <c r="C89" s="43">
        <v>-5.0</v>
      </c>
      <c r="D89" s="57"/>
      <c r="E89" s="4"/>
      <c r="F89" s="43"/>
      <c r="G89" s="43"/>
      <c r="H89" s="43"/>
      <c r="I89" s="57"/>
      <c r="J89" s="57"/>
      <c r="K89" s="43">
        <v>3.0</v>
      </c>
      <c r="L89" s="43"/>
      <c r="M89" s="4"/>
      <c r="N89" s="95"/>
      <c r="O89" s="14"/>
      <c r="P89" s="63"/>
      <c r="Q89" s="63"/>
      <c r="R89" s="96">
        <v>1002.0</v>
      </c>
      <c r="S89" s="57"/>
      <c r="T89" s="57"/>
      <c r="U89" s="57"/>
      <c r="V89" s="57"/>
      <c r="W89" s="57"/>
      <c r="X89" s="43" t="s">
        <v>573</v>
      </c>
      <c r="Y89" s="57"/>
      <c r="Z89" s="60" t="s">
        <v>1031</v>
      </c>
      <c r="AA89" s="8"/>
      <c r="AB89" s="8"/>
      <c r="AC89" s="8"/>
      <c r="AD89" s="9"/>
      <c r="AG89" s="53"/>
      <c r="AH89" s="53"/>
      <c r="AI89" s="53"/>
    </row>
    <row r="90">
      <c r="A90" s="14">
        <v>990003.0</v>
      </c>
      <c r="B90" s="27" t="s">
        <v>1035</v>
      </c>
      <c r="C90" s="43">
        <v>-5.0</v>
      </c>
      <c r="D90" s="57"/>
      <c r="E90" s="4"/>
      <c r="F90" s="43"/>
      <c r="G90" s="57"/>
      <c r="H90" s="57"/>
      <c r="I90" s="57"/>
      <c r="J90" s="57"/>
      <c r="K90" s="43">
        <v>3.0</v>
      </c>
      <c r="L90" s="43"/>
      <c r="M90" s="4"/>
      <c r="N90" s="95"/>
      <c r="O90" s="14"/>
      <c r="P90" s="63"/>
      <c r="Q90" s="63"/>
      <c r="R90" s="96">
        <v>1007.0</v>
      </c>
      <c r="S90" s="57"/>
      <c r="T90" s="57"/>
      <c r="U90" s="57"/>
      <c r="V90" s="57"/>
      <c r="W90" s="57"/>
      <c r="X90" s="43" t="s">
        <v>573</v>
      </c>
      <c r="Y90" s="57"/>
      <c r="Z90" s="60" t="s">
        <v>1040</v>
      </c>
      <c r="AA90" s="8"/>
      <c r="AB90" s="8"/>
      <c r="AC90" s="8"/>
      <c r="AD90" s="9"/>
      <c r="AG90" s="91"/>
      <c r="AH90" s="91"/>
      <c r="AI90" s="91"/>
    </row>
    <row r="91">
      <c r="A91" s="14">
        <v>990004.0</v>
      </c>
      <c r="B91" s="27" t="s">
        <v>1042</v>
      </c>
      <c r="C91" s="43">
        <v>-5.0</v>
      </c>
      <c r="D91" s="57"/>
      <c r="E91" s="4"/>
      <c r="F91" s="43"/>
      <c r="G91" s="57"/>
      <c r="H91" s="57"/>
      <c r="I91" s="57"/>
      <c r="J91" s="57"/>
      <c r="K91" s="43">
        <v>3.0</v>
      </c>
      <c r="L91" s="43"/>
      <c r="M91" s="4"/>
      <c r="N91" s="95"/>
      <c r="O91" s="14"/>
      <c r="P91" s="63"/>
      <c r="Q91" s="63"/>
      <c r="R91" s="96">
        <v>1005.0</v>
      </c>
      <c r="S91" s="57"/>
      <c r="T91" s="57"/>
      <c r="U91" s="57"/>
      <c r="V91" s="57"/>
      <c r="W91" s="57"/>
      <c r="X91" s="43" t="s">
        <v>573</v>
      </c>
      <c r="Y91" s="57"/>
      <c r="Z91" s="60" t="s">
        <v>1046</v>
      </c>
      <c r="AA91" s="8"/>
      <c r="AB91" s="8"/>
      <c r="AC91" s="8"/>
      <c r="AD91" s="9"/>
      <c r="AG91" s="91"/>
      <c r="AH91" s="91"/>
      <c r="AI91" s="91"/>
    </row>
    <row r="92">
      <c r="A92" s="14">
        <v>990005.0</v>
      </c>
      <c r="B92" s="27" t="s">
        <v>1049</v>
      </c>
      <c r="C92" s="43">
        <v>-5.0</v>
      </c>
      <c r="D92" s="57"/>
      <c r="E92" s="4"/>
      <c r="F92" s="43"/>
      <c r="G92" s="57"/>
      <c r="H92" s="43"/>
      <c r="I92" s="57"/>
      <c r="J92" s="57"/>
      <c r="K92" s="43">
        <v>3.0</v>
      </c>
      <c r="L92" s="43"/>
      <c r="M92" s="4"/>
      <c r="N92" s="95"/>
      <c r="O92" s="14"/>
      <c r="P92" s="59"/>
      <c r="Q92" s="59"/>
      <c r="R92" s="78">
        <v>1003.0</v>
      </c>
      <c r="S92" s="57"/>
      <c r="T92" s="57"/>
      <c r="U92" s="57"/>
      <c r="V92" s="57"/>
      <c r="W92" s="57"/>
      <c r="X92" s="43" t="s">
        <v>573</v>
      </c>
      <c r="Y92" s="57"/>
      <c r="Z92" s="60" t="s">
        <v>1055</v>
      </c>
      <c r="AA92" s="8"/>
      <c r="AB92" s="8"/>
      <c r="AC92" s="8"/>
      <c r="AD92" s="9"/>
    </row>
    <row r="93">
      <c r="A93" s="4">
        <v>990006.0</v>
      </c>
      <c r="B93" s="27" t="s">
        <v>1061</v>
      </c>
      <c r="C93" s="43">
        <v>-5.0</v>
      </c>
      <c r="D93" s="57"/>
      <c r="E93" s="14"/>
      <c r="F93" s="43"/>
      <c r="G93" s="57"/>
      <c r="H93" s="43"/>
      <c r="I93" s="57"/>
      <c r="J93" s="57"/>
      <c r="K93" s="43">
        <v>3.0</v>
      </c>
      <c r="L93" s="43"/>
      <c r="M93" s="14"/>
      <c r="N93" s="95"/>
      <c r="O93" s="14"/>
      <c r="P93" s="59"/>
      <c r="Q93" s="59"/>
      <c r="R93" s="78">
        <v>1004.0</v>
      </c>
      <c r="S93" s="57"/>
      <c r="T93" s="57"/>
      <c r="U93" s="57"/>
      <c r="V93" s="57"/>
      <c r="W93" s="57"/>
      <c r="X93" s="43" t="s">
        <v>573</v>
      </c>
      <c r="Y93" s="57"/>
      <c r="Z93" s="60" t="s">
        <v>1066</v>
      </c>
      <c r="AA93" s="8"/>
      <c r="AB93" s="8"/>
      <c r="AC93" s="8"/>
      <c r="AD93" s="9"/>
    </row>
    <row r="94">
      <c r="A94" s="4">
        <v>990007.0</v>
      </c>
      <c r="B94" s="4" t="s">
        <v>219</v>
      </c>
      <c r="C94" s="43">
        <v>-5.0</v>
      </c>
      <c r="D94" s="57"/>
      <c r="E94" s="14"/>
      <c r="F94" s="43"/>
      <c r="G94" s="57"/>
      <c r="H94" s="43"/>
      <c r="I94" s="57"/>
      <c r="J94" s="57"/>
      <c r="K94" s="43">
        <v>3.0</v>
      </c>
      <c r="L94" s="43"/>
      <c r="M94" s="14"/>
      <c r="N94" s="95"/>
      <c r="O94" s="14"/>
      <c r="P94" s="59"/>
      <c r="Q94" s="59"/>
      <c r="R94" s="43">
        <v>3020.0</v>
      </c>
      <c r="S94" s="57"/>
      <c r="T94" s="57"/>
      <c r="U94" s="57"/>
      <c r="V94" s="57"/>
      <c r="W94" s="57"/>
      <c r="X94" s="43" t="s">
        <v>573</v>
      </c>
      <c r="Y94" s="57"/>
      <c r="Z94" s="60" t="s">
        <v>1074</v>
      </c>
      <c r="AA94" s="8"/>
      <c r="AB94" s="8"/>
      <c r="AC94" s="8"/>
      <c r="AD94" s="9"/>
    </row>
    <row r="95">
      <c r="C95" s="51"/>
      <c r="D95" s="51"/>
      <c r="E95" s="51"/>
      <c r="F95" s="51"/>
      <c r="G95" s="51"/>
      <c r="H95" s="51"/>
      <c r="I95" s="51"/>
      <c r="J95" s="51"/>
      <c r="K95" s="51"/>
      <c r="L95" s="51"/>
      <c r="N95" s="52"/>
      <c r="P95" s="53"/>
      <c r="Q95" s="53"/>
      <c r="R95" s="53"/>
      <c r="V95" s="51"/>
    </row>
    <row r="96">
      <c r="A96" s="3" t="s">
        <v>449</v>
      </c>
      <c r="B96" s="3" t="s">
        <v>454</v>
      </c>
      <c r="C96" s="40" t="s">
        <v>455</v>
      </c>
      <c r="D96" s="40" t="s">
        <v>456</v>
      </c>
      <c r="E96" s="40" t="s">
        <v>457</v>
      </c>
      <c r="F96" s="40" t="s">
        <v>458</v>
      </c>
      <c r="G96" s="40" t="s">
        <v>461</v>
      </c>
      <c r="H96" s="40" t="s">
        <v>462</v>
      </c>
      <c r="I96" s="40" t="s">
        <v>265</v>
      </c>
      <c r="J96" s="40" t="s">
        <v>465</v>
      </c>
      <c r="K96" s="40" t="s">
        <v>466</v>
      </c>
      <c r="L96" s="40" t="s">
        <v>468</v>
      </c>
      <c r="M96" s="3" t="s">
        <v>469</v>
      </c>
      <c r="N96" s="54" t="s">
        <v>470</v>
      </c>
      <c r="O96" s="3" t="s">
        <v>471</v>
      </c>
      <c r="P96" s="56" t="s">
        <v>472</v>
      </c>
      <c r="Q96" s="56" t="s">
        <v>1081</v>
      </c>
      <c r="R96" s="56" t="s">
        <v>483</v>
      </c>
      <c r="S96" s="56" t="s">
        <v>484</v>
      </c>
      <c r="T96" s="3" t="s">
        <v>485</v>
      </c>
      <c r="U96" s="56" t="s">
        <v>486</v>
      </c>
      <c r="V96" s="43" t="s">
        <v>487</v>
      </c>
      <c r="W96" s="3" t="s">
        <v>489</v>
      </c>
      <c r="X96" s="3" t="s">
        <v>491</v>
      </c>
      <c r="Y96" s="3" t="s">
        <v>493</v>
      </c>
      <c r="Z96" s="6" t="s">
        <v>495</v>
      </c>
      <c r="AA96" s="8"/>
      <c r="AB96" s="8"/>
      <c r="AC96" s="8"/>
      <c r="AD96" s="9"/>
    </row>
    <row r="97">
      <c r="A97" s="43">
        <v>211001.0</v>
      </c>
      <c r="B97" s="4" t="s">
        <v>1086</v>
      </c>
      <c r="C97" s="43">
        <v>2.0</v>
      </c>
      <c r="D97" s="43"/>
      <c r="E97" s="14"/>
      <c r="F97" s="43">
        <v>1.0</v>
      </c>
      <c r="G97" s="43"/>
      <c r="H97" s="43">
        <v>2.4</v>
      </c>
      <c r="I97" s="43"/>
      <c r="J97" s="43"/>
      <c r="K97" s="43"/>
      <c r="L97" s="43"/>
      <c r="M97" s="4" t="s">
        <v>566</v>
      </c>
      <c r="N97" s="58">
        <v>96.0</v>
      </c>
      <c r="O97" s="4"/>
      <c r="P97" s="59"/>
      <c r="Q97" s="59"/>
      <c r="R97" s="59">
        <v>4001.0</v>
      </c>
      <c r="S97" s="63">
        <v>0.5</v>
      </c>
      <c r="T97" s="14"/>
      <c r="U97" s="14"/>
      <c r="V97" s="57"/>
      <c r="W97" s="4" t="s">
        <v>603</v>
      </c>
      <c r="X97" s="4" t="s">
        <v>604</v>
      </c>
      <c r="Y97" s="4"/>
      <c r="Z97" s="60" t="s">
        <v>1088</v>
      </c>
      <c r="AA97" s="8"/>
      <c r="AB97" s="8"/>
      <c r="AC97" s="8"/>
      <c r="AD97" s="9"/>
    </row>
    <row r="98">
      <c r="A98" s="43">
        <v>212001.0</v>
      </c>
      <c r="B98" s="4" t="s">
        <v>1090</v>
      </c>
      <c r="C98" s="43">
        <v>4.0</v>
      </c>
      <c r="D98" s="43"/>
      <c r="E98" s="14"/>
      <c r="F98" s="43">
        <v>1.0</v>
      </c>
      <c r="G98" s="43"/>
      <c r="H98" s="43">
        <v>2.4</v>
      </c>
      <c r="I98" s="43"/>
      <c r="J98" s="43"/>
      <c r="K98" s="43"/>
      <c r="L98" s="43"/>
      <c r="M98" s="4" t="s">
        <v>566</v>
      </c>
      <c r="N98" s="58">
        <f t="shared" ref="N98:N101" si="3">N97-4</f>
        <v>92</v>
      </c>
      <c r="O98" s="4"/>
      <c r="P98" s="59"/>
      <c r="Q98" s="59"/>
      <c r="R98" s="59">
        <v>4001.0</v>
      </c>
      <c r="S98" s="63">
        <v>0.7</v>
      </c>
      <c r="T98" s="14"/>
      <c r="U98" s="14"/>
      <c r="V98" s="57"/>
      <c r="W98" s="4" t="s">
        <v>603</v>
      </c>
      <c r="X98" s="4" t="s">
        <v>604</v>
      </c>
      <c r="Y98" s="4"/>
      <c r="Z98" s="60" t="s">
        <v>1098</v>
      </c>
      <c r="AA98" s="8"/>
      <c r="AB98" s="8"/>
      <c r="AC98" s="8"/>
      <c r="AD98" s="9"/>
    </row>
    <row r="99">
      <c r="A99" s="43">
        <v>213001.0</v>
      </c>
      <c r="B99" s="4" t="s">
        <v>1099</v>
      </c>
      <c r="C99" s="43">
        <v>4.0</v>
      </c>
      <c r="D99" s="43"/>
      <c r="E99" s="14"/>
      <c r="F99" s="43">
        <v>1.0</v>
      </c>
      <c r="G99" s="43"/>
      <c r="H99" s="43">
        <v>2.4</v>
      </c>
      <c r="I99" s="43"/>
      <c r="J99" s="43"/>
      <c r="K99" s="43"/>
      <c r="L99" s="43"/>
      <c r="M99" s="4" t="s">
        <v>566</v>
      </c>
      <c r="N99" s="58">
        <f t="shared" si="3"/>
        <v>88</v>
      </c>
      <c r="O99" s="4"/>
      <c r="P99" s="59"/>
      <c r="Q99" s="59"/>
      <c r="R99" s="59">
        <v>4001.0</v>
      </c>
      <c r="S99" s="63">
        <v>0.7</v>
      </c>
      <c r="T99" s="14"/>
      <c r="U99" s="14"/>
      <c r="V99" s="57"/>
      <c r="W99" s="4" t="s">
        <v>603</v>
      </c>
      <c r="X99" s="4" t="s">
        <v>604</v>
      </c>
      <c r="Y99" s="4"/>
      <c r="Z99" s="60" t="s">
        <v>1104</v>
      </c>
      <c r="AA99" s="8"/>
      <c r="AB99" s="8"/>
      <c r="AC99" s="8"/>
      <c r="AD99" s="9"/>
    </row>
    <row r="100">
      <c r="A100" s="43">
        <v>214001.0</v>
      </c>
      <c r="B100" s="4" t="s">
        <v>1105</v>
      </c>
      <c r="C100" s="43">
        <v>4.0</v>
      </c>
      <c r="D100" s="43"/>
      <c r="E100" s="14"/>
      <c r="F100" s="43">
        <v>1.0</v>
      </c>
      <c r="G100" s="43"/>
      <c r="H100" s="43">
        <v>2.4</v>
      </c>
      <c r="I100" s="43"/>
      <c r="J100" s="43"/>
      <c r="K100" s="43"/>
      <c r="L100" s="43"/>
      <c r="M100" s="4" t="s">
        <v>566</v>
      </c>
      <c r="N100" s="58">
        <f t="shared" si="3"/>
        <v>84</v>
      </c>
      <c r="O100" s="4"/>
      <c r="P100" s="59"/>
      <c r="Q100" s="59"/>
      <c r="R100" s="59">
        <v>4001.0</v>
      </c>
      <c r="S100" s="14"/>
      <c r="T100" s="14"/>
      <c r="U100" s="14"/>
      <c r="V100" s="57"/>
      <c r="W100" s="4" t="s">
        <v>603</v>
      </c>
      <c r="X100" s="4" t="s">
        <v>604</v>
      </c>
      <c r="Y100" s="4"/>
      <c r="Z100" s="60" t="s">
        <v>1110</v>
      </c>
      <c r="AA100" s="8"/>
      <c r="AB100" s="8"/>
      <c r="AC100" s="8"/>
      <c r="AD100" s="9"/>
    </row>
    <row r="101">
      <c r="A101" s="43">
        <v>215001.0</v>
      </c>
      <c r="B101" s="4" t="s">
        <v>1113</v>
      </c>
      <c r="C101" s="43">
        <v>4.0</v>
      </c>
      <c r="D101" s="43"/>
      <c r="E101" s="14"/>
      <c r="F101" s="43">
        <v>1.0</v>
      </c>
      <c r="G101" s="43"/>
      <c r="H101" s="43">
        <v>2.4</v>
      </c>
      <c r="I101" s="43"/>
      <c r="J101" s="43"/>
      <c r="K101" s="43"/>
      <c r="L101" s="43"/>
      <c r="M101" s="4" t="s">
        <v>566</v>
      </c>
      <c r="N101" s="58">
        <f t="shared" si="3"/>
        <v>80</v>
      </c>
      <c r="O101" s="4"/>
      <c r="P101" s="59"/>
      <c r="Q101" s="59"/>
      <c r="R101" s="59">
        <v>4001.0</v>
      </c>
      <c r="S101" s="14"/>
      <c r="T101" s="14"/>
      <c r="U101" s="4">
        <v>1999.0</v>
      </c>
      <c r="V101" s="57"/>
      <c r="W101" s="4" t="s">
        <v>603</v>
      </c>
      <c r="X101" s="4" t="s">
        <v>604</v>
      </c>
      <c r="Y101" s="4"/>
      <c r="Z101" s="60" t="s">
        <v>1118</v>
      </c>
      <c r="AA101" s="8"/>
      <c r="AB101" s="8"/>
      <c r="AC101" s="8"/>
      <c r="AD101" s="9"/>
    </row>
    <row r="102">
      <c r="A102" s="43">
        <f t="shared" ref="A102:A156" si="4">A97+1</f>
        <v>211002</v>
      </c>
      <c r="B102" s="4" t="s">
        <v>1125</v>
      </c>
      <c r="C102" s="43">
        <v>2.0</v>
      </c>
      <c r="D102" s="43">
        <v>1.0</v>
      </c>
      <c r="E102" s="14"/>
      <c r="F102" s="43">
        <v>1.0</v>
      </c>
      <c r="G102" s="43"/>
      <c r="H102" s="43">
        <v>2.5</v>
      </c>
      <c r="I102" s="43"/>
      <c r="J102" s="43"/>
      <c r="K102" s="43"/>
      <c r="L102" s="43"/>
      <c r="M102" s="4" t="s">
        <v>566</v>
      </c>
      <c r="N102" s="58">
        <v>95.0</v>
      </c>
      <c r="O102" s="4"/>
      <c r="P102" s="59"/>
      <c r="Q102" s="59"/>
      <c r="R102" s="59" t="str">
        <f t="shared" ref="R102:R104" si="5">"4002,2004"</f>
        <v>4002,2004</v>
      </c>
      <c r="S102" s="63">
        <v>0.4</v>
      </c>
      <c r="T102" s="14"/>
      <c r="U102" s="14"/>
      <c r="V102" s="57"/>
      <c r="W102" s="61" t="s">
        <v>567</v>
      </c>
      <c r="X102" s="61" t="s">
        <v>569</v>
      </c>
      <c r="Y102" s="4"/>
      <c r="Z102" s="60" t="s">
        <v>1128</v>
      </c>
      <c r="AA102" s="8"/>
      <c r="AB102" s="8"/>
      <c r="AC102" s="8"/>
      <c r="AD102" s="9"/>
    </row>
    <row r="103">
      <c r="A103" s="43">
        <f t="shared" si="4"/>
        <v>212002</v>
      </c>
      <c r="B103" s="4" t="s">
        <v>1130</v>
      </c>
      <c r="C103" s="43">
        <v>2.0</v>
      </c>
      <c r="D103" s="43">
        <v>1.0</v>
      </c>
      <c r="E103" s="14"/>
      <c r="F103" s="43">
        <v>1.0</v>
      </c>
      <c r="G103" s="43"/>
      <c r="H103" s="43">
        <v>2.5</v>
      </c>
      <c r="I103" s="43"/>
      <c r="J103" s="43"/>
      <c r="K103" s="43"/>
      <c r="L103" s="43"/>
      <c r="M103" s="4" t="s">
        <v>566</v>
      </c>
      <c r="N103" s="58">
        <f t="shared" ref="N103:N106" si="6">N102-4</f>
        <v>91</v>
      </c>
      <c r="O103" s="4"/>
      <c r="P103" s="59"/>
      <c r="Q103" s="59"/>
      <c r="R103" s="59" t="str">
        <f t="shared" si="5"/>
        <v>4002,2004</v>
      </c>
      <c r="S103" s="63">
        <v>0.5</v>
      </c>
      <c r="T103" s="14"/>
      <c r="U103" s="14"/>
      <c r="V103" s="57"/>
      <c r="W103" s="61" t="s">
        <v>567</v>
      </c>
      <c r="X103" s="61" t="s">
        <v>569</v>
      </c>
      <c r="Y103" s="4"/>
      <c r="Z103" s="60" t="s">
        <v>1134</v>
      </c>
      <c r="AA103" s="8"/>
      <c r="AB103" s="8"/>
      <c r="AC103" s="8"/>
      <c r="AD103" s="9"/>
    </row>
    <row r="104">
      <c r="A104" s="43">
        <f t="shared" si="4"/>
        <v>213002</v>
      </c>
      <c r="B104" s="4" t="s">
        <v>1139</v>
      </c>
      <c r="C104" s="43">
        <v>3.0</v>
      </c>
      <c r="D104" s="43">
        <v>1.0</v>
      </c>
      <c r="E104" s="14"/>
      <c r="F104" s="43">
        <v>1.0</v>
      </c>
      <c r="G104" s="43"/>
      <c r="H104" s="43">
        <v>2.5</v>
      </c>
      <c r="I104" s="43"/>
      <c r="J104" s="43"/>
      <c r="K104" s="43"/>
      <c r="L104" s="43"/>
      <c r="M104" s="4" t="s">
        <v>566</v>
      </c>
      <c r="N104" s="58">
        <f t="shared" si="6"/>
        <v>87</v>
      </c>
      <c r="O104" s="4"/>
      <c r="P104" s="59"/>
      <c r="Q104" s="59"/>
      <c r="R104" s="59" t="str">
        <f t="shared" si="5"/>
        <v>4002,2004</v>
      </c>
      <c r="S104" s="63">
        <v>0.5</v>
      </c>
      <c r="T104" s="14"/>
      <c r="U104" s="14"/>
      <c r="V104" s="57"/>
      <c r="W104" s="61" t="s">
        <v>567</v>
      </c>
      <c r="X104" s="61" t="s">
        <v>569</v>
      </c>
      <c r="Y104" s="4"/>
      <c r="Z104" s="60" t="s">
        <v>1142</v>
      </c>
      <c r="AA104" s="8"/>
      <c r="AB104" s="8"/>
      <c r="AC104" s="8"/>
      <c r="AD104" s="9"/>
    </row>
    <row r="105">
      <c r="A105" s="43">
        <f t="shared" si="4"/>
        <v>214002</v>
      </c>
      <c r="B105" s="4" t="s">
        <v>1145</v>
      </c>
      <c r="C105" s="43">
        <v>3.0</v>
      </c>
      <c r="D105" s="43">
        <v>1.0</v>
      </c>
      <c r="E105" s="14"/>
      <c r="F105" s="43">
        <v>1.0</v>
      </c>
      <c r="G105" s="43"/>
      <c r="H105" s="43">
        <v>2.5</v>
      </c>
      <c r="I105" s="43"/>
      <c r="J105" s="43"/>
      <c r="K105" s="43"/>
      <c r="L105" s="43"/>
      <c r="M105" s="4" t="s">
        <v>566</v>
      </c>
      <c r="N105" s="58">
        <f t="shared" si="6"/>
        <v>83</v>
      </c>
      <c r="O105" s="4"/>
      <c r="P105" s="59"/>
      <c r="Q105" s="59"/>
      <c r="R105" s="59" t="str">
        <f t="shared" ref="R105:R106" si="7">"4002,2004,5003"</f>
        <v>4002,2004,5003</v>
      </c>
      <c r="S105" s="63">
        <v>0.5</v>
      </c>
      <c r="T105" s="14"/>
      <c r="U105" s="14"/>
      <c r="V105" s="57"/>
      <c r="W105" s="61" t="s">
        <v>567</v>
      </c>
      <c r="X105" s="61" t="s">
        <v>569</v>
      </c>
      <c r="Y105" s="4"/>
      <c r="Z105" s="60" t="s">
        <v>1147</v>
      </c>
      <c r="AA105" s="8"/>
      <c r="AB105" s="8"/>
      <c r="AC105" s="8"/>
      <c r="AD105" s="9"/>
    </row>
    <row r="106">
      <c r="A106" s="43">
        <f t="shared" si="4"/>
        <v>215002</v>
      </c>
      <c r="B106" s="4" t="s">
        <v>1149</v>
      </c>
      <c r="C106" s="43">
        <v>3.0</v>
      </c>
      <c r="D106" s="43">
        <v>1.0</v>
      </c>
      <c r="E106" s="14"/>
      <c r="F106" s="43">
        <v>1.0</v>
      </c>
      <c r="G106" s="43"/>
      <c r="H106" s="43">
        <v>2.5</v>
      </c>
      <c r="I106" s="43"/>
      <c r="J106" s="43"/>
      <c r="K106" s="43"/>
      <c r="L106" s="43"/>
      <c r="M106" s="4" t="s">
        <v>566</v>
      </c>
      <c r="N106" s="58">
        <f t="shared" si="6"/>
        <v>79</v>
      </c>
      <c r="O106" s="4"/>
      <c r="P106" s="59"/>
      <c r="Q106" s="59"/>
      <c r="R106" s="59" t="str">
        <f t="shared" si="7"/>
        <v>4002,2004,5003</v>
      </c>
      <c r="S106" s="63">
        <v>0.8</v>
      </c>
      <c r="T106" s="14"/>
      <c r="U106" s="14"/>
      <c r="V106" s="57"/>
      <c r="W106" s="61" t="s">
        <v>567</v>
      </c>
      <c r="X106" s="61" t="s">
        <v>569</v>
      </c>
      <c r="Y106" s="4"/>
      <c r="Z106" s="60" t="s">
        <v>1150</v>
      </c>
      <c r="AA106" s="8"/>
      <c r="AB106" s="8"/>
      <c r="AC106" s="8"/>
      <c r="AD106" s="9"/>
    </row>
    <row r="107">
      <c r="A107" s="43">
        <f t="shared" si="4"/>
        <v>211003</v>
      </c>
      <c r="B107" s="4" t="s">
        <v>1153</v>
      </c>
      <c r="C107" s="43">
        <v>-2.0</v>
      </c>
      <c r="D107" s="43"/>
      <c r="E107" s="14"/>
      <c r="F107" s="43">
        <v>1.0</v>
      </c>
      <c r="G107" s="43"/>
      <c r="H107" s="43">
        <v>2.4</v>
      </c>
      <c r="I107" s="43"/>
      <c r="J107" s="43"/>
      <c r="K107" s="43"/>
      <c r="L107" s="43"/>
      <c r="M107" s="4" t="s">
        <v>615</v>
      </c>
      <c r="N107" s="58">
        <v>48.0</v>
      </c>
      <c r="O107" s="4"/>
      <c r="P107" s="59"/>
      <c r="Q107" s="63"/>
      <c r="R107" s="63" t="str">
        <f t="shared" ref="R107:R111" si="8">"2002,2002"</f>
        <v>2002,2002</v>
      </c>
      <c r="S107" s="14"/>
      <c r="T107" s="14"/>
      <c r="U107" s="14"/>
      <c r="V107" s="57"/>
      <c r="W107" s="61" t="s">
        <v>567</v>
      </c>
      <c r="X107" s="61" t="s">
        <v>569</v>
      </c>
      <c r="Y107" s="4"/>
      <c r="Z107" s="60" t="s">
        <v>1155</v>
      </c>
      <c r="AA107" s="8"/>
      <c r="AB107" s="8"/>
      <c r="AC107" s="8"/>
      <c r="AD107" s="9"/>
    </row>
    <row r="108">
      <c r="A108" s="43">
        <f t="shared" si="4"/>
        <v>212003</v>
      </c>
      <c r="B108" s="4" t="s">
        <v>1157</v>
      </c>
      <c r="C108" s="43">
        <v>-2.0</v>
      </c>
      <c r="D108" s="43"/>
      <c r="E108" s="14"/>
      <c r="F108" s="43">
        <v>1.0</v>
      </c>
      <c r="G108" s="43"/>
      <c r="H108" s="43">
        <v>2.4</v>
      </c>
      <c r="I108" s="43"/>
      <c r="J108" s="43"/>
      <c r="K108" s="43"/>
      <c r="L108" s="43"/>
      <c r="M108" s="4" t="s">
        <v>615</v>
      </c>
      <c r="N108" s="58">
        <f t="shared" ref="N108:N111" si="9">N107-4</f>
        <v>44</v>
      </c>
      <c r="O108" s="4"/>
      <c r="P108" s="59"/>
      <c r="Q108" s="63"/>
      <c r="R108" s="63" t="str">
        <f t="shared" si="8"/>
        <v>2002,2002</v>
      </c>
      <c r="S108" s="14"/>
      <c r="T108" s="14" t="str">
        <f t="shared" ref="T108:T110" si="10">"4001"</f>
        <v>4001</v>
      </c>
      <c r="U108" s="14"/>
      <c r="V108" s="57"/>
      <c r="W108" s="61" t="s">
        <v>567</v>
      </c>
      <c r="X108" s="61" t="s">
        <v>569</v>
      </c>
      <c r="Y108" s="4"/>
      <c r="Z108" s="60" t="s">
        <v>1160</v>
      </c>
      <c r="AA108" s="8"/>
      <c r="AB108" s="8"/>
      <c r="AC108" s="8"/>
      <c r="AD108" s="9"/>
    </row>
    <row r="109">
      <c r="A109" s="43">
        <f t="shared" si="4"/>
        <v>213003</v>
      </c>
      <c r="B109" s="4" t="s">
        <v>1161</v>
      </c>
      <c r="C109" s="43">
        <v>-2.0</v>
      </c>
      <c r="D109" s="43"/>
      <c r="E109" s="14"/>
      <c r="F109" s="43">
        <v>1.0</v>
      </c>
      <c r="G109" s="43"/>
      <c r="H109" s="43">
        <v>2.4</v>
      </c>
      <c r="I109" s="43"/>
      <c r="J109" s="43"/>
      <c r="K109" s="43"/>
      <c r="L109" s="43"/>
      <c r="M109" s="4" t="s">
        <v>615</v>
      </c>
      <c r="N109" s="58">
        <f t="shared" si="9"/>
        <v>40</v>
      </c>
      <c r="O109" s="4"/>
      <c r="P109" s="59"/>
      <c r="Q109" s="63"/>
      <c r="R109" s="63" t="str">
        <f t="shared" si="8"/>
        <v>2002,2002</v>
      </c>
      <c r="S109" s="14"/>
      <c r="T109" s="14" t="str">
        <f t="shared" si="10"/>
        <v>4001</v>
      </c>
      <c r="U109" s="14"/>
      <c r="V109" s="57"/>
      <c r="W109" s="61" t="s">
        <v>567</v>
      </c>
      <c r="X109" s="61" t="s">
        <v>569</v>
      </c>
      <c r="Y109" s="4"/>
      <c r="Z109" s="60" t="s">
        <v>1165</v>
      </c>
      <c r="AA109" s="8"/>
      <c r="AB109" s="8"/>
      <c r="AC109" s="8"/>
      <c r="AD109" s="9"/>
    </row>
    <row r="110">
      <c r="A110" s="43">
        <f t="shared" si="4"/>
        <v>214003</v>
      </c>
      <c r="B110" s="4" t="s">
        <v>1166</v>
      </c>
      <c r="C110" s="43">
        <v>-4.0</v>
      </c>
      <c r="D110" s="43"/>
      <c r="E110" s="14"/>
      <c r="F110" s="43">
        <v>1.0</v>
      </c>
      <c r="G110" s="43"/>
      <c r="H110" s="43">
        <v>2.4</v>
      </c>
      <c r="I110" s="43"/>
      <c r="J110" s="43"/>
      <c r="K110" s="43"/>
      <c r="L110" s="43"/>
      <c r="M110" s="4" t="s">
        <v>615</v>
      </c>
      <c r="N110" s="58">
        <f t="shared" si="9"/>
        <v>36</v>
      </c>
      <c r="O110" s="4"/>
      <c r="P110" s="59"/>
      <c r="Q110" s="63"/>
      <c r="R110" s="63" t="str">
        <f t="shared" si="8"/>
        <v>2002,2002</v>
      </c>
      <c r="S110" s="14"/>
      <c r="T110" s="14" t="str">
        <f t="shared" si="10"/>
        <v>4001</v>
      </c>
      <c r="U110" s="14"/>
      <c r="V110" s="57"/>
      <c r="W110" s="61" t="s">
        <v>567</v>
      </c>
      <c r="X110" s="61" t="s">
        <v>569</v>
      </c>
      <c r="Y110" s="4"/>
      <c r="Z110" s="60" t="s">
        <v>1169</v>
      </c>
      <c r="AA110" s="8"/>
      <c r="AB110" s="8"/>
      <c r="AC110" s="8"/>
      <c r="AD110" s="9"/>
    </row>
    <row r="111">
      <c r="A111" s="43">
        <f t="shared" si="4"/>
        <v>215003</v>
      </c>
      <c r="B111" s="4" t="s">
        <v>1171</v>
      </c>
      <c r="C111" s="43">
        <v>-4.0</v>
      </c>
      <c r="D111" s="43"/>
      <c r="E111" s="14"/>
      <c r="F111" s="43">
        <v>1.0</v>
      </c>
      <c r="G111" s="43"/>
      <c r="H111" s="43">
        <v>2.4</v>
      </c>
      <c r="I111" s="43"/>
      <c r="J111" s="43"/>
      <c r="K111" s="43"/>
      <c r="L111" s="43"/>
      <c r="M111" s="4" t="s">
        <v>615</v>
      </c>
      <c r="N111" s="58">
        <f t="shared" si="9"/>
        <v>32</v>
      </c>
      <c r="O111" s="4"/>
      <c r="P111" s="59"/>
      <c r="Q111" s="63"/>
      <c r="R111" s="63" t="str">
        <f t="shared" si="8"/>
        <v>2002,2002</v>
      </c>
      <c r="S111" s="14"/>
      <c r="T111" s="106" t="str">
        <f>"4001,4002,4003,4004,4005,5001,5002,5003,5004"</f>
        <v>4001,4002,4003,4004,4005,5001,5002,5003,5004</v>
      </c>
      <c r="U111" s="14"/>
      <c r="V111" s="57"/>
      <c r="W111" s="61" t="s">
        <v>567</v>
      </c>
      <c r="X111" s="61" t="s">
        <v>569</v>
      </c>
      <c r="Y111" s="4"/>
      <c r="Z111" s="60" t="s">
        <v>1176</v>
      </c>
      <c r="AA111" s="8"/>
      <c r="AB111" s="8"/>
      <c r="AC111" s="8"/>
      <c r="AD111" s="9"/>
    </row>
    <row r="112">
      <c r="A112" s="43">
        <f t="shared" si="4"/>
        <v>211004</v>
      </c>
      <c r="B112" s="4" t="s">
        <v>1177</v>
      </c>
      <c r="C112" s="43">
        <v>4.0</v>
      </c>
      <c r="D112" s="43">
        <v>1.0</v>
      </c>
      <c r="E112" s="14"/>
      <c r="F112" s="43">
        <v>1.0</v>
      </c>
      <c r="G112" s="43">
        <v>1.25</v>
      </c>
      <c r="H112" s="43"/>
      <c r="I112" s="43"/>
      <c r="J112" s="43"/>
      <c r="K112" s="43"/>
      <c r="L112" s="43"/>
      <c r="M112" s="4" t="s">
        <v>527</v>
      </c>
      <c r="N112" s="58">
        <v>47.0</v>
      </c>
      <c r="O112" s="4"/>
      <c r="P112" s="59"/>
      <c r="Q112" s="63"/>
      <c r="R112" s="59" t="str">
        <f t="shared" ref="R112:R113" si="11">"2001,2005,2005"</f>
        <v>2001,2005,2005</v>
      </c>
      <c r="S112" s="14"/>
      <c r="T112" s="14"/>
      <c r="U112" s="14"/>
      <c r="V112" s="57"/>
      <c r="W112" s="4"/>
      <c r="X112" s="4" t="s">
        <v>529</v>
      </c>
      <c r="Y112" s="4"/>
      <c r="Z112" s="60" t="s">
        <v>1179</v>
      </c>
      <c r="AA112" s="8"/>
      <c r="AB112" s="8"/>
      <c r="AC112" s="8"/>
      <c r="AD112" s="9"/>
    </row>
    <row r="113">
      <c r="A113" s="43">
        <f t="shared" si="4"/>
        <v>212004</v>
      </c>
      <c r="B113" s="4" t="s">
        <v>1185</v>
      </c>
      <c r="C113" s="43">
        <v>5.0</v>
      </c>
      <c r="D113" s="43">
        <v>1.0</v>
      </c>
      <c r="E113" s="14"/>
      <c r="F113" s="43">
        <v>1.0</v>
      </c>
      <c r="G113" s="43">
        <v>1.25</v>
      </c>
      <c r="H113" s="43"/>
      <c r="I113" s="43"/>
      <c r="J113" s="43"/>
      <c r="K113" s="43"/>
      <c r="L113" s="43"/>
      <c r="M113" s="4" t="s">
        <v>527</v>
      </c>
      <c r="N113" s="58">
        <f t="shared" ref="N113:N116" si="12">N112-4</f>
        <v>43</v>
      </c>
      <c r="O113" s="4"/>
      <c r="P113" s="59"/>
      <c r="Q113" s="63"/>
      <c r="R113" s="59" t="str">
        <f t="shared" si="11"/>
        <v>2001,2005,2005</v>
      </c>
      <c r="S113" s="14"/>
      <c r="T113" s="14"/>
      <c r="U113" s="14"/>
      <c r="V113" s="57"/>
      <c r="W113" s="4"/>
      <c r="X113" s="4" t="s">
        <v>529</v>
      </c>
      <c r="Y113" s="4"/>
      <c r="Z113" s="60" t="s">
        <v>1188</v>
      </c>
      <c r="AA113" s="8"/>
      <c r="AB113" s="8"/>
      <c r="AC113" s="8"/>
      <c r="AD113" s="9"/>
    </row>
    <row r="114">
      <c r="A114" s="43">
        <f t="shared" si="4"/>
        <v>213004</v>
      </c>
      <c r="B114" s="4" t="s">
        <v>1190</v>
      </c>
      <c r="C114" s="43">
        <v>5.0</v>
      </c>
      <c r="D114" s="43">
        <v>1.0</v>
      </c>
      <c r="E114" s="14"/>
      <c r="F114" s="43">
        <v>1.0</v>
      </c>
      <c r="G114" s="43">
        <v>1.25</v>
      </c>
      <c r="H114" s="43"/>
      <c r="I114" s="43"/>
      <c r="J114" s="43"/>
      <c r="K114" s="43"/>
      <c r="L114" s="43"/>
      <c r="M114" s="4" t="s">
        <v>527</v>
      </c>
      <c r="N114" s="58">
        <f t="shared" si="12"/>
        <v>39</v>
      </c>
      <c r="O114" s="4"/>
      <c r="P114" s="59"/>
      <c r="Q114" s="63"/>
      <c r="R114" s="59" t="str">
        <f>"2001,2001,2004,2004,2005,2005"</f>
        <v>2001,2001,2004,2004,2005,2005</v>
      </c>
      <c r="S114" s="14"/>
      <c r="T114" s="14"/>
      <c r="U114" s="14"/>
      <c r="V114" s="57"/>
      <c r="W114" s="4"/>
      <c r="X114" s="4" t="s">
        <v>529</v>
      </c>
      <c r="Y114" s="4"/>
      <c r="Z114" s="60" t="s">
        <v>1194</v>
      </c>
      <c r="AA114" s="8"/>
      <c r="AB114" s="8"/>
      <c r="AC114" s="8"/>
      <c r="AD114" s="9"/>
    </row>
    <row r="115">
      <c r="A115" s="43">
        <f t="shared" si="4"/>
        <v>214004</v>
      </c>
      <c r="B115" s="4" t="s">
        <v>1196</v>
      </c>
      <c r="C115" s="43">
        <v>5.0</v>
      </c>
      <c r="D115" s="43">
        <v>1.0</v>
      </c>
      <c r="E115" s="14"/>
      <c r="F115" s="43">
        <v>1.0</v>
      </c>
      <c r="G115" s="43">
        <v>1.25</v>
      </c>
      <c r="H115" s="43"/>
      <c r="I115" s="43"/>
      <c r="J115" s="43"/>
      <c r="K115" s="43"/>
      <c r="L115" s="43"/>
      <c r="M115" s="4" t="s">
        <v>527</v>
      </c>
      <c r="N115" s="58">
        <f t="shared" si="12"/>
        <v>35</v>
      </c>
      <c r="O115" s="4"/>
      <c r="P115" s="59"/>
      <c r="Q115" s="63"/>
      <c r="R115" s="59" t="str">
        <f t="shared" ref="R115:R116" si="13">"2001,2001,2004,2004,2005,2005,2007,2007"</f>
        <v>2001,2001,2004,2004,2005,2005,2007,2007</v>
      </c>
      <c r="S115" s="14"/>
      <c r="T115" s="14"/>
      <c r="U115" s="14"/>
      <c r="V115" s="57"/>
      <c r="W115" s="4"/>
      <c r="X115" s="4" t="s">
        <v>529</v>
      </c>
      <c r="Y115" s="4"/>
      <c r="Z115" s="60" t="s">
        <v>1200</v>
      </c>
      <c r="AA115" s="8"/>
      <c r="AB115" s="8"/>
      <c r="AC115" s="8"/>
      <c r="AD115" s="9"/>
    </row>
    <row r="116">
      <c r="A116" s="43">
        <f t="shared" si="4"/>
        <v>215004</v>
      </c>
      <c r="B116" s="4" t="s">
        <v>1202</v>
      </c>
      <c r="C116" s="43">
        <v>5.0</v>
      </c>
      <c r="D116" s="43">
        <v>1.0</v>
      </c>
      <c r="E116" s="14"/>
      <c r="F116" s="43">
        <v>1.0</v>
      </c>
      <c r="G116" s="43">
        <v>1.25</v>
      </c>
      <c r="H116" s="43"/>
      <c r="I116" s="43"/>
      <c r="J116" s="43"/>
      <c r="K116" s="43"/>
      <c r="L116" s="43"/>
      <c r="M116" s="4" t="s">
        <v>527</v>
      </c>
      <c r="N116" s="58">
        <f t="shared" si="12"/>
        <v>31</v>
      </c>
      <c r="O116" s="4"/>
      <c r="P116" s="59"/>
      <c r="Q116" s="63"/>
      <c r="R116" s="59" t="str">
        <f t="shared" si="13"/>
        <v>2001,2001,2004,2004,2005,2005,2007,2007</v>
      </c>
      <c r="S116" s="14"/>
      <c r="T116" s="63" t="str">
        <f>"1001,1002,1003,1004,1005,1006,1007,1008,1009,1010"</f>
        <v>1001,1002,1003,1004,1005,1006,1007,1008,1009,1010</v>
      </c>
      <c r="U116" s="14"/>
      <c r="V116" s="57"/>
      <c r="W116" s="4"/>
      <c r="X116" s="4" t="s">
        <v>529</v>
      </c>
      <c r="Y116" s="4"/>
      <c r="Z116" s="60" t="s">
        <v>1205</v>
      </c>
      <c r="AA116" s="8"/>
      <c r="AB116" s="8"/>
      <c r="AC116" s="8"/>
      <c r="AD116" s="9"/>
    </row>
    <row r="117">
      <c r="A117" s="43">
        <f t="shared" si="4"/>
        <v>211005</v>
      </c>
      <c r="B117" s="4" t="s">
        <v>1206</v>
      </c>
      <c r="C117" s="43">
        <v>1.0</v>
      </c>
      <c r="D117" s="43">
        <v>1.0</v>
      </c>
      <c r="E117" s="14"/>
      <c r="F117" s="43">
        <v>1.0</v>
      </c>
      <c r="G117" s="43">
        <v>5.0</v>
      </c>
      <c r="H117" s="43"/>
      <c r="I117" s="43"/>
      <c r="J117" s="43"/>
      <c r="K117" s="43"/>
      <c r="L117" s="43"/>
      <c r="M117" s="4" t="s">
        <v>527</v>
      </c>
      <c r="N117" s="58">
        <v>49.0</v>
      </c>
      <c r="O117" s="4"/>
      <c r="P117" s="59">
        <v>1005.0</v>
      </c>
      <c r="R117" s="63">
        <v>2008.0</v>
      </c>
      <c r="S117" s="14"/>
      <c r="T117" s="14"/>
      <c r="U117" s="14"/>
      <c r="V117" s="57"/>
      <c r="W117" s="4"/>
      <c r="X117" s="4" t="s">
        <v>529</v>
      </c>
      <c r="Y117" s="4"/>
      <c r="Z117" s="60" t="s">
        <v>1209</v>
      </c>
      <c r="AA117" s="8"/>
      <c r="AB117" s="8"/>
      <c r="AC117" s="8"/>
      <c r="AD117" s="9"/>
    </row>
    <row r="118">
      <c r="A118" s="43">
        <f t="shared" si="4"/>
        <v>212005</v>
      </c>
      <c r="B118" s="4" t="s">
        <v>1210</v>
      </c>
      <c r="C118" s="43">
        <v>1.0</v>
      </c>
      <c r="D118" s="43">
        <v>1.0</v>
      </c>
      <c r="E118" s="14"/>
      <c r="F118" s="43">
        <v>1.0</v>
      </c>
      <c r="G118" s="43">
        <v>5.0</v>
      </c>
      <c r="H118" s="43"/>
      <c r="I118" s="43"/>
      <c r="J118" s="43"/>
      <c r="K118" s="43"/>
      <c r="L118" s="43"/>
      <c r="M118" s="4" t="s">
        <v>527</v>
      </c>
      <c r="N118" s="58">
        <f t="shared" ref="N118:N121" si="14">N117-4</f>
        <v>45</v>
      </c>
      <c r="O118" s="4"/>
      <c r="P118" s="59" t="str">
        <f>"1005,3003"</f>
        <v>1005,3003</v>
      </c>
      <c r="Q118" s="63"/>
      <c r="R118" s="63">
        <v>2008.0</v>
      </c>
      <c r="S118" s="14"/>
      <c r="T118" s="14"/>
      <c r="U118" s="14"/>
      <c r="V118" s="57"/>
      <c r="W118" s="4"/>
      <c r="X118" s="4" t="s">
        <v>529</v>
      </c>
      <c r="Y118" s="4"/>
      <c r="Z118" s="60" t="s">
        <v>1213</v>
      </c>
      <c r="AA118" s="8"/>
      <c r="AB118" s="8"/>
      <c r="AC118" s="8"/>
      <c r="AD118" s="9"/>
    </row>
    <row r="119">
      <c r="A119" s="43">
        <f t="shared" si="4"/>
        <v>213005</v>
      </c>
      <c r="B119" s="4" t="s">
        <v>1215</v>
      </c>
      <c r="C119" s="43">
        <v>1.0</v>
      </c>
      <c r="D119" s="43">
        <v>1.0</v>
      </c>
      <c r="E119" s="14"/>
      <c r="F119" s="43">
        <v>1.0</v>
      </c>
      <c r="G119" s="43">
        <v>5.0</v>
      </c>
      <c r="H119" s="43"/>
      <c r="I119" s="43"/>
      <c r="J119" s="43"/>
      <c r="K119" s="43"/>
      <c r="L119" s="43"/>
      <c r="M119" s="4" t="s">
        <v>527</v>
      </c>
      <c r="N119" s="58">
        <f t="shared" si="14"/>
        <v>41</v>
      </c>
      <c r="O119" s="4"/>
      <c r="P119" s="59" t="str">
        <f t="shared" ref="P119:P120" si="15">"1005,3003,3010"</f>
        <v>1005,3003,3010</v>
      </c>
      <c r="R119" s="63">
        <v>2008.0</v>
      </c>
      <c r="S119" s="14"/>
      <c r="T119" s="14"/>
      <c r="U119" s="14"/>
      <c r="V119" s="57"/>
      <c r="W119" s="4"/>
      <c r="X119" s="4" t="s">
        <v>529</v>
      </c>
      <c r="Y119" s="4"/>
      <c r="Z119" s="60" t="s">
        <v>1218</v>
      </c>
      <c r="AA119" s="8"/>
      <c r="AB119" s="8"/>
      <c r="AC119" s="8"/>
      <c r="AD119" s="9"/>
    </row>
    <row r="120">
      <c r="A120" s="43">
        <f t="shared" si="4"/>
        <v>214005</v>
      </c>
      <c r="B120" s="4" t="s">
        <v>1219</v>
      </c>
      <c r="C120" s="43">
        <v>1.0</v>
      </c>
      <c r="D120" s="43">
        <v>1.0</v>
      </c>
      <c r="E120" s="14"/>
      <c r="F120" s="43">
        <v>1.0</v>
      </c>
      <c r="G120" s="43">
        <v>5.0</v>
      </c>
      <c r="H120" s="43"/>
      <c r="I120" s="43"/>
      <c r="J120" s="43"/>
      <c r="K120" s="43"/>
      <c r="L120" s="43"/>
      <c r="M120" s="4" t="s">
        <v>527</v>
      </c>
      <c r="N120" s="58">
        <f t="shared" si="14"/>
        <v>37</v>
      </c>
      <c r="O120" s="4"/>
      <c r="P120" s="59" t="str">
        <f t="shared" si="15"/>
        <v>1005,3003,3010</v>
      </c>
      <c r="Q120" s="63"/>
      <c r="R120" s="63">
        <v>2008.0</v>
      </c>
      <c r="S120" s="14"/>
      <c r="T120" s="14"/>
      <c r="U120" s="14"/>
      <c r="V120" s="57"/>
      <c r="W120" s="4"/>
      <c r="X120" s="4" t="s">
        <v>529</v>
      </c>
      <c r="Y120" s="4"/>
      <c r="Z120" s="60" t="s">
        <v>1218</v>
      </c>
      <c r="AA120" s="8"/>
      <c r="AB120" s="8"/>
      <c r="AC120" s="8"/>
      <c r="AD120" s="9"/>
    </row>
    <row r="121">
      <c r="A121" s="43">
        <f t="shared" si="4"/>
        <v>215005</v>
      </c>
      <c r="B121" s="4" t="s">
        <v>1224</v>
      </c>
      <c r="C121" s="43">
        <v>1.0</v>
      </c>
      <c r="D121" s="43">
        <v>1.0</v>
      </c>
      <c r="E121" s="14"/>
      <c r="F121" s="43">
        <v>1.0</v>
      </c>
      <c r="G121" s="43">
        <v>5.0</v>
      </c>
      <c r="H121" s="43"/>
      <c r="I121" s="43"/>
      <c r="J121" s="43"/>
      <c r="K121" s="43"/>
      <c r="L121" s="43"/>
      <c r="M121" s="4" t="s">
        <v>527</v>
      </c>
      <c r="N121" s="58">
        <f t="shared" si="14"/>
        <v>33</v>
      </c>
      <c r="O121" s="4"/>
      <c r="P121" s="59" t="str">
        <f>"1005,3003,3010,3011"</f>
        <v>1005,3003,3010,3011</v>
      </c>
      <c r="Q121" s="63"/>
      <c r="R121" s="59">
        <v>1005.0</v>
      </c>
      <c r="S121" s="14"/>
      <c r="T121" s="14"/>
      <c r="U121" s="14"/>
      <c r="V121" s="57"/>
      <c r="W121" s="4"/>
      <c r="X121" s="4" t="s">
        <v>529</v>
      </c>
      <c r="Y121" s="4"/>
      <c r="Z121" s="60" t="s">
        <v>1227</v>
      </c>
      <c r="AA121" s="8"/>
      <c r="AB121" s="8"/>
      <c r="AC121" s="8"/>
      <c r="AD121" s="9"/>
    </row>
    <row r="122">
      <c r="A122" s="43">
        <f t="shared" si="4"/>
        <v>211006</v>
      </c>
      <c r="B122" s="4" t="s">
        <v>1229</v>
      </c>
      <c r="C122" s="43">
        <v>-2.0</v>
      </c>
      <c r="D122" s="43">
        <v>1.0</v>
      </c>
      <c r="E122" s="14"/>
      <c r="F122" s="43">
        <v>1.0</v>
      </c>
      <c r="G122" s="43"/>
      <c r="H122" s="57"/>
      <c r="I122" s="43"/>
      <c r="J122" s="43"/>
      <c r="K122" s="43"/>
      <c r="L122" s="43"/>
      <c r="M122" s="4"/>
      <c r="N122" s="58">
        <v>80.0</v>
      </c>
      <c r="O122" s="4"/>
      <c r="P122" s="63">
        <v>3001.0</v>
      </c>
      <c r="Q122" s="63"/>
      <c r="R122" s="59">
        <v>1996.0</v>
      </c>
      <c r="S122" s="14"/>
      <c r="T122" s="14"/>
      <c r="U122" s="14"/>
      <c r="V122" s="57"/>
      <c r="W122" s="4"/>
      <c r="X122" s="61" t="s">
        <v>573</v>
      </c>
      <c r="Y122" s="4"/>
      <c r="Z122" s="60" t="s">
        <v>1231</v>
      </c>
      <c r="AA122" s="8"/>
      <c r="AB122" s="8"/>
      <c r="AC122" s="8"/>
      <c r="AD122" s="9"/>
    </row>
    <row r="123">
      <c r="A123" s="43">
        <f t="shared" si="4"/>
        <v>212006</v>
      </c>
      <c r="B123" s="4" t="s">
        <v>1234</v>
      </c>
      <c r="C123" s="43">
        <v>-2.0</v>
      </c>
      <c r="D123" s="43">
        <v>1.0</v>
      </c>
      <c r="E123" s="14"/>
      <c r="F123" s="43">
        <v>1.0</v>
      </c>
      <c r="G123" s="43"/>
      <c r="H123" s="57"/>
      <c r="I123" s="43"/>
      <c r="J123" s="43"/>
      <c r="K123" s="43"/>
      <c r="L123" s="43"/>
      <c r="M123" s="4"/>
      <c r="N123" s="58">
        <f t="shared" ref="N123:N126" si="16">N122-4</f>
        <v>76</v>
      </c>
      <c r="O123" s="4"/>
      <c r="P123" s="59" t="str">
        <f t="shared" ref="P123:P124" si="17">"3001,1012"</f>
        <v>3001,1012</v>
      </c>
      <c r="Q123" s="63"/>
      <c r="R123" s="59">
        <v>1996.0</v>
      </c>
      <c r="S123" s="14"/>
      <c r="T123" s="14"/>
      <c r="U123" s="14"/>
      <c r="V123" s="57"/>
      <c r="W123" s="4"/>
      <c r="X123" s="61" t="s">
        <v>573</v>
      </c>
      <c r="Y123" s="4"/>
      <c r="Z123" s="60" t="s">
        <v>1238</v>
      </c>
      <c r="AA123" s="8"/>
      <c r="AB123" s="8"/>
      <c r="AC123" s="8"/>
      <c r="AD123" s="9"/>
    </row>
    <row r="124">
      <c r="A124" s="43">
        <f t="shared" si="4"/>
        <v>213006</v>
      </c>
      <c r="B124" s="4" t="s">
        <v>1241</v>
      </c>
      <c r="C124" s="43">
        <v>-3.0</v>
      </c>
      <c r="D124" s="43">
        <v>1.0</v>
      </c>
      <c r="E124" s="14"/>
      <c r="F124" s="43">
        <v>1.0</v>
      </c>
      <c r="G124" s="43"/>
      <c r="H124" s="57"/>
      <c r="I124" s="43"/>
      <c r="J124" s="43"/>
      <c r="K124" s="43"/>
      <c r="L124" s="43"/>
      <c r="M124" s="4"/>
      <c r="N124" s="58">
        <f t="shared" si="16"/>
        <v>72</v>
      </c>
      <c r="O124" s="4"/>
      <c r="P124" s="59" t="str">
        <f t="shared" si="17"/>
        <v>3001,1012</v>
      </c>
      <c r="Q124" s="63"/>
      <c r="R124" s="59">
        <v>1996.0</v>
      </c>
      <c r="S124" s="14"/>
      <c r="T124" s="14"/>
      <c r="U124" s="14"/>
      <c r="V124" s="57"/>
      <c r="W124" s="4"/>
      <c r="X124" s="61" t="s">
        <v>573</v>
      </c>
      <c r="Y124" s="4"/>
      <c r="Z124" s="60" t="s">
        <v>1244</v>
      </c>
      <c r="AA124" s="8"/>
      <c r="AB124" s="8"/>
      <c r="AC124" s="8"/>
      <c r="AD124" s="9"/>
    </row>
    <row r="125">
      <c r="A125" s="43">
        <f t="shared" si="4"/>
        <v>214006</v>
      </c>
      <c r="B125" s="4" t="s">
        <v>1245</v>
      </c>
      <c r="C125" s="43">
        <v>-3.0</v>
      </c>
      <c r="D125" s="43">
        <v>1.0</v>
      </c>
      <c r="E125" s="14"/>
      <c r="F125" s="43">
        <v>1.0</v>
      </c>
      <c r="G125" s="43"/>
      <c r="H125" s="57"/>
      <c r="I125" s="43"/>
      <c r="J125" s="43"/>
      <c r="K125" s="43"/>
      <c r="L125" s="43"/>
      <c r="M125" s="4"/>
      <c r="N125" s="58">
        <f t="shared" si="16"/>
        <v>68</v>
      </c>
      <c r="O125" s="4"/>
      <c r="P125" s="59" t="str">
        <f t="shared" ref="P125:P126" si="18">"3001,1012,1012"</f>
        <v>3001,1012,1012</v>
      </c>
      <c r="Q125" s="63"/>
      <c r="R125" s="59">
        <v>1996.0</v>
      </c>
      <c r="S125" s="14"/>
      <c r="T125" s="14"/>
      <c r="U125" s="14"/>
      <c r="V125" s="57"/>
      <c r="W125" s="4"/>
      <c r="X125" s="61" t="s">
        <v>573</v>
      </c>
      <c r="Y125" s="4"/>
      <c r="Z125" s="60" t="s">
        <v>1248</v>
      </c>
      <c r="AA125" s="8"/>
      <c r="AB125" s="8"/>
      <c r="AC125" s="8"/>
      <c r="AD125" s="9"/>
    </row>
    <row r="126">
      <c r="A126" s="43">
        <f t="shared" si="4"/>
        <v>215006</v>
      </c>
      <c r="B126" s="4" t="s">
        <v>1250</v>
      </c>
      <c r="C126" s="43">
        <v>-3.0</v>
      </c>
      <c r="D126" s="43">
        <v>1.0</v>
      </c>
      <c r="E126" s="14"/>
      <c r="F126" s="43">
        <v>1.0</v>
      </c>
      <c r="G126" s="43"/>
      <c r="H126" s="57"/>
      <c r="I126" s="43"/>
      <c r="J126" s="43"/>
      <c r="K126" s="43"/>
      <c r="L126" s="43"/>
      <c r="M126" s="4"/>
      <c r="N126" s="58">
        <f t="shared" si="16"/>
        <v>64</v>
      </c>
      <c r="O126" s="4"/>
      <c r="P126" s="59" t="str">
        <f t="shared" si="18"/>
        <v>3001,1012,1012</v>
      </c>
      <c r="Q126" s="63"/>
      <c r="R126" s="59">
        <v>1996.0</v>
      </c>
      <c r="S126" s="14"/>
      <c r="T126" s="14"/>
      <c r="U126" s="4">
        <v>4002.0</v>
      </c>
      <c r="V126" s="57"/>
      <c r="W126" s="4"/>
      <c r="X126" s="61" t="s">
        <v>573</v>
      </c>
      <c r="Y126" s="4"/>
      <c r="Z126" s="60" t="s">
        <v>1251</v>
      </c>
      <c r="AA126" s="8"/>
      <c r="AB126" s="8"/>
      <c r="AC126" s="8"/>
      <c r="AD126" s="9"/>
    </row>
    <row r="127">
      <c r="A127" s="43">
        <f t="shared" si="4"/>
        <v>211007</v>
      </c>
      <c r="B127" s="4" t="s">
        <v>1253</v>
      </c>
      <c r="C127" s="43">
        <v>-2.0</v>
      </c>
      <c r="D127" s="43"/>
      <c r="E127" s="14"/>
      <c r="F127" s="43">
        <v>1.0</v>
      </c>
      <c r="G127" s="43"/>
      <c r="H127" s="43">
        <v>2.5</v>
      </c>
      <c r="I127" s="43"/>
      <c r="J127" s="43"/>
      <c r="K127" s="43"/>
      <c r="L127" s="43"/>
      <c r="M127" s="4" t="s">
        <v>637</v>
      </c>
      <c r="N127" s="58">
        <v>48.0</v>
      </c>
      <c r="O127" s="4"/>
      <c r="P127" s="59"/>
      <c r="Q127" s="63"/>
      <c r="R127" s="59" t="str">
        <f t="shared" ref="R127:R129" si="19">"1999,1996"</f>
        <v>1999,1996</v>
      </c>
      <c r="S127" s="14"/>
      <c r="T127" s="4"/>
      <c r="U127" s="4"/>
      <c r="V127" s="43"/>
      <c r="W127" s="4"/>
      <c r="X127" s="61" t="s">
        <v>573</v>
      </c>
      <c r="Y127" s="4"/>
      <c r="Z127" s="60" t="s">
        <v>1255</v>
      </c>
      <c r="AA127" s="8"/>
      <c r="AB127" s="8"/>
      <c r="AC127" s="8"/>
      <c r="AD127" s="9"/>
    </row>
    <row r="128">
      <c r="A128" s="43">
        <f t="shared" si="4"/>
        <v>212007</v>
      </c>
      <c r="B128" s="4" t="s">
        <v>1256</v>
      </c>
      <c r="C128" s="43">
        <v>-2.0</v>
      </c>
      <c r="D128" s="43"/>
      <c r="E128" s="14"/>
      <c r="F128" s="43">
        <v>1.0</v>
      </c>
      <c r="G128" s="43"/>
      <c r="H128" s="43">
        <v>2.5</v>
      </c>
      <c r="I128" s="43"/>
      <c r="J128" s="43"/>
      <c r="K128" s="43"/>
      <c r="L128" s="43"/>
      <c r="M128" s="4" t="s">
        <v>637</v>
      </c>
      <c r="N128" s="58">
        <f t="shared" ref="N128:N131" si="20">N127-4</f>
        <v>44</v>
      </c>
      <c r="O128" s="4"/>
      <c r="P128" s="63">
        <v>3003.0</v>
      </c>
      <c r="Q128" s="63"/>
      <c r="R128" s="59" t="str">
        <f t="shared" si="19"/>
        <v>1999,1996</v>
      </c>
      <c r="S128" s="14"/>
      <c r="T128" s="4"/>
      <c r="U128" s="4"/>
      <c r="V128" s="43"/>
      <c r="W128" s="4"/>
      <c r="X128" s="61" t="s">
        <v>573</v>
      </c>
      <c r="Y128" s="4"/>
      <c r="Z128" s="60" t="s">
        <v>1258</v>
      </c>
      <c r="AA128" s="8"/>
      <c r="AB128" s="8"/>
      <c r="AC128" s="8"/>
      <c r="AD128" s="9"/>
    </row>
    <row r="129">
      <c r="A129" s="43">
        <f t="shared" si="4"/>
        <v>213007</v>
      </c>
      <c r="B129" s="4" t="s">
        <v>1259</v>
      </c>
      <c r="C129" s="43">
        <v>-2.0</v>
      </c>
      <c r="D129" s="43"/>
      <c r="E129" s="14"/>
      <c r="F129" s="43">
        <v>1.0</v>
      </c>
      <c r="G129" s="43"/>
      <c r="H129" s="43">
        <v>2.5</v>
      </c>
      <c r="I129" s="43"/>
      <c r="J129" s="43"/>
      <c r="K129" s="43"/>
      <c r="L129" s="43"/>
      <c r="M129" s="4" t="s">
        <v>637</v>
      </c>
      <c r="N129" s="58">
        <f t="shared" si="20"/>
        <v>40</v>
      </c>
      <c r="O129" s="4"/>
      <c r="P129" s="63" t="str">
        <f t="shared" ref="P129:P131" si="21">"3003,1997"</f>
        <v>3003,1997</v>
      </c>
      <c r="Q129" s="63"/>
      <c r="R129" s="59" t="str">
        <f t="shared" si="19"/>
        <v>1999,1996</v>
      </c>
      <c r="S129" s="14"/>
      <c r="T129" s="4"/>
      <c r="U129" s="4"/>
      <c r="V129" s="43"/>
      <c r="W129" s="4"/>
      <c r="X129" s="61" t="s">
        <v>573</v>
      </c>
      <c r="Y129" s="4"/>
      <c r="Z129" s="60" t="s">
        <v>1261</v>
      </c>
      <c r="AA129" s="8"/>
      <c r="AB129" s="8"/>
      <c r="AC129" s="8"/>
      <c r="AD129" s="9"/>
    </row>
    <row r="130">
      <c r="A130" s="43">
        <f t="shared" si="4"/>
        <v>214007</v>
      </c>
      <c r="B130" s="4" t="s">
        <v>1262</v>
      </c>
      <c r="C130" s="43">
        <v>-2.0</v>
      </c>
      <c r="D130" s="43"/>
      <c r="E130" s="14"/>
      <c r="F130" s="43">
        <v>1.0</v>
      </c>
      <c r="G130" s="43"/>
      <c r="H130" s="43">
        <v>2.5</v>
      </c>
      <c r="I130" s="43"/>
      <c r="J130" s="43"/>
      <c r="K130" s="43"/>
      <c r="L130" s="43"/>
      <c r="M130" s="4" t="s">
        <v>637</v>
      </c>
      <c r="N130" s="58">
        <f t="shared" si="20"/>
        <v>36</v>
      </c>
      <c r="O130" s="4"/>
      <c r="P130" s="63" t="str">
        <f t="shared" si="21"/>
        <v>3003,1997</v>
      </c>
      <c r="Q130" s="63"/>
      <c r="R130" s="59" t="str">
        <f t="shared" ref="R130:R131" si="22">"1999,1996,1002,1004"</f>
        <v>1999,1996,1002,1004</v>
      </c>
      <c r="S130" s="14"/>
      <c r="T130" s="4"/>
      <c r="U130" s="4"/>
      <c r="V130" s="43"/>
      <c r="W130" s="4"/>
      <c r="X130" s="61" t="s">
        <v>573</v>
      </c>
      <c r="Y130" s="4"/>
      <c r="Z130" s="60" t="s">
        <v>1264</v>
      </c>
      <c r="AA130" s="8"/>
      <c r="AB130" s="8"/>
      <c r="AC130" s="8"/>
      <c r="AD130" s="9"/>
    </row>
    <row r="131">
      <c r="A131" s="43">
        <f t="shared" si="4"/>
        <v>215007</v>
      </c>
      <c r="B131" s="4" t="s">
        <v>1266</v>
      </c>
      <c r="C131" s="43">
        <v>-3.0</v>
      </c>
      <c r="D131" s="43"/>
      <c r="E131" s="14"/>
      <c r="F131" s="43">
        <v>1.0</v>
      </c>
      <c r="G131" s="43"/>
      <c r="H131" s="43">
        <v>2.5</v>
      </c>
      <c r="I131" s="43"/>
      <c r="J131" s="43"/>
      <c r="K131" s="43"/>
      <c r="L131" s="43"/>
      <c r="M131" s="4" t="s">
        <v>637</v>
      </c>
      <c r="N131" s="58">
        <f t="shared" si="20"/>
        <v>32</v>
      </c>
      <c r="O131" s="4"/>
      <c r="P131" s="63" t="str">
        <f t="shared" si="21"/>
        <v>3003,1997</v>
      </c>
      <c r="Q131" s="63"/>
      <c r="R131" s="59" t="str">
        <f t="shared" si="22"/>
        <v>1999,1996,1002,1004</v>
      </c>
      <c r="S131" s="14"/>
      <c r="T131" s="4"/>
      <c r="U131" s="4"/>
      <c r="V131" s="43"/>
      <c r="W131" s="4"/>
      <c r="X131" s="61" t="s">
        <v>573</v>
      </c>
      <c r="Y131" s="4"/>
      <c r="Z131" s="60" t="s">
        <v>1269</v>
      </c>
      <c r="AA131" s="8"/>
      <c r="AB131" s="8"/>
      <c r="AC131" s="8"/>
      <c r="AD131" s="9"/>
    </row>
    <row r="132">
      <c r="A132" s="43">
        <f t="shared" si="4"/>
        <v>211008</v>
      </c>
      <c r="B132" s="72" t="s">
        <v>1270</v>
      </c>
      <c r="C132" s="43">
        <v>1.0</v>
      </c>
      <c r="D132" s="73"/>
      <c r="E132" s="14"/>
      <c r="F132" s="43">
        <v>1.0</v>
      </c>
      <c r="G132" s="73"/>
      <c r="H132" s="73">
        <v>4.8</v>
      </c>
      <c r="I132" s="43"/>
      <c r="J132" s="43"/>
      <c r="K132" s="43"/>
      <c r="L132" s="43"/>
      <c r="M132" s="4" t="s">
        <v>566</v>
      </c>
      <c r="N132" s="58">
        <v>96.0</v>
      </c>
      <c r="O132" s="74"/>
      <c r="P132" s="76">
        <v>1003.0</v>
      </c>
      <c r="Q132" s="76"/>
      <c r="R132" s="75">
        <v>4001.0</v>
      </c>
      <c r="S132" s="72">
        <v>0.5</v>
      </c>
      <c r="T132" s="74"/>
      <c r="U132" s="74"/>
      <c r="V132" s="77"/>
      <c r="W132" s="61" t="s">
        <v>567</v>
      </c>
      <c r="X132" s="61" t="s">
        <v>569</v>
      </c>
      <c r="Y132" s="61"/>
      <c r="Z132" s="60" t="s">
        <v>1272</v>
      </c>
      <c r="AA132" s="8"/>
      <c r="AB132" s="8"/>
      <c r="AC132" s="8"/>
      <c r="AD132" s="9"/>
    </row>
    <row r="133">
      <c r="A133" s="43">
        <f t="shared" si="4"/>
        <v>212008</v>
      </c>
      <c r="B133" s="72" t="s">
        <v>1274</v>
      </c>
      <c r="C133" s="43">
        <v>1.0</v>
      </c>
      <c r="D133" s="73"/>
      <c r="E133" s="14"/>
      <c r="F133" s="43">
        <v>1.0</v>
      </c>
      <c r="G133" s="73"/>
      <c r="H133" s="73">
        <v>4.8</v>
      </c>
      <c r="I133" s="43"/>
      <c r="J133" s="43"/>
      <c r="K133" s="43"/>
      <c r="L133" s="43"/>
      <c r="M133" s="4" t="s">
        <v>566</v>
      </c>
      <c r="N133" s="58">
        <f t="shared" ref="N133:N136" si="23">N132-4</f>
        <v>92</v>
      </c>
      <c r="O133" s="74"/>
      <c r="P133" s="75"/>
      <c r="Q133" s="76"/>
      <c r="R133" s="75">
        <v>4001.0</v>
      </c>
      <c r="S133" s="74"/>
      <c r="T133" s="74"/>
      <c r="U133" s="74"/>
      <c r="V133" s="77"/>
      <c r="W133" s="61" t="s">
        <v>567</v>
      </c>
      <c r="X133" s="61" t="s">
        <v>569</v>
      </c>
      <c r="Y133" s="61"/>
      <c r="Z133" s="60" t="s">
        <v>1276</v>
      </c>
      <c r="AA133" s="8"/>
      <c r="AB133" s="8"/>
      <c r="AC133" s="8"/>
      <c r="AD133" s="9"/>
    </row>
    <row r="134">
      <c r="A134" s="43">
        <f t="shared" si="4"/>
        <v>213008</v>
      </c>
      <c r="B134" s="72" t="s">
        <v>1277</v>
      </c>
      <c r="C134" s="43">
        <v>2.0</v>
      </c>
      <c r="D134" s="73"/>
      <c r="E134" s="14"/>
      <c r="F134" s="43">
        <v>1.0</v>
      </c>
      <c r="G134" s="73"/>
      <c r="H134" s="73">
        <v>4.8</v>
      </c>
      <c r="I134" s="43"/>
      <c r="J134" s="43"/>
      <c r="K134" s="43"/>
      <c r="L134" s="43"/>
      <c r="M134" s="4" t="s">
        <v>566</v>
      </c>
      <c r="N134" s="58">
        <f t="shared" si="23"/>
        <v>88</v>
      </c>
      <c r="O134" s="74"/>
      <c r="P134" s="75"/>
      <c r="Q134" s="76"/>
      <c r="R134" s="75">
        <v>4001.0</v>
      </c>
      <c r="S134" s="74"/>
      <c r="T134" s="74"/>
      <c r="U134" s="74"/>
      <c r="V134" s="77"/>
      <c r="W134" s="61" t="s">
        <v>567</v>
      </c>
      <c r="X134" s="61" t="s">
        <v>569</v>
      </c>
      <c r="Y134" s="61"/>
      <c r="Z134" s="60" t="s">
        <v>1279</v>
      </c>
      <c r="AA134" s="8"/>
      <c r="AB134" s="8"/>
      <c r="AC134" s="8"/>
      <c r="AD134" s="9"/>
    </row>
    <row r="135">
      <c r="A135" s="43">
        <f t="shared" si="4"/>
        <v>214008</v>
      </c>
      <c r="B135" s="72" t="s">
        <v>1280</v>
      </c>
      <c r="C135" s="43">
        <v>2.0</v>
      </c>
      <c r="D135" s="73"/>
      <c r="E135" s="14"/>
      <c r="F135" s="43">
        <v>1.0</v>
      </c>
      <c r="G135" s="73"/>
      <c r="H135" s="73">
        <v>4.8</v>
      </c>
      <c r="I135" s="43"/>
      <c r="J135" s="43"/>
      <c r="K135" s="43"/>
      <c r="L135" s="43"/>
      <c r="M135" s="4" t="s">
        <v>566</v>
      </c>
      <c r="N135" s="58">
        <f t="shared" si="23"/>
        <v>84</v>
      </c>
      <c r="O135" s="74"/>
      <c r="P135" s="76">
        <v>3003.0</v>
      </c>
      <c r="Q135" s="76"/>
      <c r="R135" s="75">
        <v>4001.0</v>
      </c>
      <c r="S135" s="74"/>
      <c r="T135" s="74"/>
      <c r="U135" s="74"/>
      <c r="V135" s="77"/>
      <c r="W135" s="61" t="s">
        <v>567</v>
      </c>
      <c r="X135" s="61" t="s">
        <v>569</v>
      </c>
      <c r="Y135" s="61"/>
      <c r="Z135" s="60" t="s">
        <v>1282</v>
      </c>
      <c r="AA135" s="8"/>
      <c r="AB135" s="8"/>
      <c r="AC135" s="8"/>
      <c r="AD135" s="9"/>
    </row>
    <row r="136">
      <c r="A136" s="43">
        <f t="shared" si="4"/>
        <v>215008</v>
      </c>
      <c r="B136" s="72" t="s">
        <v>1285</v>
      </c>
      <c r="C136" s="43">
        <v>3.0</v>
      </c>
      <c r="D136" s="73"/>
      <c r="E136" s="14"/>
      <c r="F136" s="43">
        <v>1.0</v>
      </c>
      <c r="G136" s="73"/>
      <c r="H136" s="73">
        <v>4.8</v>
      </c>
      <c r="I136" s="43"/>
      <c r="J136" s="43"/>
      <c r="K136" s="43"/>
      <c r="L136" s="43"/>
      <c r="M136" s="4" t="s">
        <v>566</v>
      </c>
      <c r="N136" s="58">
        <f t="shared" si="23"/>
        <v>80</v>
      </c>
      <c r="O136" s="74"/>
      <c r="P136" s="76">
        <v>3003.0</v>
      </c>
      <c r="Q136" s="76"/>
      <c r="R136" s="75">
        <v>4001.0</v>
      </c>
      <c r="S136" s="74"/>
      <c r="T136" s="74"/>
      <c r="U136" s="74"/>
      <c r="V136" s="77"/>
      <c r="W136" s="61" t="s">
        <v>567</v>
      </c>
      <c r="X136" s="61" t="s">
        <v>569</v>
      </c>
      <c r="Y136" s="61"/>
      <c r="Z136" s="60" t="s">
        <v>1286</v>
      </c>
      <c r="AA136" s="8"/>
      <c r="AB136" s="8"/>
      <c r="AC136" s="8"/>
      <c r="AD136" s="9"/>
    </row>
    <row r="137">
      <c r="A137" s="43">
        <f t="shared" si="4"/>
        <v>211009</v>
      </c>
      <c r="B137" s="72" t="s">
        <v>1290</v>
      </c>
      <c r="C137" s="43">
        <v>1.0</v>
      </c>
      <c r="D137" s="73"/>
      <c r="E137" s="14"/>
      <c r="F137" s="43">
        <v>1.0</v>
      </c>
      <c r="G137" s="73">
        <v>4.8</v>
      </c>
      <c r="H137" s="77"/>
      <c r="I137" s="43"/>
      <c r="J137" s="43"/>
      <c r="K137" s="43"/>
      <c r="L137" s="43"/>
      <c r="M137" s="4" t="s">
        <v>527</v>
      </c>
      <c r="N137" s="58">
        <v>96.0</v>
      </c>
      <c r="O137" s="74"/>
      <c r="P137" s="75" t="str">
        <f>"1005,3003"</f>
        <v>1005,3003</v>
      </c>
      <c r="Q137" s="76"/>
      <c r="R137" s="75"/>
      <c r="S137" s="74"/>
      <c r="T137" s="74"/>
      <c r="U137" s="74"/>
      <c r="V137" s="77"/>
      <c r="W137" s="61" t="s">
        <v>567</v>
      </c>
      <c r="X137" s="61" t="s">
        <v>569</v>
      </c>
      <c r="Y137" s="61"/>
      <c r="Z137" s="60" t="s">
        <v>1292</v>
      </c>
      <c r="AA137" s="8"/>
      <c r="AB137" s="8"/>
      <c r="AC137" s="8"/>
      <c r="AD137" s="9"/>
    </row>
    <row r="138">
      <c r="A138" s="43">
        <f t="shared" si="4"/>
        <v>212009</v>
      </c>
      <c r="B138" s="72" t="s">
        <v>1293</v>
      </c>
      <c r="C138" s="43">
        <v>1.0</v>
      </c>
      <c r="D138" s="73"/>
      <c r="E138" s="14"/>
      <c r="F138" s="43">
        <v>1.0</v>
      </c>
      <c r="G138" s="73">
        <v>4.8</v>
      </c>
      <c r="H138" s="77"/>
      <c r="I138" s="43"/>
      <c r="J138" s="43"/>
      <c r="K138" s="43"/>
      <c r="L138" s="43"/>
      <c r="M138" s="4" t="s">
        <v>527</v>
      </c>
      <c r="N138" s="58">
        <f t="shared" ref="N138:N141" si="24">N137-4</f>
        <v>92</v>
      </c>
      <c r="O138" s="74"/>
      <c r="P138" s="75" t="str">
        <f>"1005,3003,1007"</f>
        <v>1005,3003,1007</v>
      </c>
      <c r="Q138" s="76"/>
      <c r="R138" s="75"/>
      <c r="S138" s="74"/>
      <c r="T138" s="74"/>
      <c r="U138" s="74"/>
      <c r="V138" s="77"/>
      <c r="W138" s="61" t="s">
        <v>567</v>
      </c>
      <c r="X138" s="61" t="s">
        <v>569</v>
      </c>
      <c r="Y138" s="61"/>
      <c r="Z138" s="60" t="s">
        <v>1296</v>
      </c>
      <c r="AA138" s="8"/>
      <c r="AB138" s="8"/>
      <c r="AC138" s="8"/>
      <c r="AD138" s="9"/>
    </row>
    <row r="139">
      <c r="A139" s="43">
        <f t="shared" si="4"/>
        <v>213009</v>
      </c>
      <c r="B139" s="72" t="s">
        <v>1293</v>
      </c>
      <c r="C139" s="43">
        <v>1.0</v>
      </c>
      <c r="D139" s="73"/>
      <c r="E139" s="14"/>
      <c r="F139" s="43">
        <v>1.0</v>
      </c>
      <c r="G139" s="73">
        <v>4.8</v>
      </c>
      <c r="H139" s="77"/>
      <c r="I139" s="43"/>
      <c r="J139" s="43"/>
      <c r="K139" s="43"/>
      <c r="L139" s="43"/>
      <c r="M139" s="4" t="s">
        <v>527</v>
      </c>
      <c r="N139" s="58">
        <f t="shared" si="24"/>
        <v>88</v>
      </c>
      <c r="O139" s="74"/>
      <c r="P139" s="75" t="str">
        <f t="shared" ref="P139:P140" si="25">"1005,3003,1007,1006"</f>
        <v>1005,3003,1007,1006</v>
      </c>
      <c r="Q139" s="76"/>
      <c r="R139" s="75"/>
      <c r="S139" s="74"/>
      <c r="T139" s="74"/>
      <c r="U139" s="74"/>
      <c r="V139" s="77"/>
      <c r="W139" s="61" t="s">
        <v>567</v>
      </c>
      <c r="X139" s="61" t="s">
        <v>569</v>
      </c>
      <c r="Y139" s="61"/>
      <c r="Z139" s="60" t="s">
        <v>1298</v>
      </c>
      <c r="AA139" s="8"/>
      <c r="AB139" s="8"/>
      <c r="AC139" s="8"/>
      <c r="AD139" s="9"/>
    </row>
    <row r="140">
      <c r="A140" s="43">
        <f t="shared" si="4"/>
        <v>214009</v>
      </c>
      <c r="B140" s="72" t="s">
        <v>1293</v>
      </c>
      <c r="C140" s="43">
        <v>2.0</v>
      </c>
      <c r="D140" s="73"/>
      <c r="E140" s="14"/>
      <c r="F140" s="43">
        <v>1.0</v>
      </c>
      <c r="G140" s="73">
        <v>4.8</v>
      </c>
      <c r="H140" s="77"/>
      <c r="I140" s="43"/>
      <c r="J140" s="43"/>
      <c r="K140" s="43"/>
      <c r="L140" s="43"/>
      <c r="M140" s="4" t="s">
        <v>527</v>
      </c>
      <c r="N140" s="58">
        <f t="shared" si="24"/>
        <v>84</v>
      </c>
      <c r="O140" s="74"/>
      <c r="P140" s="75" t="str">
        <f t="shared" si="25"/>
        <v>1005,3003,1007,1006</v>
      </c>
      <c r="Q140" s="76"/>
      <c r="R140" s="75"/>
      <c r="S140" s="74"/>
      <c r="T140" s="74"/>
      <c r="U140" s="74"/>
      <c r="V140" s="77"/>
      <c r="W140" s="61" t="s">
        <v>567</v>
      </c>
      <c r="X140" s="61" t="s">
        <v>569</v>
      </c>
      <c r="Y140" s="61"/>
      <c r="Z140" s="60" t="s">
        <v>1302</v>
      </c>
      <c r="AA140" s="8"/>
      <c r="AB140" s="8"/>
      <c r="AC140" s="8"/>
      <c r="AD140" s="9"/>
    </row>
    <row r="141">
      <c r="A141" s="43">
        <f t="shared" si="4"/>
        <v>215009</v>
      </c>
      <c r="B141" s="72" t="s">
        <v>1304</v>
      </c>
      <c r="C141" s="43">
        <v>2.0</v>
      </c>
      <c r="D141" s="73"/>
      <c r="E141" s="14"/>
      <c r="F141" s="43">
        <v>1.0</v>
      </c>
      <c r="G141" s="73">
        <v>4.8</v>
      </c>
      <c r="H141" s="77"/>
      <c r="I141" s="43"/>
      <c r="J141" s="43"/>
      <c r="K141" s="43"/>
      <c r="L141" s="43"/>
      <c r="M141" s="4" t="s">
        <v>527</v>
      </c>
      <c r="N141" s="58">
        <f t="shared" si="24"/>
        <v>80</v>
      </c>
      <c r="O141" s="74"/>
      <c r="P141" s="75" t="str">
        <f>"3003,1005,1005,1006,1006,1007,1007"</f>
        <v>3003,1005,1005,1006,1006,1007,1007</v>
      </c>
      <c r="Q141" s="76"/>
      <c r="R141" s="75"/>
      <c r="S141" s="74"/>
      <c r="T141" s="74"/>
      <c r="U141" s="74"/>
      <c r="V141" s="77"/>
      <c r="W141" s="61" t="s">
        <v>567</v>
      </c>
      <c r="X141" s="61" t="s">
        <v>569</v>
      </c>
      <c r="Y141" s="61"/>
      <c r="Z141" s="60" t="s">
        <v>1308</v>
      </c>
      <c r="AA141" s="8"/>
      <c r="AB141" s="8"/>
      <c r="AC141" s="8"/>
      <c r="AD141" s="9"/>
    </row>
    <row r="142">
      <c r="A142" s="43">
        <f t="shared" si="4"/>
        <v>211010</v>
      </c>
      <c r="B142" s="72" t="s">
        <v>1309</v>
      </c>
      <c r="C142" s="73">
        <v>1.0</v>
      </c>
      <c r="D142" s="73"/>
      <c r="E142" s="14"/>
      <c r="F142" s="43">
        <v>1.0</v>
      </c>
      <c r="G142" s="73">
        <v>4.8</v>
      </c>
      <c r="H142" s="73"/>
      <c r="I142" s="43"/>
      <c r="J142" s="43"/>
      <c r="K142" s="43"/>
      <c r="L142" s="43"/>
      <c r="M142" s="4" t="s">
        <v>527</v>
      </c>
      <c r="N142" s="58">
        <v>48.0</v>
      </c>
      <c r="O142" s="74"/>
      <c r="P142" s="75"/>
      <c r="Q142" s="75"/>
      <c r="R142" s="76" t="str">
        <f>"4003,4004"</f>
        <v>4003,4004</v>
      </c>
      <c r="S142" s="72">
        <v>0.4</v>
      </c>
      <c r="T142" s="74"/>
      <c r="U142" s="74"/>
      <c r="V142" s="78"/>
      <c r="W142" s="79"/>
      <c r="X142" s="4" t="s">
        <v>529</v>
      </c>
      <c r="Y142" s="61"/>
      <c r="Z142" s="60" t="s">
        <v>1313</v>
      </c>
      <c r="AA142" s="8"/>
      <c r="AB142" s="8"/>
      <c r="AC142" s="8"/>
      <c r="AD142" s="9"/>
    </row>
    <row r="143">
      <c r="A143" s="43">
        <f t="shared" si="4"/>
        <v>212010</v>
      </c>
      <c r="B143" s="72" t="s">
        <v>1315</v>
      </c>
      <c r="C143" s="73">
        <v>1.0</v>
      </c>
      <c r="D143" s="73"/>
      <c r="E143" s="14"/>
      <c r="F143" s="43">
        <v>1.0</v>
      </c>
      <c r="G143" s="73">
        <v>4.8</v>
      </c>
      <c r="H143" s="73"/>
      <c r="I143" s="43"/>
      <c r="J143" s="43"/>
      <c r="K143" s="43"/>
      <c r="L143" s="43"/>
      <c r="M143" s="4" t="s">
        <v>527</v>
      </c>
      <c r="N143" s="58">
        <f t="shared" ref="N143:N146" si="26">N142-4</f>
        <v>44</v>
      </c>
      <c r="O143" s="74"/>
      <c r="P143" s="75"/>
      <c r="Q143" s="75"/>
      <c r="R143" s="76" t="str">
        <f>"4003,4004,4001"</f>
        <v>4003,4004,4001</v>
      </c>
      <c r="S143" s="72">
        <v>0.4</v>
      </c>
      <c r="T143" s="74"/>
      <c r="U143" s="74"/>
      <c r="V143" s="78"/>
      <c r="W143" s="79"/>
      <c r="X143" s="4" t="s">
        <v>529</v>
      </c>
      <c r="Y143" s="61"/>
      <c r="Z143" s="60" t="s">
        <v>1318</v>
      </c>
      <c r="AA143" s="8"/>
      <c r="AB143" s="8"/>
      <c r="AC143" s="8"/>
      <c r="AD143" s="9"/>
    </row>
    <row r="144">
      <c r="A144" s="43">
        <f t="shared" si="4"/>
        <v>213010</v>
      </c>
      <c r="B144" s="72" t="s">
        <v>1320</v>
      </c>
      <c r="C144" s="73">
        <v>1.0</v>
      </c>
      <c r="D144" s="73"/>
      <c r="E144" s="14"/>
      <c r="F144" s="43">
        <v>1.0</v>
      </c>
      <c r="G144" s="73">
        <v>4.8</v>
      </c>
      <c r="H144" s="73"/>
      <c r="I144" s="43"/>
      <c r="J144" s="43"/>
      <c r="K144" s="43"/>
      <c r="L144" s="43"/>
      <c r="M144" s="4" t="s">
        <v>527</v>
      </c>
      <c r="N144" s="58">
        <f t="shared" si="26"/>
        <v>40</v>
      </c>
      <c r="O144" s="74"/>
      <c r="P144" s="75"/>
      <c r="Q144" s="75"/>
      <c r="R144" s="76" t="str">
        <f t="shared" ref="R144:R146" si="27">"4003,4004,4001,4002"</f>
        <v>4003,4004,4001,4002</v>
      </c>
      <c r="S144" s="72">
        <v>0.4</v>
      </c>
      <c r="T144" s="74"/>
      <c r="U144" s="74"/>
      <c r="V144" s="78"/>
      <c r="W144" s="79"/>
      <c r="X144" s="4" t="s">
        <v>529</v>
      </c>
      <c r="Y144" s="61"/>
      <c r="Z144" s="60" t="s">
        <v>1322</v>
      </c>
      <c r="AA144" s="8"/>
      <c r="AB144" s="8"/>
      <c r="AC144" s="8"/>
      <c r="AD144" s="9"/>
    </row>
    <row r="145">
      <c r="A145" s="43">
        <f t="shared" si="4"/>
        <v>214010</v>
      </c>
      <c r="B145" s="72" t="s">
        <v>1324</v>
      </c>
      <c r="C145" s="73">
        <v>1.0</v>
      </c>
      <c r="D145" s="73"/>
      <c r="E145" s="14"/>
      <c r="F145" s="43">
        <v>1.0</v>
      </c>
      <c r="G145" s="73">
        <v>4.8</v>
      </c>
      <c r="H145" s="73"/>
      <c r="I145" s="43"/>
      <c r="J145" s="43"/>
      <c r="K145" s="43"/>
      <c r="L145" s="43"/>
      <c r="M145" s="4" t="s">
        <v>527</v>
      </c>
      <c r="N145" s="58">
        <f t="shared" si="26"/>
        <v>36</v>
      </c>
      <c r="O145" s="74"/>
      <c r="P145" s="75"/>
      <c r="Q145" s="75"/>
      <c r="R145" s="76" t="str">
        <f t="shared" si="27"/>
        <v>4003,4004,4001,4002</v>
      </c>
      <c r="S145" s="72">
        <v>0.5</v>
      </c>
      <c r="T145" s="74"/>
      <c r="U145" s="74"/>
      <c r="V145" s="78"/>
      <c r="W145" s="79"/>
      <c r="X145" s="4" t="s">
        <v>529</v>
      </c>
      <c r="Y145" s="61"/>
      <c r="Z145" s="60" t="s">
        <v>1327</v>
      </c>
      <c r="AA145" s="8"/>
      <c r="AB145" s="8"/>
      <c r="AC145" s="8"/>
      <c r="AD145" s="9"/>
    </row>
    <row r="146">
      <c r="A146" s="43">
        <f t="shared" si="4"/>
        <v>215010</v>
      </c>
      <c r="B146" s="72" t="s">
        <v>1328</v>
      </c>
      <c r="C146" s="73">
        <v>1.0</v>
      </c>
      <c r="D146" s="73"/>
      <c r="E146" s="14"/>
      <c r="F146" s="43">
        <v>1.0</v>
      </c>
      <c r="G146" s="73">
        <v>4.8</v>
      </c>
      <c r="H146" s="73"/>
      <c r="I146" s="43"/>
      <c r="J146" s="43"/>
      <c r="K146" s="43"/>
      <c r="L146" s="43"/>
      <c r="M146" s="4" t="s">
        <v>527</v>
      </c>
      <c r="N146" s="58">
        <f t="shared" si="26"/>
        <v>32</v>
      </c>
      <c r="O146" s="74"/>
      <c r="P146" s="75"/>
      <c r="Q146" s="75"/>
      <c r="R146" s="76" t="str">
        <f t="shared" si="27"/>
        <v>4003,4004,4001,4002</v>
      </c>
      <c r="S146" s="72">
        <v>0.8</v>
      </c>
      <c r="T146" s="74"/>
      <c r="U146" s="74"/>
      <c r="V146" s="78"/>
      <c r="W146" s="79"/>
      <c r="X146" s="4" t="s">
        <v>529</v>
      </c>
      <c r="Y146" s="61"/>
      <c r="Z146" s="60" t="s">
        <v>1331</v>
      </c>
      <c r="AA146" s="8"/>
      <c r="AB146" s="8"/>
      <c r="AC146" s="8"/>
      <c r="AD146" s="9"/>
    </row>
    <row r="147">
      <c r="A147" s="43">
        <f t="shared" si="4"/>
        <v>211011</v>
      </c>
      <c r="B147" s="72" t="s">
        <v>1333</v>
      </c>
      <c r="C147" s="73">
        <v>-2.0</v>
      </c>
      <c r="D147" s="73"/>
      <c r="E147" s="14"/>
      <c r="F147" s="43">
        <v>1.0</v>
      </c>
      <c r="G147" s="73">
        <v>2.4</v>
      </c>
      <c r="H147" s="77"/>
      <c r="I147" s="43"/>
      <c r="J147" s="43"/>
      <c r="K147" s="43"/>
      <c r="L147" s="43"/>
      <c r="M147" s="4" t="s">
        <v>527</v>
      </c>
      <c r="N147" s="58">
        <v>48.0</v>
      </c>
      <c r="O147" s="74"/>
      <c r="P147" s="75"/>
      <c r="Q147" s="75"/>
      <c r="R147" s="75" t="str">
        <f>"1999,3002"</f>
        <v>1999,3002</v>
      </c>
      <c r="S147" s="74"/>
      <c r="T147" s="74"/>
      <c r="U147" s="74"/>
      <c r="V147" s="78"/>
      <c r="W147" s="61"/>
      <c r="X147" s="61" t="s">
        <v>573</v>
      </c>
      <c r="Y147" s="61"/>
      <c r="Z147" s="60" t="s">
        <v>1336</v>
      </c>
      <c r="AA147" s="8"/>
      <c r="AB147" s="8"/>
      <c r="AC147" s="8"/>
      <c r="AD147" s="9"/>
    </row>
    <row r="148">
      <c r="A148" s="43">
        <f t="shared" si="4"/>
        <v>212011</v>
      </c>
      <c r="B148" s="72" t="s">
        <v>1315</v>
      </c>
      <c r="C148" s="73">
        <v>-2.0</v>
      </c>
      <c r="D148" s="73"/>
      <c r="E148" s="14"/>
      <c r="F148" s="43">
        <v>1.0</v>
      </c>
      <c r="G148" s="73">
        <v>2.4</v>
      </c>
      <c r="H148" s="77"/>
      <c r="I148" s="43"/>
      <c r="J148" s="43"/>
      <c r="K148" s="43"/>
      <c r="L148" s="43"/>
      <c r="M148" s="4" t="s">
        <v>527</v>
      </c>
      <c r="N148" s="58">
        <f t="shared" ref="N148:N151" si="28">N147-4</f>
        <v>44</v>
      </c>
      <c r="O148" s="74"/>
      <c r="P148" s="75"/>
      <c r="Q148" s="75"/>
      <c r="R148" s="75" t="str">
        <f>"1999,3002,1998"</f>
        <v>1999,3002,1998</v>
      </c>
      <c r="S148" s="74"/>
      <c r="T148" s="74"/>
      <c r="U148" s="74"/>
      <c r="V148" s="78"/>
      <c r="W148" s="61"/>
      <c r="X148" s="61" t="s">
        <v>573</v>
      </c>
      <c r="Y148" s="61"/>
      <c r="Z148" s="60" t="s">
        <v>1340</v>
      </c>
      <c r="AA148" s="8"/>
      <c r="AB148" s="8"/>
      <c r="AC148" s="8"/>
      <c r="AD148" s="9"/>
    </row>
    <row r="149">
      <c r="A149" s="43">
        <f t="shared" si="4"/>
        <v>213011</v>
      </c>
      <c r="B149" s="72" t="s">
        <v>1320</v>
      </c>
      <c r="C149" s="73">
        <v>-2.0</v>
      </c>
      <c r="D149" s="73"/>
      <c r="E149" s="14"/>
      <c r="F149" s="43">
        <v>1.0</v>
      </c>
      <c r="G149" s="73">
        <v>2.4</v>
      </c>
      <c r="H149" s="77"/>
      <c r="I149" s="43"/>
      <c r="J149" s="43"/>
      <c r="K149" s="43"/>
      <c r="L149" s="43"/>
      <c r="M149" s="4" t="s">
        <v>527</v>
      </c>
      <c r="N149" s="58">
        <f t="shared" si="28"/>
        <v>40</v>
      </c>
      <c r="O149" s="74"/>
      <c r="P149" s="75"/>
      <c r="Q149" s="75"/>
      <c r="R149" s="75" t="str">
        <f t="shared" ref="R149:R150" si="29">"1999,3002,1998,3013"</f>
        <v>1999,3002,1998,3013</v>
      </c>
      <c r="S149" s="74"/>
      <c r="T149" s="74"/>
      <c r="U149" s="74"/>
      <c r="V149" s="78"/>
      <c r="W149" s="61"/>
      <c r="X149" s="61" t="s">
        <v>573</v>
      </c>
      <c r="Y149" s="61"/>
      <c r="Z149" s="60" t="s">
        <v>1343</v>
      </c>
      <c r="AA149" s="8"/>
      <c r="AB149" s="8"/>
      <c r="AC149" s="8"/>
      <c r="AD149" s="9"/>
    </row>
    <row r="150">
      <c r="A150" s="43">
        <f t="shared" si="4"/>
        <v>214011</v>
      </c>
      <c r="B150" s="72" t="s">
        <v>1324</v>
      </c>
      <c r="C150" s="73">
        <v>-2.0</v>
      </c>
      <c r="D150" s="73"/>
      <c r="E150" s="14"/>
      <c r="F150" s="43">
        <v>1.0</v>
      </c>
      <c r="G150" s="73">
        <v>2.4</v>
      </c>
      <c r="H150" s="77"/>
      <c r="I150" s="43"/>
      <c r="J150" s="43"/>
      <c r="K150" s="43"/>
      <c r="L150" s="43"/>
      <c r="M150" s="4" t="s">
        <v>527</v>
      </c>
      <c r="N150" s="58">
        <f t="shared" si="28"/>
        <v>36</v>
      </c>
      <c r="O150" s="74"/>
      <c r="P150" s="75"/>
      <c r="Q150" s="75"/>
      <c r="R150" s="75" t="str">
        <f t="shared" si="29"/>
        <v>1999,3002,1998,3013</v>
      </c>
      <c r="S150" s="74"/>
      <c r="T150" s="74"/>
      <c r="U150" s="74"/>
      <c r="V150" s="78"/>
      <c r="W150" s="61"/>
      <c r="X150" s="61" t="s">
        <v>573</v>
      </c>
      <c r="Y150" s="61"/>
      <c r="Z150" s="60" t="s">
        <v>1343</v>
      </c>
      <c r="AA150" s="8"/>
      <c r="AB150" s="8"/>
      <c r="AC150" s="8"/>
      <c r="AD150" s="9"/>
    </row>
    <row r="151">
      <c r="A151" s="43">
        <f t="shared" si="4"/>
        <v>215011</v>
      </c>
      <c r="B151" s="72" t="s">
        <v>1345</v>
      </c>
      <c r="C151" s="73">
        <v>-2.0</v>
      </c>
      <c r="D151" s="73"/>
      <c r="E151" s="14"/>
      <c r="F151" s="43">
        <v>1.0</v>
      </c>
      <c r="G151" s="73">
        <v>2.4</v>
      </c>
      <c r="H151" s="77"/>
      <c r="I151" s="43"/>
      <c r="J151" s="43"/>
      <c r="K151" s="43"/>
      <c r="L151" s="43"/>
      <c r="M151" s="4" t="s">
        <v>527</v>
      </c>
      <c r="N151" s="58">
        <f t="shared" si="28"/>
        <v>32</v>
      </c>
      <c r="O151" s="74"/>
      <c r="P151" s="75"/>
      <c r="Q151" s="75"/>
      <c r="R151" s="75" t="str">
        <f>"1999,3002,1998,3014"</f>
        <v>1999,3002,1998,3014</v>
      </c>
      <c r="S151" s="74"/>
      <c r="T151" s="74"/>
      <c r="U151" s="74"/>
      <c r="V151" s="78"/>
      <c r="W151" s="61"/>
      <c r="X151" s="61" t="s">
        <v>573</v>
      </c>
      <c r="Y151" s="61"/>
      <c r="Z151" s="60" t="s">
        <v>1346</v>
      </c>
      <c r="AA151" s="8"/>
      <c r="AB151" s="8"/>
      <c r="AC151" s="8"/>
      <c r="AD151" s="9"/>
    </row>
    <row r="152">
      <c r="A152" s="43">
        <f t="shared" si="4"/>
        <v>211012</v>
      </c>
      <c r="B152" s="72" t="s">
        <v>1348</v>
      </c>
      <c r="C152" s="73">
        <v>-2.0</v>
      </c>
      <c r="D152" s="73">
        <v>1.0</v>
      </c>
      <c r="E152" s="14"/>
      <c r="F152" s="43">
        <v>1.0</v>
      </c>
      <c r="G152" s="77"/>
      <c r="H152" s="73">
        <v>2.5</v>
      </c>
      <c r="I152" s="43"/>
      <c r="J152" s="43"/>
      <c r="K152" s="43"/>
      <c r="L152" s="43"/>
      <c r="M152" s="4" t="s">
        <v>566</v>
      </c>
      <c r="N152" s="58">
        <v>99.0</v>
      </c>
      <c r="O152" s="72">
        <v>50.0</v>
      </c>
      <c r="P152" s="75"/>
      <c r="Q152" s="75"/>
      <c r="R152" s="76">
        <v>3004.0</v>
      </c>
      <c r="S152" s="72">
        <v>0.3</v>
      </c>
      <c r="T152" s="74"/>
      <c r="U152" s="74"/>
      <c r="V152" s="78"/>
      <c r="W152" s="61"/>
      <c r="X152" s="4" t="s">
        <v>615</v>
      </c>
      <c r="Y152" s="79"/>
      <c r="Z152" s="60" t="s">
        <v>517</v>
      </c>
      <c r="AA152" s="8"/>
      <c r="AB152" s="8"/>
      <c r="AC152" s="8"/>
      <c r="AD152" s="9"/>
    </row>
    <row r="153">
      <c r="A153" s="43">
        <f t="shared" si="4"/>
        <v>212012</v>
      </c>
      <c r="B153" s="72" t="s">
        <v>1351</v>
      </c>
      <c r="C153" s="73">
        <v>-3.0</v>
      </c>
      <c r="D153" s="73">
        <v>1.0</v>
      </c>
      <c r="E153" s="14"/>
      <c r="F153" s="43">
        <v>1.0</v>
      </c>
      <c r="G153" s="77"/>
      <c r="H153" s="73">
        <v>2.5</v>
      </c>
      <c r="I153" s="43"/>
      <c r="J153" s="43"/>
      <c r="K153" s="43"/>
      <c r="L153" s="43"/>
      <c r="M153" s="4" t="s">
        <v>566</v>
      </c>
      <c r="N153" s="58">
        <f t="shared" ref="N153:N156" si="30">N152-4</f>
        <v>95</v>
      </c>
      <c r="O153" s="74"/>
      <c r="P153" s="75"/>
      <c r="Q153" s="75"/>
      <c r="R153" s="76">
        <v>3004.0</v>
      </c>
      <c r="S153" s="72">
        <v>0.3</v>
      </c>
      <c r="T153" s="74"/>
      <c r="U153" s="74"/>
      <c r="V153" s="78"/>
      <c r="W153" s="61"/>
      <c r="X153" s="4" t="s">
        <v>615</v>
      </c>
      <c r="Y153" s="79"/>
      <c r="Z153" s="60" t="s">
        <v>517</v>
      </c>
      <c r="AA153" s="8"/>
      <c r="AB153" s="8"/>
      <c r="AC153" s="8"/>
      <c r="AD153" s="9"/>
    </row>
    <row r="154">
      <c r="A154" s="43">
        <f t="shared" si="4"/>
        <v>213012</v>
      </c>
      <c r="B154" s="72" t="s">
        <v>1353</v>
      </c>
      <c r="C154" s="73">
        <v>-3.0</v>
      </c>
      <c r="D154" s="73">
        <v>1.0</v>
      </c>
      <c r="E154" s="14"/>
      <c r="F154" s="43">
        <v>1.0</v>
      </c>
      <c r="G154" s="77"/>
      <c r="H154" s="73">
        <v>2.5</v>
      </c>
      <c r="I154" s="43"/>
      <c r="J154" s="43"/>
      <c r="K154" s="43"/>
      <c r="L154" s="43"/>
      <c r="M154" s="4" t="s">
        <v>566</v>
      </c>
      <c r="N154" s="58">
        <f t="shared" si="30"/>
        <v>91</v>
      </c>
      <c r="O154" s="74"/>
      <c r="P154" s="75"/>
      <c r="Q154" s="75"/>
      <c r="R154" s="76" t="str">
        <f t="shared" ref="R154:R155" si="31">"3004,3015"</f>
        <v>3004,3015</v>
      </c>
      <c r="S154" s="72">
        <v>0.4</v>
      </c>
      <c r="T154" s="74"/>
      <c r="U154" s="74"/>
      <c r="V154" s="78"/>
      <c r="W154" s="61"/>
      <c r="X154" s="4" t="s">
        <v>615</v>
      </c>
      <c r="Y154" s="79"/>
      <c r="Z154" s="60" t="s">
        <v>517</v>
      </c>
      <c r="AA154" s="8"/>
      <c r="AB154" s="8"/>
      <c r="AC154" s="8"/>
      <c r="AD154" s="9"/>
    </row>
    <row r="155">
      <c r="A155" s="43">
        <f t="shared" si="4"/>
        <v>214012</v>
      </c>
      <c r="B155" s="72" t="s">
        <v>1355</v>
      </c>
      <c r="C155" s="73">
        <v>-4.0</v>
      </c>
      <c r="D155" s="73">
        <v>1.0</v>
      </c>
      <c r="E155" s="14"/>
      <c r="F155" s="43">
        <v>1.0</v>
      </c>
      <c r="G155" s="77"/>
      <c r="H155" s="73">
        <v>2.5</v>
      </c>
      <c r="I155" s="43"/>
      <c r="J155" s="43"/>
      <c r="K155" s="43"/>
      <c r="L155" s="43"/>
      <c r="M155" s="4" t="s">
        <v>566</v>
      </c>
      <c r="N155" s="58">
        <f t="shared" si="30"/>
        <v>87</v>
      </c>
      <c r="O155" s="74"/>
      <c r="P155" s="75"/>
      <c r="Q155" s="75"/>
      <c r="R155" s="76" t="str">
        <f t="shared" si="31"/>
        <v>3004,3015</v>
      </c>
      <c r="S155" s="72">
        <v>0.4</v>
      </c>
      <c r="T155" s="74"/>
      <c r="U155" s="74"/>
      <c r="V155" s="78"/>
      <c r="W155" s="61"/>
      <c r="X155" s="4" t="s">
        <v>615</v>
      </c>
      <c r="Y155" s="79"/>
      <c r="Z155" s="60" t="s">
        <v>517</v>
      </c>
      <c r="AA155" s="8"/>
      <c r="AB155" s="8"/>
      <c r="AC155" s="8"/>
      <c r="AD155" s="9"/>
    </row>
    <row r="156">
      <c r="A156" s="43">
        <f t="shared" si="4"/>
        <v>215012</v>
      </c>
      <c r="B156" s="72" t="s">
        <v>1357</v>
      </c>
      <c r="C156" s="73">
        <v>-4.0</v>
      </c>
      <c r="D156" s="73">
        <v>1.0</v>
      </c>
      <c r="E156" s="14"/>
      <c r="F156" s="43">
        <v>1.0</v>
      </c>
      <c r="G156" s="77"/>
      <c r="H156" s="73">
        <v>2.5</v>
      </c>
      <c r="I156" s="43"/>
      <c r="J156" s="43"/>
      <c r="K156" s="43"/>
      <c r="L156" s="43"/>
      <c r="M156" s="4" t="s">
        <v>566</v>
      </c>
      <c r="N156" s="58">
        <f t="shared" si="30"/>
        <v>83</v>
      </c>
      <c r="O156" s="74"/>
      <c r="P156" s="75"/>
      <c r="Q156" s="75"/>
      <c r="R156" s="76" t="str">
        <f>"3004,3015,3016"</f>
        <v>3004,3015,3016</v>
      </c>
      <c r="S156" s="72">
        <v>0.5</v>
      </c>
      <c r="T156" s="74"/>
      <c r="U156" s="74"/>
      <c r="V156" s="78"/>
      <c r="W156" s="61"/>
      <c r="X156" s="4" t="s">
        <v>615</v>
      </c>
      <c r="Y156" s="79"/>
      <c r="Z156" s="60" t="s">
        <v>517</v>
      </c>
      <c r="AA156" s="8"/>
      <c r="AB156" s="8"/>
      <c r="AC156" s="8"/>
      <c r="AD156" s="9"/>
    </row>
    <row r="157">
      <c r="A157" s="43"/>
      <c r="B157" s="72"/>
      <c r="C157" s="73"/>
      <c r="D157" s="73"/>
      <c r="E157" s="14"/>
      <c r="F157" s="43"/>
      <c r="G157" s="73"/>
      <c r="H157" s="77"/>
      <c r="I157" s="43"/>
      <c r="J157" s="43"/>
      <c r="K157" s="43"/>
      <c r="L157" s="43"/>
      <c r="M157" s="4"/>
      <c r="N157" s="58"/>
      <c r="O157" s="74"/>
      <c r="P157" s="75"/>
      <c r="Q157" s="76"/>
      <c r="R157" s="75"/>
      <c r="S157" s="74"/>
      <c r="T157" s="74"/>
      <c r="U157" s="74"/>
      <c r="V157" s="78"/>
      <c r="W157" s="61"/>
      <c r="X157" s="4"/>
      <c r="Y157" s="61"/>
      <c r="Z157" s="60"/>
      <c r="AA157" s="8"/>
      <c r="AB157" s="8"/>
      <c r="AC157" s="8"/>
      <c r="AD157" s="9"/>
    </row>
    <row r="158">
      <c r="A158" s="43"/>
      <c r="B158" s="72"/>
      <c r="C158" s="73"/>
      <c r="D158" s="73"/>
      <c r="E158" s="14"/>
      <c r="F158" s="43"/>
      <c r="G158" s="73"/>
      <c r="H158" s="77"/>
      <c r="I158" s="43"/>
      <c r="J158" s="43"/>
      <c r="K158" s="43"/>
      <c r="L158" s="43"/>
      <c r="M158" s="4"/>
      <c r="N158" s="58"/>
      <c r="O158" s="74"/>
      <c r="P158" s="75"/>
      <c r="Q158" s="76"/>
      <c r="R158" s="75"/>
      <c r="S158" s="74"/>
      <c r="T158" s="74"/>
      <c r="U158" s="74"/>
      <c r="V158" s="78"/>
      <c r="W158" s="61"/>
      <c r="X158" s="4"/>
      <c r="Y158" s="61"/>
      <c r="Z158" s="60"/>
      <c r="AA158" s="8"/>
      <c r="AB158" s="8"/>
      <c r="AC158" s="8"/>
      <c r="AD158" s="9"/>
    </row>
    <row r="159">
      <c r="A159" s="43"/>
      <c r="B159" s="72"/>
      <c r="C159" s="73"/>
      <c r="D159" s="73"/>
      <c r="E159" s="14"/>
      <c r="F159" s="43"/>
      <c r="G159" s="73"/>
      <c r="H159" s="77"/>
      <c r="I159" s="43"/>
      <c r="J159" s="43"/>
      <c r="K159" s="43"/>
      <c r="L159" s="43"/>
      <c r="M159" s="4"/>
      <c r="N159" s="58"/>
      <c r="O159" s="74"/>
      <c r="P159" s="75"/>
      <c r="Q159" s="76"/>
      <c r="R159" s="75"/>
      <c r="S159" s="74"/>
      <c r="T159" s="74"/>
      <c r="U159" s="74"/>
      <c r="V159" s="78"/>
      <c r="W159" s="61"/>
      <c r="X159" s="4"/>
      <c r="Y159" s="61"/>
      <c r="Z159" s="60"/>
      <c r="AA159" s="8"/>
      <c r="AB159" s="8"/>
      <c r="AC159" s="8"/>
      <c r="AD159" s="9"/>
    </row>
    <row r="160">
      <c r="A160" s="43"/>
      <c r="B160" s="72"/>
      <c r="C160" s="73"/>
      <c r="D160" s="73"/>
      <c r="E160" s="14"/>
      <c r="F160" s="43"/>
      <c r="G160" s="73"/>
      <c r="H160" s="77"/>
      <c r="I160" s="43"/>
      <c r="J160" s="43"/>
      <c r="K160" s="43"/>
      <c r="L160" s="43"/>
      <c r="M160" s="4"/>
      <c r="N160" s="58"/>
      <c r="O160" s="74"/>
      <c r="P160" s="75"/>
      <c r="Q160" s="76"/>
      <c r="R160" s="75"/>
      <c r="S160" s="74"/>
      <c r="T160" s="74"/>
      <c r="U160" s="74"/>
      <c r="V160" s="78"/>
      <c r="W160" s="61"/>
      <c r="X160" s="4"/>
      <c r="Y160" s="61"/>
      <c r="Z160" s="60"/>
      <c r="AA160" s="8"/>
      <c r="AB160" s="8"/>
      <c r="AC160" s="8"/>
      <c r="AD160" s="9"/>
    </row>
    <row r="161">
      <c r="A161" s="43"/>
      <c r="B161" s="72"/>
      <c r="C161" s="73"/>
      <c r="D161" s="73"/>
      <c r="E161" s="14"/>
      <c r="F161" s="43"/>
      <c r="G161" s="73"/>
      <c r="H161" s="77"/>
      <c r="I161" s="43"/>
      <c r="J161" s="43"/>
      <c r="K161" s="43"/>
      <c r="L161" s="43"/>
      <c r="M161" s="4"/>
      <c r="N161" s="58"/>
      <c r="O161" s="74"/>
      <c r="P161" s="75"/>
      <c r="Q161" s="76"/>
      <c r="R161" s="75"/>
      <c r="S161" s="74"/>
      <c r="T161" s="74"/>
      <c r="U161" s="74"/>
      <c r="V161" s="78"/>
      <c r="W161" s="61"/>
      <c r="X161" s="4"/>
      <c r="Y161" s="61"/>
      <c r="Z161" s="60"/>
      <c r="AA161" s="8"/>
      <c r="AB161" s="8"/>
      <c r="AC161" s="8"/>
      <c r="AD161" s="9"/>
    </row>
    <row r="162">
      <c r="A162" s="43"/>
      <c r="B162" s="4"/>
      <c r="C162" s="43"/>
      <c r="D162" s="43"/>
      <c r="E162" s="14"/>
      <c r="F162" s="43"/>
      <c r="G162" s="43"/>
      <c r="H162" s="43"/>
      <c r="I162" s="43"/>
      <c r="J162" s="43"/>
      <c r="K162" s="43"/>
      <c r="L162" s="43"/>
      <c r="M162" s="4"/>
      <c r="N162" s="58"/>
      <c r="O162" s="4"/>
      <c r="P162" s="59"/>
      <c r="Q162" s="63"/>
      <c r="R162" s="59"/>
      <c r="S162" s="14"/>
      <c r="T162" s="14"/>
      <c r="U162" s="14"/>
      <c r="V162" s="57"/>
      <c r="W162" s="61"/>
      <c r="X162" s="61"/>
      <c r="Y162" s="4"/>
      <c r="Z162" s="4"/>
      <c r="AA162" s="4"/>
      <c r="AB162" s="4"/>
      <c r="AC162" s="4"/>
      <c r="AD162" s="4"/>
    </row>
    <row r="163">
      <c r="A163" s="3" t="s">
        <v>449</v>
      </c>
      <c r="B163" s="3" t="s">
        <v>454</v>
      </c>
      <c r="C163" s="40" t="s">
        <v>455</v>
      </c>
      <c r="D163" s="40" t="s">
        <v>456</v>
      </c>
      <c r="E163" s="40" t="s">
        <v>457</v>
      </c>
      <c r="F163" s="40" t="s">
        <v>458</v>
      </c>
      <c r="G163" s="40" t="s">
        <v>461</v>
      </c>
      <c r="H163" s="40" t="s">
        <v>462</v>
      </c>
      <c r="I163" s="40" t="s">
        <v>265</v>
      </c>
      <c r="J163" s="40" t="s">
        <v>465</v>
      </c>
      <c r="K163" s="40" t="s">
        <v>466</v>
      </c>
      <c r="L163" s="40" t="s">
        <v>468</v>
      </c>
      <c r="M163" s="3" t="s">
        <v>469</v>
      </c>
      <c r="N163" s="54" t="s">
        <v>470</v>
      </c>
      <c r="O163" s="3" t="s">
        <v>471</v>
      </c>
      <c r="P163" s="56" t="s">
        <v>472</v>
      </c>
      <c r="Q163" s="56" t="s">
        <v>1081</v>
      </c>
      <c r="R163" s="56" t="s">
        <v>483</v>
      </c>
      <c r="S163" s="56" t="s">
        <v>484</v>
      </c>
      <c r="T163" s="3" t="s">
        <v>485</v>
      </c>
      <c r="U163" s="56" t="s">
        <v>486</v>
      </c>
      <c r="V163" s="43" t="s">
        <v>487</v>
      </c>
      <c r="W163" s="3" t="s">
        <v>489</v>
      </c>
      <c r="X163" s="3" t="s">
        <v>491</v>
      </c>
      <c r="Y163" s="3" t="s">
        <v>493</v>
      </c>
      <c r="Z163" s="6" t="s">
        <v>495</v>
      </c>
      <c r="AA163" s="8"/>
      <c r="AB163" s="8"/>
      <c r="AC163" s="8"/>
      <c r="AD163" s="9"/>
    </row>
    <row r="164">
      <c r="A164" s="43">
        <v>311001.0</v>
      </c>
      <c r="B164" s="4" t="s">
        <v>1365</v>
      </c>
      <c r="C164" s="43">
        <v>5.0</v>
      </c>
      <c r="D164" s="43"/>
      <c r="E164" s="43"/>
      <c r="F164" s="43">
        <v>1.0</v>
      </c>
      <c r="G164" s="43"/>
      <c r="H164" s="43">
        <v>1.0</v>
      </c>
      <c r="I164" s="43"/>
      <c r="J164" s="43"/>
      <c r="K164" s="43">
        <v>7.0</v>
      </c>
      <c r="L164" s="43"/>
      <c r="M164" s="4" t="s">
        <v>566</v>
      </c>
      <c r="N164" s="58">
        <v>103.0</v>
      </c>
      <c r="O164" s="14"/>
      <c r="P164" s="59"/>
      <c r="Q164" s="59"/>
      <c r="R164" s="63">
        <v>4001.0</v>
      </c>
      <c r="S164" s="14"/>
      <c r="T164" s="14"/>
      <c r="U164" s="14"/>
      <c r="V164" s="57"/>
      <c r="W164" s="4" t="s">
        <v>603</v>
      </c>
      <c r="X164" s="4" t="s">
        <v>604</v>
      </c>
      <c r="Y164" s="4"/>
      <c r="Z164" s="60" t="s">
        <v>850</v>
      </c>
      <c r="AA164" s="8"/>
      <c r="AB164" s="8"/>
      <c r="AC164" s="8"/>
      <c r="AD164" s="9"/>
    </row>
    <row r="165">
      <c r="A165" s="43">
        <v>312001.0</v>
      </c>
      <c r="B165" s="4" t="s">
        <v>1368</v>
      </c>
      <c r="C165" s="43">
        <v>5.0</v>
      </c>
      <c r="D165" s="43"/>
      <c r="E165" s="43"/>
      <c r="F165" s="43">
        <v>1.0</v>
      </c>
      <c r="G165" s="43"/>
      <c r="H165" s="43">
        <v>1.0</v>
      </c>
      <c r="I165" s="43"/>
      <c r="J165" s="43"/>
      <c r="K165" s="43">
        <f>K164</f>
        <v>7</v>
      </c>
      <c r="L165" s="43"/>
      <c r="M165" s="4" t="s">
        <v>566</v>
      </c>
      <c r="N165" s="58">
        <f t="shared" ref="N165:N168" si="32">N164-4</f>
        <v>99</v>
      </c>
      <c r="O165" s="14"/>
      <c r="P165" s="63">
        <v>3008.0</v>
      </c>
      <c r="Q165" s="59"/>
      <c r="R165" s="63">
        <v>4001.0</v>
      </c>
      <c r="S165" s="14"/>
      <c r="T165" s="14"/>
      <c r="U165" s="14"/>
      <c r="V165" s="57"/>
      <c r="W165" s="4" t="s">
        <v>603</v>
      </c>
      <c r="X165" s="4" t="s">
        <v>604</v>
      </c>
      <c r="Y165" s="4"/>
      <c r="Z165" s="60" t="s">
        <v>1370</v>
      </c>
      <c r="AA165" s="8"/>
      <c r="AB165" s="8"/>
      <c r="AC165" s="8"/>
      <c r="AD165" s="9"/>
    </row>
    <row r="166">
      <c r="A166" s="43">
        <v>313001.0</v>
      </c>
      <c r="B166" s="4" t="s">
        <v>1371</v>
      </c>
      <c r="C166" s="43">
        <v>5.0</v>
      </c>
      <c r="D166" s="43"/>
      <c r="E166" s="43"/>
      <c r="F166" s="43">
        <v>1.0</v>
      </c>
      <c r="G166" s="43"/>
      <c r="H166" s="43">
        <v>1.0</v>
      </c>
      <c r="I166" s="43"/>
      <c r="J166" s="43"/>
      <c r="K166" s="43">
        <f>K164-1</f>
        <v>6</v>
      </c>
      <c r="L166" s="43"/>
      <c r="M166" s="4" t="s">
        <v>566</v>
      </c>
      <c r="N166" s="58">
        <f t="shared" si="32"/>
        <v>95</v>
      </c>
      <c r="O166" s="14"/>
      <c r="P166" s="59"/>
      <c r="Q166" s="59"/>
      <c r="R166" s="63">
        <v>4001.0</v>
      </c>
      <c r="S166" s="14"/>
      <c r="T166" s="14"/>
      <c r="U166" s="14"/>
      <c r="V166" s="57"/>
      <c r="W166" s="4" t="s">
        <v>603</v>
      </c>
      <c r="X166" s="4" t="s">
        <v>604</v>
      </c>
      <c r="Y166" s="4"/>
      <c r="Z166" s="60" t="s">
        <v>850</v>
      </c>
      <c r="AA166" s="8"/>
      <c r="AB166" s="8"/>
      <c r="AC166" s="8"/>
      <c r="AD166" s="9"/>
    </row>
    <row r="167">
      <c r="A167" s="43">
        <v>314001.0</v>
      </c>
      <c r="B167" s="4" t="s">
        <v>1375</v>
      </c>
      <c r="C167" s="43">
        <v>5.0</v>
      </c>
      <c r="D167" s="43"/>
      <c r="E167" s="43"/>
      <c r="F167" s="43">
        <v>1.0</v>
      </c>
      <c r="G167" s="43"/>
      <c r="H167" s="43">
        <v>1.0</v>
      </c>
      <c r="I167" s="43"/>
      <c r="J167" s="43"/>
      <c r="K167" s="43">
        <f>K166-1</f>
        <v>5</v>
      </c>
      <c r="L167" s="43"/>
      <c r="M167" s="4" t="s">
        <v>566</v>
      </c>
      <c r="N167" s="58">
        <f t="shared" si="32"/>
        <v>91</v>
      </c>
      <c r="O167" s="14"/>
      <c r="P167" s="59"/>
      <c r="Q167" s="59"/>
      <c r="R167" s="63">
        <v>4001.0</v>
      </c>
      <c r="S167" s="14"/>
      <c r="T167" s="14"/>
      <c r="U167" s="14"/>
      <c r="V167" s="57"/>
      <c r="W167" s="4" t="s">
        <v>603</v>
      </c>
      <c r="X167" s="4" t="s">
        <v>604</v>
      </c>
      <c r="Y167" s="4"/>
      <c r="Z167" s="60" t="s">
        <v>850</v>
      </c>
      <c r="AA167" s="8"/>
      <c r="AB167" s="8"/>
      <c r="AC167" s="8"/>
      <c r="AD167" s="9"/>
    </row>
    <row r="168">
      <c r="A168" s="43">
        <v>315001.0</v>
      </c>
      <c r="B168" s="4" t="s">
        <v>1376</v>
      </c>
      <c r="C168" s="43">
        <v>5.0</v>
      </c>
      <c r="D168" s="43"/>
      <c r="E168" s="43"/>
      <c r="F168" s="43">
        <v>1.0</v>
      </c>
      <c r="G168" s="43"/>
      <c r="H168" s="43">
        <v>1.0</v>
      </c>
      <c r="I168" s="43"/>
      <c r="J168" s="43"/>
      <c r="K168" s="43">
        <f>K167</f>
        <v>5</v>
      </c>
      <c r="L168" s="43"/>
      <c r="M168" s="4" t="s">
        <v>566</v>
      </c>
      <c r="N168" s="58">
        <f t="shared" si="32"/>
        <v>87</v>
      </c>
      <c r="O168" s="14"/>
      <c r="P168" s="63">
        <v>3009.0</v>
      </c>
      <c r="Q168" s="59"/>
      <c r="R168" s="63">
        <v>4001.0</v>
      </c>
      <c r="S168" s="14"/>
      <c r="T168" s="14"/>
      <c r="U168" s="14"/>
      <c r="V168" s="57"/>
      <c r="W168" s="4" t="s">
        <v>603</v>
      </c>
      <c r="X168" s="4" t="s">
        <v>604</v>
      </c>
      <c r="Y168" s="4"/>
      <c r="Z168" s="60" t="s">
        <v>1378</v>
      </c>
      <c r="AA168" s="8"/>
      <c r="AB168" s="8"/>
      <c r="AC168" s="8"/>
      <c r="AD168" s="9"/>
    </row>
    <row r="169">
      <c r="A169" s="57">
        <f t="shared" ref="A169:A223" si="33">A164+1</f>
        <v>311002</v>
      </c>
      <c r="B169" s="4" t="s">
        <v>1380</v>
      </c>
      <c r="C169" s="43">
        <v>3.0</v>
      </c>
      <c r="D169" s="43"/>
      <c r="E169" s="43"/>
      <c r="F169" s="43">
        <v>1.0</v>
      </c>
      <c r="G169" s="43"/>
      <c r="H169" s="43">
        <v>1.6</v>
      </c>
      <c r="I169" s="43"/>
      <c r="J169" s="43"/>
      <c r="K169" s="43">
        <v>8.0</v>
      </c>
      <c r="L169" s="43"/>
      <c r="M169" s="4" t="s">
        <v>566</v>
      </c>
      <c r="N169" s="58">
        <v>96.00000000000001</v>
      </c>
      <c r="O169" s="14"/>
      <c r="P169" s="59"/>
      <c r="Q169" s="59"/>
      <c r="R169" s="63">
        <v>2004.0</v>
      </c>
      <c r="S169" s="14"/>
      <c r="T169" s="14"/>
      <c r="U169" s="14"/>
      <c r="V169" s="57"/>
      <c r="W169" s="61" t="s">
        <v>1381</v>
      </c>
      <c r="X169" s="61" t="s">
        <v>1382</v>
      </c>
      <c r="Y169" s="4"/>
      <c r="Z169" s="60" t="s">
        <v>852</v>
      </c>
      <c r="AA169" s="8"/>
      <c r="AB169" s="8"/>
      <c r="AC169" s="8"/>
      <c r="AD169" s="9"/>
    </row>
    <row r="170">
      <c r="A170" s="57">
        <f t="shared" si="33"/>
        <v>312002</v>
      </c>
      <c r="B170" s="4" t="s">
        <v>1384</v>
      </c>
      <c r="C170" s="43">
        <v>3.0</v>
      </c>
      <c r="D170" s="43"/>
      <c r="E170" s="43"/>
      <c r="F170" s="43">
        <v>1.0</v>
      </c>
      <c r="G170" s="43"/>
      <c r="H170" s="43">
        <v>1.6</v>
      </c>
      <c r="I170" s="43"/>
      <c r="J170" s="43"/>
      <c r="K170" s="43">
        <f>K169</f>
        <v>8</v>
      </c>
      <c r="L170" s="43"/>
      <c r="M170" s="4" t="s">
        <v>566</v>
      </c>
      <c r="N170" s="58">
        <f t="shared" ref="N170:N173" si="34">N169-4</f>
        <v>92</v>
      </c>
      <c r="O170" s="14"/>
      <c r="P170" s="59"/>
      <c r="Q170" s="59"/>
      <c r="R170" s="63" t="str">
        <f>"2004,2004,2004"</f>
        <v>2004,2004,2004</v>
      </c>
      <c r="S170" s="14"/>
      <c r="T170" s="14"/>
      <c r="U170" s="14"/>
      <c r="V170" s="57"/>
      <c r="W170" s="61" t="s">
        <v>1381</v>
      </c>
      <c r="X170" s="61" t="s">
        <v>1382</v>
      </c>
      <c r="Y170" s="4"/>
      <c r="Z170" s="60" t="s">
        <v>1387</v>
      </c>
      <c r="AA170" s="8"/>
      <c r="AB170" s="8"/>
      <c r="AC170" s="8"/>
      <c r="AD170" s="9"/>
    </row>
    <row r="171">
      <c r="A171" s="57">
        <f t="shared" si="33"/>
        <v>313002</v>
      </c>
      <c r="B171" s="4" t="s">
        <v>1389</v>
      </c>
      <c r="C171" s="43">
        <v>3.0</v>
      </c>
      <c r="D171" s="43"/>
      <c r="E171" s="43"/>
      <c r="F171" s="43">
        <v>1.0</v>
      </c>
      <c r="G171" s="43"/>
      <c r="H171" s="43">
        <v>1.6</v>
      </c>
      <c r="I171" s="43"/>
      <c r="J171" s="43"/>
      <c r="K171" s="43">
        <f>K169-1</f>
        <v>7</v>
      </c>
      <c r="L171" s="43"/>
      <c r="M171" s="4" t="s">
        <v>566</v>
      </c>
      <c r="N171" s="58">
        <f t="shared" si="34"/>
        <v>88</v>
      </c>
      <c r="O171" s="14"/>
      <c r="P171" s="59"/>
      <c r="Q171" s="59"/>
      <c r="R171" s="63" t="str">
        <f t="shared" ref="R171:R172" si="35">"2004,2004,2004,4002"</f>
        <v>2004,2004,2004,4002</v>
      </c>
      <c r="S171" s="14"/>
      <c r="T171" s="14"/>
      <c r="U171" s="14"/>
      <c r="V171" s="57"/>
      <c r="W171" s="61" t="s">
        <v>1381</v>
      </c>
      <c r="X171" s="61" t="s">
        <v>1382</v>
      </c>
      <c r="Y171" s="4"/>
      <c r="Z171" s="60" t="s">
        <v>1387</v>
      </c>
      <c r="AA171" s="8"/>
      <c r="AB171" s="8"/>
      <c r="AC171" s="8"/>
      <c r="AD171" s="9"/>
    </row>
    <row r="172">
      <c r="A172" s="57">
        <f t="shared" si="33"/>
        <v>314002</v>
      </c>
      <c r="B172" s="4" t="s">
        <v>1393</v>
      </c>
      <c r="C172" s="43">
        <v>3.0</v>
      </c>
      <c r="D172" s="43"/>
      <c r="E172" s="43"/>
      <c r="F172" s="43">
        <v>1.0</v>
      </c>
      <c r="G172" s="43"/>
      <c r="H172" s="43">
        <v>1.6</v>
      </c>
      <c r="I172" s="43"/>
      <c r="J172" s="43"/>
      <c r="K172" s="43">
        <f>K171-1</f>
        <v>6</v>
      </c>
      <c r="L172" s="43"/>
      <c r="M172" s="4" t="s">
        <v>566</v>
      </c>
      <c r="N172" s="58">
        <f t="shared" si="34"/>
        <v>84</v>
      </c>
      <c r="O172" s="14"/>
      <c r="P172" s="59"/>
      <c r="Q172" s="59"/>
      <c r="R172" s="63" t="str">
        <f t="shared" si="35"/>
        <v>2004,2004,2004,4002</v>
      </c>
      <c r="S172" s="14"/>
      <c r="T172" s="14"/>
      <c r="U172" s="14"/>
      <c r="V172" s="57"/>
      <c r="W172" s="61" t="s">
        <v>1381</v>
      </c>
      <c r="X172" s="61" t="s">
        <v>1382</v>
      </c>
      <c r="Y172" s="4"/>
      <c r="Z172" s="60" t="s">
        <v>1387</v>
      </c>
      <c r="AA172" s="8"/>
      <c r="AB172" s="8"/>
      <c r="AC172" s="8"/>
      <c r="AD172" s="9"/>
    </row>
    <row r="173">
      <c r="A173" s="57">
        <f t="shared" si="33"/>
        <v>315002</v>
      </c>
      <c r="B173" s="4" t="s">
        <v>1395</v>
      </c>
      <c r="C173" s="43">
        <v>3.0</v>
      </c>
      <c r="D173" s="43"/>
      <c r="E173" s="43"/>
      <c r="F173" s="43">
        <v>1.0</v>
      </c>
      <c r="G173" s="43"/>
      <c r="H173" s="43">
        <v>1.6</v>
      </c>
      <c r="I173" s="43"/>
      <c r="J173" s="43"/>
      <c r="K173" s="43">
        <f>K172</f>
        <v>6</v>
      </c>
      <c r="L173" s="43"/>
      <c r="M173" s="4" t="s">
        <v>566</v>
      </c>
      <c r="N173" s="58">
        <f t="shared" si="34"/>
        <v>80</v>
      </c>
      <c r="O173" s="14"/>
      <c r="P173" s="59"/>
      <c r="Q173" s="59"/>
      <c r="R173" s="63" t="str">
        <f>"2004,2004,2004,4002,4002,4002"</f>
        <v>2004,2004,2004,4002,4002,4002</v>
      </c>
      <c r="S173" s="14"/>
      <c r="T173" s="14"/>
      <c r="U173" s="14"/>
      <c r="V173" s="57"/>
      <c r="W173" s="61" t="s">
        <v>1381</v>
      </c>
      <c r="X173" s="61" t="s">
        <v>1382</v>
      </c>
      <c r="Y173" s="4"/>
      <c r="Z173" s="60" t="s">
        <v>1397</v>
      </c>
      <c r="AA173" s="8"/>
      <c r="AB173" s="8"/>
      <c r="AC173" s="8"/>
      <c r="AD173" s="9"/>
    </row>
    <row r="174">
      <c r="A174" s="43">
        <f t="shared" si="33"/>
        <v>311003</v>
      </c>
      <c r="B174" s="4" t="s">
        <v>1398</v>
      </c>
      <c r="C174" s="43">
        <v>-5.0</v>
      </c>
      <c r="D174" s="43"/>
      <c r="E174" s="43"/>
      <c r="F174" s="43">
        <v>1.0</v>
      </c>
      <c r="G174" s="43"/>
      <c r="H174" s="43">
        <v>1.0</v>
      </c>
      <c r="I174" s="43"/>
      <c r="J174" s="43"/>
      <c r="K174" s="43">
        <v>6.0</v>
      </c>
      <c r="L174" s="43"/>
      <c r="M174" s="4" t="s">
        <v>615</v>
      </c>
      <c r="N174" s="58">
        <v>49.0</v>
      </c>
      <c r="O174" s="14"/>
      <c r="P174" s="59"/>
      <c r="Q174" s="59"/>
      <c r="R174" s="59"/>
      <c r="S174" s="14"/>
      <c r="T174" s="14"/>
      <c r="U174" s="14"/>
      <c r="V174" s="57"/>
      <c r="W174" s="4"/>
      <c r="X174" s="4" t="s">
        <v>615</v>
      </c>
      <c r="Y174" s="4"/>
      <c r="Z174" s="60" t="s">
        <v>855</v>
      </c>
      <c r="AA174" s="8"/>
      <c r="AB174" s="8"/>
      <c r="AC174" s="8"/>
      <c r="AD174" s="9"/>
    </row>
    <row r="175">
      <c r="A175" s="43">
        <f t="shared" si="33"/>
        <v>312003</v>
      </c>
      <c r="B175" s="4" t="s">
        <v>1401</v>
      </c>
      <c r="C175" s="43">
        <v>-5.0</v>
      </c>
      <c r="D175" s="43"/>
      <c r="E175" s="43"/>
      <c r="F175" s="43">
        <v>1.0</v>
      </c>
      <c r="G175" s="43"/>
      <c r="H175" s="43">
        <v>1.0</v>
      </c>
      <c r="I175" s="43"/>
      <c r="J175" s="43"/>
      <c r="K175" s="43">
        <f>K174</f>
        <v>6</v>
      </c>
      <c r="L175" s="43"/>
      <c r="M175" s="4" t="s">
        <v>615</v>
      </c>
      <c r="N175" s="58">
        <f t="shared" ref="N175:N178" si="36">N174-4</f>
        <v>45</v>
      </c>
      <c r="O175" s="14"/>
      <c r="P175" s="59"/>
      <c r="Q175" s="59"/>
      <c r="R175" s="59" t="str">
        <f t="shared" ref="R175:R177" si="37">"1001,1001,1003,1003"</f>
        <v>1001,1001,1003,1003</v>
      </c>
      <c r="S175" s="14"/>
      <c r="T175" s="14"/>
      <c r="U175" s="14"/>
      <c r="V175" s="57"/>
      <c r="W175" s="4"/>
      <c r="X175" s="4" t="s">
        <v>615</v>
      </c>
      <c r="Y175" s="4"/>
      <c r="Z175" s="60" t="s">
        <v>1404</v>
      </c>
      <c r="AA175" s="8"/>
      <c r="AB175" s="8"/>
      <c r="AC175" s="8"/>
      <c r="AD175" s="9"/>
      <c r="AF175" s="90"/>
      <c r="AG175" s="90"/>
      <c r="AH175" s="53"/>
      <c r="AI175" s="90"/>
    </row>
    <row r="176">
      <c r="A176" s="43">
        <f t="shared" si="33"/>
        <v>313003</v>
      </c>
      <c r="B176" s="4" t="s">
        <v>1405</v>
      </c>
      <c r="C176" s="43">
        <v>-5.0</v>
      </c>
      <c r="D176" s="43"/>
      <c r="E176" s="43"/>
      <c r="F176" s="43">
        <v>1.0</v>
      </c>
      <c r="G176" s="43"/>
      <c r="H176" s="43">
        <v>1.0</v>
      </c>
      <c r="I176" s="43"/>
      <c r="J176" s="43"/>
      <c r="K176" s="43">
        <f>K174-1</f>
        <v>5</v>
      </c>
      <c r="L176" s="43"/>
      <c r="M176" s="4" t="s">
        <v>615</v>
      </c>
      <c r="N176" s="58">
        <f t="shared" si="36"/>
        <v>41</v>
      </c>
      <c r="O176" s="14"/>
      <c r="P176" s="59"/>
      <c r="Q176" s="59"/>
      <c r="R176" s="59" t="str">
        <f t="shared" si="37"/>
        <v>1001,1001,1003,1003</v>
      </c>
      <c r="S176" s="14"/>
      <c r="T176" s="14"/>
      <c r="U176" s="14"/>
      <c r="V176" s="57"/>
      <c r="W176" s="4"/>
      <c r="X176" s="4" t="s">
        <v>615</v>
      </c>
      <c r="Y176" s="4"/>
      <c r="Z176" s="60" t="s">
        <v>1404</v>
      </c>
      <c r="AA176" s="8"/>
      <c r="AB176" s="8"/>
      <c r="AC176" s="8"/>
      <c r="AD176" s="9"/>
      <c r="AF176" s="90"/>
      <c r="AG176" s="90"/>
      <c r="AH176" s="53"/>
      <c r="AI176" s="90"/>
    </row>
    <row r="177">
      <c r="A177" s="43">
        <f t="shared" si="33"/>
        <v>314003</v>
      </c>
      <c r="B177" s="4" t="s">
        <v>1407</v>
      </c>
      <c r="C177" s="43">
        <v>-5.0</v>
      </c>
      <c r="D177" s="43"/>
      <c r="E177" s="43"/>
      <c r="F177" s="43">
        <v>1.0</v>
      </c>
      <c r="G177" s="43"/>
      <c r="H177" s="43">
        <v>1.0</v>
      </c>
      <c r="I177" s="43"/>
      <c r="J177" s="43"/>
      <c r="K177" s="43">
        <f>K176-1</f>
        <v>4</v>
      </c>
      <c r="L177" s="43"/>
      <c r="M177" s="4" t="s">
        <v>615</v>
      </c>
      <c r="N177" s="58">
        <f t="shared" si="36"/>
        <v>37</v>
      </c>
      <c r="O177" s="14"/>
      <c r="P177" s="59"/>
      <c r="Q177" s="59"/>
      <c r="R177" s="59" t="str">
        <f t="shared" si="37"/>
        <v>1001,1001,1003,1003</v>
      </c>
      <c r="S177" s="14"/>
      <c r="T177" s="14"/>
      <c r="U177" s="14"/>
      <c r="V177" s="57"/>
      <c r="W177" s="4"/>
      <c r="X177" s="4" t="s">
        <v>615</v>
      </c>
      <c r="Y177" s="4"/>
      <c r="Z177" s="60" t="s">
        <v>1404</v>
      </c>
      <c r="AA177" s="8"/>
      <c r="AB177" s="8"/>
      <c r="AC177" s="8"/>
      <c r="AD177" s="9"/>
      <c r="AF177" s="90"/>
      <c r="AG177" s="90"/>
      <c r="AH177" s="53"/>
      <c r="AI177" s="90"/>
    </row>
    <row r="178">
      <c r="A178" s="43">
        <f t="shared" si="33"/>
        <v>315003</v>
      </c>
      <c r="B178" s="4" t="s">
        <v>1408</v>
      </c>
      <c r="C178" s="43">
        <v>-5.0</v>
      </c>
      <c r="D178" s="43"/>
      <c r="E178" s="43"/>
      <c r="F178" s="43">
        <v>1.0</v>
      </c>
      <c r="G178" s="43"/>
      <c r="H178" s="43">
        <v>1.0</v>
      </c>
      <c r="I178" s="43"/>
      <c r="J178" s="43"/>
      <c r="K178" s="43">
        <f>K177</f>
        <v>4</v>
      </c>
      <c r="L178" s="43"/>
      <c r="M178" s="4" t="s">
        <v>615</v>
      </c>
      <c r="N178" s="58">
        <f t="shared" si="36"/>
        <v>33</v>
      </c>
      <c r="O178" s="14"/>
      <c r="P178" s="59"/>
      <c r="Q178" s="59"/>
      <c r="R178" s="59" t="str">
        <f>"1001,1001,1003,1003,1005,1007"</f>
        <v>1001,1001,1003,1003,1005,1007</v>
      </c>
      <c r="S178" s="14"/>
      <c r="T178" s="14"/>
      <c r="U178" s="14"/>
      <c r="V178" s="57"/>
      <c r="W178" s="4"/>
      <c r="X178" s="4" t="s">
        <v>615</v>
      </c>
      <c r="Y178" s="4"/>
      <c r="Z178" s="60" t="s">
        <v>1411</v>
      </c>
      <c r="AA178" s="8"/>
      <c r="AB178" s="8"/>
      <c r="AC178" s="8"/>
      <c r="AD178" s="9"/>
      <c r="AF178" s="90"/>
      <c r="AG178" s="90"/>
      <c r="AH178" s="53"/>
      <c r="AI178" s="90"/>
    </row>
    <row r="179">
      <c r="A179" s="43">
        <f t="shared" si="33"/>
        <v>311004</v>
      </c>
      <c r="B179" s="63" t="s">
        <v>1413</v>
      </c>
      <c r="C179" s="43">
        <v>3.0</v>
      </c>
      <c r="D179" s="43"/>
      <c r="E179" s="57"/>
      <c r="F179" s="43">
        <v>1.0</v>
      </c>
      <c r="G179" s="43">
        <v>1.6</v>
      </c>
      <c r="H179" s="43"/>
      <c r="I179" s="43"/>
      <c r="J179" s="43"/>
      <c r="K179" s="43">
        <v>7.0</v>
      </c>
      <c r="L179" s="43"/>
      <c r="M179" s="4" t="s">
        <v>527</v>
      </c>
      <c r="N179" s="58">
        <v>48.00000000000001</v>
      </c>
      <c r="O179" s="14"/>
      <c r="P179" s="63">
        <v>3003.0</v>
      </c>
      <c r="Q179" s="59"/>
      <c r="R179" s="59"/>
      <c r="S179" s="14"/>
      <c r="T179" s="14"/>
      <c r="U179" s="14"/>
      <c r="V179" s="57"/>
      <c r="W179" s="4"/>
      <c r="X179" s="4" t="s">
        <v>679</v>
      </c>
      <c r="Y179" s="4"/>
      <c r="Z179" s="60" t="s">
        <v>856</v>
      </c>
      <c r="AA179" s="8"/>
      <c r="AB179" s="8"/>
      <c r="AC179" s="8"/>
      <c r="AD179" s="9"/>
    </row>
    <row r="180">
      <c r="A180" s="43">
        <f t="shared" si="33"/>
        <v>312004</v>
      </c>
      <c r="B180" s="63" t="s">
        <v>1416</v>
      </c>
      <c r="C180" s="43">
        <v>3.0</v>
      </c>
      <c r="D180" s="43"/>
      <c r="E180" s="57"/>
      <c r="F180" s="43">
        <v>1.0</v>
      </c>
      <c r="G180" s="43">
        <v>1.6</v>
      </c>
      <c r="H180" s="43"/>
      <c r="I180" s="43"/>
      <c r="J180" s="43"/>
      <c r="K180" s="43">
        <f>K179</f>
        <v>7</v>
      </c>
      <c r="L180" s="43"/>
      <c r="M180" s="4" t="s">
        <v>527</v>
      </c>
      <c r="N180" s="58">
        <f t="shared" ref="N180:N183" si="38">N179-4</f>
        <v>44</v>
      </c>
      <c r="O180" s="14"/>
      <c r="P180" s="63">
        <v>3003.0</v>
      </c>
      <c r="Q180" s="59"/>
      <c r="R180" s="59"/>
      <c r="S180" s="14"/>
      <c r="T180" s="14"/>
      <c r="U180" s="14"/>
      <c r="V180" s="57"/>
      <c r="W180" s="4"/>
      <c r="X180" s="4" t="s">
        <v>679</v>
      </c>
      <c r="Y180" s="4"/>
      <c r="Z180" s="60" t="s">
        <v>856</v>
      </c>
      <c r="AA180" s="8"/>
      <c r="AB180" s="8"/>
      <c r="AC180" s="8"/>
      <c r="AD180" s="9"/>
      <c r="AF180" s="90"/>
      <c r="AG180" s="90"/>
      <c r="AH180" s="53"/>
      <c r="AI180" s="90"/>
    </row>
    <row r="181">
      <c r="A181" s="43">
        <f t="shared" si="33"/>
        <v>313004</v>
      </c>
      <c r="B181" s="63" t="s">
        <v>1419</v>
      </c>
      <c r="C181" s="43">
        <v>3.0</v>
      </c>
      <c r="D181" s="43"/>
      <c r="E181" s="57"/>
      <c r="F181" s="43">
        <v>1.0</v>
      </c>
      <c r="G181" s="43">
        <v>1.6</v>
      </c>
      <c r="H181" s="43"/>
      <c r="I181" s="43"/>
      <c r="J181" s="43"/>
      <c r="K181" s="43">
        <f>K179-1</f>
        <v>6</v>
      </c>
      <c r="L181" s="43"/>
      <c r="M181" s="4" t="s">
        <v>527</v>
      </c>
      <c r="N181" s="58">
        <f t="shared" si="38"/>
        <v>40</v>
      </c>
      <c r="O181" s="14"/>
      <c r="P181" s="63">
        <v>3003.0</v>
      </c>
      <c r="Q181" s="59"/>
      <c r="R181" s="63">
        <v>5001.0</v>
      </c>
      <c r="S181" s="14"/>
      <c r="T181" s="14"/>
      <c r="U181" s="14"/>
      <c r="V181" s="57"/>
      <c r="W181" s="4"/>
      <c r="X181" s="4" t="s">
        <v>679</v>
      </c>
      <c r="Y181" s="4"/>
      <c r="Z181" s="60" t="s">
        <v>1420</v>
      </c>
      <c r="AA181" s="8"/>
      <c r="AB181" s="8"/>
      <c r="AC181" s="8"/>
      <c r="AD181" s="9"/>
      <c r="AF181" s="90"/>
      <c r="AG181" s="90"/>
      <c r="AH181" s="53"/>
      <c r="AI181" s="90"/>
    </row>
    <row r="182">
      <c r="A182" s="43">
        <f t="shared" si="33"/>
        <v>314004</v>
      </c>
      <c r="B182" s="63" t="s">
        <v>1422</v>
      </c>
      <c r="C182" s="43">
        <v>3.0</v>
      </c>
      <c r="D182" s="43"/>
      <c r="E182" s="57"/>
      <c r="F182" s="43">
        <v>1.0</v>
      </c>
      <c r="G182" s="43">
        <v>1.6</v>
      </c>
      <c r="H182" s="43"/>
      <c r="I182" s="43"/>
      <c r="J182" s="43"/>
      <c r="K182" s="43">
        <f>K181-1</f>
        <v>5</v>
      </c>
      <c r="L182" s="43"/>
      <c r="M182" s="4" t="s">
        <v>527</v>
      </c>
      <c r="N182" s="58">
        <f t="shared" si="38"/>
        <v>36</v>
      </c>
      <c r="O182" s="14"/>
      <c r="P182" s="63">
        <v>3003.0</v>
      </c>
      <c r="Q182" s="59"/>
      <c r="R182" s="63">
        <v>5001.0</v>
      </c>
      <c r="S182" s="14"/>
      <c r="T182" s="14"/>
      <c r="U182" s="14"/>
      <c r="V182" s="57"/>
      <c r="W182" s="4"/>
      <c r="X182" s="4" t="s">
        <v>679</v>
      </c>
      <c r="Y182" s="4"/>
      <c r="Z182" s="60" t="s">
        <v>1420</v>
      </c>
      <c r="AA182" s="8"/>
      <c r="AB182" s="8"/>
      <c r="AC182" s="8"/>
      <c r="AD182" s="9"/>
      <c r="AF182" s="90"/>
      <c r="AG182" s="90"/>
      <c r="AH182" s="53"/>
      <c r="AI182" s="90"/>
    </row>
    <row r="183">
      <c r="A183" s="43">
        <f t="shared" si="33"/>
        <v>315004</v>
      </c>
      <c r="B183" s="63" t="s">
        <v>1423</v>
      </c>
      <c r="C183" s="43">
        <v>3.0</v>
      </c>
      <c r="D183" s="43"/>
      <c r="E183" s="57"/>
      <c r="F183" s="43">
        <v>1.0</v>
      </c>
      <c r="G183" s="43">
        <v>1.6</v>
      </c>
      <c r="H183" s="43"/>
      <c r="I183" s="43"/>
      <c r="J183" s="43"/>
      <c r="K183" s="43">
        <f>K182</f>
        <v>5</v>
      </c>
      <c r="L183" s="43"/>
      <c r="M183" s="4" t="s">
        <v>527</v>
      </c>
      <c r="N183" s="58">
        <f t="shared" si="38"/>
        <v>32</v>
      </c>
      <c r="O183" s="14"/>
      <c r="P183" s="63">
        <v>3003.0</v>
      </c>
      <c r="Q183" s="59"/>
      <c r="R183" s="63">
        <v>5001.0</v>
      </c>
      <c r="S183" s="14"/>
      <c r="T183" s="14"/>
      <c r="U183" s="14"/>
      <c r="V183" s="57"/>
      <c r="W183" s="4"/>
      <c r="X183" s="4" t="s">
        <v>679</v>
      </c>
      <c r="Y183" s="4"/>
      <c r="Z183" s="60" t="s">
        <v>1420</v>
      </c>
      <c r="AA183" s="8"/>
      <c r="AB183" s="8"/>
      <c r="AC183" s="8"/>
      <c r="AD183" s="9"/>
      <c r="AF183" s="90"/>
      <c r="AG183" s="90"/>
      <c r="AH183" s="53"/>
      <c r="AI183" s="90"/>
    </row>
    <row r="184">
      <c r="A184" s="43">
        <f t="shared" si="33"/>
        <v>311005</v>
      </c>
      <c r="B184" s="4" t="s">
        <v>1425</v>
      </c>
      <c r="C184" s="43">
        <v>1.0</v>
      </c>
      <c r="D184" s="43"/>
      <c r="E184" s="57"/>
      <c r="F184" s="43">
        <v>1.0</v>
      </c>
      <c r="G184" s="43">
        <v>4.8</v>
      </c>
      <c r="H184" s="43"/>
      <c r="I184" s="43"/>
      <c r="J184" s="43"/>
      <c r="K184" s="43">
        <v>6.0</v>
      </c>
      <c r="L184" s="43"/>
      <c r="M184" s="4" t="s">
        <v>527</v>
      </c>
      <c r="N184" s="58">
        <v>48.0</v>
      </c>
      <c r="O184" s="4"/>
      <c r="P184" s="63">
        <v>3007.0</v>
      </c>
      <c r="Q184" s="59"/>
      <c r="R184" s="59"/>
      <c r="S184" s="14"/>
      <c r="T184" s="14"/>
      <c r="U184" s="14"/>
      <c r="V184" s="57"/>
      <c r="W184" s="4"/>
      <c r="X184" s="4" t="s">
        <v>859</v>
      </c>
      <c r="Y184" s="4"/>
      <c r="Z184" s="60" t="s">
        <v>1427</v>
      </c>
      <c r="AA184" s="8"/>
      <c r="AB184" s="8"/>
      <c r="AC184" s="8"/>
      <c r="AD184" s="9"/>
    </row>
    <row r="185">
      <c r="A185" s="43">
        <f t="shared" si="33"/>
        <v>312005</v>
      </c>
      <c r="B185" s="4" t="s">
        <v>1428</v>
      </c>
      <c r="C185" s="43">
        <v>1.0</v>
      </c>
      <c r="D185" s="43"/>
      <c r="E185" s="57"/>
      <c r="F185" s="43">
        <v>1.0</v>
      </c>
      <c r="G185" s="43">
        <v>4.8</v>
      </c>
      <c r="H185" s="43"/>
      <c r="I185" s="43"/>
      <c r="J185" s="43"/>
      <c r="K185" s="43">
        <f>K184</f>
        <v>6</v>
      </c>
      <c r="L185" s="43"/>
      <c r="M185" s="4" t="s">
        <v>527</v>
      </c>
      <c r="N185" s="58">
        <f t="shared" ref="N185:N188" si="39">N184-4</f>
        <v>44</v>
      </c>
      <c r="O185" s="4"/>
      <c r="P185" s="63">
        <v>3007.0</v>
      </c>
      <c r="Q185" s="59"/>
      <c r="R185" s="59"/>
      <c r="S185" s="14"/>
      <c r="T185" s="14"/>
      <c r="U185" s="14"/>
      <c r="V185" s="57"/>
      <c r="W185" s="4"/>
      <c r="X185" s="4" t="s">
        <v>859</v>
      </c>
      <c r="Y185" s="4"/>
      <c r="Z185" s="60" t="s">
        <v>1427</v>
      </c>
      <c r="AA185" s="8"/>
      <c r="AB185" s="8"/>
      <c r="AC185" s="8"/>
      <c r="AD185" s="9"/>
      <c r="AF185" s="90"/>
      <c r="AG185" s="90"/>
      <c r="AH185" s="53"/>
      <c r="AI185" s="53"/>
    </row>
    <row r="186">
      <c r="A186" s="43">
        <f t="shared" si="33"/>
        <v>313005</v>
      </c>
      <c r="B186" s="4" t="s">
        <v>1430</v>
      </c>
      <c r="C186" s="43">
        <v>1.0</v>
      </c>
      <c r="D186" s="43"/>
      <c r="E186" s="57"/>
      <c r="F186" s="43">
        <v>1.0</v>
      </c>
      <c r="G186" s="43">
        <v>4.8</v>
      </c>
      <c r="H186" s="43"/>
      <c r="I186" s="43"/>
      <c r="J186" s="43"/>
      <c r="K186" s="43">
        <f>K184-1</f>
        <v>5</v>
      </c>
      <c r="L186" s="43"/>
      <c r="M186" s="4" t="s">
        <v>527</v>
      </c>
      <c r="N186" s="58">
        <f t="shared" si="39"/>
        <v>40</v>
      </c>
      <c r="O186" s="4"/>
      <c r="P186" s="63" t="str">
        <f t="shared" ref="P186:P188" si="40">"3007,3012"</f>
        <v>3007,3012</v>
      </c>
      <c r="Q186" s="59"/>
      <c r="R186" s="59"/>
      <c r="S186" s="14"/>
      <c r="T186" s="14"/>
      <c r="U186" s="14"/>
      <c r="V186" s="57"/>
      <c r="W186" s="4"/>
      <c r="X186" s="4" t="s">
        <v>859</v>
      </c>
      <c r="Y186" s="4"/>
      <c r="Z186" s="60" t="s">
        <v>1431</v>
      </c>
      <c r="AA186" s="8"/>
      <c r="AB186" s="8"/>
      <c r="AC186" s="8"/>
      <c r="AD186" s="9"/>
      <c r="AF186" s="90"/>
      <c r="AG186" s="90"/>
      <c r="AH186" s="53"/>
      <c r="AI186" s="53"/>
    </row>
    <row r="187">
      <c r="A187" s="43">
        <f t="shared" si="33"/>
        <v>314005</v>
      </c>
      <c r="B187" s="4" t="s">
        <v>1433</v>
      </c>
      <c r="C187" s="43">
        <v>1.0</v>
      </c>
      <c r="D187" s="43"/>
      <c r="E187" s="57"/>
      <c r="F187" s="43">
        <v>1.0</v>
      </c>
      <c r="G187" s="43">
        <v>4.8</v>
      </c>
      <c r="H187" s="43"/>
      <c r="I187" s="43"/>
      <c r="J187" s="43"/>
      <c r="K187" s="43">
        <f>K186-1</f>
        <v>4</v>
      </c>
      <c r="L187" s="43"/>
      <c r="M187" s="4" t="s">
        <v>527</v>
      </c>
      <c r="N187" s="58">
        <f t="shared" si="39"/>
        <v>36</v>
      </c>
      <c r="O187" s="4"/>
      <c r="P187" s="63" t="str">
        <f t="shared" si="40"/>
        <v>3007,3012</v>
      </c>
      <c r="Q187" s="59"/>
      <c r="R187" s="59"/>
      <c r="S187" s="14"/>
      <c r="T187" s="14"/>
      <c r="U187" s="14"/>
      <c r="V187" s="57"/>
      <c r="W187" s="4"/>
      <c r="X187" s="4" t="s">
        <v>859</v>
      </c>
      <c r="Y187" s="4"/>
      <c r="Z187" s="60" t="s">
        <v>1431</v>
      </c>
      <c r="AA187" s="8"/>
      <c r="AB187" s="8"/>
      <c r="AC187" s="8"/>
      <c r="AD187" s="9"/>
      <c r="AF187" s="90"/>
      <c r="AG187" s="90"/>
      <c r="AH187" s="53"/>
      <c r="AI187" s="53"/>
    </row>
    <row r="188">
      <c r="A188" s="43">
        <f t="shared" si="33"/>
        <v>315005</v>
      </c>
      <c r="B188" s="4" t="s">
        <v>1437</v>
      </c>
      <c r="C188" s="43">
        <v>1.0</v>
      </c>
      <c r="D188" s="43"/>
      <c r="E188" s="57"/>
      <c r="F188" s="43">
        <v>1.0</v>
      </c>
      <c r="G188" s="43">
        <v>4.8</v>
      </c>
      <c r="H188" s="43"/>
      <c r="I188" s="43"/>
      <c r="J188" s="43"/>
      <c r="K188" s="43">
        <f>K187</f>
        <v>4</v>
      </c>
      <c r="L188" s="43"/>
      <c r="M188" s="4" t="s">
        <v>527</v>
      </c>
      <c r="N188" s="58">
        <f t="shared" si="39"/>
        <v>32</v>
      </c>
      <c r="O188" s="4"/>
      <c r="P188" s="63" t="str">
        <f t="shared" si="40"/>
        <v>3007,3012</v>
      </c>
      <c r="Q188" s="59"/>
      <c r="R188" s="59"/>
      <c r="S188" s="14"/>
      <c r="T188" s="14"/>
      <c r="U188" s="14"/>
      <c r="V188" s="57"/>
      <c r="W188" s="4"/>
      <c r="X188" s="4" t="s">
        <v>859</v>
      </c>
      <c r="Y188" s="4"/>
      <c r="Z188" s="60" t="s">
        <v>1431</v>
      </c>
      <c r="AA188" s="8"/>
      <c r="AB188" s="8"/>
      <c r="AC188" s="8"/>
      <c r="AD188" s="9"/>
    </row>
    <row r="189">
      <c r="A189" s="43">
        <f t="shared" si="33"/>
        <v>311006</v>
      </c>
      <c r="B189" s="4" t="s">
        <v>1440</v>
      </c>
      <c r="C189" s="43">
        <v>-5.0</v>
      </c>
      <c r="D189" s="43"/>
      <c r="E189" s="57"/>
      <c r="F189" s="43">
        <v>1.0</v>
      </c>
      <c r="G189" s="43"/>
      <c r="H189" s="43">
        <v>1.0</v>
      </c>
      <c r="I189" s="43"/>
      <c r="J189" s="43"/>
      <c r="K189" s="43">
        <v>6.0</v>
      </c>
      <c r="L189" s="43"/>
      <c r="M189" s="4" t="s">
        <v>637</v>
      </c>
      <c r="N189" s="58">
        <v>98.0</v>
      </c>
      <c r="O189" s="14"/>
      <c r="P189" s="59"/>
      <c r="Q189" s="59"/>
      <c r="R189" s="63">
        <v>1999.0</v>
      </c>
      <c r="S189" s="14"/>
      <c r="T189" s="14"/>
      <c r="U189" s="14"/>
      <c r="V189" s="57"/>
      <c r="W189" s="4"/>
      <c r="X189" s="4" t="s">
        <v>862</v>
      </c>
      <c r="Y189" s="4"/>
      <c r="Z189" s="60" t="s">
        <v>863</v>
      </c>
      <c r="AA189" s="8"/>
      <c r="AB189" s="8"/>
      <c r="AC189" s="8"/>
      <c r="AD189" s="9"/>
      <c r="AF189" s="90"/>
      <c r="AG189" s="90"/>
      <c r="AH189" s="53"/>
      <c r="AI189" s="90"/>
    </row>
    <row r="190">
      <c r="A190" s="43">
        <f t="shared" si="33"/>
        <v>312006</v>
      </c>
      <c r="B190" s="4" t="s">
        <v>1442</v>
      </c>
      <c r="C190" s="43">
        <v>-5.0</v>
      </c>
      <c r="D190" s="43"/>
      <c r="E190" s="57"/>
      <c r="F190" s="43">
        <v>1.0</v>
      </c>
      <c r="G190" s="43"/>
      <c r="H190" s="43">
        <v>1.0</v>
      </c>
      <c r="I190" s="43"/>
      <c r="J190" s="43"/>
      <c r="K190" s="43">
        <f>K189</f>
        <v>6</v>
      </c>
      <c r="L190" s="43"/>
      <c r="M190" s="4" t="s">
        <v>637</v>
      </c>
      <c r="N190" s="58">
        <f t="shared" ref="N190:N193" si="41">N189-4</f>
        <v>94</v>
      </c>
      <c r="O190" s="14"/>
      <c r="P190" s="59"/>
      <c r="Q190" s="59"/>
      <c r="R190" s="63" t="str">
        <f t="shared" ref="R190:R192" si="42">"1999,1012"</f>
        <v>1999,1012</v>
      </c>
      <c r="S190" s="14"/>
      <c r="T190" s="14"/>
      <c r="U190" s="14"/>
      <c r="V190" s="57"/>
      <c r="W190" s="4"/>
      <c r="X190" s="4" t="s">
        <v>862</v>
      </c>
      <c r="Y190" s="4"/>
      <c r="Z190" s="60" t="s">
        <v>1445</v>
      </c>
      <c r="AA190" s="8"/>
      <c r="AB190" s="8"/>
      <c r="AC190" s="8"/>
      <c r="AD190" s="9"/>
      <c r="AF190" s="90"/>
      <c r="AG190" s="90"/>
      <c r="AH190" s="53"/>
      <c r="AI190" s="90"/>
    </row>
    <row r="191">
      <c r="A191" s="43">
        <f t="shared" si="33"/>
        <v>313006</v>
      </c>
      <c r="B191" s="4" t="s">
        <v>1447</v>
      </c>
      <c r="C191" s="43">
        <v>-5.0</v>
      </c>
      <c r="D191" s="43"/>
      <c r="E191" s="57"/>
      <c r="F191" s="43">
        <v>1.0</v>
      </c>
      <c r="G191" s="43"/>
      <c r="H191" s="43">
        <v>1.0</v>
      </c>
      <c r="I191" s="43"/>
      <c r="J191" s="43"/>
      <c r="K191" s="43">
        <f>K189-1</f>
        <v>5</v>
      </c>
      <c r="L191" s="43"/>
      <c r="M191" s="4" t="s">
        <v>637</v>
      </c>
      <c r="N191" s="58">
        <f t="shared" si="41"/>
        <v>90</v>
      </c>
      <c r="O191" s="14"/>
      <c r="P191" s="59"/>
      <c r="Q191" s="59"/>
      <c r="R191" s="63" t="str">
        <f t="shared" si="42"/>
        <v>1999,1012</v>
      </c>
      <c r="S191" s="14"/>
      <c r="T191" s="14"/>
      <c r="U191" s="14"/>
      <c r="V191" s="57"/>
      <c r="W191" s="4"/>
      <c r="X191" s="4" t="s">
        <v>862</v>
      </c>
      <c r="Y191" s="4"/>
      <c r="Z191" s="60" t="s">
        <v>1445</v>
      </c>
      <c r="AA191" s="8"/>
      <c r="AB191" s="8"/>
      <c r="AC191" s="8"/>
      <c r="AD191" s="9"/>
      <c r="AF191" s="90"/>
      <c r="AG191" s="90"/>
      <c r="AH191" s="53"/>
      <c r="AI191" s="90"/>
    </row>
    <row r="192">
      <c r="A192" s="43">
        <f t="shared" si="33"/>
        <v>314006</v>
      </c>
      <c r="B192" s="4" t="s">
        <v>1449</v>
      </c>
      <c r="C192" s="43">
        <v>-5.0</v>
      </c>
      <c r="D192" s="43"/>
      <c r="E192" s="57"/>
      <c r="F192" s="43">
        <v>1.0</v>
      </c>
      <c r="G192" s="43"/>
      <c r="H192" s="43">
        <v>1.0</v>
      </c>
      <c r="I192" s="43"/>
      <c r="J192" s="43"/>
      <c r="K192" s="43">
        <f>K191-1</f>
        <v>4</v>
      </c>
      <c r="L192" s="43"/>
      <c r="M192" s="4" t="s">
        <v>637</v>
      </c>
      <c r="N192" s="58">
        <f t="shared" si="41"/>
        <v>86</v>
      </c>
      <c r="O192" s="14"/>
      <c r="P192" s="59"/>
      <c r="Q192" s="59"/>
      <c r="R192" s="63" t="str">
        <f t="shared" si="42"/>
        <v>1999,1012</v>
      </c>
      <c r="S192" s="14"/>
      <c r="T192" s="14"/>
      <c r="U192" s="14"/>
      <c r="V192" s="57"/>
      <c r="W192" s="4"/>
      <c r="X192" s="4" t="s">
        <v>862</v>
      </c>
      <c r="Y192" s="4"/>
      <c r="Z192" s="60" t="s">
        <v>1445</v>
      </c>
      <c r="AA192" s="8"/>
      <c r="AB192" s="8"/>
      <c r="AC192" s="8"/>
      <c r="AD192" s="9"/>
      <c r="AF192" s="90"/>
      <c r="AG192" s="90"/>
      <c r="AH192" s="53"/>
      <c r="AI192" s="90"/>
    </row>
    <row r="193">
      <c r="A193" s="43">
        <f t="shared" si="33"/>
        <v>315006</v>
      </c>
      <c r="B193" s="4" t="s">
        <v>1453</v>
      </c>
      <c r="C193" s="43">
        <v>-5.0</v>
      </c>
      <c r="D193" s="43"/>
      <c r="E193" s="57"/>
      <c r="F193" s="43">
        <v>1.0</v>
      </c>
      <c r="G193" s="43"/>
      <c r="H193" s="43">
        <v>1.0</v>
      </c>
      <c r="I193" s="43"/>
      <c r="J193" s="43"/>
      <c r="K193" s="43">
        <f>K192</f>
        <v>4</v>
      </c>
      <c r="L193" s="43"/>
      <c r="M193" s="4" t="s">
        <v>637</v>
      </c>
      <c r="N193" s="58">
        <f t="shared" si="41"/>
        <v>82</v>
      </c>
      <c r="O193" s="14"/>
      <c r="P193" s="59"/>
      <c r="Q193" s="59"/>
      <c r="R193" s="63" t="str">
        <f>"1999,1012,1012,1012"</f>
        <v>1999,1012,1012,1012</v>
      </c>
      <c r="S193" s="14"/>
      <c r="T193" s="14"/>
      <c r="U193" s="14"/>
      <c r="V193" s="57"/>
      <c r="W193" s="4"/>
      <c r="X193" s="4" t="s">
        <v>862</v>
      </c>
      <c r="Y193" s="4"/>
      <c r="Z193" s="60" t="s">
        <v>1456</v>
      </c>
      <c r="AA193" s="8"/>
      <c r="AB193" s="8"/>
      <c r="AC193" s="8"/>
      <c r="AD193" s="9"/>
      <c r="AF193" s="90"/>
      <c r="AG193" s="90"/>
      <c r="AH193" s="53"/>
      <c r="AI193" s="90"/>
    </row>
    <row r="194">
      <c r="A194" s="43">
        <f t="shared" si="33"/>
        <v>311007</v>
      </c>
      <c r="B194" s="4" t="s">
        <v>1458</v>
      </c>
      <c r="C194" s="43">
        <v>2.0</v>
      </c>
      <c r="D194" s="43">
        <v>1.0</v>
      </c>
      <c r="E194" s="57"/>
      <c r="F194" s="43">
        <v>1.0</v>
      </c>
      <c r="G194" s="43">
        <v>2.5</v>
      </c>
      <c r="H194" s="43"/>
      <c r="I194" s="43"/>
      <c r="J194" s="43"/>
      <c r="K194" s="43">
        <v>8.0</v>
      </c>
      <c r="L194" s="43"/>
      <c r="M194" s="4" t="s">
        <v>527</v>
      </c>
      <c r="N194" s="58">
        <v>105.0</v>
      </c>
      <c r="O194" s="14"/>
      <c r="P194" s="59"/>
      <c r="Q194" s="59"/>
      <c r="R194" s="63">
        <v>2005.0</v>
      </c>
      <c r="S194" s="14"/>
      <c r="T194" s="14"/>
      <c r="U194" s="14"/>
      <c r="V194" s="57"/>
      <c r="W194" s="61" t="s">
        <v>567</v>
      </c>
      <c r="X194" s="61" t="s">
        <v>569</v>
      </c>
      <c r="Y194" s="4"/>
      <c r="Z194" s="60" t="s">
        <v>865</v>
      </c>
      <c r="AA194" s="8"/>
      <c r="AB194" s="8"/>
      <c r="AC194" s="8"/>
      <c r="AD194" s="9"/>
    </row>
    <row r="195">
      <c r="A195" s="43">
        <f t="shared" si="33"/>
        <v>312007</v>
      </c>
      <c r="B195" s="4" t="s">
        <v>1463</v>
      </c>
      <c r="C195" s="43">
        <v>2.0</v>
      </c>
      <c r="D195" s="43">
        <v>1.0</v>
      </c>
      <c r="E195" s="57"/>
      <c r="F195" s="43">
        <v>1.0</v>
      </c>
      <c r="G195" s="43">
        <v>2.5</v>
      </c>
      <c r="H195" s="43"/>
      <c r="I195" s="43"/>
      <c r="J195" s="43"/>
      <c r="K195" s="43">
        <f>K194</f>
        <v>8</v>
      </c>
      <c r="L195" s="43"/>
      <c r="M195" s="4" t="s">
        <v>527</v>
      </c>
      <c r="N195" s="58">
        <f t="shared" ref="N195:N198" si="43">N194-4</f>
        <v>101</v>
      </c>
      <c r="O195" s="14"/>
      <c r="P195" s="59"/>
      <c r="Q195" s="59"/>
      <c r="R195" s="63" t="str">
        <f t="shared" ref="R195:R197" si="44">"2005,2001"</f>
        <v>2005,2001</v>
      </c>
      <c r="S195" s="14"/>
      <c r="T195" s="14"/>
      <c r="U195" s="14"/>
      <c r="V195" s="57"/>
      <c r="W195" s="61" t="s">
        <v>567</v>
      </c>
      <c r="X195" s="61" t="s">
        <v>569</v>
      </c>
      <c r="Y195" s="4"/>
      <c r="Z195" s="60" t="s">
        <v>1466</v>
      </c>
      <c r="AA195" s="8"/>
      <c r="AB195" s="8"/>
      <c r="AC195" s="8"/>
      <c r="AD195" s="9"/>
    </row>
    <row r="196">
      <c r="A196" s="43">
        <f t="shared" si="33"/>
        <v>313007</v>
      </c>
      <c r="B196" s="4" t="s">
        <v>1468</v>
      </c>
      <c r="C196" s="43">
        <v>2.0</v>
      </c>
      <c r="D196" s="43">
        <v>1.0</v>
      </c>
      <c r="E196" s="57"/>
      <c r="F196" s="43">
        <v>1.0</v>
      </c>
      <c r="G196" s="43">
        <v>2.5</v>
      </c>
      <c r="H196" s="43"/>
      <c r="I196" s="43"/>
      <c r="J196" s="43"/>
      <c r="K196" s="43">
        <f>K194-1</f>
        <v>7</v>
      </c>
      <c r="L196" s="43"/>
      <c r="M196" s="4" t="s">
        <v>527</v>
      </c>
      <c r="N196" s="58">
        <f t="shared" si="43"/>
        <v>97</v>
      </c>
      <c r="O196" s="14"/>
      <c r="P196" s="59"/>
      <c r="Q196" s="59"/>
      <c r="R196" s="63" t="str">
        <f t="shared" si="44"/>
        <v>2005,2001</v>
      </c>
      <c r="S196" s="14"/>
      <c r="T196" s="14"/>
      <c r="U196" s="14"/>
      <c r="V196" s="57"/>
      <c r="W196" s="61" t="s">
        <v>567</v>
      </c>
      <c r="X196" s="61" t="s">
        <v>569</v>
      </c>
      <c r="Y196" s="4"/>
      <c r="Z196" s="60" t="s">
        <v>1466</v>
      </c>
      <c r="AA196" s="8"/>
      <c r="AB196" s="8"/>
      <c r="AC196" s="8"/>
      <c r="AD196" s="9"/>
    </row>
    <row r="197">
      <c r="A197" s="43">
        <f t="shared" si="33"/>
        <v>314007</v>
      </c>
      <c r="B197" s="4" t="s">
        <v>1473</v>
      </c>
      <c r="C197" s="43">
        <v>2.0</v>
      </c>
      <c r="D197" s="43">
        <v>1.0</v>
      </c>
      <c r="E197" s="57"/>
      <c r="F197" s="43">
        <v>1.0</v>
      </c>
      <c r="G197" s="43">
        <v>2.5</v>
      </c>
      <c r="H197" s="43"/>
      <c r="I197" s="43"/>
      <c r="J197" s="43"/>
      <c r="K197" s="43">
        <f>K196-1</f>
        <v>6</v>
      </c>
      <c r="L197" s="43"/>
      <c r="M197" s="4" t="s">
        <v>527</v>
      </c>
      <c r="N197" s="58">
        <f t="shared" si="43"/>
        <v>93</v>
      </c>
      <c r="O197" s="14"/>
      <c r="P197" s="59"/>
      <c r="Q197" s="59"/>
      <c r="R197" s="63" t="str">
        <f t="shared" si="44"/>
        <v>2005,2001</v>
      </c>
      <c r="S197" s="14"/>
      <c r="T197" s="14"/>
      <c r="U197" s="14"/>
      <c r="V197" s="57"/>
      <c r="W197" s="61" t="s">
        <v>567</v>
      </c>
      <c r="X197" s="61" t="s">
        <v>569</v>
      </c>
      <c r="Y197" s="4"/>
      <c r="Z197" s="60" t="s">
        <v>1466</v>
      </c>
      <c r="AA197" s="8"/>
      <c r="AB197" s="8"/>
      <c r="AC197" s="8"/>
      <c r="AD197" s="9"/>
    </row>
    <row r="198">
      <c r="A198" s="43">
        <f t="shared" si="33"/>
        <v>315007</v>
      </c>
      <c r="B198" s="4" t="s">
        <v>1476</v>
      </c>
      <c r="C198" s="43">
        <v>3.0</v>
      </c>
      <c r="D198" s="43">
        <v>1.0</v>
      </c>
      <c r="E198" s="57"/>
      <c r="F198" s="43">
        <v>1.0</v>
      </c>
      <c r="G198" s="43">
        <v>2.5</v>
      </c>
      <c r="H198" s="43"/>
      <c r="I198" s="43"/>
      <c r="J198" s="43"/>
      <c r="K198" s="43">
        <f>K197</f>
        <v>6</v>
      </c>
      <c r="L198" s="43"/>
      <c r="M198" s="4" t="s">
        <v>527</v>
      </c>
      <c r="N198" s="58">
        <f t="shared" si="43"/>
        <v>89</v>
      </c>
      <c r="O198" s="14"/>
      <c r="P198" s="59"/>
      <c r="Q198" s="59"/>
      <c r="R198" s="63" t="str">
        <f>"2005,2001,2002,2004"</f>
        <v>2005,2001,2002,2004</v>
      </c>
      <c r="S198" s="14"/>
      <c r="T198" s="14"/>
      <c r="U198" s="14"/>
      <c r="V198" s="57"/>
      <c r="W198" s="61" t="s">
        <v>567</v>
      </c>
      <c r="X198" s="61" t="s">
        <v>569</v>
      </c>
      <c r="Y198" s="4"/>
      <c r="Z198" s="60" t="s">
        <v>1480</v>
      </c>
      <c r="AA198" s="8"/>
      <c r="AB198" s="8"/>
      <c r="AC198" s="8"/>
      <c r="AD198" s="9"/>
    </row>
    <row r="199">
      <c r="A199" s="43">
        <f t="shared" si="33"/>
        <v>311008</v>
      </c>
      <c r="B199" s="4" t="s">
        <v>1483</v>
      </c>
      <c r="C199" s="43">
        <v>-5.0</v>
      </c>
      <c r="D199" s="43"/>
      <c r="E199" s="57"/>
      <c r="F199" s="43">
        <v>1.0</v>
      </c>
      <c r="G199" s="73"/>
      <c r="H199" s="73"/>
      <c r="I199" s="43"/>
      <c r="J199" s="43"/>
      <c r="K199" s="43">
        <v>5.0</v>
      </c>
      <c r="L199" s="43"/>
      <c r="M199" s="4"/>
      <c r="N199" s="58">
        <v>90.0</v>
      </c>
      <c r="O199" s="14"/>
      <c r="P199" s="59"/>
      <c r="Q199" s="59"/>
      <c r="R199" s="59" t="str">
        <f>"1003,1003"</f>
        <v>1003,1003</v>
      </c>
      <c r="S199" s="14"/>
      <c r="T199" s="14"/>
      <c r="U199" s="14"/>
      <c r="V199" s="57"/>
      <c r="W199" s="4"/>
      <c r="X199" s="4" t="s">
        <v>573</v>
      </c>
      <c r="Y199" s="4"/>
      <c r="Z199" s="60" t="s">
        <v>440</v>
      </c>
      <c r="AA199" s="8"/>
      <c r="AB199" s="8"/>
      <c r="AC199" s="8"/>
      <c r="AD199" s="9"/>
    </row>
    <row r="200">
      <c r="A200" s="43">
        <f t="shared" si="33"/>
        <v>312008</v>
      </c>
      <c r="B200" s="4" t="s">
        <v>1486</v>
      </c>
      <c r="C200" s="43">
        <v>-5.0</v>
      </c>
      <c r="D200" s="43"/>
      <c r="E200" s="57"/>
      <c r="F200" s="43">
        <v>1.0</v>
      </c>
      <c r="G200" s="73"/>
      <c r="H200" s="73">
        <v>1.5</v>
      </c>
      <c r="I200" s="43"/>
      <c r="J200" s="43"/>
      <c r="K200" s="43">
        <f>K199</f>
        <v>5</v>
      </c>
      <c r="L200" s="43"/>
      <c r="M200" s="4" t="s">
        <v>637</v>
      </c>
      <c r="N200" s="58">
        <f t="shared" ref="N200:N203" si="45">N199-4</f>
        <v>86</v>
      </c>
      <c r="O200" s="14"/>
      <c r="P200" s="59"/>
      <c r="Q200" s="59"/>
      <c r="R200" s="59" t="str">
        <f t="shared" ref="R200:R202" si="46">"1003,1003,1999"</f>
        <v>1003,1003,1999</v>
      </c>
      <c r="S200" s="14"/>
      <c r="T200" s="14"/>
      <c r="U200" s="14"/>
      <c r="V200" s="57"/>
      <c r="W200" s="4"/>
      <c r="X200" s="4" t="s">
        <v>573</v>
      </c>
      <c r="Y200" s="4"/>
      <c r="Z200" s="60" t="s">
        <v>1489</v>
      </c>
      <c r="AA200" s="8"/>
      <c r="AB200" s="8"/>
      <c r="AC200" s="8"/>
      <c r="AD200" s="9"/>
    </row>
    <row r="201">
      <c r="A201" s="43">
        <f t="shared" si="33"/>
        <v>313008</v>
      </c>
      <c r="B201" s="4" t="s">
        <v>1491</v>
      </c>
      <c r="C201" s="43">
        <v>-5.0</v>
      </c>
      <c r="D201" s="43"/>
      <c r="E201" s="57"/>
      <c r="F201" s="43">
        <v>1.0</v>
      </c>
      <c r="G201" s="73"/>
      <c r="H201" s="73">
        <v>1.5</v>
      </c>
      <c r="I201" s="43"/>
      <c r="J201" s="43"/>
      <c r="K201" s="43">
        <f>K199-1</f>
        <v>4</v>
      </c>
      <c r="L201" s="43"/>
      <c r="M201" s="4" t="s">
        <v>637</v>
      </c>
      <c r="N201" s="58">
        <f t="shared" si="45"/>
        <v>82</v>
      </c>
      <c r="O201" s="14"/>
      <c r="P201" s="59"/>
      <c r="Q201" s="59"/>
      <c r="R201" s="59" t="str">
        <f t="shared" si="46"/>
        <v>1003,1003,1999</v>
      </c>
      <c r="S201" s="14"/>
      <c r="T201" s="14"/>
      <c r="U201" s="14"/>
      <c r="V201" s="57"/>
      <c r="W201" s="4"/>
      <c r="X201" s="4" t="s">
        <v>573</v>
      </c>
      <c r="Y201" s="4"/>
      <c r="Z201" s="60" t="s">
        <v>1489</v>
      </c>
      <c r="AA201" s="8"/>
      <c r="AB201" s="8"/>
      <c r="AC201" s="8"/>
      <c r="AD201" s="9"/>
    </row>
    <row r="202">
      <c r="A202" s="43">
        <f t="shared" si="33"/>
        <v>314008</v>
      </c>
      <c r="B202" s="4" t="s">
        <v>1492</v>
      </c>
      <c r="C202" s="43">
        <v>-5.0</v>
      </c>
      <c r="D202" s="43"/>
      <c r="E202" s="57"/>
      <c r="F202" s="43">
        <v>1.0</v>
      </c>
      <c r="G202" s="73"/>
      <c r="H202" s="73">
        <v>1.5</v>
      </c>
      <c r="I202" s="43"/>
      <c r="J202" s="43"/>
      <c r="K202" s="43">
        <f>K201-1</f>
        <v>3</v>
      </c>
      <c r="L202" s="43"/>
      <c r="M202" s="4" t="s">
        <v>637</v>
      </c>
      <c r="N202" s="58">
        <f t="shared" si="45"/>
        <v>78</v>
      </c>
      <c r="O202" s="14"/>
      <c r="P202" s="59"/>
      <c r="Q202" s="59"/>
      <c r="R202" s="59" t="str">
        <f t="shared" si="46"/>
        <v>1003,1003,1999</v>
      </c>
      <c r="S202" s="14"/>
      <c r="T202" s="14"/>
      <c r="U202" s="14"/>
      <c r="V202" s="57"/>
      <c r="W202" s="4"/>
      <c r="X202" s="4" t="s">
        <v>573</v>
      </c>
      <c r="Y202" s="4"/>
      <c r="Z202" s="60" t="s">
        <v>1489</v>
      </c>
      <c r="AA202" s="8"/>
      <c r="AB202" s="8"/>
      <c r="AC202" s="8"/>
      <c r="AD202" s="9"/>
      <c r="AE202" s="90"/>
    </row>
    <row r="203">
      <c r="A203" s="43">
        <f t="shared" si="33"/>
        <v>315008</v>
      </c>
      <c r="B203" s="4" t="s">
        <v>1494</v>
      </c>
      <c r="C203" s="43">
        <v>-5.0</v>
      </c>
      <c r="D203" s="43"/>
      <c r="E203" s="57"/>
      <c r="F203" s="43">
        <v>1.0</v>
      </c>
      <c r="G203" s="73"/>
      <c r="H203" s="73">
        <v>1.5</v>
      </c>
      <c r="I203" s="43"/>
      <c r="J203" s="43"/>
      <c r="K203" s="43">
        <f>K202</f>
        <v>3</v>
      </c>
      <c r="L203" s="43"/>
      <c r="M203" s="4" t="s">
        <v>637</v>
      </c>
      <c r="N203" s="58">
        <f t="shared" si="45"/>
        <v>74</v>
      </c>
      <c r="O203" s="14"/>
      <c r="P203" s="59"/>
      <c r="Q203" s="59"/>
      <c r="R203" s="59" t="str">
        <f>"1003,1003,1999,1006,1006"</f>
        <v>1003,1003,1999,1006,1006</v>
      </c>
      <c r="S203" s="14"/>
      <c r="T203" s="14"/>
      <c r="U203" s="14"/>
      <c r="V203" s="57"/>
      <c r="W203" s="4"/>
      <c r="X203" s="4" t="s">
        <v>573</v>
      </c>
      <c r="Y203" s="4"/>
      <c r="Z203" s="60" t="s">
        <v>1496</v>
      </c>
      <c r="AA203" s="8"/>
      <c r="AB203" s="8"/>
      <c r="AC203" s="8"/>
      <c r="AD203" s="9"/>
      <c r="AE203" s="90"/>
    </row>
    <row r="204">
      <c r="A204" s="43">
        <f t="shared" si="33"/>
        <v>311009</v>
      </c>
      <c r="B204" s="4" t="s">
        <v>1497</v>
      </c>
      <c r="C204" s="43">
        <v>1.0</v>
      </c>
      <c r="D204" s="43">
        <v>1.0</v>
      </c>
      <c r="E204" s="57"/>
      <c r="F204" s="43">
        <v>3.0</v>
      </c>
      <c r="G204" s="73">
        <v>1.6</v>
      </c>
      <c r="H204" s="77"/>
      <c r="I204" s="43"/>
      <c r="J204" s="43"/>
      <c r="K204" s="43">
        <v>4.0</v>
      </c>
      <c r="L204" s="43"/>
      <c r="M204" s="4" t="s">
        <v>527</v>
      </c>
      <c r="N204" s="58">
        <v>23.0</v>
      </c>
      <c r="O204" s="14"/>
      <c r="P204" s="59">
        <v>1001.0</v>
      </c>
      <c r="Q204" s="63">
        <v>0.4</v>
      </c>
      <c r="R204" s="59"/>
      <c r="S204" s="14"/>
      <c r="T204" s="14"/>
      <c r="U204" s="14"/>
      <c r="V204" s="57"/>
      <c r="W204" s="4"/>
      <c r="X204" s="4" t="s">
        <v>529</v>
      </c>
      <c r="Y204" s="4"/>
      <c r="Z204" s="60" t="s">
        <v>869</v>
      </c>
      <c r="AA204" s="8"/>
      <c r="AB204" s="8"/>
      <c r="AC204" s="8"/>
      <c r="AD204" s="9"/>
      <c r="AE204" s="90"/>
      <c r="AF204" s="90"/>
      <c r="AG204" s="90"/>
      <c r="AH204" s="53"/>
      <c r="AI204" s="90"/>
    </row>
    <row r="205">
      <c r="A205" s="43">
        <f t="shared" si="33"/>
        <v>312009</v>
      </c>
      <c r="B205" s="4" t="s">
        <v>1499</v>
      </c>
      <c r="C205" s="43">
        <v>1.0</v>
      </c>
      <c r="D205" s="43">
        <v>1.0</v>
      </c>
      <c r="E205" s="57"/>
      <c r="F205" s="43">
        <v>4.0</v>
      </c>
      <c r="G205" s="73">
        <v>1.6</v>
      </c>
      <c r="H205" s="77"/>
      <c r="I205" s="43"/>
      <c r="J205" s="43"/>
      <c r="K205" s="43">
        <f>K204</f>
        <v>4</v>
      </c>
      <c r="L205" s="43"/>
      <c r="M205" s="4" t="s">
        <v>527</v>
      </c>
      <c r="N205" s="58">
        <f t="shared" ref="N205:N208" si="47">N204-4</f>
        <v>19</v>
      </c>
      <c r="O205" s="14"/>
      <c r="P205" s="59">
        <v>1001.0</v>
      </c>
      <c r="Q205" s="63">
        <v>0.4</v>
      </c>
      <c r="R205" s="59"/>
      <c r="S205" s="14"/>
      <c r="T205" s="14"/>
      <c r="U205" s="14"/>
      <c r="V205" s="57"/>
      <c r="W205" s="4"/>
      <c r="X205" s="4" t="s">
        <v>529</v>
      </c>
      <c r="Y205" s="4"/>
      <c r="Z205" s="60" t="s">
        <v>1502</v>
      </c>
      <c r="AA205" s="8"/>
      <c r="AB205" s="8"/>
      <c r="AC205" s="8"/>
      <c r="AD205" s="9"/>
      <c r="AE205" s="90"/>
      <c r="AF205" s="90"/>
      <c r="AG205" s="90"/>
      <c r="AH205" s="53"/>
      <c r="AI205" s="90"/>
    </row>
    <row r="206">
      <c r="A206" s="43">
        <f t="shared" si="33"/>
        <v>313009</v>
      </c>
      <c r="B206" s="4" t="s">
        <v>1503</v>
      </c>
      <c r="C206" s="43">
        <v>1.0</v>
      </c>
      <c r="D206" s="43">
        <v>1.0</v>
      </c>
      <c r="E206" s="57"/>
      <c r="F206" s="43">
        <v>4.0</v>
      </c>
      <c r="G206" s="73">
        <v>1.6</v>
      </c>
      <c r="H206" s="77"/>
      <c r="I206" s="43"/>
      <c r="J206" s="43"/>
      <c r="K206" s="43">
        <f>K204-1</f>
        <v>3</v>
      </c>
      <c r="L206" s="43"/>
      <c r="M206" s="4" t="s">
        <v>527</v>
      </c>
      <c r="N206" s="58">
        <f t="shared" si="47"/>
        <v>15</v>
      </c>
      <c r="O206" s="14"/>
      <c r="P206" s="59">
        <v>1001.0</v>
      </c>
      <c r="Q206" s="63">
        <v>0.4</v>
      </c>
      <c r="R206" s="59"/>
      <c r="S206" s="14"/>
      <c r="T206" s="14"/>
      <c r="U206" s="14"/>
      <c r="V206" s="57"/>
      <c r="W206" s="4"/>
      <c r="X206" s="4" t="s">
        <v>529</v>
      </c>
      <c r="Y206" s="4"/>
      <c r="Z206" s="60" t="s">
        <v>1502</v>
      </c>
      <c r="AA206" s="8"/>
      <c r="AB206" s="8"/>
      <c r="AC206" s="8"/>
      <c r="AD206" s="9"/>
      <c r="AE206" s="90"/>
      <c r="AF206" s="90"/>
      <c r="AG206" s="90"/>
      <c r="AH206" s="53"/>
      <c r="AI206" s="90"/>
    </row>
    <row r="207">
      <c r="A207" s="43">
        <f t="shared" si="33"/>
        <v>314009</v>
      </c>
      <c r="B207" s="4" t="s">
        <v>1505</v>
      </c>
      <c r="C207" s="43">
        <v>1.0</v>
      </c>
      <c r="D207" s="43">
        <v>1.0</v>
      </c>
      <c r="E207" s="57"/>
      <c r="F207" s="43">
        <v>4.0</v>
      </c>
      <c r="G207" s="73">
        <v>1.6</v>
      </c>
      <c r="H207" s="77"/>
      <c r="I207" s="43"/>
      <c r="J207" s="43"/>
      <c r="K207" s="43">
        <f>K206-1</f>
        <v>2</v>
      </c>
      <c r="L207" s="43"/>
      <c r="M207" s="4" t="s">
        <v>527</v>
      </c>
      <c r="N207" s="58">
        <f t="shared" si="47"/>
        <v>11</v>
      </c>
      <c r="O207" s="14"/>
      <c r="P207" s="59">
        <v>1001.0</v>
      </c>
      <c r="Q207" s="63">
        <v>0.4</v>
      </c>
      <c r="R207" s="59"/>
      <c r="S207" s="14"/>
      <c r="T207" s="14"/>
      <c r="U207" s="14"/>
      <c r="V207" s="57"/>
      <c r="W207" s="4"/>
      <c r="X207" s="4" t="s">
        <v>529</v>
      </c>
      <c r="Y207" s="4"/>
      <c r="Z207" s="60" t="s">
        <v>1502</v>
      </c>
      <c r="AA207" s="8"/>
      <c r="AB207" s="8"/>
      <c r="AC207" s="8"/>
      <c r="AD207" s="9"/>
      <c r="AE207" s="90"/>
      <c r="AF207" s="90"/>
      <c r="AG207" s="90"/>
      <c r="AH207" s="53"/>
      <c r="AI207" s="90"/>
    </row>
    <row r="208">
      <c r="A208" s="43">
        <f t="shared" si="33"/>
        <v>315009</v>
      </c>
      <c r="B208" s="4" t="s">
        <v>1507</v>
      </c>
      <c r="C208" s="43">
        <v>1.0</v>
      </c>
      <c r="D208" s="43">
        <v>1.0</v>
      </c>
      <c r="E208" s="57"/>
      <c r="F208" s="43">
        <v>6.0</v>
      </c>
      <c r="G208" s="73">
        <v>1.6</v>
      </c>
      <c r="H208" s="77"/>
      <c r="I208" s="43"/>
      <c r="J208" s="43"/>
      <c r="K208" s="43">
        <f>K207</f>
        <v>2</v>
      </c>
      <c r="L208" s="43"/>
      <c r="M208" s="4" t="s">
        <v>527</v>
      </c>
      <c r="N208" s="58">
        <f t="shared" si="47"/>
        <v>7</v>
      </c>
      <c r="O208" s="14"/>
      <c r="P208" s="59">
        <v>1001.0</v>
      </c>
      <c r="Q208" s="63">
        <v>0.4</v>
      </c>
      <c r="R208" s="59"/>
      <c r="S208" s="14"/>
      <c r="T208" s="14"/>
      <c r="U208" s="14"/>
      <c r="V208" s="57"/>
      <c r="W208" s="4"/>
      <c r="X208" s="4" t="s">
        <v>529</v>
      </c>
      <c r="Y208" s="4"/>
      <c r="Z208" s="60" t="s">
        <v>1508</v>
      </c>
      <c r="AA208" s="8"/>
      <c r="AB208" s="8"/>
      <c r="AC208" s="8"/>
      <c r="AD208" s="9"/>
      <c r="AE208" s="90"/>
      <c r="AF208" s="90"/>
      <c r="AG208" s="90"/>
      <c r="AH208" s="53"/>
      <c r="AI208" s="90"/>
    </row>
    <row r="209">
      <c r="A209" s="43">
        <f t="shared" si="33"/>
        <v>311010</v>
      </c>
      <c r="B209" s="4" t="s">
        <v>1509</v>
      </c>
      <c r="C209" s="43">
        <v>1.0</v>
      </c>
      <c r="D209" s="43">
        <v>1.0</v>
      </c>
      <c r="E209" s="57"/>
      <c r="F209" s="43">
        <v>1.0</v>
      </c>
      <c r="G209" s="73">
        <v>5.0</v>
      </c>
      <c r="H209" s="73"/>
      <c r="I209" s="43"/>
      <c r="J209" s="43"/>
      <c r="K209" s="43">
        <v>5.0</v>
      </c>
      <c r="L209" s="43"/>
      <c r="M209" s="4" t="s">
        <v>527</v>
      </c>
      <c r="N209" s="58">
        <v>100.0</v>
      </c>
      <c r="O209" s="14"/>
      <c r="P209" s="59"/>
      <c r="Q209" s="59"/>
      <c r="R209" s="59">
        <v>5004.0</v>
      </c>
      <c r="S209" s="4">
        <v>0.4</v>
      </c>
      <c r="T209" s="14"/>
      <c r="U209" s="14"/>
      <c r="V209" s="57"/>
      <c r="W209" s="61" t="s">
        <v>567</v>
      </c>
      <c r="X209" s="61" t="s">
        <v>569</v>
      </c>
      <c r="Y209" s="4"/>
      <c r="Z209" s="60" t="s">
        <v>871</v>
      </c>
      <c r="AA209" s="8"/>
      <c r="AB209" s="8"/>
      <c r="AC209" s="8"/>
      <c r="AD209" s="9"/>
      <c r="AE209" s="90"/>
    </row>
    <row r="210">
      <c r="A210" s="43">
        <f t="shared" si="33"/>
        <v>312010</v>
      </c>
      <c r="B210" s="4" t="s">
        <v>1511</v>
      </c>
      <c r="C210" s="43">
        <v>1.0</v>
      </c>
      <c r="D210" s="43">
        <v>1.0</v>
      </c>
      <c r="E210" s="57"/>
      <c r="F210" s="43">
        <v>1.0</v>
      </c>
      <c r="G210" s="73">
        <v>5.0</v>
      </c>
      <c r="H210" s="73"/>
      <c r="I210" s="43"/>
      <c r="J210" s="43"/>
      <c r="K210" s="43">
        <f>K209</f>
        <v>5</v>
      </c>
      <c r="L210" s="43"/>
      <c r="M210" s="4" t="s">
        <v>527</v>
      </c>
      <c r="N210" s="58">
        <f t="shared" ref="N210:N213" si="48">N209-4</f>
        <v>96</v>
      </c>
      <c r="O210" s="14"/>
      <c r="P210" s="59"/>
      <c r="Q210" s="59"/>
      <c r="R210" s="59" t="str">
        <f t="shared" ref="R210:R212" si="49">"5002,5004"</f>
        <v>5002,5004</v>
      </c>
      <c r="S210" s="4">
        <v>0.4</v>
      </c>
      <c r="T210" s="14"/>
      <c r="U210" s="14"/>
      <c r="V210" s="57"/>
      <c r="W210" s="61" t="s">
        <v>567</v>
      </c>
      <c r="X210" s="61" t="s">
        <v>569</v>
      </c>
      <c r="Y210" s="4"/>
      <c r="Z210" s="60" t="s">
        <v>1515</v>
      </c>
      <c r="AA210" s="8"/>
      <c r="AB210" s="8"/>
      <c r="AC210" s="8"/>
      <c r="AD210" s="9"/>
      <c r="AE210" s="90"/>
      <c r="AF210" s="90"/>
      <c r="AG210" s="90"/>
      <c r="AH210" s="53"/>
      <c r="AI210" s="90"/>
    </row>
    <row r="211">
      <c r="A211" s="43">
        <f t="shared" si="33"/>
        <v>313010</v>
      </c>
      <c r="B211" s="4" t="s">
        <v>1517</v>
      </c>
      <c r="C211" s="43">
        <v>1.0</v>
      </c>
      <c r="D211" s="43">
        <v>1.0</v>
      </c>
      <c r="E211" s="57"/>
      <c r="F211" s="43">
        <v>1.0</v>
      </c>
      <c r="G211" s="73">
        <v>5.0</v>
      </c>
      <c r="H211" s="73"/>
      <c r="I211" s="43"/>
      <c r="J211" s="43"/>
      <c r="K211" s="43">
        <f>K209-1</f>
        <v>4</v>
      </c>
      <c r="L211" s="43"/>
      <c r="M211" s="4" t="s">
        <v>527</v>
      </c>
      <c r="N211" s="58">
        <f t="shared" si="48"/>
        <v>92</v>
      </c>
      <c r="O211" s="14"/>
      <c r="P211" s="59"/>
      <c r="Q211" s="59"/>
      <c r="R211" s="59" t="str">
        <f t="shared" si="49"/>
        <v>5002,5004</v>
      </c>
      <c r="S211" s="4">
        <v>0.4</v>
      </c>
      <c r="T211" s="14"/>
      <c r="U211" s="14"/>
      <c r="V211" s="57"/>
      <c r="W211" s="61" t="s">
        <v>567</v>
      </c>
      <c r="X211" s="61" t="s">
        <v>569</v>
      </c>
      <c r="Y211" s="4"/>
      <c r="Z211" s="60" t="s">
        <v>1515</v>
      </c>
      <c r="AA211" s="8"/>
      <c r="AB211" s="8"/>
      <c r="AC211" s="8"/>
      <c r="AD211" s="9"/>
      <c r="AE211" s="90"/>
      <c r="AF211" s="90"/>
      <c r="AG211" s="90"/>
      <c r="AH211" s="53"/>
      <c r="AI211" s="90"/>
    </row>
    <row r="212">
      <c r="A212" s="43">
        <f t="shared" si="33"/>
        <v>314010</v>
      </c>
      <c r="B212" s="4" t="s">
        <v>1522</v>
      </c>
      <c r="C212" s="43">
        <v>1.0</v>
      </c>
      <c r="D212" s="43">
        <v>1.0</v>
      </c>
      <c r="E212" s="57"/>
      <c r="F212" s="43">
        <v>1.0</v>
      </c>
      <c r="G212" s="73">
        <v>5.0</v>
      </c>
      <c r="H212" s="73"/>
      <c r="I212" s="43"/>
      <c r="J212" s="43"/>
      <c r="K212" s="43">
        <f>K211-1</f>
        <v>3</v>
      </c>
      <c r="L212" s="43"/>
      <c r="M212" s="4" t="s">
        <v>527</v>
      </c>
      <c r="N212" s="58">
        <f t="shared" si="48"/>
        <v>88</v>
      </c>
      <c r="O212" s="14"/>
      <c r="P212" s="59"/>
      <c r="Q212" s="59"/>
      <c r="R212" s="59" t="str">
        <f t="shared" si="49"/>
        <v>5002,5004</v>
      </c>
      <c r="S212" s="4">
        <v>0.4</v>
      </c>
      <c r="T212" s="14"/>
      <c r="U212" s="14"/>
      <c r="V212" s="57"/>
      <c r="W212" s="61" t="s">
        <v>567</v>
      </c>
      <c r="X212" s="61" t="s">
        <v>569</v>
      </c>
      <c r="Y212" s="4"/>
      <c r="Z212" s="60" t="s">
        <v>1515</v>
      </c>
      <c r="AA212" s="8"/>
      <c r="AB212" s="8"/>
      <c r="AC212" s="8"/>
      <c r="AD212" s="9"/>
      <c r="AF212" s="90"/>
      <c r="AG212" s="90"/>
      <c r="AH212" s="53"/>
      <c r="AI212" s="90"/>
    </row>
    <row r="213">
      <c r="A213" s="43">
        <f t="shared" si="33"/>
        <v>315010</v>
      </c>
      <c r="B213" s="4" t="s">
        <v>1526</v>
      </c>
      <c r="C213" s="43">
        <v>2.0</v>
      </c>
      <c r="D213" s="43">
        <v>1.0</v>
      </c>
      <c r="E213" s="57"/>
      <c r="F213" s="43">
        <v>1.0</v>
      </c>
      <c r="G213" s="73">
        <v>5.0</v>
      </c>
      <c r="H213" s="73"/>
      <c r="I213" s="43"/>
      <c r="J213" s="43"/>
      <c r="K213" s="43">
        <f>K212</f>
        <v>3</v>
      </c>
      <c r="L213" s="43"/>
      <c r="M213" s="4" t="s">
        <v>527</v>
      </c>
      <c r="N213" s="58">
        <f t="shared" si="48"/>
        <v>84</v>
      </c>
      <c r="O213" s="14"/>
      <c r="P213" s="59"/>
      <c r="Q213" s="59"/>
      <c r="R213" s="59" t="str">
        <f>"5002,5004,5001"</f>
        <v>5002,5004,5001</v>
      </c>
      <c r="S213" s="4">
        <v>0.4</v>
      </c>
      <c r="T213" s="14"/>
      <c r="U213" s="14"/>
      <c r="V213" s="57"/>
      <c r="W213" s="61" t="s">
        <v>567</v>
      </c>
      <c r="X213" s="61" t="s">
        <v>569</v>
      </c>
      <c r="Y213" s="4"/>
      <c r="Z213" s="60" t="s">
        <v>1529</v>
      </c>
      <c r="AA213" s="8"/>
      <c r="AB213" s="8"/>
      <c r="AC213" s="8"/>
      <c r="AD213" s="9"/>
      <c r="AF213" s="90"/>
      <c r="AG213" s="90"/>
      <c r="AH213" s="53"/>
      <c r="AI213" s="90"/>
    </row>
    <row r="214">
      <c r="A214" s="43">
        <f t="shared" si="33"/>
        <v>311011</v>
      </c>
      <c r="B214" s="4" t="s">
        <v>1532</v>
      </c>
      <c r="C214" s="43">
        <v>1.0</v>
      </c>
      <c r="D214" s="43"/>
      <c r="E214" s="57"/>
      <c r="F214" s="43">
        <v>1.0</v>
      </c>
      <c r="G214" s="73">
        <v>4.8</v>
      </c>
      <c r="H214" s="77"/>
      <c r="I214" s="43"/>
      <c r="J214" s="43"/>
      <c r="K214" s="43">
        <v>6.0</v>
      </c>
      <c r="L214" s="43"/>
      <c r="M214" s="4" t="s">
        <v>527</v>
      </c>
      <c r="N214" s="58">
        <v>44.0</v>
      </c>
      <c r="O214" s="14"/>
      <c r="P214" s="59"/>
      <c r="Q214" s="59"/>
      <c r="R214" s="59">
        <v>5002.0</v>
      </c>
      <c r="S214" s="4">
        <v>0.4</v>
      </c>
      <c r="T214" s="14"/>
      <c r="U214" s="14"/>
      <c r="V214" s="57"/>
      <c r="W214" s="4"/>
      <c r="X214" s="4" t="s">
        <v>679</v>
      </c>
      <c r="Y214" s="4"/>
      <c r="Z214" s="60" t="s">
        <v>874</v>
      </c>
      <c r="AA214" s="8"/>
      <c r="AB214" s="8"/>
      <c r="AC214" s="8"/>
      <c r="AD214" s="9"/>
    </row>
    <row r="215">
      <c r="A215" s="43">
        <f t="shared" si="33"/>
        <v>312011</v>
      </c>
      <c r="B215" s="4" t="s">
        <v>1536</v>
      </c>
      <c r="C215" s="43">
        <v>1.0</v>
      </c>
      <c r="D215" s="43"/>
      <c r="E215" s="57"/>
      <c r="F215" s="43">
        <v>1.0</v>
      </c>
      <c r="G215" s="73">
        <v>4.8</v>
      </c>
      <c r="H215" s="77"/>
      <c r="I215" s="43"/>
      <c r="J215" s="43"/>
      <c r="K215" s="43">
        <f>K214</f>
        <v>6</v>
      </c>
      <c r="L215" s="43"/>
      <c r="M215" s="4" t="s">
        <v>527</v>
      </c>
      <c r="N215" s="58">
        <f t="shared" ref="N215:N218" si="50">N214-4</f>
        <v>40</v>
      </c>
      <c r="O215" s="14"/>
      <c r="P215" s="59" t="str">
        <f t="shared" ref="P215:P218" si="51">"3001,3002"</f>
        <v>3001,3002</v>
      </c>
      <c r="Q215" s="59"/>
      <c r="R215" s="59">
        <v>5002.0</v>
      </c>
      <c r="S215" s="4">
        <v>0.4</v>
      </c>
      <c r="T215" s="14"/>
      <c r="U215" s="14"/>
      <c r="V215" s="57"/>
      <c r="W215" s="4"/>
      <c r="X215" s="4" t="s">
        <v>679</v>
      </c>
      <c r="Y215" s="4"/>
      <c r="Z215" s="60" t="s">
        <v>1540</v>
      </c>
      <c r="AA215" s="8"/>
      <c r="AB215" s="8"/>
      <c r="AC215" s="8"/>
      <c r="AD215" s="9"/>
      <c r="AF215" s="90"/>
      <c r="AG215" s="90"/>
      <c r="AH215" s="53"/>
      <c r="AI215" s="90"/>
    </row>
    <row r="216">
      <c r="A216" s="43">
        <f t="shared" si="33"/>
        <v>313011</v>
      </c>
      <c r="B216" s="4" t="s">
        <v>1542</v>
      </c>
      <c r="C216" s="43">
        <v>1.0</v>
      </c>
      <c r="D216" s="43"/>
      <c r="E216" s="57"/>
      <c r="F216" s="43">
        <v>1.0</v>
      </c>
      <c r="G216" s="73">
        <v>4.8</v>
      </c>
      <c r="H216" s="77"/>
      <c r="I216" s="43"/>
      <c r="J216" s="43"/>
      <c r="K216" s="43">
        <f>K214-1</f>
        <v>5</v>
      </c>
      <c r="L216" s="43"/>
      <c r="M216" s="4" t="s">
        <v>527</v>
      </c>
      <c r="N216" s="58">
        <f t="shared" si="50"/>
        <v>36</v>
      </c>
      <c r="O216" s="14"/>
      <c r="P216" s="59" t="str">
        <f t="shared" si="51"/>
        <v>3001,3002</v>
      </c>
      <c r="Q216" s="59"/>
      <c r="R216" s="59">
        <v>5002.0</v>
      </c>
      <c r="S216" s="4">
        <v>0.4</v>
      </c>
      <c r="T216" s="14"/>
      <c r="U216" s="14"/>
      <c r="V216" s="57"/>
      <c r="W216" s="4"/>
      <c r="X216" s="4" t="s">
        <v>679</v>
      </c>
      <c r="Y216" s="4"/>
      <c r="Z216" s="60" t="s">
        <v>1540</v>
      </c>
      <c r="AA216" s="8"/>
      <c r="AB216" s="8"/>
      <c r="AC216" s="8"/>
      <c r="AD216" s="9"/>
      <c r="AF216" s="90"/>
      <c r="AG216" s="90"/>
      <c r="AH216" s="53"/>
      <c r="AI216" s="90"/>
    </row>
    <row r="217">
      <c r="A217" s="43">
        <f t="shared" si="33"/>
        <v>314011</v>
      </c>
      <c r="B217" s="4" t="s">
        <v>1547</v>
      </c>
      <c r="C217" s="43">
        <v>1.0</v>
      </c>
      <c r="D217" s="43"/>
      <c r="E217" s="57"/>
      <c r="F217" s="43">
        <v>1.0</v>
      </c>
      <c r="G217" s="73">
        <v>4.8</v>
      </c>
      <c r="H217" s="77"/>
      <c r="I217" s="43"/>
      <c r="J217" s="43"/>
      <c r="K217" s="43">
        <f>K216-1</f>
        <v>4</v>
      </c>
      <c r="L217" s="43"/>
      <c r="M217" s="4" t="s">
        <v>527</v>
      </c>
      <c r="N217" s="58">
        <f t="shared" si="50"/>
        <v>32</v>
      </c>
      <c r="O217" s="14"/>
      <c r="P217" s="59" t="str">
        <f t="shared" si="51"/>
        <v>3001,3002</v>
      </c>
      <c r="Q217" s="59"/>
      <c r="R217" s="59">
        <v>5002.0</v>
      </c>
      <c r="S217" s="4">
        <v>0.4</v>
      </c>
      <c r="T217" s="14"/>
      <c r="U217" s="14"/>
      <c r="V217" s="57"/>
      <c r="W217" s="4"/>
      <c r="X217" s="4" t="s">
        <v>679</v>
      </c>
      <c r="Y217" s="4"/>
      <c r="Z217" s="60" t="s">
        <v>1540</v>
      </c>
      <c r="AA217" s="8"/>
      <c r="AB217" s="8"/>
      <c r="AC217" s="8"/>
      <c r="AD217" s="9"/>
      <c r="AF217" s="90"/>
      <c r="AG217" s="90"/>
      <c r="AH217" s="53"/>
      <c r="AI217" s="90"/>
    </row>
    <row r="218">
      <c r="A218" s="43">
        <f t="shared" si="33"/>
        <v>315011</v>
      </c>
      <c r="B218" s="4" t="s">
        <v>1553</v>
      </c>
      <c r="C218" s="43">
        <v>1.0</v>
      </c>
      <c r="D218" s="43"/>
      <c r="E218" s="57"/>
      <c r="F218" s="43">
        <v>1.0</v>
      </c>
      <c r="G218" s="73">
        <v>4.8</v>
      </c>
      <c r="H218" s="77"/>
      <c r="I218" s="43"/>
      <c r="J218" s="43"/>
      <c r="K218" s="43">
        <f>K217</f>
        <v>4</v>
      </c>
      <c r="L218" s="43"/>
      <c r="M218" s="4" t="s">
        <v>527</v>
      </c>
      <c r="N218" s="58">
        <f t="shared" si="50"/>
        <v>28</v>
      </c>
      <c r="O218" s="14"/>
      <c r="P218" s="59" t="str">
        <f t="shared" si="51"/>
        <v>3001,3002</v>
      </c>
      <c r="Q218" s="59"/>
      <c r="R218" s="59">
        <v>5002.0</v>
      </c>
      <c r="S218" s="4"/>
      <c r="T218" s="14"/>
      <c r="U218" s="14"/>
      <c r="V218" s="57"/>
      <c r="W218" s="4"/>
      <c r="X218" s="4" t="s">
        <v>679</v>
      </c>
      <c r="Y218" s="4"/>
      <c r="Z218" s="60" t="s">
        <v>1554</v>
      </c>
      <c r="AA218" s="8"/>
      <c r="AB218" s="8"/>
      <c r="AC218" s="8"/>
      <c r="AD218" s="9"/>
      <c r="AE218" s="90"/>
      <c r="AF218" s="90"/>
      <c r="AG218" s="90"/>
      <c r="AH218" s="53"/>
      <c r="AI218" s="90"/>
    </row>
    <row r="219">
      <c r="A219" s="43">
        <f t="shared" si="33"/>
        <v>311012</v>
      </c>
      <c r="B219" s="4" t="s">
        <v>1556</v>
      </c>
      <c r="C219" s="43">
        <v>-1.0</v>
      </c>
      <c r="D219" s="43"/>
      <c r="E219" s="57"/>
      <c r="F219" s="43">
        <v>1.0</v>
      </c>
      <c r="G219" s="77"/>
      <c r="H219" s="73">
        <v>4.8</v>
      </c>
      <c r="I219" s="43"/>
      <c r="J219" s="43"/>
      <c r="K219" s="43">
        <v>7.0</v>
      </c>
      <c r="L219" s="43"/>
      <c r="M219" s="4" t="s">
        <v>615</v>
      </c>
      <c r="N219" s="58">
        <v>48.0</v>
      </c>
      <c r="O219" s="4">
        <v>150.0</v>
      </c>
      <c r="P219" s="59"/>
      <c r="Q219" s="59"/>
      <c r="R219" s="63">
        <v>3017.0</v>
      </c>
      <c r="S219" s="14"/>
      <c r="T219" s="14"/>
      <c r="U219" s="14"/>
      <c r="V219" s="57"/>
      <c r="W219" s="4"/>
      <c r="X219" s="4" t="s">
        <v>615</v>
      </c>
      <c r="Y219" s="4"/>
      <c r="Z219" s="60" t="s">
        <v>879</v>
      </c>
      <c r="AA219" s="8"/>
      <c r="AB219" s="8"/>
      <c r="AC219" s="8"/>
      <c r="AD219" s="9"/>
      <c r="AE219" s="90"/>
    </row>
    <row r="220">
      <c r="A220" s="43">
        <f t="shared" si="33"/>
        <v>312012</v>
      </c>
      <c r="B220" s="4" t="s">
        <v>1557</v>
      </c>
      <c r="C220" s="43">
        <v>-1.0</v>
      </c>
      <c r="D220" s="43"/>
      <c r="E220" s="57"/>
      <c r="F220" s="43">
        <v>1.0</v>
      </c>
      <c r="G220" s="77"/>
      <c r="H220" s="73">
        <v>4.8</v>
      </c>
      <c r="I220" s="43"/>
      <c r="J220" s="43"/>
      <c r="K220" s="43">
        <f>K219</f>
        <v>7</v>
      </c>
      <c r="L220" s="43"/>
      <c r="M220" s="4" t="s">
        <v>615</v>
      </c>
      <c r="N220" s="58">
        <f t="shared" ref="N220:N223" si="52">N219-4</f>
        <v>44</v>
      </c>
      <c r="O220" s="4">
        <v>150.0</v>
      </c>
      <c r="P220" s="59"/>
      <c r="Q220" s="59"/>
      <c r="R220" s="63">
        <v>3017.0</v>
      </c>
      <c r="S220" s="14"/>
      <c r="T220" s="14"/>
      <c r="U220" s="14"/>
      <c r="V220" s="57"/>
      <c r="W220" s="4"/>
      <c r="X220" s="4" t="s">
        <v>615</v>
      </c>
      <c r="Y220" s="4"/>
      <c r="Z220" s="60" t="s">
        <v>1559</v>
      </c>
      <c r="AA220" s="8"/>
      <c r="AB220" s="8"/>
      <c r="AC220" s="8"/>
      <c r="AD220" s="9"/>
      <c r="AE220" s="90"/>
      <c r="AF220" s="90"/>
      <c r="AG220" s="90"/>
      <c r="AH220" s="53"/>
      <c r="AI220" s="53"/>
    </row>
    <row r="221">
      <c r="A221" s="43">
        <f t="shared" si="33"/>
        <v>313012</v>
      </c>
      <c r="B221" s="4" t="s">
        <v>1561</v>
      </c>
      <c r="C221" s="43">
        <v>-1.0</v>
      </c>
      <c r="D221" s="43"/>
      <c r="E221" s="57"/>
      <c r="F221" s="43">
        <v>1.0</v>
      </c>
      <c r="G221" s="77"/>
      <c r="H221" s="73">
        <v>4.8</v>
      </c>
      <c r="I221" s="43"/>
      <c r="J221" s="43"/>
      <c r="K221" s="43">
        <f>K219-1</f>
        <v>6</v>
      </c>
      <c r="L221" s="43"/>
      <c r="M221" s="4" t="s">
        <v>615</v>
      </c>
      <c r="N221" s="58">
        <f t="shared" si="52"/>
        <v>40</v>
      </c>
      <c r="O221" s="4">
        <v>150.0</v>
      </c>
      <c r="P221" s="59"/>
      <c r="Q221" s="59"/>
      <c r="R221" s="63">
        <v>3017.0</v>
      </c>
      <c r="S221" s="14"/>
      <c r="T221" s="14"/>
      <c r="U221" s="14"/>
      <c r="V221" s="57"/>
      <c r="W221" s="4"/>
      <c r="X221" s="4" t="s">
        <v>615</v>
      </c>
      <c r="Y221" s="4"/>
      <c r="Z221" s="60" t="s">
        <v>1559</v>
      </c>
      <c r="AA221" s="8"/>
      <c r="AB221" s="8"/>
      <c r="AC221" s="8"/>
      <c r="AD221" s="9"/>
      <c r="AE221" s="90"/>
      <c r="AF221" s="90"/>
      <c r="AG221" s="90"/>
      <c r="AH221" s="53"/>
      <c r="AI221" s="53"/>
    </row>
    <row r="222">
      <c r="A222" s="43">
        <f t="shared" si="33"/>
        <v>314012</v>
      </c>
      <c r="B222" s="4" t="s">
        <v>1562</v>
      </c>
      <c r="C222" s="43">
        <v>-1.0</v>
      </c>
      <c r="D222" s="43"/>
      <c r="E222" s="57"/>
      <c r="F222" s="43">
        <v>1.0</v>
      </c>
      <c r="G222" s="77"/>
      <c r="H222" s="73">
        <v>4.8</v>
      </c>
      <c r="I222" s="43"/>
      <c r="J222" s="43"/>
      <c r="K222" s="43">
        <f>K221-1</f>
        <v>5</v>
      </c>
      <c r="L222" s="43"/>
      <c r="M222" s="4" t="s">
        <v>615</v>
      </c>
      <c r="N222" s="58">
        <f t="shared" si="52"/>
        <v>36</v>
      </c>
      <c r="O222" s="4">
        <v>150.0</v>
      </c>
      <c r="P222" s="59"/>
      <c r="Q222" s="59"/>
      <c r="R222" s="63">
        <v>3017.0</v>
      </c>
      <c r="S222" s="14"/>
      <c r="T222" s="14"/>
      <c r="U222" s="14"/>
      <c r="V222" s="57"/>
      <c r="W222" s="4"/>
      <c r="X222" s="4" t="s">
        <v>615</v>
      </c>
      <c r="Y222" s="4"/>
      <c r="Z222" s="60" t="s">
        <v>1559</v>
      </c>
      <c r="AA222" s="8"/>
      <c r="AB222" s="8"/>
      <c r="AC222" s="8"/>
      <c r="AD222" s="9"/>
      <c r="AE222" s="90"/>
      <c r="AF222" s="90"/>
      <c r="AG222" s="90"/>
      <c r="AH222" s="53"/>
      <c r="AI222" s="53"/>
    </row>
    <row r="223">
      <c r="A223" s="43">
        <f t="shared" si="33"/>
        <v>315012</v>
      </c>
      <c r="B223" s="4" t="s">
        <v>1563</v>
      </c>
      <c r="C223" s="43">
        <v>-2.0</v>
      </c>
      <c r="D223" s="43"/>
      <c r="E223" s="57"/>
      <c r="F223" s="43">
        <v>1.0</v>
      </c>
      <c r="G223" s="77"/>
      <c r="H223" s="73">
        <v>4.8</v>
      </c>
      <c r="I223" s="43"/>
      <c r="J223" s="43">
        <v>0.3</v>
      </c>
      <c r="K223" s="43">
        <f>K222</f>
        <v>5</v>
      </c>
      <c r="L223" s="43"/>
      <c r="M223" s="4" t="s">
        <v>615</v>
      </c>
      <c r="N223" s="58">
        <f t="shared" si="52"/>
        <v>32</v>
      </c>
      <c r="O223" s="4">
        <v>150.0</v>
      </c>
      <c r="P223" s="59"/>
      <c r="Q223" s="59"/>
      <c r="R223" s="63">
        <v>3017.0</v>
      </c>
      <c r="S223" s="14"/>
      <c r="T223" s="14"/>
      <c r="U223" s="14"/>
      <c r="V223" s="57"/>
      <c r="W223" s="4"/>
      <c r="X223" s="4" t="s">
        <v>615</v>
      </c>
      <c r="Y223" s="4"/>
      <c r="Z223" s="60" t="s">
        <v>1565</v>
      </c>
      <c r="AA223" s="8"/>
      <c r="AB223" s="8"/>
      <c r="AC223" s="8"/>
      <c r="AD223" s="9"/>
      <c r="AE223" s="90"/>
      <c r="AF223" s="90"/>
      <c r="AG223" s="90"/>
      <c r="AH223" s="53"/>
      <c r="AI223" s="53"/>
    </row>
    <row r="224">
      <c r="A224" s="43"/>
      <c r="B224" s="4"/>
      <c r="C224" s="43"/>
      <c r="D224" s="43"/>
      <c r="E224" s="57"/>
      <c r="F224" s="43"/>
      <c r="G224" s="73"/>
      <c r="H224" s="77"/>
      <c r="I224" s="43"/>
      <c r="J224" s="43"/>
      <c r="K224" s="43"/>
      <c r="L224" s="43"/>
      <c r="M224" s="4"/>
      <c r="N224" s="58"/>
      <c r="O224" s="14"/>
      <c r="P224" s="59"/>
      <c r="Q224" s="59"/>
      <c r="R224" s="63"/>
      <c r="S224" s="14"/>
      <c r="T224" s="14"/>
      <c r="U224" s="14"/>
      <c r="V224" s="57"/>
      <c r="W224" s="4"/>
      <c r="X224" s="4"/>
      <c r="Y224" s="4"/>
      <c r="Z224" s="60"/>
      <c r="AA224" s="8"/>
      <c r="AB224" s="8"/>
      <c r="AC224" s="8"/>
      <c r="AD224" s="9"/>
      <c r="AE224" s="90"/>
      <c r="AF224" s="90"/>
      <c r="AG224" s="90"/>
      <c r="AH224" s="53"/>
      <c r="AI224" s="53"/>
    </row>
    <row r="225">
      <c r="A225" s="43"/>
      <c r="B225" s="4"/>
      <c r="C225" s="43"/>
      <c r="D225" s="43"/>
      <c r="E225" s="57"/>
      <c r="F225" s="43"/>
      <c r="G225" s="73"/>
      <c r="H225" s="77"/>
      <c r="I225" s="43"/>
      <c r="J225" s="43"/>
      <c r="K225" s="43"/>
      <c r="L225" s="43"/>
      <c r="M225" s="4"/>
      <c r="N225" s="58"/>
      <c r="O225" s="14"/>
      <c r="P225" s="59"/>
      <c r="Q225" s="59"/>
      <c r="R225" s="63"/>
      <c r="S225" s="14"/>
      <c r="T225" s="14"/>
      <c r="U225" s="14"/>
      <c r="V225" s="57"/>
      <c r="W225" s="4"/>
      <c r="X225" s="4"/>
      <c r="Y225" s="4"/>
      <c r="Z225" s="60"/>
      <c r="AA225" s="8"/>
      <c r="AB225" s="8"/>
      <c r="AC225" s="8"/>
      <c r="AD225" s="9"/>
      <c r="AE225" s="90"/>
      <c r="AF225" s="90"/>
      <c r="AG225" s="90"/>
      <c r="AH225" s="53"/>
      <c r="AI225" s="53"/>
    </row>
    <row r="226">
      <c r="A226" s="43"/>
      <c r="B226" s="4"/>
      <c r="C226" s="43"/>
      <c r="D226" s="43"/>
      <c r="E226" s="57"/>
      <c r="F226" s="43"/>
      <c r="G226" s="73"/>
      <c r="H226" s="77"/>
      <c r="I226" s="43"/>
      <c r="J226" s="43"/>
      <c r="K226" s="43"/>
      <c r="L226" s="43"/>
      <c r="M226" s="4"/>
      <c r="N226" s="58"/>
      <c r="O226" s="14"/>
      <c r="P226" s="59"/>
      <c r="Q226" s="59"/>
      <c r="R226" s="63"/>
      <c r="S226" s="14"/>
      <c r="T226" s="14"/>
      <c r="U226" s="14"/>
      <c r="V226" s="57"/>
      <c r="W226" s="4"/>
      <c r="X226" s="4"/>
      <c r="Y226" s="4"/>
      <c r="Z226" s="60"/>
      <c r="AA226" s="8"/>
      <c r="AB226" s="8"/>
      <c r="AC226" s="8"/>
      <c r="AD226" s="9"/>
      <c r="AE226" s="90"/>
      <c r="AF226" s="90"/>
      <c r="AG226" s="90"/>
      <c r="AH226" s="53"/>
      <c r="AI226" s="53"/>
    </row>
    <row r="227">
      <c r="A227" s="43"/>
      <c r="B227" s="4"/>
      <c r="C227" s="43"/>
      <c r="D227" s="43"/>
      <c r="E227" s="57"/>
      <c r="F227" s="43"/>
      <c r="G227" s="73"/>
      <c r="H227" s="77"/>
      <c r="I227" s="43"/>
      <c r="J227" s="43"/>
      <c r="K227" s="43"/>
      <c r="L227" s="43"/>
      <c r="M227" s="4"/>
      <c r="N227" s="58"/>
      <c r="O227" s="14"/>
      <c r="P227" s="59"/>
      <c r="Q227" s="59"/>
      <c r="R227" s="63"/>
      <c r="S227" s="14"/>
      <c r="T227" s="14"/>
      <c r="U227" s="14"/>
      <c r="V227" s="57"/>
      <c r="W227" s="4"/>
      <c r="X227" s="4"/>
      <c r="Y227" s="4"/>
      <c r="Z227" s="60"/>
      <c r="AA227" s="8"/>
      <c r="AB227" s="8"/>
      <c r="AC227" s="8"/>
      <c r="AD227" s="9"/>
      <c r="AE227" s="90"/>
      <c r="AF227" s="90"/>
      <c r="AG227" s="90"/>
      <c r="AH227" s="53"/>
      <c r="AI227" s="53"/>
    </row>
    <row r="228">
      <c r="A228" s="43"/>
      <c r="B228" s="4"/>
      <c r="C228" s="43"/>
      <c r="D228" s="43"/>
      <c r="E228" s="57"/>
      <c r="F228" s="43"/>
      <c r="G228" s="73"/>
      <c r="H228" s="77"/>
      <c r="I228" s="43"/>
      <c r="J228" s="43"/>
      <c r="K228" s="43"/>
      <c r="L228" s="43"/>
      <c r="M228" s="4"/>
      <c r="N228" s="58"/>
      <c r="O228" s="14"/>
      <c r="P228" s="59"/>
      <c r="Q228" s="59"/>
      <c r="R228" s="63"/>
      <c r="S228" s="14"/>
      <c r="T228" s="14"/>
      <c r="U228" s="14"/>
      <c r="V228" s="57"/>
      <c r="W228" s="4"/>
      <c r="X228" s="4"/>
      <c r="Y228" s="4"/>
      <c r="Z228" s="60"/>
      <c r="AA228" s="8"/>
      <c r="AB228" s="8"/>
      <c r="AC228" s="8"/>
      <c r="AD228" s="9"/>
      <c r="AE228" s="90"/>
      <c r="AF228" s="90"/>
      <c r="AG228" s="90"/>
      <c r="AH228" s="53"/>
      <c r="AI228" s="53"/>
    </row>
    <row r="229">
      <c r="C229" s="51"/>
      <c r="D229" s="51"/>
      <c r="E229" s="51"/>
      <c r="F229" s="51"/>
      <c r="G229" s="51"/>
      <c r="H229" s="51"/>
      <c r="I229" s="51"/>
      <c r="J229" s="51"/>
      <c r="K229" s="51"/>
      <c r="L229" s="51"/>
      <c r="N229" s="52"/>
      <c r="P229" s="53"/>
      <c r="Q229" s="53"/>
      <c r="R229" s="53"/>
      <c r="V229" s="51"/>
      <c r="AE229" s="90"/>
    </row>
    <row r="230">
      <c r="A230" s="3" t="s">
        <v>449</v>
      </c>
      <c r="B230" s="3" t="s">
        <v>454</v>
      </c>
      <c r="C230" s="40" t="s">
        <v>455</v>
      </c>
      <c r="D230" s="40" t="s">
        <v>456</v>
      </c>
      <c r="E230" s="40" t="s">
        <v>457</v>
      </c>
      <c r="F230" s="40" t="s">
        <v>458</v>
      </c>
      <c r="G230" s="40" t="s">
        <v>461</v>
      </c>
      <c r="H230" s="40" t="s">
        <v>462</v>
      </c>
      <c r="I230" s="40" t="s">
        <v>265</v>
      </c>
      <c r="J230" s="40" t="s">
        <v>465</v>
      </c>
      <c r="K230" s="40" t="s">
        <v>466</v>
      </c>
      <c r="L230" s="40" t="s">
        <v>468</v>
      </c>
      <c r="M230" s="3" t="s">
        <v>469</v>
      </c>
      <c r="N230" s="54" t="s">
        <v>470</v>
      </c>
      <c r="O230" s="3" t="s">
        <v>471</v>
      </c>
      <c r="P230" s="56" t="s">
        <v>472</v>
      </c>
      <c r="Q230" s="56" t="s">
        <v>1081</v>
      </c>
      <c r="R230" s="56" t="s">
        <v>483</v>
      </c>
      <c r="S230" s="56" t="s">
        <v>484</v>
      </c>
      <c r="T230" s="3" t="s">
        <v>485</v>
      </c>
      <c r="U230" s="56" t="s">
        <v>486</v>
      </c>
      <c r="V230" s="43" t="s">
        <v>487</v>
      </c>
      <c r="W230" s="3" t="s">
        <v>489</v>
      </c>
      <c r="X230" s="3" t="s">
        <v>491</v>
      </c>
      <c r="Y230" s="3" t="s">
        <v>493</v>
      </c>
      <c r="Z230" s="6" t="s">
        <v>495</v>
      </c>
      <c r="AA230" s="8"/>
      <c r="AB230" s="8"/>
      <c r="AC230" s="8"/>
      <c r="AD230" s="9"/>
      <c r="AE230" s="90"/>
    </row>
    <row r="231">
      <c r="A231" s="43">
        <v>400001.0</v>
      </c>
      <c r="B231" s="4" t="s">
        <v>1575</v>
      </c>
      <c r="C231" s="43">
        <v>2.0</v>
      </c>
      <c r="D231" s="57"/>
      <c r="E231" s="57"/>
      <c r="F231" s="43">
        <v>1.0</v>
      </c>
      <c r="G231" s="4">
        <v>2.0</v>
      </c>
      <c r="H231" s="14"/>
      <c r="I231" s="57"/>
      <c r="J231" s="57"/>
      <c r="K231" s="57"/>
      <c r="L231" s="57"/>
      <c r="M231" s="4" t="s">
        <v>527</v>
      </c>
      <c r="N231" s="95">
        <v>30.0</v>
      </c>
      <c r="O231" s="14"/>
      <c r="P231" s="59"/>
      <c r="Q231" s="59"/>
      <c r="R231" s="59"/>
      <c r="S231" s="14"/>
      <c r="T231" s="14"/>
      <c r="U231" s="14"/>
      <c r="V231" s="14"/>
      <c r="W231" s="14"/>
      <c r="X231" s="4" t="s">
        <v>765</v>
      </c>
      <c r="Y231" s="14"/>
      <c r="Z231" s="60" t="s">
        <v>1578</v>
      </c>
      <c r="AA231" s="8"/>
      <c r="AB231" s="8"/>
      <c r="AC231" s="8"/>
      <c r="AD231" s="9"/>
      <c r="AE231" s="90"/>
    </row>
    <row r="232">
      <c r="A232" s="43">
        <v>400002.0</v>
      </c>
      <c r="B232" s="4" t="s">
        <v>1579</v>
      </c>
      <c r="C232" s="43">
        <v>1.0</v>
      </c>
      <c r="D232" s="57"/>
      <c r="E232" s="57"/>
      <c r="F232" s="43">
        <v>1.0</v>
      </c>
      <c r="G232" s="4">
        <v>4.0</v>
      </c>
      <c r="H232" s="14"/>
      <c r="I232" s="57"/>
      <c r="J232" s="57"/>
      <c r="K232" s="57"/>
      <c r="L232" s="57"/>
      <c r="M232" s="4" t="s">
        <v>527</v>
      </c>
      <c r="N232" s="58">
        <v>18.0</v>
      </c>
      <c r="O232" s="14"/>
      <c r="P232" s="59"/>
      <c r="Q232" s="14"/>
      <c r="R232" s="63">
        <v>4003.0</v>
      </c>
      <c r="S232" s="63">
        <v>0.4</v>
      </c>
      <c r="T232" s="14"/>
      <c r="U232" s="14"/>
      <c r="V232" s="14"/>
      <c r="W232" s="14"/>
      <c r="X232" s="4" t="s">
        <v>529</v>
      </c>
      <c r="Y232" s="14"/>
      <c r="Z232" s="60" t="s">
        <v>665</v>
      </c>
      <c r="AA232" s="8"/>
      <c r="AB232" s="8"/>
      <c r="AC232" s="8"/>
      <c r="AD232" s="9"/>
    </row>
    <row r="233">
      <c r="A233" s="43">
        <v>400003.0</v>
      </c>
      <c r="B233" s="4" t="s">
        <v>1582</v>
      </c>
      <c r="C233" s="43">
        <v>3.0</v>
      </c>
      <c r="D233" s="57"/>
      <c r="E233" s="57"/>
      <c r="F233" s="43">
        <v>1.0</v>
      </c>
      <c r="G233" s="4">
        <v>1.8</v>
      </c>
      <c r="H233" s="14"/>
      <c r="I233" s="57"/>
      <c r="J233" s="57"/>
      <c r="K233" s="57"/>
      <c r="L233" s="57"/>
      <c r="M233" s="4" t="s">
        <v>527</v>
      </c>
      <c r="N233" s="58">
        <v>40.0</v>
      </c>
      <c r="O233" s="14"/>
      <c r="P233" s="59"/>
      <c r="Q233" s="14"/>
      <c r="R233" s="63">
        <v>5002.0</v>
      </c>
      <c r="S233" s="63">
        <v>0.25</v>
      </c>
      <c r="T233" s="14"/>
      <c r="U233" s="14"/>
      <c r="V233" s="14"/>
      <c r="W233" s="14"/>
      <c r="X233" s="61" t="s">
        <v>569</v>
      </c>
      <c r="Y233" s="14"/>
      <c r="Z233" s="60" t="s">
        <v>1584</v>
      </c>
      <c r="AA233" s="8"/>
      <c r="AB233" s="8"/>
      <c r="AC233" s="8"/>
      <c r="AD233" s="9"/>
    </row>
    <row r="234">
      <c r="A234" s="43">
        <v>400004.0</v>
      </c>
      <c r="B234" s="4" t="s">
        <v>1586</v>
      </c>
      <c r="C234" s="43">
        <v>1.0</v>
      </c>
      <c r="D234" s="57"/>
      <c r="E234" s="57"/>
      <c r="F234" s="43">
        <v>1.0</v>
      </c>
      <c r="G234" s="4">
        <v>4.0</v>
      </c>
      <c r="H234" s="14"/>
      <c r="I234" s="57"/>
      <c r="J234" s="57"/>
      <c r="K234" s="57"/>
      <c r="L234" s="57"/>
      <c r="M234" s="4" t="s">
        <v>527</v>
      </c>
      <c r="N234" s="58">
        <v>13.0</v>
      </c>
      <c r="O234" s="14"/>
      <c r="P234" s="59"/>
      <c r="Q234" s="14"/>
      <c r="R234" s="63">
        <v>2002.0</v>
      </c>
      <c r="S234" s="63">
        <v>0.4</v>
      </c>
      <c r="T234" s="14"/>
      <c r="U234" s="14"/>
      <c r="V234" s="14"/>
      <c r="W234" s="14"/>
      <c r="X234" s="4" t="s">
        <v>679</v>
      </c>
      <c r="Y234" s="14"/>
      <c r="Z234" s="60" t="s">
        <v>1587</v>
      </c>
      <c r="AA234" s="8"/>
      <c r="AB234" s="8"/>
      <c r="AC234" s="8"/>
      <c r="AD234" s="9"/>
    </row>
    <row r="235">
      <c r="A235" s="43">
        <v>400005.0</v>
      </c>
      <c r="B235" s="4" t="s">
        <v>1588</v>
      </c>
      <c r="C235" s="43">
        <v>3.0</v>
      </c>
      <c r="D235" s="57"/>
      <c r="E235" s="57"/>
      <c r="F235" s="43">
        <v>1.0</v>
      </c>
      <c r="G235" s="14"/>
      <c r="H235" s="4">
        <v>1.9</v>
      </c>
      <c r="I235" s="57"/>
      <c r="J235" s="57"/>
      <c r="K235" s="57"/>
      <c r="L235" s="57"/>
      <c r="M235" s="4" t="s">
        <v>566</v>
      </c>
      <c r="N235" s="58">
        <v>42.0</v>
      </c>
      <c r="O235" s="14"/>
      <c r="P235" s="59"/>
      <c r="Q235" s="14"/>
      <c r="R235" s="59"/>
      <c r="S235" s="59"/>
      <c r="T235" s="14"/>
      <c r="U235" s="14"/>
      <c r="V235" s="14"/>
      <c r="W235" s="61" t="s">
        <v>567</v>
      </c>
      <c r="X235" s="61" t="s">
        <v>569</v>
      </c>
      <c r="Y235" s="14"/>
      <c r="Z235" s="60" t="s">
        <v>1589</v>
      </c>
      <c r="AA235" s="8"/>
      <c r="AB235" s="8"/>
      <c r="AC235" s="8"/>
      <c r="AD235" s="9"/>
    </row>
    <row r="236">
      <c r="A236" s="43">
        <v>400006.0</v>
      </c>
      <c r="B236" s="4" t="s">
        <v>1590</v>
      </c>
      <c r="C236" s="43">
        <v>3.0</v>
      </c>
      <c r="D236" s="57"/>
      <c r="E236" s="57"/>
      <c r="F236" s="43">
        <v>1.0</v>
      </c>
      <c r="G236" s="4">
        <v>1.8</v>
      </c>
      <c r="H236" s="14"/>
      <c r="I236" s="57"/>
      <c r="J236" s="57"/>
      <c r="K236" s="57"/>
      <c r="L236" s="57"/>
      <c r="M236" s="4" t="s">
        <v>527</v>
      </c>
      <c r="N236" s="58">
        <v>43.0</v>
      </c>
      <c r="O236" s="14"/>
      <c r="P236" s="59"/>
      <c r="Q236" s="14"/>
      <c r="R236" s="59"/>
      <c r="S236" s="59"/>
      <c r="T236" s="14"/>
      <c r="U236" s="14"/>
      <c r="V236" s="14"/>
      <c r="W236" s="14"/>
      <c r="X236" s="61" t="s">
        <v>569</v>
      </c>
      <c r="Y236" s="14"/>
      <c r="Z236" s="60" t="s">
        <v>1592</v>
      </c>
      <c r="AA236" s="8"/>
      <c r="AB236" s="8"/>
      <c r="AC236" s="8"/>
      <c r="AD236" s="9"/>
    </row>
    <row r="237">
      <c r="A237" s="43">
        <v>400007.0</v>
      </c>
      <c r="B237" s="4" t="s">
        <v>1593</v>
      </c>
      <c r="C237" s="43">
        <v>5.0</v>
      </c>
      <c r="D237" s="57"/>
      <c r="E237" s="57"/>
      <c r="F237" s="43">
        <v>1.0</v>
      </c>
      <c r="G237" s="14"/>
      <c r="H237" s="4">
        <v>1.0</v>
      </c>
      <c r="I237" s="57"/>
      <c r="J237" s="57"/>
      <c r="K237" s="57"/>
      <c r="L237" s="57"/>
      <c r="M237" s="4" t="s">
        <v>566</v>
      </c>
      <c r="N237" s="58">
        <v>55.0</v>
      </c>
      <c r="O237" s="14"/>
      <c r="P237" s="59"/>
      <c r="Q237" s="14"/>
      <c r="R237" s="63">
        <v>2004.0</v>
      </c>
      <c r="S237" s="63">
        <v>0.4</v>
      </c>
      <c r="T237" s="14"/>
      <c r="U237" s="14"/>
      <c r="V237" s="14"/>
      <c r="W237" s="61" t="s">
        <v>567</v>
      </c>
      <c r="X237" s="4" t="s">
        <v>640</v>
      </c>
      <c r="Y237" s="14"/>
      <c r="Z237" s="60" t="s">
        <v>1594</v>
      </c>
      <c r="AA237" s="8"/>
      <c r="AB237" s="8"/>
      <c r="AC237" s="8"/>
      <c r="AD237" s="9"/>
    </row>
    <row r="238">
      <c r="A238" s="43">
        <v>400008.0</v>
      </c>
      <c r="B238" s="4" t="s">
        <v>1595</v>
      </c>
      <c r="C238" s="43">
        <v>2.0</v>
      </c>
      <c r="D238" s="57"/>
      <c r="E238" s="57"/>
      <c r="F238" s="43">
        <v>1.0</v>
      </c>
      <c r="G238" s="4">
        <v>1.8</v>
      </c>
      <c r="H238" s="14"/>
      <c r="I238" s="57"/>
      <c r="J238" s="57"/>
      <c r="K238" s="57"/>
      <c r="L238" s="57"/>
      <c r="M238" s="4" t="s">
        <v>527</v>
      </c>
      <c r="N238" s="95">
        <v>30.0</v>
      </c>
      <c r="O238" s="14"/>
      <c r="P238" s="59"/>
      <c r="Q238" s="14"/>
      <c r="R238" s="63">
        <v>4004.0</v>
      </c>
      <c r="S238" s="63">
        <v>0.5</v>
      </c>
      <c r="T238" s="14"/>
      <c r="U238" s="14"/>
      <c r="V238" s="14"/>
      <c r="W238" s="14"/>
      <c r="X238" s="4" t="s">
        <v>679</v>
      </c>
      <c r="Y238" s="14"/>
      <c r="Z238" s="60" t="s">
        <v>1596</v>
      </c>
      <c r="AA238" s="8"/>
      <c r="AB238" s="8"/>
      <c r="AC238" s="8"/>
      <c r="AD238" s="9"/>
    </row>
    <row r="239">
      <c r="A239" s="43">
        <v>400009.0</v>
      </c>
      <c r="B239" s="4" t="s">
        <v>1597</v>
      </c>
      <c r="C239" s="43">
        <v>1.0</v>
      </c>
      <c r="D239" s="57"/>
      <c r="E239" s="57"/>
      <c r="F239" s="43">
        <v>1.0</v>
      </c>
      <c r="G239" s="14"/>
      <c r="H239" s="4">
        <v>3.5</v>
      </c>
      <c r="I239" s="57"/>
      <c r="J239" s="57"/>
      <c r="K239" s="57"/>
      <c r="L239" s="57"/>
      <c r="M239" s="4" t="s">
        <v>566</v>
      </c>
      <c r="N239" s="58">
        <v>17.0</v>
      </c>
      <c r="O239" s="14"/>
      <c r="P239" s="59"/>
      <c r="Q239" s="14"/>
      <c r="R239" s="63">
        <v>4001.0</v>
      </c>
      <c r="S239" s="63">
        <v>0.6</v>
      </c>
      <c r="T239" s="14"/>
      <c r="U239" s="14"/>
      <c r="V239" s="14"/>
      <c r="W239" s="61" t="s">
        <v>603</v>
      </c>
      <c r="X239" s="4" t="s">
        <v>604</v>
      </c>
      <c r="Y239" s="14"/>
      <c r="Z239" s="60" t="s">
        <v>1599</v>
      </c>
      <c r="AA239" s="8"/>
      <c r="AB239" s="8"/>
      <c r="AC239" s="8"/>
      <c r="AD239" s="9"/>
    </row>
    <row r="240">
      <c r="A240" s="43">
        <v>400010.0</v>
      </c>
      <c r="B240" s="4" t="s">
        <v>1600</v>
      </c>
      <c r="C240" s="43">
        <v>2.0</v>
      </c>
      <c r="D240" s="57"/>
      <c r="E240" s="57"/>
      <c r="F240" s="43">
        <v>1.0</v>
      </c>
      <c r="G240" s="4">
        <v>1.2</v>
      </c>
      <c r="H240" s="14"/>
      <c r="I240" s="57"/>
      <c r="J240" s="57"/>
      <c r="K240" s="57"/>
      <c r="L240" s="57"/>
      <c r="M240" s="4" t="s">
        <v>527</v>
      </c>
      <c r="N240" s="58">
        <v>28.0</v>
      </c>
      <c r="O240" s="14"/>
      <c r="P240" s="59"/>
      <c r="Q240" s="14"/>
      <c r="R240" s="63">
        <v>5004.0</v>
      </c>
      <c r="S240" s="63">
        <v>0.3</v>
      </c>
      <c r="T240" s="14"/>
      <c r="U240" s="14"/>
      <c r="V240" s="57"/>
      <c r="W240" s="61" t="s">
        <v>567</v>
      </c>
      <c r="X240" s="61" t="s">
        <v>569</v>
      </c>
      <c r="Y240" s="14"/>
      <c r="Z240" s="60" t="s">
        <v>1601</v>
      </c>
      <c r="AA240" s="8"/>
      <c r="AB240" s="8"/>
      <c r="AC240" s="8"/>
      <c r="AD240" s="9"/>
    </row>
    <row r="241">
      <c r="A241" s="43">
        <v>400011.0</v>
      </c>
      <c r="B241" s="4" t="s">
        <v>1602</v>
      </c>
      <c r="C241" s="43">
        <v>2.0</v>
      </c>
      <c r="D241" s="57"/>
      <c r="E241" s="57"/>
      <c r="F241" s="43">
        <v>1.0</v>
      </c>
      <c r="G241" s="14"/>
      <c r="H241" s="4">
        <v>2.0</v>
      </c>
      <c r="I241" s="57"/>
      <c r="J241" s="57"/>
      <c r="K241" s="57"/>
      <c r="L241" s="57"/>
      <c r="M241" s="4" t="s">
        <v>566</v>
      </c>
      <c r="N241" s="58">
        <v>29.0</v>
      </c>
      <c r="O241" s="14"/>
      <c r="P241" s="59"/>
      <c r="Q241" s="14"/>
      <c r="R241" s="59"/>
      <c r="S241" s="59"/>
      <c r="T241" s="14"/>
      <c r="U241" s="14"/>
      <c r="V241" s="57"/>
      <c r="W241" s="61" t="s">
        <v>567</v>
      </c>
      <c r="X241" s="61" t="s">
        <v>569</v>
      </c>
      <c r="Y241" s="14"/>
      <c r="Z241" s="60" t="s">
        <v>1604</v>
      </c>
      <c r="AA241" s="8"/>
      <c r="AB241" s="8"/>
      <c r="AC241" s="8"/>
      <c r="AD241" s="9"/>
    </row>
    <row r="242">
      <c r="A242" s="43">
        <v>400012.0</v>
      </c>
      <c r="B242" s="4" t="s">
        <v>1605</v>
      </c>
      <c r="C242" s="43">
        <v>2.0</v>
      </c>
      <c r="D242" s="57"/>
      <c r="E242" s="57"/>
      <c r="F242" s="43">
        <v>1.0</v>
      </c>
      <c r="G242" s="14"/>
      <c r="H242" s="4">
        <v>2.0</v>
      </c>
      <c r="I242" s="57"/>
      <c r="J242" s="57"/>
      <c r="K242" s="57"/>
      <c r="L242" s="57"/>
      <c r="M242" s="4" t="s">
        <v>566</v>
      </c>
      <c r="N242" s="58">
        <v>23.0</v>
      </c>
      <c r="O242" s="14"/>
      <c r="P242" s="59"/>
      <c r="Q242" s="14"/>
      <c r="R242" s="63">
        <v>4001.0</v>
      </c>
      <c r="S242" s="63">
        <v>0.4</v>
      </c>
      <c r="T242" s="14"/>
      <c r="U242" s="14"/>
      <c r="V242" s="57"/>
      <c r="W242" s="61" t="s">
        <v>603</v>
      </c>
      <c r="X242" s="4" t="s">
        <v>604</v>
      </c>
      <c r="Y242" s="14"/>
      <c r="Z242" s="60" t="s">
        <v>1606</v>
      </c>
      <c r="AA242" s="8"/>
      <c r="AB242" s="8"/>
      <c r="AC242" s="8"/>
      <c r="AD242" s="9"/>
    </row>
    <row r="243">
      <c r="A243" s="43">
        <v>400013.0</v>
      </c>
      <c r="B243" s="4" t="s">
        <v>1608</v>
      </c>
      <c r="C243" s="43">
        <v>2.0</v>
      </c>
      <c r="D243" s="57"/>
      <c r="E243" s="57"/>
      <c r="F243" s="43">
        <v>1.0</v>
      </c>
      <c r="G243" s="14"/>
      <c r="H243" s="4">
        <v>2.0</v>
      </c>
      <c r="I243" s="57"/>
      <c r="J243" s="57"/>
      <c r="K243" s="57"/>
      <c r="L243" s="57"/>
      <c r="M243" s="4" t="s">
        <v>566</v>
      </c>
      <c r="N243" s="58">
        <v>27.0</v>
      </c>
      <c r="O243" s="14"/>
      <c r="P243" s="59"/>
      <c r="Q243" s="14"/>
      <c r="R243" s="63">
        <v>4002.0</v>
      </c>
      <c r="S243" s="63">
        <v>0.4</v>
      </c>
      <c r="T243" s="14"/>
      <c r="U243" s="14"/>
      <c r="V243" s="57"/>
      <c r="W243" s="61" t="s">
        <v>567</v>
      </c>
      <c r="X243" s="61" t="s">
        <v>569</v>
      </c>
      <c r="Y243" s="14"/>
      <c r="Z243" s="60" t="s">
        <v>1609</v>
      </c>
      <c r="AA243" s="8"/>
      <c r="AB243" s="8"/>
      <c r="AC243" s="8"/>
      <c r="AD243" s="9"/>
    </row>
    <row r="244">
      <c r="A244" s="43">
        <v>400014.0</v>
      </c>
      <c r="B244" s="4" t="s">
        <v>1610</v>
      </c>
      <c r="C244" s="43">
        <v>4.0</v>
      </c>
      <c r="D244" s="57"/>
      <c r="E244" s="57"/>
      <c r="F244" s="43">
        <v>1.0</v>
      </c>
      <c r="G244" s="4">
        <v>1.2</v>
      </c>
      <c r="H244" s="14"/>
      <c r="I244" s="57"/>
      <c r="J244" s="57"/>
      <c r="K244" s="57"/>
      <c r="L244" s="57"/>
      <c r="M244" s="4" t="s">
        <v>527</v>
      </c>
      <c r="N244" s="58">
        <v>51.0</v>
      </c>
      <c r="O244" s="14"/>
      <c r="P244" s="59"/>
      <c r="Q244" s="14"/>
      <c r="R244" s="63">
        <v>4004.0</v>
      </c>
      <c r="S244" s="63">
        <v>0.5</v>
      </c>
      <c r="T244" s="14"/>
      <c r="U244" s="14"/>
      <c r="V244" s="57"/>
      <c r="W244" s="14"/>
      <c r="X244" s="4" t="s">
        <v>529</v>
      </c>
      <c r="Y244" s="14"/>
      <c r="Z244" s="60" t="s">
        <v>1611</v>
      </c>
      <c r="AA244" s="8"/>
      <c r="AB244" s="8"/>
      <c r="AC244" s="8"/>
      <c r="AD244" s="9"/>
    </row>
    <row r="245">
      <c r="A245" s="43">
        <v>400015.0</v>
      </c>
      <c r="B245" s="4" t="s">
        <v>1613</v>
      </c>
      <c r="C245" s="43">
        <v>2.0</v>
      </c>
      <c r="D245" s="57"/>
      <c r="E245" s="57"/>
      <c r="F245" s="43">
        <v>1.0</v>
      </c>
      <c r="G245" s="14"/>
      <c r="H245" s="4">
        <v>2.0</v>
      </c>
      <c r="I245" s="57"/>
      <c r="J245" s="57"/>
      <c r="K245" s="57"/>
      <c r="L245" s="57"/>
      <c r="M245" s="4" t="s">
        <v>566</v>
      </c>
      <c r="N245" s="58">
        <v>28.0</v>
      </c>
      <c r="O245" s="14"/>
      <c r="P245" s="59"/>
      <c r="Q245" s="14"/>
      <c r="R245" s="63">
        <v>2001.0</v>
      </c>
      <c r="S245" s="63">
        <v>0.6</v>
      </c>
      <c r="T245" s="14"/>
      <c r="U245" s="14"/>
      <c r="V245" s="57"/>
      <c r="W245" s="14"/>
      <c r="X245" s="4" t="s">
        <v>765</v>
      </c>
      <c r="Y245" s="14"/>
      <c r="Z245" s="60" t="s">
        <v>1614</v>
      </c>
      <c r="AA245" s="8"/>
      <c r="AB245" s="8"/>
      <c r="AC245" s="8"/>
      <c r="AD245" s="9"/>
    </row>
    <row r="246">
      <c r="A246" s="43">
        <v>400016.0</v>
      </c>
      <c r="B246" s="4" t="s">
        <v>1615</v>
      </c>
      <c r="C246" s="43">
        <v>3.0</v>
      </c>
      <c r="D246" s="57"/>
      <c r="E246" s="57"/>
      <c r="F246" s="43">
        <v>1.0</v>
      </c>
      <c r="G246" s="43">
        <v>3.0</v>
      </c>
      <c r="H246" s="57"/>
      <c r="I246" s="57"/>
      <c r="J246" s="57"/>
      <c r="K246" s="57"/>
      <c r="L246" s="57"/>
      <c r="M246" s="4" t="s">
        <v>527</v>
      </c>
      <c r="N246" s="58">
        <v>25.0</v>
      </c>
      <c r="O246" s="14"/>
      <c r="P246" s="59"/>
      <c r="Q246" s="59"/>
      <c r="R246" s="59"/>
      <c r="S246" s="14"/>
      <c r="T246" s="14"/>
      <c r="U246" s="14"/>
      <c r="V246" s="57"/>
      <c r="W246" s="14"/>
      <c r="X246" s="4" t="s">
        <v>529</v>
      </c>
      <c r="Y246" s="14"/>
      <c r="Z246" s="60" t="s">
        <v>1616</v>
      </c>
      <c r="AA246" s="8"/>
      <c r="AB246" s="8"/>
      <c r="AC246" s="8"/>
      <c r="AD246" s="9"/>
    </row>
    <row r="247">
      <c r="A247" s="43">
        <v>400017.0</v>
      </c>
      <c r="B247" s="4" t="s">
        <v>1618</v>
      </c>
      <c r="C247" s="43">
        <v>-4.0</v>
      </c>
      <c r="D247" s="57"/>
      <c r="E247" s="57"/>
      <c r="F247" s="43">
        <v>1.0</v>
      </c>
      <c r="G247" s="57"/>
      <c r="H247" s="43">
        <v>2.5</v>
      </c>
      <c r="I247" s="57"/>
      <c r="J247" s="57"/>
      <c r="K247" s="57"/>
      <c r="L247" s="57"/>
      <c r="M247" s="4" t="s">
        <v>566</v>
      </c>
      <c r="N247" s="58">
        <v>80.0</v>
      </c>
      <c r="O247" s="14"/>
      <c r="P247" s="59"/>
      <c r="Q247" s="59"/>
      <c r="R247" s="59"/>
      <c r="S247" s="14"/>
      <c r="T247" s="14"/>
      <c r="U247" s="14"/>
      <c r="V247" s="57"/>
      <c r="W247" s="14"/>
      <c r="X247" s="4" t="s">
        <v>573</v>
      </c>
      <c r="Y247" s="14"/>
      <c r="Z247" s="60" t="s">
        <v>1619</v>
      </c>
      <c r="AA247" s="8"/>
      <c r="AB247" s="8"/>
      <c r="AC247" s="8"/>
      <c r="AD247" s="9"/>
    </row>
    <row r="248">
      <c r="A248" s="43">
        <v>400018.0</v>
      </c>
      <c r="B248" s="4" t="s">
        <v>1620</v>
      </c>
      <c r="C248" s="43">
        <v>3.0</v>
      </c>
      <c r="D248" s="57"/>
      <c r="E248" s="57"/>
      <c r="F248" s="43">
        <v>1.0</v>
      </c>
      <c r="G248" s="57"/>
      <c r="H248" s="43">
        <v>2.0</v>
      </c>
      <c r="I248" s="57"/>
      <c r="J248" s="57"/>
      <c r="K248" s="57"/>
      <c r="L248" s="57"/>
      <c r="M248" s="4" t="s">
        <v>566</v>
      </c>
      <c r="N248" s="58">
        <v>45.0</v>
      </c>
      <c r="O248" s="14"/>
      <c r="P248" s="59"/>
      <c r="Q248" s="59"/>
      <c r="R248" s="63" t="str">
        <f>"4001.4002"</f>
        <v>4001.4002</v>
      </c>
      <c r="S248" s="14"/>
      <c r="T248" s="14"/>
      <c r="U248" s="14"/>
      <c r="V248" s="57"/>
      <c r="W248" s="61" t="s">
        <v>603</v>
      </c>
      <c r="X248" s="4" t="s">
        <v>604</v>
      </c>
      <c r="Y248" s="14"/>
      <c r="Z248" s="60" t="s">
        <v>1621</v>
      </c>
      <c r="AA248" s="8"/>
      <c r="AB248" s="8"/>
      <c r="AC248" s="8"/>
      <c r="AD248" s="9"/>
    </row>
    <row r="249">
      <c r="A249" s="43">
        <v>400019.0</v>
      </c>
      <c r="B249" s="2" t="s">
        <v>1622</v>
      </c>
      <c r="C249" s="43">
        <v>2.0</v>
      </c>
      <c r="D249" s="57"/>
      <c r="E249" s="57"/>
      <c r="F249" s="43">
        <v>1.0</v>
      </c>
      <c r="G249" s="57"/>
      <c r="H249" s="43">
        <v>2.8</v>
      </c>
      <c r="I249" s="57"/>
      <c r="J249" s="57"/>
      <c r="K249" s="57"/>
      <c r="L249" s="57"/>
      <c r="M249" s="4" t="s">
        <v>566</v>
      </c>
      <c r="N249" s="58">
        <v>45.0</v>
      </c>
      <c r="O249" s="14"/>
      <c r="P249" s="59"/>
      <c r="Q249" s="59"/>
      <c r="R249" s="63"/>
      <c r="S249" s="14"/>
      <c r="T249" s="14"/>
      <c r="U249" s="14"/>
      <c r="V249" s="57"/>
      <c r="W249" s="61" t="s">
        <v>567</v>
      </c>
      <c r="X249" s="61" t="s">
        <v>569</v>
      </c>
      <c r="Y249" s="14"/>
      <c r="Z249" s="60" t="s">
        <v>1589</v>
      </c>
      <c r="AA249" s="8"/>
      <c r="AB249" s="8"/>
      <c r="AC249" s="8"/>
      <c r="AD249" s="9"/>
    </row>
    <row r="250">
      <c r="A250" s="43">
        <v>400020.0</v>
      </c>
      <c r="B250" s="4" t="s">
        <v>1624</v>
      </c>
      <c r="C250" s="43">
        <v>5.0</v>
      </c>
      <c r="D250" s="57"/>
      <c r="E250" s="57"/>
      <c r="F250" s="43">
        <v>2.0</v>
      </c>
      <c r="G250" s="57"/>
      <c r="H250" s="43">
        <v>0.5</v>
      </c>
      <c r="I250" s="57"/>
      <c r="J250" s="57"/>
      <c r="K250" s="57"/>
      <c r="L250" s="57"/>
      <c r="M250" s="4" t="s">
        <v>566</v>
      </c>
      <c r="N250" s="58">
        <v>45.0</v>
      </c>
      <c r="O250" s="14"/>
      <c r="P250" s="59"/>
      <c r="Q250" s="59"/>
      <c r="R250" s="63"/>
      <c r="S250" s="14"/>
      <c r="T250" s="14"/>
      <c r="U250" s="14"/>
      <c r="V250" s="57"/>
      <c r="W250" s="61" t="s">
        <v>603</v>
      </c>
      <c r="X250" s="4" t="s">
        <v>529</v>
      </c>
      <c r="Y250" s="14"/>
      <c r="Z250" s="60" t="s">
        <v>1589</v>
      </c>
      <c r="AA250" s="8"/>
      <c r="AB250" s="8"/>
      <c r="AC250" s="8"/>
      <c r="AD250" s="9"/>
    </row>
    <row r="251">
      <c r="A251" s="43">
        <v>400021.0</v>
      </c>
      <c r="B251" s="4" t="s">
        <v>1626</v>
      </c>
      <c r="C251" s="43">
        <v>1.0</v>
      </c>
      <c r="D251" s="57"/>
      <c r="E251" s="57"/>
      <c r="F251" s="43">
        <v>1.0</v>
      </c>
      <c r="G251" s="57"/>
      <c r="H251" s="43">
        <v>3.2</v>
      </c>
      <c r="I251" s="57"/>
      <c r="J251" s="57"/>
      <c r="K251" s="57"/>
      <c r="L251" s="57"/>
      <c r="M251" s="4" t="s">
        <v>566</v>
      </c>
      <c r="N251" s="58">
        <v>35.0</v>
      </c>
      <c r="O251" s="14"/>
      <c r="P251" s="59"/>
      <c r="Q251" s="59"/>
      <c r="R251" s="63"/>
      <c r="S251" s="14"/>
      <c r="T251" s="14"/>
      <c r="U251" s="14"/>
      <c r="V251" s="57"/>
      <c r="W251" s="61"/>
      <c r="X251" s="4" t="s">
        <v>569</v>
      </c>
      <c r="Y251" s="14"/>
      <c r="Z251" s="60" t="s">
        <v>1630</v>
      </c>
      <c r="AA251" s="8"/>
      <c r="AB251" s="8"/>
      <c r="AC251" s="8"/>
      <c r="AD251" s="9"/>
    </row>
    <row r="252">
      <c r="A252" s="43">
        <v>400022.0</v>
      </c>
      <c r="B252" s="4" t="s">
        <v>1633</v>
      </c>
      <c r="C252" s="43">
        <v>1.0</v>
      </c>
      <c r="D252" s="57"/>
      <c r="E252" s="57"/>
      <c r="F252" s="43">
        <v>1.0</v>
      </c>
      <c r="G252" s="57">
        <v>3.5</v>
      </c>
      <c r="H252" s="43"/>
      <c r="I252" s="57"/>
      <c r="J252" s="57"/>
      <c r="K252" s="57"/>
      <c r="L252" s="57"/>
      <c r="M252" s="4" t="s">
        <v>527</v>
      </c>
      <c r="N252" s="58">
        <v>30.0</v>
      </c>
      <c r="O252" s="14"/>
      <c r="P252" s="59"/>
      <c r="Q252" s="59"/>
      <c r="R252" s="63">
        <v>5002.0</v>
      </c>
      <c r="S252" s="14"/>
      <c r="T252" s="14"/>
      <c r="U252" s="14"/>
      <c r="V252" s="57"/>
      <c r="W252" s="61"/>
      <c r="X252" s="4" t="s">
        <v>765</v>
      </c>
      <c r="Y252" s="14"/>
      <c r="Z252" s="60" t="s">
        <v>1638</v>
      </c>
      <c r="AA252" s="8"/>
      <c r="AB252" s="8"/>
      <c r="AC252" s="8"/>
      <c r="AD252" s="9"/>
    </row>
    <row r="253">
      <c r="A253" s="43">
        <v>400023.0</v>
      </c>
      <c r="B253" s="4" t="s">
        <v>1640</v>
      </c>
      <c r="C253" s="43">
        <v>3.0</v>
      </c>
      <c r="D253" s="57"/>
      <c r="E253" s="57"/>
      <c r="F253" s="43">
        <v>1.0</v>
      </c>
      <c r="G253" s="57">
        <v>2.0</v>
      </c>
      <c r="H253" s="43"/>
      <c r="I253" s="57"/>
      <c r="J253" s="57"/>
      <c r="K253" s="57"/>
      <c r="L253" s="57"/>
      <c r="M253" s="4" t="s">
        <v>527</v>
      </c>
      <c r="N253" s="58">
        <v>40.0</v>
      </c>
      <c r="O253" s="14"/>
      <c r="P253" s="59"/>
      <c r="Q253" s="59"/>
      <c r="R253" s="63"/>
      <c r="S253" s="14"/>
      <c r="T253" s="14"/>
      <c r="U253" s="14"/>
      <c r="V253" s="57"/>
      <c r="W253" s="61"/>
      <c r="X253" s="4" t="s">
        <v>569</v>
      </c>
      <c r="Y253" s="14"/>
      <c r="Z253" s="60" t="s">
        <v>1646</v>
      </c>
      <c r="AA253" s="8"/>
      <c r="AB253" s="8"/>
      <c r="AC253" s="8"/>
      <c r="AD253" s="9"/>
    </row>
    <row r="254">
      <c r="A254" s="43">
        <v>400024.0</v>
      </c>
      <c r="B254" s="4" t="s">
        <v>1649</v>
      </c>
      <c r="C254" s="43">
        <v>3.0</v>
      </c>
      <c r="D254" s="57"/>
      <c r="E254" s="57"/>
      <c r="F254" s="43">
        <v>1.0</v>
      </c>
      <c r="G254" s="57"/>
      <c r="H254" s="43">
        <v>2.2</v>
      </c>
      <c r="I254" s="57"/>
      <c r="J254" s="57"/>
      <c r="K254" s="57"/>
      <c r="L254" s="57"/>
      <c r="M254" s="4" t="s">
        <v>566</v>
      </c>
      <c r="N254" s="58">
        <v>45.0</v>
      </c>
      <c r="O254" s="14"/>
      <c r="P254" s="59"/>
      <c r="Q254" s="59"/>
      <c r="R254" s="63">
        <v>4002.0</v>
      </c>
      <c r="S254" s="14"/>
      <c r="T254" s="14"/>
      <c r="U254" s="14"/>
      <c r="V254" s="57"/>
      <c r="W254" s="61"/>
      <c r="X254" s="4" t="s">
        <v>569</v>
      </c>
      <c r="Y254" s="14"/>
      <c r="Z254" s="60" t="s">
        <v>1655</v>
      </c>
      <c r="AA254" s="8"/>
      <c r="AB254" s="8"/>
      <c r="AC254" s="8"/>
      <c r="AD254" s="9"/>
    </row>
    <row r="255">
      <c r="A255" s="43">
        <v>400025.0</v>
      </c>
      <c r="B255" s="4" t="s">
        <v>1658</v>
      </c>
      <c r="C255" s="43">
        <v>4.0</v>
      </c>
      <c r="D255" s="57"/>
      <c r="E255" s="57"/>
      <c r="F255" s="43">
        <v>1.0</v>
      </c>
      <c r="G255" s="57"/>
      <c r="H255" s="43">
        <v>2.0</v>
      </c>
      <c r="I255" s="57"/>
      <c r="J255" s="57"/>
      <c r="K255" s="57"/>
      <c r="L255" s="57"/>
      <c r="M255" s="4" t="s">
        <v>566</v>
      </c>
      <c r="N255" s="58">
        <v>50.0</v>
      </c>
      <c r="O255" s="14"/>
      <c r="P255" s="59"/>
      <c r="Q255" s="59"/>
      <c r="R255" s="63">
        <v>4001.0</v>
      </c>
      <c r="S255" s="14"/>
      <c r="T255" s="14"/>
      <c r="U255" s="14"/>
      <c r="V255" s="57"/>
      <c r="W255" s="61"/>
      <c r="X255" s="4" t="s">
        <v>604</v>
      </c>
      <c r="Y255" s="14"/>
      <c r="Z255" s="60" t="s">
        <v>1667</v>
      </c>
      <c r="AA255" s="8"/>
      <c r="AB255" s="8"/>
      <c r="AC255" s="8"/>
      <c r="AD255" s="9"/>
    </row>
    <row r="256">
      <c r="A256" s="43">
        <v>400026.0</v>
      </c>
      <c r="B256" s="4" t="s">
        <v>1669</v>
      </c>
      <c r="C256" s="43">
        <v>1.0</v>
      </c>
      <c r="D256" s="57"/>
      <c r="E256" s="57"/>
      <c r="F256" s="43">
        <v>3.0</v>
      </c>
      <c r="G256" s="57">
        <v>1.5</v>
      </c>
      <c r="H256" s="43"/>
      <c r="I256" s="57"/>
      <c r="J256" s="57"/>
      <c r="K256" s="57"/>
      <c r="L256" s="57"/>
      <c r="M256" s="4" t="s">
        <v>527</v>
      </c>
      <c r="N256" s="58">
        <v>38.0</v>
      </c>
      <c r="O256" s="14"/>
      <c r="P256" s="59"/>
      <c r="Q256" s="59"/>
      <c r="R256" s="63"/>
      <c r="S256" s="14"/>
      <c r="T256" s="14"/>
      <c r="U256" s="14"/>
      <c r="V256" s="57"/>
      <c r="W256" s="61"/>
      <c r="X256" s="4" t="s">
        <v>569</v>
      </c>
      <c r="Y256" s="14"/>
      <c r="Z256" s="60" t="s">
        <v>1673</v>
      </c>
      <c r="AA256" s="8"/>
      <c r="AB256" s="8"/>
      <c r="AC256" s="8"/>
      <c r="AD256" s="9"/>
    </row>
    <row r="257">
      <c r="A257" s="43">
        <v>400027.0</v>
      </c>
      <c r="B257" s="4" t="s">
        <v>1680</v>
      </c>
      <c r="C257" s="43">
        <v>2.0</v>
      </c>
      <c r="D257" s="57"/>
      <c r="E257" s="57"/>
      <c r="F257" s="43">
        <v>1.0</v>
      </c>
      <c r="G257" s="57">
        <v>2.5</v>
      </c>
      <c r="H257" s="43"/>
      <c r="I257" s="57"/>
      <c r="J257" s="57"/>
      <c r="K257" s="57"/>
      <c r="L257" s="57"/>
      <c r="M257" s="4" t="s">
        <v>527</v>
      </c>
      <c r="N257" s="58">
        <v>32.0</v>
      </c>
      <c r="O257" s="14"/>
      <c r="P257" s="59"/>
      <c r="Q257" s="59"/>
      <c r="R257" s="63">
        <v>4004.0</v>
      </c>
      <c r="S257" s="14"/>
      <c r="T257" s="14"/>
      <c r="U257" s="14"/>
      <c r="V257" s="57"/>
      <c r="W257" s="61"/>
      <c r="X257" s="4" t="s">
        <v>569</v>
      </c>
      <c r="Y257" s="14"/>
      <c r="Z257" s="60" t="s">
        <v>1685</v>
      </c>
      <c r="AA257" s="8"/>
      <c r="AB257" s="8"/>
      <c r="AC257" s="8"/>
      <c r="AD257" s="9"/>
    </row>
    <row r="258">
      <c r="A258" s="43">
        <v>400028.0</v>
      </c>
      <c r="B258" s="4" t="s">
        <v>1688</v>
      </c>
      <c r="C258" s="43">
        <v>1.0</v>
      </c>
      <c r="D258" s="57"/>
      <c r="E258" s="57"/>
      <c r="F258" s="43">
        <v>1.0</v>
      </c>
      <c r="G258" s="57"/>
      <c r="H258" s="43">
        <v>3.8</v>
      </c>
      <c r="I258" s="57"/>
      <c r="J258" s="57"/>
      <c r="K258" s="57"/>
      <c r="L258" s="57"/>
      <c r="M258" s="4" t="s">
        <v>566</v>
      </c>
      <c r="N258" s="58">
        <v>40.0</v>
      </c>
      <c r="O258" s="14"/>
      <c r="P258" s="59"/>
      <c r="Q258" s="59"/>
      <c r="R258" s="63"/>
      <c r="S258" s="14"/>
      <c r="T258" s="14"/>
      <c r="U258" s="14"/>
      <c r="V258" s="57"/>
      <c r="W258" s="61"/>
      <c r="X258" s="4" t="s">
        <v>569</v>
      </c>
      <c r="Y258" s="14"/>
      <c r="Z258" s="60" t="s">
        <v>1693</v>
      </c>
      <c r="AA258" s="8"/>
      <c r="AB258" s="8"/>
      <c r="AC258" s="8"/>
      <c r="AD258" s="9"/>
    </row>
    <row r="259">
      <c r="A259" s="43">
        <v>400029.0</v>
      </c>
      <c r="B259" s="4" t="s">
        <v>1697</v>
      </c>
      <c r="C259" s="43">
        <v>2.0</v>
      </c>
      <c r="D259" s="57"/>
      <c r="E259" s="57"/>
      <c r="F259" s="43">
        <v>1.0</v>
      </c>
      <c r="G259" s="57">
        <v>2.8</v>
      </c>
      <c r="H259" s="43"/>
      <c r="I259" s="57"/>
      <c r="J259" s="57"/>
      <c r="K259" s="57"/>
      <c r="L259" s="57"/>
      <c r="M259" s="4" t="s">
        <v>527</v>
      </c>
      <c r="N259" s="58">
        <v>35.0</v>
      </c>
      <c r="O259" s="14"/>
      <c r="P259" s="59"/>
      <c r="Q259" s="59"/>
      <c r="R259" s="63">
        <v>4003.0</v>
      </c>
      <c r="S259" s="14"/>
      <c r="T259" s="14"/>
      <c r="U259" s="14"/>
      <c r="V259" s="57"/>
      <c r="W259" s="61"/>
      <c r="X259" s="4" t="s">
        <v>569</v>
      </c>
      <c r="Y259" s="14"/>
      <c r="Z259" s="60" t="s">
        <v>1703</v>
      </c>
      <c r="AA259" s="8"/>
      <c r="AB259" s="8"/>
      <c r="AC259" s="8"/>
      <c r="AD259" s="9"/>
    </row>
    <row r="260">
      <c r="A260" s="43">
        <v>400030.0</v>
      </c>
      <c r="B260" s="4" t="s">
        <v>1707</v>
      </c>
      <c r="C260" s="43">
        <v>5.0</v>
      </c>
      <c r="D260" s="57"/>
      <c r="E260" s="57"/>
      <c r="F260" s="43">
        <v>1.0</v>
      </c>
      <c r="G260" s="57"/>
      <c r="H260" s="43">
        <v>1.8</v>
      </c>
      <c r="I260" s="57"/>
      <c r="J260" s="57"/>
      <c r="K260" s="57"/>
      <c r="L260" s="57"/>
      <c r="M260" s="4" t="s">
        <v>566</v>
      </c>
      <c r="N260" s="58">
        <v>60.0</v>
      </c>
      <c r="O260" s="14"/>
      <c r="P260" s="59"/>
      <c r="Q260" s="59"/>
      <c r="R260" s="63"/>
      <c r="S260" s="14"/>
      <c r="T260" s="14"/>
      <c r="U260" s="14"/>
      <c r="V260" s="57"/>
      <c r="W260" s="61"/>
      <c r="X260" s="4" t="s">
        <v>569</v>
      </c>
      <c r="Y260" s="14"/>
      <c r="Z260" s="60" t="s">
        <v>1711</v>
      </c>
      <c r="AA260" s="8"/>
      <c r="AB260" s="8"/>
      <c r="AC260" s="8"/>
      <c r="AD260" s="9"/>
    </row>
    <row r="261">
      <c r="A261" s="43">
        <v>400031.0</v>
      </c>
      <c r="B261" s="4" t="s">
        <v>1715</v>
      </c>
      <c r="C261" s="43">
        <v>3.0</v>
      </c>
      <c r="D261" s="57"/>
      <c r="E261" s="57"/>
      <c r="F261" s="43">
        <v>1.0</v>
      </c>
      <c r="G261" s="57">
        <v>2.2</v>
      </c>
      <c r="H261" s="43"/>
      <c r="I261" s="57"/>
      <c r="J261" s="57"/>
      <c r="K261" s="57"/>
      <c r="L261" s="57"/>
      <c r="M261" s="4" t="s">
        <v>527</v>
      </c>
      <c r="N261" s="58">
        <v>42.0</v>
      </c>
      <c r="O261" s="14"/>
      <c r="P261" s="59"/>
      <c r="Q261" s="59"/>
      <c r="R261" s="63"/>
      <c r="S261" s="14"/>
      <c r="T261" s="14"/>
      <c r="U261" s="14"/>
      <c r="V261" s="57"/>
      <c r="W261" s="61"/>
      <c r="X261" s="4" t="s">
        <v>604</v>
      </c>
      <c r="Y261" s="14"/>
      <c r="Z261" s="60" t="s">
        <v>1718</v>
      </c>
      <c r="AA261" s="8"/>
      <c r="AB261" s="8"/>
      <c r="AC261" s="8"/>
      <c r="AD261" s="9"/>
    </row>
    <row r="262">
      <c r="A262" s="43">
        <v>400032.0</v>
      </c>
      <c r="B262" s="4" t="s">
        <v>1721</v>
      </c>
      <c r="C262" s="43">
        <v>2.0</v>
      </c>
      <c r="D262" s="57"/>
      <c r="E262" s="57"/>
      <c r="F262" s="43">
        <v>2.0</v>
      </c>
      <c r="G262" s="57"/>
      <c r="H262" s="43">
        <v>1.8</v>
      </c>
      <c r="I262" s="57"/>
      <c r="J262" s="57"/>
      <c r="K262" s="57"/>
      <c r="L262" s="57"/>
      <c r="M262" s="4" t="s">
        <v>566</v>
      </c>
      <c r="N262" s="58">
        <v>48.0</v>
      </c>
      <c r="O262" s="14"/>
      <c r="P262" s="59"/>
      <c r="Q262" s="59"/>
      <c r="R262" s="63">
        <v>4003.0</v>
      </c>
      <c r="S262" s="14"/>
      <c r="T262" s="14"/>
      <c r="U262" s="14"/>
      <c r="V262" s="57"/>
      <c r="W262" s="61"/>
      <c r="X262" s="4" t="s">
        <v>569</v>
      </c>
      <c r="Y262" s="14"/>
      <c r="Z262" s="60" t="s">
        <v>1722</v>
      </c>
      <c r="AA262" s="8"/>
      <c r="AB262" s="8"/>
      <c r="AC262" s="8"/>
      <c r="AD262" s="9"/>
    </row>
    <row r="263">
      <c r="A263" s="43">
        <v>400033.0</v>
      </c>
      <c r="B263" s="4" t="s">
        <v>1724</v>
      </c>
      <c r="C263" s="43">
        <v>1.0</v>
      </c>
      <c r="D263" s="57"/>
      <c r="E263" s="57"/>
      <c r="F263" s="43">
        <v>2.0</v>
      </c>
      <c r="G263" s="57">
        <v>2.0</v>
      </c>
      <c r="H263" s="43"/>
      <c r="I263" s="57"/>
      <c r="J263" s="57"/>
      <c r="K263" s="57"/>
      <c r="L263" s="57"/>
      <c r="M263" s="4" t="s">
        <v>527</v>
      </c>
      <c r="N263" s="58">
        <v>30.0</v>
      </c>
      <c r="O263" s="14"/>
      <c r="P263" s="59"/>
      <c r="Q263" s="59"/>
      <c r="R263" s="63">
        <v>4002.0</v>
      </c>
      <c r="S263" s="14"/>
      <c r="T263" s="14"/>
      <c r="U263" s="14"/>
      <c r="V263" s="57"/>
      <c r="W263" s="61"/>
      <c r="X263" s="4" t="s">
        <v>569</v>
      </c>
      <c r="Y263" s="14"/>
      <c r="Z263" s="60" t="s">
        <v>1725</v>
      </c>
      <c r="AA263" s="8"/>
      <c r="AB263" s="8"/>
      <c r="AC263" s="8"/>
      <c r="AD263" s="9"/>
    </row>
    <row r="264">
      <c r="A264" s="43">
        <v>400034.0</v>
      </c>
      <c r="B264" s="4" t="s">
        <v>1726</v>
      </c>
      <c r="C264" s="43">
        <v>1.0</v>
      </c>
      <c r="D264" s="57"/>
      <c r="E264" s="57"/>
      <c r="F264" s="43">
        <v>1.0</v>
      </c>
      <c r="G264" s="57">
        <v>4.2</v>
      </c>
      <c r="H264" s="43"/>
      <c r="I264" s="57"/>
      <c r="J264" s="57"/>
      <c r="K264" s="57"/>
      <c r="L264" s="57"/>
      <c r="M264" s="4" t="s">
        <v>527</v>
      </c>
      <c r="N264" s="58">
        <v>35.0</v>
      </c>
      <c r="O264" s="14"/>
      <c r="P264" s="59"/>
      <c r="Q264" s="59"/>
      <c r="R264" s="63"/>
      <c r="S264" s="14"/>
      <c r="T264" s="14"/>
      <c r="U264" s="14"/>
      <c r="V264" s="57"/>
      <c r="W264" s="61"/>
      <c r="X264" s="4" t="s">
        <v>569</v>
      </c>
      <c r="Y264" s="14"/>
      <c r="Z264" s="60" t="s">
        <v>1727</v>
      </c>
      <c r="AA264" s="8"/>
      <c r="AB264" s="8"/>
      <c r="AC264" s="8"/>
      <c r="AD264" s="9"/>
    </row>
    <row r="265">
      <c r="A265" s="43">
        <v>400035.0</v>
      </c>
      <c r="B265" s="4" t="s">
        <v>1728</v>
      </c>
      <c r="C265" s="43">
        <v>4.0</v>
      </c>
      <c r="D265" s="57"/>
      <c r="E265" s="57"/>
      <c r="F265" s="43">
        <v>1.0</v>
      </c>
      <c r="G265" s="57"/>
      <c r="H265" s="43">
        <v>1.6</v>
      </c>
      <c r="I265" s="57"/>
      <c r="J265" s="57"/>
      <c r="K265" s="57"/>
      <c r="L265" s="57"/>
      <c r="M265" s="4" t="s">
        <v>566</v>
      </c>
      <c r="N265" s="58">
        <v>45.0</v>
      </c>
      <c r="O265" s="14"/>
      <c r="P265" s="59"/>
      <c r="Q265" s="59"/>
      <c r="R265" s="63">
        <v>4004.0</v>
      </c>
      <c r="S265" s="14"/>
      <c r="T265" s="14"/>
      <c r="U265" s="14"/>
      <c r="V265" s="57"/>
      <c r="W265" s="61"/>
      <c r="X265" s="4" t="s">
        <v>569</v>
      </c>
      <c r="Y265" s="14"/>
      <c r="Z265" s="60" t="s">
        <v>1729</v>
      </c>
      <c r="AA265" s="8"/>
      <c r="AB265" s="8"/>
      <c r="AC265" s="8"/>
      <c r="AD265" s="9"/>
    </row>
    <row r="266">
      <c r="A266" s="43">
        <v>400036.0</v>
      </c>
      <c r="B266" s="4" t="s">
        <v>1734</v>
      </c>
      <c r="C266" s="43">
        <v>1.0</v>
      </c>
      <c r="D266" s="57"/>
      <c r="E266" s="57"/>
      <c r="F266" s="43">
        <v>1.0</v>
      </c>
      <c r="G266" s="57">
        <v>4.5</v>
      </c>
      <c r="H266" s="43"/>
      <c r="I266" s="57"/>
      <c r="J266" s="57"/>
      <c r="K266" s="57"/>
      <c r="L266" s="57"/>
      <c r="M266" s="4" t="s">
        <v>527</v>
      </c>
      <c r="N266" s="58">
        <v>40.0</v>
      </c>
      <c r="O266" s="14"/>
      <c r="P266" s="59"/>
      <c r="Q266" s="59"/>
      <c r="R266" s="63"/>
      <c r="S266" s="14"/>
      <c r="T266" s="14"/>
      <c r="U266" s="14"/>
      <c r="V266" s="57"/>
      <c r="W266" s="61"/>
      <c r="X266" s="4" t="s">
        <v>569</v>
      </c>
      <c r="Y266" s="14"/>
      <c r="Z266" s="60" t="s">
        <v>1735</v>
      </c>
      <c r="AA266" s="8"/>
      <c r="AB266" s="8"/>
      <c r="AC266" s="8"/>
      <c r="AD266" s="9"/>
    </row>
    <row r="267">
      <c r="A267" s="43">
        <v>400037.0</v>
      </c>
      <c r="B267" s="4" t="s">
        <v>1736</v>
      </c>
      <c r="C267" s="43">
        <v>3.0</v>
      </c>
      <c r="D267" s="57"/>
      <c r="E267" s="57"/>
      <c r="F267" s="43">
        <v>1.0</v>
      </c>
      <c r="G267" s="57"/>
      <c r="H267" s="43">
        <v>2.5</v>
      </c>
      <c r="I267" s="57"/>
      <c r="J267" s="57"/>
      <c r="K267" s="57"/>
      <c r="L267" s="57"/>
      <c r="M267" s="4" t="s">
        <v>566</v>
      </c>
      <c r="N267" s="58">
        <v>50.0</v>
      </c>
      <c r="O267" s="14"/>
      <c r="P267" s="59"/>
      <c r="Q267" s="59"/>
      <c r="R267" s="63">
        <v>4001.0</v>
      </c>
      <c r="S267" s="14"/>
      <c r="T267" s="14"/>
      <c r="U267" s="14"/>
      <c r="V267" s="57"/>
      <c r="W267" s="61"/>
      <c r="X267" s="4" t="s">
        <v>569</v>
      </c>
      <c r="Y267" s="14"/>
      <c r="Z267" s="60" t="s">
        <v>1737</v>
      </c>
      <c r="AA267" s="8"/>
      <c r="AB267" s="8"/>
      <c r="AC267" s="8"/>
      <c r="AD267" s="9"/>
    </row>
    <row r="268">
      <c r="A268" s="43">
        <v>400038.0</v>
      </c>
      <c r="B268" s="4" t="s">
        <v>1738</v>
      </c>
      <c r="C268" s="43">
        <v>2.0</v>
      </c>
      <c r="D268" s="57"/>
      <c r="E268" s="57"/>
      <c r="F268" s="43">
        <v>1.0</v>
      </c>
      <c r="G268" s="57"/>
      <c r="H268" s="43">
        <v>2.4</v>
      </c>
      <c r="I268" s="57"/>
      <c r="J268" s="57"/>
      <c r="K268" s="57"/>
      <c r="L268" s="57"/>
      <c r="M268" s="4" t="s">
        <v>566</v>
      </c>
      <c r="N268" s="58">
        <v>36.0</v>
      </c>
      <c r="O268" s="14"/>
      <c r="P268" s="59"/>
      <c r="Q268" s="59"/>
      <c r="R268" s="63">
        <v>5001.0</v>
      </c>
      <c r="S268" s="14"/>
      <c r="T268" s="14"/>
      <c r="U268" s="14"/>
      <c r="V268" s="57"/>
      <c r="W268" s="61"/>
      <c r="X268" s="4" t="s">
        <v>569</v>
      </c>
      <c r="Y268" s="14"/>
      <c r="Z268" s="60" t="s">
        <v>1739</v>
      </c>
      <c r="AA268" s="8"/>
      <c r="AB268" s="8"/>
      <c r="AC268" s="8"/>
      <c r="AD268" s="9"/>
    </row>
    <row r="269">
      <c r="A269" s="43">
        <v>400040.0</v>
      </c>
      <c r="B269" s="4" t="s">
        <v>1740</v>
      </c>
      <c r="C269" s="43">
        <v>2.0</v>
      </c>
      <c r="D269" s="57"/>
      <c r="E269" s="57"/>
      <c r="F269" s="43">
        <v>1.0</v>
      </c>
      <c r="G269" s="57"/>
      <c r="H269" s="43">
        <v>2.6</v>
      </c>
      <c r="I269" s="57"/>
      <c r="J269" s="57"/>
      <c r="K269" s="57"/>
      <c r="L269" s="57"/>
      <c r="M269" s="4" t="s">
        <v>566</v>
      </c>
      <c r="N269" s="58">
        <v>38.0</v>
      </c>
      <c r="O269" s="14"/>
      <c r="P269" s="59"/>
      <c r="Q269" s="59"/>
      <c r="R269" s="63"/>
      <c r="S269" s="14"/>
      <c r="T269" s="14"/>
      <c r="U269" s="14"/>
      <c r="V269" s="57"/>
      <c r="W269" s="61"/>
      <c r="X269" s="4" t="s">
        <v>569</v>
      </c>
      <c r="Y269" s="14"/>
      <c r="Z269" s="60" t="s">
        <v>1741</v>
      </c>
      <c r="AA269" s="8"/>
      <c r="AB269" s="8"/>
      <c r="AC269" s="8"/>
      <c r="AD269" s="9"/>
    </row>
    <row r="270">
      <c r="C270" s="51"/>
      <c r="D270" s="51"/>
      <c r="E270" s="51"/>
      <c r="F270" s="51"/>
      <c r="G270" s="51"/>
      <c r="H270" s="51"/>
      <c r="I270" s="51"/>
      <c r="J270" s="51"/>
      <c r="K270" s="51"/>
      <c r="L270" s="51"/>
      <c r="N270" s="52"/>
      <c r="P270" s="53"/>
      <c r="Q270" s="53"/>
      <c r="R270" s="53"/>
      <c r="V270" s="51"/>
    </row>
    <row r="271">
      <c r="A271" s="3" t="s">
        <v>449</v>
      </c>
      <c r="B271" s="56" t="s">
        <v>454</v>
      </c>
      <c r="C271" s="40" t="s">
        <v>455</v>
      </c>
      <c r="D271" s="40" t="s">
        <v>456</v>
      </c>
      <c r="E271" s="40" t="s">
        <v>457</v>
      </c>
      <c r="F271" s="40" t="s">
        <v>458</v>
      </c>
      <c r="G271" s="40" t="s">
        <v>461</v>
      </c>
      <c r="H271" s="40" t="s">
        <v>462</v>
      </c>
      <c r="I271" s="40" t="s">
        <v>265</v>
      </c>
      <c r="J271" s="40" t="s">
        <v>465</v>
      </c>
      <c r="K271" s="40" t="s">
        <v>466</v>
      </c>
      <c r="L271" s="40" t="s">
        <v>468</v>
      </c>
      <c r="M271" s="3" t="s">
        <v>469</v>
      </c>
      <c r="N271" s="54" t="s">
        <v>470</v>
      </c>
      <c r="O271" s="3" t="s">
        <v>471</v>
      </c>
      <c r="P271" s="56" t="s">
        <v>472</v>
      </c>
      <c r="Q271" s="56" t="s">
        <v>1081</v>
      </c>
      <c r="R271" s="56" t="s">
        <v>483</v>
      </c>
      <c r="S271" s="56" t="s">
        <v>484</v>
      </c>
      <c r="T271" s="3" t="s">
        <v>485</v>
      </c>
      <c r="U271" s="56" t="s">
        <v>486</v>
      </c>
      <c r="V271" s="43" t="s">
        <v>487</v>
      </c>
      <c r="W271" s="3" t="s">
        <v>489</v>
      </c>
      <c r="X271" s="3" t="s">
        <v>491</v>
      </c>
      <c r="Y271" s="3" t="s">
        <v>493</v>
      </c>
      <c r="Z271" s="6" t="s">
        <v>495</v>
      </c>
      <c r="AA271" s="8"/>
      <c r="AB271" s="8"/>
      <c r="AC271" s="8"/>
      <c r="AD271" s="9"/>
    </row>
    <row r="272">
      <c r="A272" s="43">
        <v>410001.0</v>
      </c>
      <c r="B272" s="63" t="s">
        <v>1742</v>
      </c>
      <c r="C272" s="43">
        <v>-2.0</v>
      </c>
      <c r="D272" s="57"/>
      <c r="E272" s="57"/>
      <c r="F272" s="43">
        <v>1.0</v>
      </c>
      <c r="G272" s="14"/>
      <c r="H272" s="14"/>
      <c r="I272" s="57"/>
      <c r="J272" s="57"/>
      <c r="K272" s="43">
        <v>3.0</v>
      </c>
      <c r="L272" s="57"/>
      <c r="M272" s="4"/>
      <c r="N272" s="58">
        <v>22.0</v>
      </c>
      <c r="O272" s="14"/>
      <c r="P272" s="59"/>
      <c r="Q272" s="59"/>
      <c r="R272" s="59" t="str">
        <f>"1002,1004"</f>
        <v>1002,1004</v>
      </c>
      <c r="S272" s="14"/>
      <c r="T272" s="14"/>
      <c r="U272" s="14"/>
      <c r="V272" s="57"/>
      <c r="W272" s="14"/>
      <c r="X272" s="4" t="s">
        <v>573</v>
      </c>
      <c r="Y272" s="14"/>
      <c r="Z272" s="138" t="s">
        <v>1743</v>
      </c>
      <c r="AA272" s="8"/>
      <c r="AB272" s="8"/>
      <c r="AC272" s="8"/>
      <c r="AD272" s="9"/>
    </row>
    <row r="273">
      <c r="A273" s="43">
        <v>410002.0</v>
      </c>
      <c r="B273" s="63" t="s">
        <v>1744</v>
      </c>
      <c r="C273" s="43">
        <v>1.0</v>
      </c>
      <c r="D273" s="57"/>
      <c r="E273" s="57"/>
      <c r="F273" s="43">
        <v>1.0</v>
      </c>
      <c r="G273" s="4">
        <v>3.8</v>
      </c>
      <c r="H273" s="14"/>
      <c r="I273" s="57"/>
      <c r="J273" s="57"/>
      <c r="K273" s="43">
        <v>5.0</v>
      </c>
      <c r="L273" s="57"/>
      <c r="M273" s="4" t="s">
        <v>527</v>
      </c>
      <c r="N273" s="58">
        <v>18.0</v>
      </c>
      <c r="O273" s="14"/>
      <c r="P273" s="63">
        <v>3003.0</v>
      </c>
      <c r="Q273" s="59"/>
      <c r="R273" s="59"/>
      <c r="S273" s="14"/>
      <c r="T273" s="14"/>
      <c r="U273" s="14"/>
      <c r="V273" s="57"/>
      <c r="W273" s="14"/>
      <c r="X273" s="4" t="s">
        <v>529</v>
      </c>
      <c r="Y273" s="14"/>
      <c r="Z273" s="138" t="s">
        <v>1745</v>
      </c>
      <c r="AA273" s="8"/>
      <c r="AB273" s="8"/>
      <c r="AC273" s="8"/>
      <c r="AD273" s="9"/>
    </row>
    <row r="274">
      <c r="A274" s="43">
        <v>410003.0</v>
      </c>
      <c r="B274" s="63" t="s">
        <v>1746</v>
      </c>
      <c r="C274" s="43">
        <v>-2.0</v>
      </c>
      <c r="D274" s="57"/>
      <c r="E274" s="57"/>
      <c r="F274" s="43">
        <v>1.0</v>
      </c>
      <c r="G274" s="14"/>
      <c r="H274" s="14"/>
      <c r="I274" s="57"/>
      <c r="J274" s="57"/>
      <c r="K274" s="43">
        <v>3.0</v>
      </c>
      <c r="L274" s="57"/>
      <c r="M274" s="4"/>
      <c r="N274" s="58">
        <v>18.0</v>
      </c>
      <c r="O274" s="14"/>
      <c r="P274" s="14"/>
      <c r="Q274" s="59"/>
      <c r="R274" s="63">
        <v>1996.0</v>
      </c>
      <c r="S274" s="14"/>
      <c r="T274" s="14"/>
      <c r="U274" s="14"/>
      <c r="V274" s="43"/>
      <c r="W274" s="14"/>
      <c r="X274" s="4" t="s">
        <v>573</v>
      </c>
      <c r="Y274" s="14"/>
      <c r="Z274" s="138" t="s">
        <v>1747</v>
      </c>
      <c r="AA274" s="8"/>
      <c r="AB274" s="8"/>
      <c r="AC274" s="8"/>
      <c r="AD274" s="9"/>
    </row>
    <row r="275">
      <c r="A275" s="43">
        <v>410004.0</v>
      </c>
      <c r="B275" s="63" t="s">
        <v>1748</v>
      </c>
      <c r="C275" s="43">
        <v>2.0</v>
      </c>
      <c r="E275" s="57"/>
      <c r="F275" s="43">
        <v>1.0</v>
      </c>
      <c r="G275" s="4">
        <v>2.1</v>
      </c>
      <c r="H275" s="14"/>
      <c r="I275" s="57"/>
      <c r="J275" s="57"/>
      <c r="K275" s="43">
        <v>3.0</v>
      </c>
      <c r="L275" s="57"/>
      <c r="M275" s="4" t="s">
        <v>527</v>
      </c>
      <c r="N275" s="139">
        <v>22.0</v>
      </c>
      <c r="O275" s="14"/>
      <c r="P275" s="63">
        <v>3003.0</v>
      </c>
      <c r="Q275" s="59"/>
      <c r="R275" s="59"/>
      <c r="S275" s="14"/>
      <c r="T275" s="14"/>
      <c r="U275" s="14"/>
      <c r="V275" s="43"/>
      <c r="W275" s="14"/>
      <c r="X275" s="4" t="s">
        <v>529</v>
      </c>
      <c r="Y275" s="14"/>
      <c r="Z275" s="34" t="s">
        <v>1749</v>
      </c>
      <c r="AA275" s="8"/>
      <c r="AB275" s="8"/>
      <c r="AC275" s="8"/>
      <c r="AD275" s="9"/>
    </row>
    <row r="276">
      <c r="A276" s="43">
        <v>410005.0</v>
      </c>
      <c r="B276" s="63" t="s">
        <v>1750</v>
      </c>
      <c r="C276" s="43">
        <v>-2.0</v>
      </c>
      <c r="D276" s="57"/>
      <c r="E276" s="57"/>
      <c r="F276" s="43">
        <v>1.0</v>
      </c>
      <c r="G276" s="14"/>
      <c r="H276" s="4">
        <v>2.0</v>
      </c>
      <c r="I276" s="57"/>
      <c r="J276" s="57"/>
      <c r="K276" s="43">
        <v>4.0</v>
      </c>
      <c r="L276" s="57"/>
      <c r="M276" s="4" t="s">
        <v>615</v>
      </c>
      <c r="N276" s="139">
        <v>33.0</v>
      </c>
      <c r="O276" s="14"/>
      <c r="P276" s="59"/>
      <c r="Q276" s="59"/>
      <c r="R276" s="59"/>
      <c r="S276" s="14"/>
      <c r="T276" s="14"/>
      <c r="U276" s="14"/>
      <c r="V276" s="43"/>
      <c r="W276" s="14"/>
      <c r="X276" s="4" t="s">
        <v>615</v>
      </c>
      <c r="Y276" s="14"/>
      <c r="Z276" s="138" t="s">
        <v>1751</v>
      </c>
      <c r="AA276" s="8"/>
      <c r="AB276" s="8"/>
      <c r="AC276" s="8"/>
      <c r="AD276" s="9"/>
    </row>
    <row r="277">
      <c r="A277" s="43">
        <v>410006.0</v>
      </c>
      <c r="B277" s="63" t="s">
        <v>1752</v>
      </c>
      <c r="C277" s="43">
        <v>1.0</v>
      </c>
      <c r="D277" s="57"/>
      <c r="E277" s="57"/>
      <c r="F277" s="43">
        <v>1.0</v>
      </c>
      <c r="G277" s="4">
        <v>3.5</v>
      </c>
      <c r="H277" s="14"/>
      <c r="I277" s="57"/>
      <c r="J277" s="57"/>
      <c r="K277" s="43">
        <v>2.0</v>
      </c>
      <c r="L277" s="57"/>
      <c r="M277" s="4" t="s">
        <v>527</v>
      </c>
      <c r="N277" s="139">
        <v>25.0</v>
      </c>
      <c r="O277" s="14"/>
      <c r="P277" s="59"/>
      <c r="Q277" s="59"/>
      <c r="R277" s="63">
        <v>5001.0</v>
      </c>
      <c r="S277" s="14"/>
      <c r="T277" s="14"/>
      <c r="U277" s="14"/>
      <c r="V277" s="43"/>
      <c r="W277" s="14"/>
      <c r="X277" s="4" t="s">
        <v>679</v>
      </c>
      <c r="Y277" s="14"/>
      <c r="Z277" s="138" t="s">
        <v>1753</v>
      </c>
      <c r="AA277" s="8"/>
      <c r="AB277" s="8"/>
      <c r="AC277" s="8"/>
      <c r="AD277" s="9"/>
    </row>
    <row r="278">
      <c r="A278" s="43">
        <v>410007.0</v>
      </c>
      <c r="B278" s="63" t="s">
        <v>1754</v>
      </c>
      <c r="C278" s="43">
        <v>-2.0</v>
      </c>
      <c r="D278" s="57"/>
      <c r="E278" s="57"/>
      <c r="F278" s="43">
        <v>1.0</v>
      </c>
      <c r="G278" s="14"/>
      <c r="H278" s="14"/>
      <c r="I278" s="57"/>
      <c r="J278" s="57"/>
      <c r="K278" s="43">
        <v>6.0</v>
      </c>
      <c r="L278" s="57"/>
      <c r="M278" s="4"/>
      <c r="N278" s="139">
        <v>20.0</v>
      </c>
      <c r="O278" s="14"/>
      <c r="P278" s="59"/>
      <c r="Q278" s="59"/>
      <c r="R278" s="63">
        <v>1998.0</v>
      </c>
      <c r="S278" s="14"/>
      <c r="T278" s="14"/>
      <c r="U278" s="14"/>
      <c r="V278" s="57"/>
      <c r="W278" s="14"/>
      <c r="X278" s="4" t="s">
        <v>786</v>
      </c>
      <c r="Y278" s="14"/>
      <c r="Z278" s="34" t="s">
        <v>1755</v>
      </c>
      <c r="AA278" s="8"/>
      <c r="AB278" s="8"/>
      <c r="AC278" s="8"/>
      <c r="AD278" s="9"/>
    </row>
    <row r="279">
      <c r="A279" s="43">
        <v>410008.0</v>
      </c>
      <c r="B279" s="63" t="s">
        <v>1756</v>
      </c>
      <c r="C279" s="43">
        <v>-1.0</v>
      </c>
      <c r="D279" s="57"/>
      <c r="E279" s="43">
        <v>1.0</v>
      </c>
      <c r="F279" s="43">
        <v>1.0</v>
      </c>
      <c r="G279" s="14"/>
      <c r="H279" s="14"/>
      <c r="I279" s="57"/>
      <c r="J279" s="57"/>
      <c r="K279" s="43">
        <v>2.0</v>
      </c>
      <c r="L279" s="57"/>
      <c r="M279" s="4" t="s">
        <v>527</v>
      </c>
      <c r="N279" s="139">
        <v>18.0</v>
      </c>
      <c r="O279" s="14"/>
      <c r="P279" s="59" t="str">
        <f>"1005,1006"</f>
        <v>1005,1006</v>
      </c>
      <c r="Q279" s="59"/>
      <c r="R279" s="59"/>
      <c r="S279" s="14"/>
      <c r="T279" s="14"/>
      <c r="U279" s="14"/>
      <c r="V279" s="57"/>
      <c r="W279" s="14"/>
      <c r="X279" s="4" t="s">
        <v>573</v>
      </c>
      <c r="Y279" s="14"/>
      <c r="Z279" s="138" t="s">
        <v>1757</v>
      </c>
      <c r="AA279" s="8"/>
      <c r="AB279" s="8"/>
      <c r="AC279" s="8"/>
      <c r="AD279" s="9"/>
    </row>
    <row r="280">
      <c r="A280" s="43">
        <v>410009.0</v>
      </c>
      <c r="B280" s="63" t="s">
        <v>1758</v>
      </c>
      <c r="C280" s="43">
        <v>3.0</v>
      </c>
      <c r="D280" s="57"/>
      <c r="E280" s="57"/>
      <c r="F280" s="43">
        <v>1.0</v>
      </c>
      <c r="G280" s="4">
        <v>1.1</v>
      </c>
      <c r="H280" s="14"/>
      <c r="I280" s="57"/>
      <c r="J280" s="57"/>
      <c r="K280" s="43">
        <v>3.0</v>
      </c>
      <c r="L280" s="57"/>
      <c r="M280" s="4" t="s">
        <v>566</v>
      </c>
      <c r="N280" s="139">
        <v>40.0</v>
      </c>
      <c r="O280" s="14"/>
      <c r="P280" s="59"/>
      <c r="Q280" s="14"/>
      <c r="R280" s="63">
        <v>4001.0</v>
      </c>
      <c r="S280" s="63">
        <v>0.5</v>
      </c>
      <c r="T280" s="14"/>
      <c r="U280" s="14"/>
      <c r="V280" s="57"/>
      <c r="W280" s="61" t="s">
        <v>603</v>
      </c>
      <c r="X280" s="4" t="s">
        <v>604</v>
      </c>
      <c r="Y280" s="14"/>
      <c r="Z280" s="138" t="s">
        <v>1759</v>
      </c>
      <c r="AA280" s="8"/>
      <c r="AB280" s="8"/>
      <c r="AC280" s="8"/>
      <c r="AD280" s="9"/>
    </row>
    <row r="281">
      <c r="A281" s="43">
        <v>410010.0</v>
      </c>
      <c r="B281" s="63" t="s">
        <v>1760</v>
      </c>
      <c r="C281" s="43">
        <v>-3.0</v>
      </c>
      <c r="D281" s="57"/>
      <c r="E281" s="57"/>
      <c r="F281" s="43">
        <v>1.0</v>
      </c>
      <c r="G281" s="14"/>
      <c r="H281" s="4">
        <v>1.5</v>
      </c>
      <c r="I281" s="57"/>
      <c r="J281" s="57"/>
      <c r="K281" s="43">
        <v>3.0</v>
      </c>
      <c r="L281" s="57"/>
      <c r="M281" s="4" t="s">
        <v>615</v>
      </c>
      <c r="N281" s="139">
        <v>53.0</v>
      </c>
      <c r="O281" s="14"/>
      <c r="P281" s="59"/>
      <c r="Q281" s="59"/>
      <c r="R281" s="59"/>
      <c r="S281" s="14"/>
      <c r="T281" s="14"/>
      <c r="U281" s="14"/>
      <c r="V281" s="57"/>
      <c r="W281" s="14"/>
      <c r="X281" s="4" t="s">
        <v>615</v>
      </c>
      <c r="Y281" s="14"/>
      <c r="Z281" s="138" t="s">
        <v>1761</v>
      </c>
      <c r="AA281" s="8"/>
      <c r="AB281" s="8"/>
      <c r="AC281" s="8"/>
      <c r="AD281" s="9"/>
    </row>
    <row r="282">
      <c r="A282" s="43">
        <v>410011.0</v>
      </c>
      <c r="B282" s="63" t="s">
        <v>1762</v>
      </c>
      <c r="C282" s="43">
        <v>-2.0</v>
      </c>
      <c r="D282" s="57"/>
      <c r="E282" s="57"/>
      <c r="F282" s="43">
        <v>1.0</v>
      </c>
      <c r="G282" s="4">
        <v>2.2</v>
      </c>
      <c r="H282" s="14"/>
      <c r="I282" s="57"/>
      <c r="J282" s="57"/>
      <c r="K282" s="43">
        <v>3.0</v>
      </c>
      <c r="L282" s="57"/>
      <c r="M282" s="4" t="s">
        <v>615</v>
      </c>
      <c r="N282" s="139">
        <v>55.0</v>
      </c>
      <c r="O282" s="14"/>
      <c r="P282" s="59"/>
      <c r="Q282" s="59"/>
      <c r="R282" s="59"/>
      <c r="S282" s="14"/>
      <c r="T282" s="14"/>
      <c r="U282" s="14"/>
      <c r="V282" s="57"/>
      <c r="W282" s="14"/>
      <c r="X282" s="4" t="s">
        <v>615</v>
      </c>
      <c r="Y282" s="14"/>
      <c r="Z282" s="138" t="s">
        <v>1751</v>
      </c>
      <c r="AA282" s="8"/>
      <c r="AB282" s="8"/>
      <c r="AC282" s="8"/>
      <c r="AD282" s="9"/>
    </row>
    <row r="283">
      <c r="A283" s="43">
        <v>410012.0</v>
      </c>
      <c r="B283" s="63" t="s">
        <v>1763</v>
      </c>
      <c r="C283" s="43">
        <v>-5.0</v>
      </c>
      <c r="D283" s="57"/>
      <c r="E283" s="57"/>
      <c r="F283" s="43">
        <v>1.0</v>
      </c>
      <c r="G283" s="4">
        <v>0.9</v>
      </c>
      <c r="H283" s="14"/>
      <c r="I283" s="57"/>
      <c r="J283" s="57"/>
      <c r="K283" s="43">
        <v>4.0</v>
      </c>
      <c r="L283" s="57"/>
      <c r="M283" s="4" t="s">
        <v>637</v>
      </c>
      <c r="N283" s="139">
        <v>42.0</v>
      </c>
      <c r="O283" s="14"/>
      <c r="P283" s="59"/>
      <c r="Q283" s="59"/>
      <c r="R283" s="63" t="str">
        <f>"1999,1997"</f>
        <v>1999,1997</v>
      </c>
      <c r="S283" s="14"/>
      <c r="T283" s="14"/>
      <c r="U283" s="14"/>
      <c r="V283" s="57"/>
      <c r="W283" s="14"/>
      <c r="X283" s="4" t="s">
        <v>862</v>
      </c>
      <c r="Y283" s="14"/>
      <c r="Z283" s="34" t="s">
        <v>1765</v>
      </c>
      <c r="AA283" s="8"/>
      <c r="AB283" s="8"/>
      <c r="AC283" s="8"/>
      <c r="AD283" s="9"/>
    </row>
    <row r="284">
      <c r="A284" s="43">
        <v>410013.0</v>
      </c>
      <c r="B284" s="63" t="s">
        <v>1766</v>
      </c>
      <c r="C284" s="43">
        <v>1.0</v>
      </c>
      <c r="D284" s="43">
        <v>1.0</v>
      </c>
      <c r="E284" s="57"/>
      <c r="F284" s="43">
        <v>3.0</v>
      </c>
      <c r="G284" s="43">
        <v>2.5</v>
      </c>
      <c r="H284" s="57"/>
      <c r="I284" s="57"/>
      <c r="J284" s="57"/>
      <c r="K284" s="43">
        <v>3.0</v>
      </c>
      <c r="L284" s="57"/>
      <c r="M284" s="4" t="s">
        <v>527</v>
      </c>
      <c r="N284" s="139">
        <v>35.0</v>
      </c>
      <c r="O284" s="14"/>
      <c r="P284" s="59"/>
      <c r="Q284" s="59"/>
      <c r="R284" s="59"/>
      <c r="S284" s="14"/>
      <c r="T284" s="14"/>
      <c r="U284" s="14"/>
      <c r="V284" s="57"/>
      <c r="W284" s="14"/>
      <c r="X284" s="4" t="s">
        <v>529</v>
      </c>
      <c r="Y284" s="14"/>
      <c r="Z284" s="34" t="s">
        <v>1773</v>
      </c>
      <c r="AA284" s="8"/>
      <c r="AB284" s="8"/>
      <c r="AC284" s="8"/>
      <c r="AD284" s="9"/>
    </row>
    <row r="285">
      <c r="A285" s="43">
        <v>410014.0</v>
      </c>
      <c r="B285" s="63" t="s">
        <v>1774</v>
      </c>
      <c r="C285" s="43">
        <v>5.0</v>
      </c>
      <c r="D285" s="59"/>
      <c r="E285" s="59"/>
      <c r="F285" s="63">
        <v>1.0</v>
      </c>
      <c r="G285" s="63"/>
      <c r="H285" s="63">
        <v>2.0</v>
      </c>
      <c r="I285" s="59"/>
      <c r="J285" s="59"/>
      <c r="K285" s="43">
        <v>4.0</v>
      </c>
      <c r="L285" s="59"/>
      <c r="M285" s="63" t="s">
        <v>566</v>
      </c>
      <c r="N285" s="139">
        <v>55.0</v>
      </c>
      <c r="O285" s="59"/>
      <c r="P285" s="59"/>
      <c r="Q285" s="59"/>
      <c r="R285" s="118" t="str">
        <f>"2002,2004"</f>
        <v>2002,2004</v>
      </c>
      <c r="S285" s="59"/>
      <c r="T285" s="59"/>
      <c r="U285" s="59"/>
      <c r="V285" s="59"/>
      <c r="W285" s="59"/>
      <c r="X285" s="61" t="s">
        <v>569</v>
      </c>
      <c r="Y285" s="59"/>
      <c r="Z285" s="140" t="s">
        <v>1776</v>
      </c>
      <c r="AA285" s="8"/>
      <c r="AB285" s="8"/>
      <c r="AC285" s="8"/>
      <c r="AD285" s="9"/>
    </row>
    <row r="286">
      <c r="A286" s="43">
        <v>410015.0</v>
      </c>
      <c r="B286" s="63" t="s">
        <v>1777</v>
      </c>
      <c r="C286" s="43">
        <v>1.0</v>
      </c>
      <c r="D286" s="63">
        <v>1.0</v>
      </c>
      <c r="E286" s="59"/>
      <c r="F286" s="63">
        <v>5.0</v>
      </c>
      <c r="G286" s="59"/>
      <c r="H286" s="63">
        <v>1.8</v>
      </c>
      <c r="I286" s="59"/>
      <c r="J286" s="59"/>
      <c r="K286" s="43">
        <v>5.0</v>
      </c>
      <c r="L286" s="59"/>
      <c r="M286" s="63" t="s">
        <v>566</v>
      </c>
      <c r="N286" s="139">
        <v>60.0</v>
      </c>
      <c r="O286" s="59"/>
      <c r="P286" s="59"/>
      <c r="Q286" s="59"/>
      <c r="R286" s="63">
        <v>4001.0</v>
      </c>
      <c r="S286" s="59"/>
      <c r="T286" s="59"/>
      <c r="U286" s="59"/>
      <c r="V286" s="59"/>
      <c r="W286" s="141" t="s">
        <v>603</v>
      </c>
      <c r="X286" s="63" t="s">
        <v>604</v>
      </c>
      <c r="Y286" s="59"/>
      <c r="Z286" s="34" t="s">
        <v>1778</v>
      </c>
      <c r="AA286" s="8"/>
      <c r="AB286" s="8"/>
      <c r="AC286" s="8"/>
      <c r="AD286" s="9"/>
    </row>
    <row r="287">
      <c r="A287" s="43">
        <f t="shared" ref="A287:A302" si="53">A286+1</f>
        <v>410016</v>
      </c>
      <c r="B287" s="63" t="s">
        <v>1779</v>
      </c>
      <c r="C287" s="43">
        <v>-1.0</v>
      </c>
      <c r="D287" s="63"/>
      <c r="E287" s="59"/>
      <c r="F287" s="63">
        <v>1.0</v>
      </c>
      <c r="G287" s="59"/>
      <c r="H287" s="63">
        <v>1.5</v>
      </c>
      <c r="I287" s="59"/>
      <c r="J287" s="59"/>
      <c r="K287" s="43">
        <v>3.0</v>
      </c>
      <c r="L287" s="59"/>
      <c r="M287" s="63" t="s">
        <v>615</v>
      </c>
      <c r="N287" s="139">
        <v>25.0</v>
      </c>
      <c r="O287" s="59"/>
      <c r="P287" s="59"/>
      <c r="Q287" s="59"/>
      <c r="R287" s="63"/>
      <c r="S287" s="59"/>
      <c r="T287" s="59"/>
      <c r="U287" s="59"/>
      <c r="V287" s="59"/>
      <c r="W287" s="141"/>
      <c r="X287" s="63" t="s">
        <v>615</v>
      </c>
      <c r="Y287" s="59"/>
      <c r="Z287" s="34" t="s">
        <v>1780</v>
      </c>
      <c r="AA287" s="8"/>
      <c r="AB287" s="8"/>
      <c r="AC287" s="8"/>
      <c r="AD287" s="9"/>
    </row>
    <row r="288">
      <c r="A288" s="43">
        <f t="shared" si="53"/>
        <v>410017</v>
      </c>
      <c r="B288" s="63" t="s">
        <v>1781</v>
      </c>
      <c r="C288" s="43">
        <v>-1.0</v>
      </c>
      <c r="D288" s="63"/>
      <c r="E288" s="59"/>
      <c r="F288" s="63">
        <v>1.0</v>
      </c>
      <c r="G288" s="59"/>
      <c r="H288" s="63"/>
      <c r="I288" s="59"/>
      <c r="J288" s="59"/>
      <c r="K288" s="43">
        <v>4.0</v>
      </c>
      <c r="L288" s="59"/>
      <c r="M288" s="63" t="s">
        <v>527</v>
      </c>
      <c r="N288" s="139">
        <v>20.0</v>
      </c>
      <c r="O288" s="59"/>
      <c r="P288" s="59">
        <v>3001.0</v>
      </c>
      <c r="Q288" s="59"/>
      <c r="R288" s="63"/>
      <c r="S288" s="59"/>
      <c r="T288" s="59"/>
      <c r="U288" s="59"/>
      <c r="V288" s="59"/>
      <c r="W288" s="141"/>
      <c r="X288" s="63" t="s">
        <v>573</v>
      </c>
      <c r="Y288" s="59"/>
      <c r="Z288" s="34" t="s">
        <v>1782</v>
      </c>
      <c r="AA288" s="8"/>
      <c r="AB288" s="8"/>
      <c r="AC288" s="8"/>
      <c r="AD288" s="9"/>
    </row>
    <row r="289">
      <c r="A289" s="43">
        <f t="shared" si="53"/>
        <v>410018</v>
      </c>
      <c r="B289" s="63" t="s">
        <v>1783</v>
      </c>
      <c r="C289" s="43">
        <v>-2.0</v>
      </c>
      <c r="D289" s="63"/>
      <c r="E289" s="59"/>
      <c r="F289" s="63">
        <v>1.0</v>
      </c>
      <c r="G289" s="59"/>
      <c r="H289" s="63">
        <v>2.0</v>
      </c>
      <c r="I289" s="59"/>
      <c r="J289" s="59"/>
      <c r="K289" s="43">
        <v>4.0</v>
      </c>
      <c r="L289" s="59"/>
      <c r="M289" s="63" t="s">
        <v>615</v>
      </c>
      <c r="N289" s="139">
        <v>35.0</v>
      </c>
      <c r="O289" s="59"/>
      <c r="P289" s="59"/>
      <c r="Q289" s="59"/>
      <c r="R289" s="63"/>
      <c r="S289" s="59"/>
      <c r="T289" s="59"/>
      <c r="U289" s="59"/>
      <c r="V289" s="59"/>
      <c r="W289" s="141"/>
      <c r="X289" s="63" t="s">
        <v>615</v>
      </c>
      <c r="Y289" s="59"/>
      <c r="Z289" s="34" t="s">
        <v>1784</v>
      </c>
      <c r="AA289" s="8"/>
      <c r="AB289" s="8"/>
      <c r="AC289" s="8"/>
      <c r="AD289" s="9"/>
    </row>
    <row r="290">
      <c r="A290" s="43">
        <f t="shared" si="53"/>
        <v>410019</v>
      </c>
      <c r="B290" s="63" t="s">
        <v>1785</v>
      </c>
      <c r="C290" s="43">
        <v>3.0</v>
      </c>
      <c r="D290" s="63"/>
      <c r="E290" s="59"/>
      <c r="F290" s="63">
        <v>1.0</v>
      </c>
      <c r="G290" s="59"/>
      <c r="H290" s="63">
        <v>1.2</v>
      </c>
      <c r="I290" s="59"/>
      <c r="J290" s="59"/>
      <c r="K290" s="43">
        <v>3.0</v>
      </c>
      <c r="L290" s="59"/>
      <c r="M290" s="63" t="s">
        <v>566</v>
      </c>
      <c r="N290" s="139">
        <v>30.0</v>
      </c>
      <c r="O290" s="59"/>
      <c r="P290" s="59"/>
      <c r="Q290" s="59"/>
      <c r="R290" s="63"/>
      <c r="S290" s="59"/>
      <c r="T290" s="59"/>
      <c r="U290" s="59"/>
      <c r="V290" s="59"/>
      <c r="W290" s="141"/>
      <c r="X290" s="61" t="s">
        <v>569</v>
      </c>
      <c r="Y290" s="59"/>
      <c r="Z290" s="34" t="s">
        <v>1786</v>
      </c>
      <c r="AA290" s="8"/>
      <c r="AB290" s="8"/>
      <c r="AC290" s="8"/>
      <c r="AD290" s="9"/>
    </row>
    <row r="291">
      <c r="A291" s="43">
        <f t="shared" si="53"/>
        <v>410020</v>
      </c>
      <c r="B291" s="63" t="s">
        <v>1787</v>
      </c>
      <c r="C291" s="43">
        <v>-1.0</v>
      </c>
      <c r="D291" s="63"/>
      <c r="E291" s="59"/>
      <c r="F291" s="63">
        <v>1.0</v>
      </c>
      <c r="G291" s="59"/>
      <c r="H291" s="63"/>
      <c r="I291" s="59"/>
      <c r="J291" s="59"/>
      <c r="K291" s="43">
        <v>3.0</v>
      </c>
      <c r="L291" s="59"/>
      <c r="M291" s="63" t="s">
        <v>527</v>
      </c>
      <c r="N291" s="139">
        <v>18.0</v>
      </c>
      <c r="O291" s="59"/>
      <c r="P291" s="59">
        <v>3002.0</v>
      </c>
      <c r="Q291" s="59"/>
      <c r="R291" s="63"/>
      <c r="S291" s="59"/>
      <c r="T291" s="59"/>
      <c r="U291" s="59"/>
      <c r="V291" s="59"/>
      <c r="W291" s="141"/>
      <c r="X291" s="61" t="s">
        <v>569</v>
      </c>
      <c r="Y291" s="59"/>
      <c r="Z291" s="34" t="s">
        <v>1788</v>
      </c>
      <c r="AA291" s="8"/>
      <c r="AB291" s="8"/>
      <c r="AC291" s="8"/>
      <c r="AD291" s="9"/>
    </row>
    <row r="292">
      <c r="A292" s="43">
        <f t="shared" si="53"/>
        <v>410021</v>
      </c>
      <c r="B292" s="63" t="s">
        <v>1789</v>
      </c>
      <c r="C292" s="43">
        <v>3.0</v>
      </c>
      <c r="D292" s="63"/>
      <c r="E292" s="59"/>
      <c r="F292" s="63">
        <v>1.0</v>
      </c>
      <c r="G292" s="59"/>
      <c r="H292" s="63">
        <v>2.2</v>
      </c>
      <c r="I292" s="59"/>
      <c r="J292" s="59"/>
      <c r="K292" s="43">
        <v>4.0</v>
      </c>
      <c r="L292" s="59"/>
      <c r="M292" s="63" t="s">
        <v>566</v>
      </c>
      <c r="N292" s="139">
        <v>40.0</v>
      </c>
      <c r="O292" s="59"/>
      <c r="P292" s="59"/>
      <c r="Q292" s="59"/>
      <c r="R292" s="63"/>
      <c r="S292" s="59"/>
      <c r="T292" s="59"/>
      <c r="U292" s="59"/>
      <c r="V292" s="59"/>
      <c r="W292" s="141"/>
      <c r="X292" s="61" t="s">
        <v>569</v>
      </c>
      <c r="Y292" s="59"/>
      <c r="Z292" s="34" t="s">
        <v>1790</v>
      </c>
      <c r="AA292" s="8"/>
      <c r="AB292" s="8"/>
      <c r="AC292" s="8"/>
      <c r="AD292" s="9"/>
    </row>
    <row r="293">
      <c r="A293" s="43">
        <f t="shared" si="53"/>
        <v>410022</v>
      </c>
      <c r="B293" s="63" t="s">
        <v>1791</v>
      </c>
      <c r="C293" s="43">
        <v>1.0</v>
      </c>
      <c r="D293" s="63"/>
      <c r="E293" s="59"/>
      <c r="F293" s="63">
        <v>1.0</v>
      </c>
      <c r="G293" s="59"/>
      <c r="H293" s="63">
        <v>2.8</v>
      </c>
      <c r="I293" s="59"/>
      <c r="J293" s="59"/>
      <c r="K293" s="43">
        <v>4.0</v>
      </c>
      <c r="L293" s="59"/>
      <c r="M293" s="63" t="s">
        <v>566</v>
      </c>
      <c r="N293" s="139">
        <v>35.0</v>
      </c>
      <c r="O293" s="59"/>
      <c r="P293" s="59"/>
      <c r="Q293" s="59"/>
      <c r="R293" s="63"/>
      <c r="S293" s="59"/>
      <c r="T293" s="59"/>
      <c r="U293" s="59"/>
      <c r="V293" s="59"/>
      <c r="W293" s="141"/>
      <c r="X293" s="61" t="s">
        <v>569</v>
      </c>
      <c r="Y293" s="59"/>
      <c r="Z293" s="34" t="s">
        <v>1792</v>
      </c>
      <c r="AA293" s="8"/>
      <c r="AB293" s="8"/>
      <c r="AC293" s="8"/>
      <c r="AD293" s="9"/>
    </row>
    <row r="294">
      <c r="A294" s="43">
        <f t="shared" si="53"/>
        <v>410023</v>
      </c>
      <c r="B294" s="63" t="s">
        <v>1793</v>
      </c>
      <c r="C294" s="43">
        <v>2.0</v>
      </c>
      <c r="D294" s="63"/>
      <c r="E294" s="59"/>
      <c r="F294" s="63">
        <v>1.0</v>
      </c>
      <c r="G294" s="59">
        <v>2.3</v>
      </c>
      <c r="H294" s="63"/>
      <c r="I294" s="59"/>
      <c r="J294" s="59"/>
      <c r="K294" s="43">
        <v>3.0</v>
      </c>
      <c r="L294" s="59"/>
      <c r="M294" s="63" t="s">
        <v>527</v>
      </c>
      <c r="N294" s="139">
        <v>32.0</v>
      </c>
      <c r="O294" s="59"/>
      <c r="P294" s="59"/>
      <c r="Q294" s="59"/>
      <c r="R294" s="63">
        <v>5003.0</v>
      </c>
      <c r="S294" s="59"/>
      <c r="T294" s="59"/>
      <c r="U294" s="59"/>
      <c r="V294" s="59"/>
      <c r="W294" s="141"/>
      <c r="X294" s="61" t="s">
        <v>569</v>
      </c>
      <c r="Y294" s="59"/>
      <c r="Z294" s="34" t="s">
        <v>1794</v>
      </c>
      <c r="AA294" s="8"/>
      <c r="AB294" s="8"/>
      <c r="AC294" s="8"/>
      <c r="AD294" s="9"/>
    </row>
    <row r="295">
      <c r="A295" s="43">
        <f t="shared" si="53"/>
        <v>410024</v>
      </c>
      <c r="B295" s="63" t="s">
        <v>1795</v>
      </c>
      <c r="C295" s="43">
        <v>3.0</v>
      </c>
      <c r="D295" s="63"/>
      <c r="E295" s="59"/>
      <c r="F295" s="63">
        <v>1.0</v>
      </c>
      <c r="G295" s="59"/>
      <c r="H295" s="63">
        <v>2.0</v>
      </c>
      <c r="I295" s="59"/>
      <c r="J295" s="59"/>
      <c r="K295" s="43">
        <v>5.0</v>
      </c>
      <c r="L295" s="59"/>
      <c r="M295" s="63" t="s">
        <v>566</v>
      </c>
      <c r="N295" s="139">
        <v>50.0</v>
      </c>
      <c r="O295" s="59"/>
      <c r="P295" s="59"/>
      <c r="Q295" s="59"/>
      <c r="R295" s="63"/>
      <c r="S295" s="59"/>
      <c r="T295" s="59"/>
      <c r="U295" s="59"/>
      <c r="V295" s="59"/>
      <c r="W295" s="141"/>
      <c r="X295" s="61" t="s">
        <v>569</v>
      </c>
      <c r="Y295" s="59"/>
      <c r="Z295" s="34" t="s">
        <v>1796</v>
      </c>
      <c r="AA295" s="8"/>
      <c r="AB295" s="8"/>
      <c r="AC295" s="8"/>
      <c r="AD295" s="9"/>
    </row>
    <row r="296">
      <c r="A296" s="43">
        <f t="shared" si="53"/>
        <v>410025</v>
      </c>
      <c r="B296" s="63" t="s">
        <v>1797</v>
      </c>
      <c r="C296" s="43">
        <v>4.0</v>
      </c>
      <c r="D296" s="63"/>
      <c r="E296" s="59"/>
      <c r="F296" s="63">
        <v>1.0</v>
      </c>
      <c r="G296" s="59">
        <v>1.8</v>
      </c>
      <c r="H296" s="63"/>
      <c r="I296" s="59"/>
      <c r="J296" s="59"/>
      <c r="K296" s="43">
        <v>4.0</v>
      </c>
      <c r="L296" s="59"/>
      <c r="M296" s="63" t="s">
        <v>527</v>
      </c>
      <c r="N296" s="139">
        <v>45.0</v>
      </c>
      <c r="O296" s="59"/>
      <c r="P296" s="59"/>
      <c r="Q296" s="59"/>
      <c r="R296" s="63"/>
      <c r="S296" s="59"/>
      <c r="T296" s="59"/>
      <c r="U296" s="59"/>
      <c r="V296" s="59"/>
      <c r="W296" s="141"/>
      <c r="X296" s="63" t="s">
        <v>604</v>
      </c>
      <c r="Y296" s="59"/>
      <c r="Z296" s="34" t="s">
        <v>1798</v>
      </c>
      <c r="AA296" s="8"/>
      <c r="AB296" s="8"/>
      <c r="AC296" s="8"/>
      <c r="AD296" s="9"/>
    </row>
    <row r="297">
      <c r="A297" s="43">
        <f t="shared" si="53"/>
        <v>410026</v>
      </c>
      <c r="B297" s="63" t="s">
        <v>1799</v>
      </c>
      <c r="C297" s="43">
        <v>-1.0</v>
      </c>
      <c r="D297" s="63"/>
      <c r="E297" s="59"/>
      <c r="F297" s="63">
        <v>1.0</v>
      </c>
      <c r="G297" s="59"/>
      <c r="H297" s="63"/>
      <c r="I297" s="59"/>
      <c r="J297" s="59"/>
      <c r="K297" s="43">
        <v>3.0</v>
      </c>
      <c r="L297" s="59"/>
      <c r="M297" s="63" t="s">
        <v>527</v>
      </c>
      <c r="N297" s="139">
        <v>25.0</v>
      </c>
      <c r="O297" s="59"/>
      <c r="P297" s="59"/>
      <c r="Q297" s="59"/>
      <c r="R297" s="63" t="str">
        <f>"1997,3004"</f>
        <v>1997,3004</v>
      </c>
      <c r="S297" s="59"/>
      <c r="T297" s="59"/>
      <c r="U297" s="59"/>
      <c r="V297" s="59"/>
      <c r="W297" s="141"/>
      <c r="X297" s="63" t="s">
        <v>786</v>
      </c>
      <c r="Y297" s="59"/>
      <c r="Z297" s="34" t="s">
        <v>1800</v>
      </c>
      <c r="AA297" s="8"/>
      <c r="AB297" s="8"/>
      <c r="AC297" s="8"/>
      <c r="AD297" s="9"/>
    </row>
    <row r="298">
      <c r="A298" s="43">
        <f t="shared" si="53"/>
        <v>410027</v>
      </c>
      <c r="B298" s="63" t="s">
        <v>1801</v>
      </c>
      <c r="C298" s="43">
        <v>2.0</v>
      </c>
      <c r="D298" s="63"/>
      <c r="E298" s="59"/>
      <c r="F298" s="63">
        <v>1.0</v>
      </c>
      <c r="G298" s="59"/>
      <c r="H298" s="63">
        <v>2.1</v>
      </c>
      <c r="I298" s="59"/>
      <c r="J298" s="59"/>
      <c r="K298" s="43">
        <v>3.0</v>
      </c>
      <c r="L298" s="59"/>
      <c r="M298" s="63" t="s">
        <v>566</v>
      </c>
      <c r="N298" s="139">
        <v>28.0</v>
      </c>
      <c r="O298" s="59"/>
      <c r="P298" s="59"/>
      <c r="Q298" s="59"/>
      <c r="R298" s="63">
        <v>4001.0</v>
      </c>
      <c r="S298" s="59"/>
      <c r="T298" s="59"/>
      <c r="U298" s="59"/>
      <c r="V298" s="59"/>
      <c r="W298" s="141"/>
      <c r="X298" s="63" t="s">
        <v>604</v>
      </c>
      <c r="Y298" s="59"/>
      <c r="Z298" s="34" t="s">
        <v>1802</v>
      </c>
      <c r="AA298" s="8"/>
      <c r="AB298" s="8"/>
      <c r="AC298" s="8"/>
      <c r="AD298" s="9"/>
    </row>
    <row r="299">
      <c r="A299" s="43">
        <f t="shared" si="53"/>
        <v>410028</v>
      </c>
      <c r="B299" s="63" t="s">
        <v>1803</v>
      </c>
      <c r="C299" s="43">
        <v>-1.0</v>
      </c>
      <c r="D299" s="63"/>
      <c r="E299" s="59"/>
      <c r="F299" s="63">
        <v>1.0</v>
      </c>
      <c r="G299" s="63">
        <v>3.0</v>
      </c>
      <c r="H299" s="63"/>
      <c r="I299" s="59"/>
      <c r="J299" s="59"/>
      <c r="K299" s="43">
        <v>4.0</v>
      </c>
      <c r="L299" s="59"/>
      <c r="M299" s="63" t="s">
        <v>637</v>
      </c>
      <c r="N299" s="139">
        <v>30.0</v>
      </c>
      <c r="O299" s="59"/>
      <c r="P299" s="59"/>
      <c r="Q299" s="59"/>
      <c r="R299" s="63">
        <v>3002.0</v>
      </c>
      <c r="S299" s="59"/>
      <c r="T299" s="59"/>
      <c r="U299" s="59"/>
      <c r="V299" s="59"/>
      <c r="W299" s="141"/>
      <c r="X299" s="63" t="s">
        <v>862</v>
      </c>
      <c r="Y299" s="59"/>
      <c r="Z299" s="34" t="s">
        <v>1804</v>
      </c>
      <c r="AA299" s="8"/>
      <c r="AB299" s="8"/>
      <c r="AC299" s="8"/>
      <c r="AD299" s="9"/>
    </row>
    <row r="300">
      <c r="A300" s="43">
        <f t="shared" si="53"/>
        <v>410029</v>
      </c>
      <c r="B300" s="63" t="s">
        <v>1805</v>
      </c>
      <c r="C300" s="43">
        <v>1.0</v>
      </c>
      <c r="D300" s="63"/>
      <c r="E300" s="59"/>
      <c r="F300" s="63">
        <v>1.0</v>
      </c>
      <c r="G300" s="59"/>
      <c r="H300" s="63">
        <v>3.0</v>
      </c>
      <c r="I300" s="59"/>
      <c r="J300" s="59"/>
      <c r="K300" s="43">
        <v>4.0</v>
      </c>
      <c r="L300" s="59"/>
      <c r="M300" s="63" t="s">
        <v>615</v>
      </c>
      <c r="N300" s="139">
        <v>35.0</v>
      </c>
      <c r="O300" s="59"/>
      <c r="P300" s="59"/>
      <c r="Q300" s="59"/>
      <c r="R300" s="63">
        <v>5004.0</v>
      </c>
      <c r="S300" s="59"/>
      <c r="T300" s="59"/>
      <c r="U300" s="59"/>
      <c r="V300" s="59"/>
      <c r="W300" s="141"/>
      <c r="X300" s="61" t="s">
        <v>569</v>
      </c>
      <c r="Y300" s="59"/>
      <c r="Z300" s="34" t="s">
        <v>1806</v>
      </c>
      <c r="AA300" s="8"/>
      <c r="AB300" s="8"/>
      <c r="AC300" s="8"/>
      <c r="AD300" s="9"/>
    </row>
    <row r="301">
      <c r="A301" s="43">
        <f t="shared" si="53"/>
        <v>410030</v>
      </c>
      <c r="B301" s="63" t="s">
        <v>1807</v>
      </c>
      <c r="C301" s="43">
        <v>5.0</v>
      </c>
      <c r="D301" s="63"/>
      <c r="E301" s="59"/>
      <c r="F301" s="63">
        <v>1.0</v>
      </c>
      <c r="G301" s="59"/>
      <c r="H301" s="63">
        <v>2.5</v>
      </c>
      <c r="I301" s="59"/>
      <c r="J301" s="59"/>
      <c r="K301" s="43">
        <v>5.0</v>
      </c>
      <c r="L301" s="59"/>
      <c r="M301" s="63" t="s">
        <v>566</v>
      </c>
      <c r="N301" s="139">
        <v>70.0</v>
      </c>
      <c r="O301" s="59"/>
      <c r="P301" s="59"/>
      <c r="Q301" s="59"/>
      <c r="R301" s="63"/>
      <c r="S301" s="59"/>
      <c r="T301" s="59"/>
      <c r="U301" s="59"/>
      <c r="V301" s="59"/>
      <c r="W301" s="141"/>
      <c r="X301" s="61" t="s">
        <v>569</v>
      </c>
      <c r="Y301" s="59"/>
      <c r="Z301" s="34" t="s">
        <v>1808</v>
      </c>
      <c r="AA301" s="8"/>
      <c r="AB301" s="8"/>
      <c r="AC301" s="8"/>
      <c r="AD301" s="9"/>
    </row>
    <row r="302">
      <c r="A302" s="43">
        <f t="shared" si="53"/>
        <v>410031</v>
      </c>
      <c r="B302" s="63" t="s">
        <v>1809</v>
      </c>
      <c r="C302" s="43">
        <v>1.0</v>
      </c>
      <c r="D302" s="63"/>
      <c r="E302" s="59"/>
      <c r="F302" s="63">
        <v>1.0</v>
      </c>
      <c r="G302" s="59">
        <v>4.8</v>
      </c>
      <c r="H302" s="63"/>
      <c r="I302" s="59"/>
      <c r="J302" s="59"/>
      <c r="K302" s="43">
        <v>5.0</v>
      </c>
      <c r="L302" s="59"/>
      <c r="M302" s="63" t="s">
        <v>527</v>
      </c>
      <c r="N302" s="139">
        <v>55.0</v>
      </c>
      <c r="O302" s="59"/>
      <c r="P302" s="59"/>
      <c r="Q302" s="59"/>
      <c r="R302" s="63"/>
      <c r="S302" s="59"/>
      <c r="T302" s="59"/>
      <c r="U302" s="59"/>
      <c r="V302" s="59"/>
      <c r="W302" s="141"/>
      <c r="X302" s="61" t="s">
        <v>569</v>
      </c>
      <c r="Y302" s="59"/>
      <c r="Z302" s="34" t="s">
        <v>1810</v>
      </c>
      <c r="AA302" s="8"/>
      <c r="AB302" s="8"/>
      <c r="AC302" s="8"/>
      <c r="AD302" s="9"/>
    </row>
    <row r="303">
      <c r="C303" s="51"/>
      <c r="D303" s="51"/>
      <c r="E303" s="51"/>
      <c r="F303" s="51"/>
      <c r="G303" s="51"/>
      <c r="H303" s="51"/>
      <c r="I303" s="51"/>
      <c r="J303" s="51"/>
      <c r="K303" s="51"/>
      <c r="L303" s="51"/>
      <c r="N303" s="52"/>
      <c r="P303" s="53"/>
      <c r="Q303" s="53"/>
      <c r="R303" s="53"/>
      <c r="V303" s="51"/>
    </row>
    <row r="304">
      <c r="C304" s="51"/>
      <c r="D304" s="51"/>
      <c r="E304" s="51"/>
      <c r="F304" s="51"/>
      <c r="G304" s="51"/>
      <c r="H304" s="51"/>
      <c r="I304" s="51"/>
      <c r="J304" s="51"/>
      <c r="K304" s="51"/>
      <c r="L304" s="51"/>
      <c r="N304" s="52"/>
      <c r="P304" s="53"/>
      <c r="Q304" s="53"/>
      <c r="R304" s="53"/>
      <c r="V304" s="51"/>
    </row>
    <row r="305">
      <c r="C305" s="51"/>
      <c r="D305" s="51"/>
      <c r="E305" s="51"/>
      <c r="F305" s="51"/>
      <c r="G305" s="51"/>
      <c r="H305" s="51"/>
      <c r="I305" s="51"/>
      <c r="J305" s="51"/>
      <c r="K305" s="51"/>
      <c r="L305" s="51"/>
      <c r="N305" s="52"/>
      <c r="P305" s="53"/>
      <c r="Q305" s="53"/>
      <c r="R305" s="53"/>
      <c r="V305" s="51"/>
    </row>
    <row r="306">
      <c r="C306" s="51"/>
      <c r="D306" s="51"/>
      <c r="E306" s="51"/>
      <c r="F306" s="51"/>
      <c r="G306" s="51"/>
      <c r="H306" s="51"/>
      <c r="I306" s="51"/>
      <c r="J306" s="51"/>
      <c r="K306" s="51"/>
      <c r="L306" s="51"/>
      <c r="N306" s="52"/>
      <c r="P306" s="53"/>
      <c r="Q306" s="53"/>
      <c r="R306" s="53"/>
      <c r="V306" s="51"/>
    </row>
    <row r="307">
      <c r="C307" s="51"/>
      <c r="D307" s="51"/>
      <c r="E307" s="51"/>
      <c r="F307" s="51"/>
      <c r="G307" s="51"/>
      <c r="H307" s="51"/>
      <c r="I307" s="51"/>
      <c r="J307" s="51"/>
      <c r="K307" s="51"/>
      <c r="L307" s="51"/>
      <c r="N307" s="52"/>
      <c r="P307" s="53"/>
      <c r="Q307" s="53"/>
      <c r="R307" s="53"/>
      <c r="V307" s="51"/>
    </row>
    <row r="308">
      <c r="C308" s="51"/>
      <c r="D308" s="51"/>
      <c r="E308" s="51"/>
      <c r="F308" s="51"/>
      <c r="G308" s="51"/>
      <c r="H308" s="51"/>
      <c r="I308" s="51"/>
      <c r="J308" s="51"/>
      <c r="K308" s="51"/>
      <c r="L308" s="51"/>
      <c r="N308" s="52"/>
      <c r="P308" s="53"/>
      <c r="Q308" s="53"/>
      <c r="R308" s="53"/>
      <c r="V308" s="51"/>
    </row>
    <row r="309">
      <c r="C309" s="51"/>
      <c r="D309" s="51"/>
      <c r="E309" s="51"/>
      <c r="F309" s="51"/>
      <c r="G309" s="51"/>
      <c r="H309" s="51"/>
      <c r="I309" s="51"/>
      <c r="J309" s="51"/>
      <c r="K309" s="51"/>
      <c r="L309" s="51"/>
      <c r="N309" s="52"/>
      <c r="P309" s="53"/>
      <c r="Q309" s="53"/>
      <c r="R309" s="53"/>
      <c r="V309" s="51"/>
    </row>
    <row r="310">
      <c r="C310" s="51"/>
      <c r="D310" s="51"/>
      <c r="E310" s="51"/>
      <c r="F310" s="51"/>
      <c r="G310" s="51"/>
      <c r="H310" s="51"/>
      <c r="I310" s="51"/>
      <c r="J310" s="51"/>
      <c r="K310" s="51"/>
      <c r="L310" s="51"/>
      <c r="N310" s="52"/>
      <c r="P310" s="53"/>
      <c r="Q310" s="53"/>
      <c r="R310" s="53"/>
      <c r="V310" s="51"/>
    </row>
    <row r="311">
      <c r="C311" s="51"/>
      <c r="D311" s="51"/>
      <c r="E311" s="51"/>
      <c r="F311" s="51"/>
      <c r="G311" s="51"/>
      <c r="H311" s="51"/>
      <c r="I311" s="51"/>
      <c r="J311" s="51"/>
      <c r="K311" s="51"/>
      <c r="L311" s="51"/>
      <c r="N311" s="52"/>
      <c r="P311" s="53"/>
      <c r="Q311" s="53"/>
      <c r="R311" s="53"/>
      <c r="V311" s="51"/>
    </row>
    <row r="312">
      <c r="C312" s="51"/>
      <c r="D312" s="51"/>
      <c r="E312" s="51"/>
      <c r="F312" s="51"/>
      <c r="G312" s="51"/>
      <c r="H312" s="51"/>
      <c r="I312" s="51"/>
      <c r="J312" s="51"/>
      <c r="K312" s="51"/>
      <c r="L312" s="51"/>
      <c r="N312" s="52"/>
      <c r="P312" s="53"/>
      <c r="Q312" s="53"/>
      <c r="R312" s="53"/>
      <c r="V312" s="51"/>
    </row>
    <row r="313">
      <c r="C313" s="51"/>
      <c r="D313" s="51"/>
      <c r="E313" s="51"/>
      <c r="F313" s="51"/>
      <c r="G313" s="51"/>
      <c r="H313" s="51"/>
      <c r="I313" s="51"/>
      <c r="J313" s="51"/>
      <c r="K313" s="51"/>
      <c r="L313" s="51"/>
      <c r="N313" s="52"/>
      <c r="P313" s="53"/>
      <c r="Q313" s="53"/>
      <c r="R313" s="53"/>
      <c r="V313" s="51"/>
    </row>
    <row r="314">
      <c r="C314" s="51"/>
      <c r="D314" s="51"/>
      <c r="E314" s="51"/>
      <c r="F314" s="51"/>
      <c r="G314" s="51"/>
      <c r="H314" s="51"/>
      <c r="I314" s="51"/>
      <c r="J314" s="51"/>
      <c r="K314" s="51"/>
      <c r="L314" s="51"/>
      <c r="N314" s="52"/>
      <c r="P314" s="53"/>
      <c r="Q314" s="53"/>
      <c r="R314" s="53"/>
      <c r="V314" s="51"/>
    </row>
    <row r="315">
      <c r="C315" s="51"/>
      <c r="D315" s="51"/>
      <c r="E315" s="51"/>
      <c r="F315" s="51"/>
      <c r="G315" s="51"/>
      <c r="H315" s="51"/>
      <c r="I315" s="51"/>
      <c r="J315" s="51"/>
      <c r="K315" s="51"/>
      <c r="L315" s="51"/>
      <c r="N315" s="52"/>
      <c r="P315" s="53"/>
      <c r="Q315" s="53"/>
      <c r="R315" s="53"/>
      <c r="V315" s="51"/>
    </row>
    <row r="316">
      <c r="C316" s="51"/>
      <c r="D316" s="51"/>
      <c r="E316" s="51"/>
      <c r="F316" s="51"/>
      <c r="G316" s="51"/>
      <c r="H316" s="51"/>
      <c r="I316" s="51"/>
      <c r="J316" s="51"/>
      <c r="K316" s="51"/>
      <c r="L316" s="51"/>
      <c r="N316" s="52"/>
      <c r="P316" s="53"/>
      <c r="Q316" s="53"/>
      <c r="R316" s="53"/>
      <c r="V316" s="51"/>
    </row>
    <row r="317">
      <c r="C317" s="51"/>
      <c r="D317" s="51"/>
      <c r="E317" s="51"/>
      <c r="F317" s="51"/>
      <c r="G317" s="51"/>
      <c r="H317" s="51"/>
      <c r="I317" s="51"/>
      <c r="J317" s="51"/>
      <c r="K317" s="51"/>
      <c r="L317" s="51"/>
      <c r="N317" s="52"/>
      <c r="P317" s="53"/>
      <c r="Q317" s="53"/>
      <c r="R317" s="53"/>
      <c r="V317" s="51"/>
    </row>
    <row r="318">
      <c r="C318" s="51"/>
      <c r="D318" s="51"/>
      <c r="E318" s="51"/>
      <c r="F318" s="51"/>
      <c r="G318" s="51"/>
      <c r="H318" s="51"/>
      <c r="I318" s="51"/>
      <c r="J318" s="51"/>
      <c r="K318" s="51"/>
      <c r="L318" s="51"/>
      <c r="N318" s="52"/>
      <c r="P318" s="53"/>
      <c r="Q318" s="53"/>
      <c r="R318" s="53"/>
      <c r="V318" s="51"/>
    </row>
    <row r="319">
      <c r="C319" s="51"/>
      <c r="D319" s="51"/>
      <c r="E319" s="51"/>
      <c r="F319" s="51"/>
      <c r="G319" s="51"/>
      <c r="H319" s="51"/>
      <c r="I319" s="51"/>
      <c r="J319" s="51"/>
      <c r="K319" s="51"/>
      <c r="L319" s="51"/>
      <c r="N319" s="52"/>
      <c r="P319" s="53"/>
      <c r="Q319" s="53"/>
      <c r="R319" s="53"/>
      <c r="V319" s="51"/>
    </row>
    <row r="320">
      <c r="C320" s="51"/>
      <c r="D320" s="51"/>
      <c r="E320" s="51"/>
      <c r="F320" s="51"/>
      <c r="G320" s="51"/>
      <c r="H320" s="51"/>
      <c r="I320" s="51"/>
      <c r="J320" s="51"/>
      <c r="K320" s="51"/>
      <c r="L320" s="51"/>
      <c r="N320" s="52"/>
      <c r="P320" s="53"/>
      <c r="Q320" s="53"/>
      <c r="R320" s="53"/>
      <c r="V320" s="51"/>
    </row>
    <row r="321">
      <c r="C321" s="51"/>
      <c r="D321" s="51"/>
      <c r="E321" s="51"/>
      <c r="F321" s="51"/>
      <c r="G321" s="51"/>
      <c r="H321" s="51"/>
      <c r="I321" s="51"/>
      <c r="J321" s="51"/>
      <c r="K321" s="51"/>
      <c r="L321" s="51"/>
      <c r="N321" s="52"/>
      <c r="P321" s="53"/>
      <c r="Q321" s="53"/>
      <c r="R321" s="53"/>
      <c r="V321" s="51"/>
    </row>
    <row r="322">
      <c r="C322" s="51"/>
      <c r="D322" s="51"/>
      <c r="E322" s="51"/>
      <c r="F322" s="51"/>
      <c r="G322" s="51"/>
      <c r="H322" s="51"/>
      <c r="I322" s="51"/>
      <c r="J322" s="51"/>
      <c r="K322" s="51"/>
      <c r="L322" s="51"/>
      <c r="N322" s="52"/>
      <c r="P322" s="53"/>
      <c r="Q322" s="53"/>
      <c r="R322" s="53"/>
      <c r="V322" s="51"/>
    </row>
    <row r="323">
      <c r="C323" s="51"/>
      <c r="D323" s="51"/>
      <c r="E323" s="51"/>
      <c r="F323" s="51"/>
      <c r="G323" s="51"/>
      <c r="H323" s="51"/>
      <c r="I323" s="51"/>
      <c r="J323" s="51"/>
      <c r="K323" s="51"/>
      <c r="L323" s="51"/>
      <c r="N323" s="52"/>
      <c r="P323" s="53"/>
      <c r="Q323" s="53"/>
      <c r="R323" s="53"/>
      <c r="V323" s="51"/>
    </row>
    <row r="324">
      <c r="C324" s="51"/>
      <c r="D324" s="51"/>
      <c r="E324" s="51"/>
      <c r="F324" s="51"/>
      <c r="G324" s="51"/>
      <c r="H324" s="51"/>
      <c r="I324" s="51"/>
      <c r="J324" s="51"/>
      <c r="K324" s="51"/>
      <c r="L324" s="51"/>
      <c r="N324" s="52"/>
      <c r="P324" s="53"/>
      <c r="Q324" s="53"/>
      <c r="R324" s="53"/>
      <c r="V324" s="51"/>
    </row>
    <row r="325">
      <c r="C325" s="51"/>
      <c r="D325" s="51"/>
      <c r="E325" s="51"/>
      <c r="F325" s="51"/>
      <c r="G325" s="51"/>
      <c r="H325" s="51"/>
      <c r="I325" s="51"/>
      <c r="J325" s="51"/>
      <c r="K325" s="51"/>
      <c r="L325" s="51"/>
      <c r="N325" s="52"/>
      <c r="P325" s="53"/>
      <c r="Q325" s="53"/>
      <c r="R325" s="53"/>
      <c r="V325" s="51"/>
    </row>
    <row r="326">
      <c r="C326" s="51"/>
      <c r="D326" s="51"/>
      <c r="E326" s="51"/>
      <c r="F326" s="51"/>
      <c r="G326" s="51"/>
      <c r="H326" s="51"/>
      <c r="I326" s="51"/>
      <c r="J326" s="51"/>
      <c r="K326" s="51"/>
      <c r="L326" s="51"/>
      <c r="N326" s="52"/>
      <c r="P326" s="53"/>
      <c r="Q326" s="53"/>
      <c r="R326" s="53"/>
      <c r="V326" s="51"/>
    </row>
    <row r="327">
      <c r="C327" s="51"/>
      <c r="D327" s="51"/>
      <c r="E327" s="51"/>
      <c r="F327" s="51"/>
      <c r="G327" s="51"/>
      <c r="H327" s="51"/>
      <c r="I327" s="51"/>
      <c r="J327" s="51"/>
      <c r="K327" s="51"/>
      <c r="L327" s="51"/>
      <c r="N327" s="52"/>
      <c r="P327" s="53"/>
      <c r="Q327" s="53"/>
      <c r="R327" s="53"/>
      <c r="V327" s="51"/>
    </row>
    <row r="328">
      <c r="C328" s="51"/>
      <c r="D328" s="51"/>
      <c r="E328" s="51"/>
      <c r="F328" s="51"/>
      <c r="G328" s="51"/>
      <c r="H328" s="51"/>
      <c r="I328" s="51"/>
      <c r="J328" s="51"/>
      <c r="K328" s="51"/>
      <c r="L328" s="51"/>
      <c r="N328" s="52"/>
      <c r="P328" s="53"/>
      <c r="Q328" s="53"/>
      <c r="R328" s="53"/>
      <c r="V328" s="51"/>
    </row>
    <row r="329">
      <c r="C329" s="51"/>
      <c r="D329" s="51"/>
      <c r="E329" s="51"/>
      <c r="F329" s="51"/>
      <c r="G329" s="51"/>
      <c r="H329" s="51"/>
      <c r="I329" s="51"/>
      <c r="J329" s="51"/>
      <c r="K329" s="51"/>
      <c r="L329" s="51"/>
      <c r="N329" s="52"/>
      <c r="P329" s="53"/>
      <c r="Q329" s="53"/>
      <c r="R329" s="53"/>
      <c r="V329" s="51"/>
    </row>
    <row r="330">
      <c r="C330" s="51"/>
      <c r="D330" s="51"/>
      <c r="E330" s="51"/>
      <c r="F330" s="51"/>
      <c r="G330" s="51"/>
      <c r="H330" s="51"/>
      <c r="I330" s="51"/>
      <c r="J330" s="51"/>
      <c r="K330" s="51"/>
      <c r="L330" s="51"/>
      <c r="N330" s="52"/>
      <c r="P330" s="53"/>
      <c r="Q330" s="53"/>
      <c r="R330" s="53"/>
      <c r="V330" s="51"/>
    </row>
    <row r="331">
      <c r="C331" s="51"/>
      <c r="D331" s="51"/>
      <c r="E331" s="51"/>
      <c r="F331" s="51"/>
      <c r="G331" s="51"/>
      <c r="H331" s="51"/>
      <c r="I331" s="51"/>
      <c r="J331" s="51"/>
      <c r="K331" s="51"/>
      <c r="L331" s="51"/>
      <c r="N331" s="52"/>
      <c r="P331" s="53"/>
      <c r="Q331" s="53"/>
      <c r="R331" s="53"/>
      <c r="V331" s="51"/>
    </row>
    <row r="332">
      <c r="C332" s="51"/>
      <c r="D332" s="51"/>
      <c r="E332" s="51"/>
      <c r="F332" s="51"/>
      <c r="G332" s="51"/>
      <c r="H332" s="51"/>
      <c r="I332" s="51"/>
      <c r="J332" s="51"/>
      <c r="K332" s="51"/>
      <c r="L332" s="51"/>
      <c r="N332" s="52"/>
      <c r="P332" s="53"/>
      <c r="Q332" s="53"/>
      <c r="R332" s="53"/>
      <c r="V332" s="51"/>
    </row>
    <row r="333">
      <c r="C333" s="51"/>
      <c r="D333" s="51"/>
      <c r="E333" s="51"/>
      <c r="F333" s="51"/>
      <c r="G333" s="51"/>
      <c r="H333" s="51"/>
      <c r="I333" s="51"/>
      <c r="J333" s="51"/>
      <c r="K333" s="51"/>
      <c r="L333" s="51"/>
      <c r="N333" s="52"/>
      <c r="P333" s="53"/>
      <c r="Q333" s="53"/>
      <c r="R333" s="53"/>
      <c r="V333" s="51"/>
    </row>
    <row r="334">
      <c r="C334" s="51"/>
      <c r="D334" s="51"/>
      <c r="E334" s="51"/>
      <c r="F334" s="51"/>
      <c r="G334" s="51"/>
      <c r="H334" s="51"/>
      <c r="I334" s="51"/>
      <c r="J334" s="51"/>
      <c r="K334" s="51"/>
      <c r="L334" s="51"/>
      <c r="N334" s="52"/>
      <c r="P334" s="53"/>
      <c r="Q334" s="53"/>
      <c r="R334" s="53"/>
      <c r="V334" s="51"/>
    </row>
    <row r="335">
      <c r="C335" s="51"/>
      <c r="D335" s="51"/>
      <c r="E335" s="51"/>
      <c r="F335" s="51"/>
      <c r="G335" s="51"/>
      <c r="H335" s="51"/>
      <c r="I335" s="51"/>
      <c r="J335" s="51"/>
      <c r="K335" s="51"/>
      <c r="L335" s="51"/>
      <c r="N335" s="52"/>
      <c r="P335" s="53"/>
      <c r="Q335" s="53"/>
      <c r="R335" s="53"/>
      <c r="V335" s="51"/>
    </row>
    <row r="336">
      <c r="C336" s="51"/>
      <c r="D336" s="51"/>
      <c r="E336" s="51"/>
      <c r="F336" s="51"/>
      <c r="G336" s="51"/>
      <c r="H336" s="51"/>
      <c r="I336" s="51"/>
      <c r="J336" s="51"/>
      <c r="K336" s="51"/>
      <c r="L336" s="51"/>
      <c r="N336" s="52"/>
      <c r="P336" s="53"/>
      <c r="Q336" s="53"/>
      <c r="R336" s="53"/>
      <c r="V336" s="51"/>
    </row>
    <row r="337">
      <c r="C337" s="51"/>
      <c r="D337" s="51"/>
      <c r="E337" s="51"/>
      <c r="F337" s="51"/>
      <c r="G337" s="51"/>
      <c r="H337" s="51"/>
      <c r="I337" s="51"/>
      <c r="J337" s="51"/>
      <c r="K337" s="51"/>
      <c r="L337" s="51"/>
      <c r="N337" s="52"/>
      <c r="P337" s="53"/>
      <c r="Q337" s="53"/>
      <c r="R337" s="53"/>
      <c r="V337" s="51"/>
    </row>
    <row r="338">
      <c r="C338" s="51"/>
      <c r="D338" s="51"/>
      <c r="E338" s="51"/>
      <c r="F338" s="51"/>
      <c r="G338" s="51"/>
      <c r="H338" s="51"/>
      <c r="I338" s="51"/>
      <c r="J338" s="51"/>
      <c r="K338" s="51"/>
      <c r="L338" s="51"/>
      <c r="N338" s="52"/>
      <c r="P338" s="53"/>
      <c r="Q338" s="53"/>
      <c r="R338" s="53"/>
      <c r="V338" s="51"/>
    </row>
    <row r="339">
      <c r="C339" s="51"/>
      <c r="D339" s="51"/>
      <c r="E339" s="51"/>
      <c r="F339" s="51"/>
      <c r="G339" s="51"/>
      <c r="H339" s="51"/>
      <c r="I339" s="51"/>
      <c r="J339" s="51"/>
      <c r="K339" s="51"/>
      <c r="L339" s="51"/>
      <c r="N339" s="52"/>
      <c r="P339" s="53"/>
      <c r="Q339" s="53"/>
      <c r="R339" s="53"/>
      <c r="V339" s="51"/>
    </row>
    <row r="340">
      <c r="C340" s="51"/>
      <c r="D340" s="51"/>
      <c r="E340" s="51"/>
      <c r="F340" s="51"/>
      <c r="G340" s="51"/>
      <c r="H340" s="51"/>
      <c r="I340" s="51"/>
      <c r="J340" s="51"/>
      <c r="K340" s="51"/>
      <c r="L340" s="51"/>
      <c r="N340" s="52"/>
      <c r="P340" s="53"/>
      <c r="Q340" s="53"/>
      <c r="R340" s="53"/>
      <c r="V340" s="51"/>
    </row>
    <row r="341">
      <c r="C341" s="51"/>
      <c r="D341" s="51"/>
      <c r="E341" s="51"/>
      <c r="F341" s="51"/>
      <c r="G341" s="51"/>
      <c r="H341" s="51"/>
      <c r="I341" s="51"/>
      <c r="J341" s="51"/>
      <c r="K341" s="51"/>
      <c r="L341" s="51"/>
      <c r="N341" s="52"/>
      <c r="P341" s="53"/>
      <c r="Q341" s="53"/>
      <c r="R341" s="53"/>
      <c r="V341" s="51"/>
    </row>
    <row r="342">
      <c r="C342" s="51"/>
      <c r="D342" s="51"/>
      <c r="E342" s="51"/>
      <c r="F342" s="51"/>
      <c r="G342" s="51"/>
      <c r="H342" s="51"/>
      <c r="I342" s="51"/>
      <c r="J342" s="51"/>
      <c r="K342" s="51"/>
      <c r="L342" s="51"/>
      <c r="N342" s="52"/>
      <c r="P342" s="53"/>
      <c r="Q342" s="53"/>
      <c r="R342" s="53"/>
      <c r="V342" s="51"/>
    </row>
    <row r="343">
      <c r="C343" s="51"/>
      <c r="D343" s="51"/>
      <c r="E343" s="51"/>
      <c r="F343" s="51"/>
      <c r="G343" s="51"/>
      <c r="H343" s="51"/>
      <c r="I343" s="51"/>
      <c r="J343" s="51"/>
      <c r="K343" s="51"/>
      <c r="L343" s="51"/>
      <c r="N343" s="52"/>
      <c r="P343" s="53"/>
      <c r="Q343" s="53"/>
      <c r="R343" s="53"/>
      <c r="V343" s="51"/>
    </row>
    <row r="344">
      <c r="C344" s="51"/>
      <c r="D344" s="51"/>
      <c r="E344" s="51"/>
      <c r="F344" s="51"/>
      <c r="G344" s="51"/>
      <c r="H344" s="51"/>
      <c r="I344" s="51"/>
      <c r="J344" s="51"/>
      <c r="K344" s="51"/>
      <c r="L344" s="51"/>
      <c r="N344" s="52"/>
      <c r="P344" s="53"/>
      <c r="Q344" s="53"/>
      <c r="R344" s="53"/>
      <c r="V344" s="51"/>
    </row>
    <row r="345">
      <c r="C345" s="51"/>
      <c r="D345" s="51"/>
      <c r="E345" s="51"/>
      <c r="F345" s="51"/>
      <c r="G345" s="51"/>
      <c r="H345" s="51"/>
      <c r="I345" s="51"/>
      <c r="J345" s="51"/>
      <c r="K345" s="51"/>
      <c r="L345" s="51"/>
      <c r="N345" s="52"/>
      <c r="P345" s="53"/>
      <c r="Q345" s="53"/>
      <c r="R345" s="53"/>
      <c r="V345" s="51"/>
    </row>
    <row r="346">
      <c r="C346" s="51"/>
      <c r="D346" s="51"/>
      <c r="E346" s="51"/>
      <c r="F346" s="51"/>
      <c r="G346" s="51"/>
      <c r="H346" s="51"/>
      <c r="I346" s="51"/>
      <c r="J346" s="51"/>
      <c r="K346" s="51"/>
      <c r="L346" s="51"/>
      <c r="N346" s="52"/>
      <c r="P346" s="53"/>
      <c r="Q346" s="53"/>
      <c r="R346" s="53"/>
      <c r="V346" s="51"/>
    </row>
    <row r="347">
      <c r="C347" s="51"/>
      <c r="D347" s="51"/>
      <c r="E347" s="51"/>
      <c r="F347" s="51"/>
      <c r="G347" s="51"/>
      <c r="H347" s="51"/>
      <c r="I347" s="51"/>
      <c r="J347" s="51"/>
      <c r="K347" s="51"/>
      <c r="L347" s="51"/>
      <c r="N347" s="52"/>
      <c r="P347" s="53"/>
      <c r="Q347" s="53"/>
      <c r="R347" s="53"/>
      <c r="V347" s="51"/>
    </row>
    <row r="348">
      <c r="C348" s="51"/>
      <c r="D348" s="51"/>
      <c r="E348" s="51"/>
      <c r="F348" s="51"/>
      <c r="G348" s="51"/>
      <c r="H348" s="51"/>
      <c r="I348" s="51"/>
      <c r="J348" s="51"/>
      <c r="K348" s="51"/>
      <c r="L348" s="51"/>
      <c r="N348" s="52"/>
      <c r="P348" s="53"/>
      <c r="Q348" s="53"/>
      <c r="R348" s="53"/>
      <c r="V348" s="51"/>
    </row>
    <row r="349">
      <c r="C349" s="51"/>
      <c r="D349" s="51"/>
      <c r="E349" s="51"/>
      <c r="F349" s="51"/>
      <c r="G349" s="51"/>
      <c r="H349" s="51"/>
      <c r="I349" s="51"/>
      <c r="J349" s="51"/>
      <c r="K349" s="51"/>
      <c r="L349" s="51"/>
      <c r="N349" s="52"/>
      <c r="P349" s="53"/>
      <c r="Q349" s="53"/>
      <c r="R349" s="53"/>
      <c r="V349" s="51"/>
    </row>
    <row r="350">
      <c r="C350" s="51"/>
      <c r="D350" s="51"/>
      <c r="E350" s="51"/>
      <c r="F350" s="51"/>
      <c r="G350" s="51"/>
      <c r="H350" s="51"/>
      <c r="I350" s="51"/>
      <c r="J350" s="51"/>
      <c r="K350" s="51"/>
      <c r="L350" s="51"/>
      <c r="N350" s="52"/>
      <c r="P350" s="53"/>
      <c r="Q350" s="53"/>
      <c r="R350" s="53"/>
      <c r="V350" s="51"/>
    </row>
    <row r="351">
      <c r="C351" s="51"/>
      <c r="D351" s="51"/>
      <c r="E351" s="51"/>
      <c r="F351" s="51"/>
      <c r="G351" s="51"/>
      <c r="H351" s="51"/>
      <c r="I351" s="51"/>
      <c r="J351" s="51"/>
      <c r="K351" s="51"/>
      <c r="L351" s="51"/>
      <c r="N351" s="52"/>
      <c r="P351" s="53"/>
      <c r="Q351" s="53"/>
      <c r="R351" s="53"/>
      <c r="V351" s="51"/>
    </row>
    <row r="352">
      <c r="C352" s="51"/>
      <c r="D352" s="51"/>
      <c r="E352" s="51"/>
      <c r="F352" s="51"/>
      <c r="G352" s="51"/>
      <c r="H352" s="51"/>
      <c r="I352" s="51"/>
      <c r="J352" s="51"/>
      <c r="K352" s="51"/>
      <c r="L352" s="51"/>
      <c r="N352" s="52"/>
      <c r="P352" s="53"/>
      <c r="Q352" s="53"/>
      <c r="R352" s="53"/>
      <c r="V352" s="51"/>
    </row>
    <row r="353">
      <c r="C353" s="51"/>
      <c r="D353" s="51"/>
      <c r="E353" s="51"/>
      <c r="F353" s="51"/>
      <c r="G353" s="51"/>
      <c r="H353" s="51"/>
      <c r="I353" s="51"/>
      <c r="J353" s="51"/>
      <c r="K353" s="51"/>
      <c r="L353" s="51"/>
      <c r="N353" s="52"/>
      <c r="P353" s="53"/>
      <c r="Q353" s="53"/>
      <c r="R353" s="53"/>
      <c r="V353" s="51"/>
    </row>
    <row r="354">
      <c r="C354" s="51"/>
      <c r="D354" s="51"/>
      <c r="E354" s="51"/>
      <c r="F354" s="51"/>
      <c r="G354" s="51"/>
      <c r="H354" s="51"/>
      <c r="I354" s="51"/>
      <c r="J354" s="51"/>
      <c r="K354" s="51"/>
      <c r="L354" s="51"/>
      <c r="N354" s="52"/>
      <c r="P354" s="53"/>
      <c r="Q354" s="53"/>
      <c r="R354" s="53"/>
      <c r="V354" s="51"/>
    </row>
    <row r="355">
      <c r="C355" s="51"/>
      <c r="D355" s="51"/>
      <c r="E355" s="51"/>
      <c r="F355" s="51"/>
      <c r="G355" s="51"/>
      <c r="H355" s="51"/>
      <c r="I355" s="51"/>
      <c r="J355" s="51"/>
      <c r="K355" s="51"/>
      <c r="L355" s="51"/>
      <c r="N355" s="52"/>
      <c r="P355" s="53"/>
      <c r="Q355" s="53"/>
      <c r="R355" s="53"/>
      <c r="V355" s="51"/>
    </row>
    <row r="356">
      <c r="C356" s="51"/>
      <c r="D356" s="51"/>
      <c r="E356" s="51"/>
      <c r="F356" s="51"/>
      <c r="G356" s="51"/>
      <c r="H356" s="51"/>
      <c r="I356" s="51"/>
      <c r="J356" s="51"/>
      <c r="K356" s="51"/>
      <c r="L356" s="51"/>
      <c r="N356" s="52"/>
      <c r="P356" s="53"/>
      <c r="Q356" s="53"/>
      <c r="R356" s="53"/>
      <c r="V356" s="51"/>
    </row>
    <row r="357">
      <c r="C357" s="51"/>
      <c r="D357" s="51"/>
      <c r="E357" s="51"/>
      <c r="F357" s="51"/>
      <c r="G357" s="51"/>
      <c r="H357" s="51"/>
      <c r="I357" s="51"/>
      <c r="J357" s="51"/>
      <c r="K357" s="51"/>
      <c r="L357" s="51"/>
      <c r="N357" s="52"/>
      <c r="P357" s="53"/>
      <c r="Q357" s="53"/>
      <c r="R357" s="53"/>
      <c r="V357" s="51"/>
    </row>
    <row r="358">
      <c r="C358" s="51"/>
      <c r="D358" s="51"/>
      <c r="E358" s="51"/>
      <c r="F358" s="51"/>
      <c r="G358" s="51"/>
      <c r="H358" s="51"/>
      <c r="I358" s="51"/>
      <c r="J358" s="51"/>
      <c r="K358" s="51"/>
      <c r="L358" s="51"/>
      <c r="N358" s="52"/>
      <c r="P358" s="53"/>
      <c r="Q358" s="53"/>
      <c r="R358" s="53"/>
      <c r="V358" s="51"/>
    </row>
    <row r="359">
      <c r="C359" s="51"/>
      <c r="D359" s="51"/>
      <c r="E359" s="51"/>
      <c r="F359" s="51"/>
      <c r="G359" s="51"/>
      <c r="H359" s="51"/>
      <c r="I359" s="51"/>
      <c r="J359" s="51"/>
      <c r="K359" s="51"/>
      <c r="L359" s="51"/>
      <c r="N359" s="52"/>
      <c r="P359" s="53"/>
      <c r="Q359" s="53"/>
      <c r="R359" s="53"/>
      <c r="V359" s="51"/>
    </row>
    <row r="360">
      <c r="C360" s="51"/>
      <c r="D360" s="51"/>
      <c r="E360" s="51"/>
      <c r="F360" s="51"/>
      <c r="G360" s="51"/>
      <c r="H360" s="51"/>
      <c r="I360" s="51"/>
      <c r="J360" s="51"/>
      <c r="K360" s="51"/>
      <c r="L360" s="51"/>
      <c r="N360" s="52"/>
      <c r="P360" s="53"/>
      <c r="Q360" s="53"/>
      <c r="R360" s="53"/>
      <c r="V360" s="51"/>
    </row>
    <row r="361">
      <c r="C361" s="51"/>
      <c r="D361" s="51"/>
      <c r="E361" s="51"/>
      <c r="F361" s="51"/>
      <c r="G361" s="51"/>
      <c r="H361" s="51"/>
      <c r="I361" s="51"/>
      <c r="J361" s="51"/>
      <c r="K361" s="51"/>
      <c r="L361" s="51"/>
      <c r="N361" s="52"/>
      <c r="P361" s="53"/>
      <c r="Q361" s="53"/>
      <c r="R361" s="53"/>
      <c r="V361" s="51"/>
    </row>
    <row r="362">
      <c r="C362" s="51"/>
      <c r="D362" s="51"/>
      <c r="E362" s="51"/>
      <c r="F362" s="51"/>
      <c r="G362" s="51"/>
      <c r="H362" s="51"/>
      <c r="I362" s="51"/>
      <c r="J362" s="51"/>
      <c r="K362" s="51"/>
      <c r="L362" s="51"/>
      <c r="N362" s="52"/>
      <c r="P362" s="53"/>
      <c r="Q362" s="53"/>
      <c r="R362" s="53"/>
      <c r="V362" s="51"/>
    </row>
    <row r="363">
      <c r="C363" s="51"/>
      <c r="D363" s="51"/>
      <c r="E363" s="51"/>
      <c r="F363" s="51"/>
      <c r="G363" s="51"/>
      <c r="H363" s="51"/>
      <c r="I363" s="51"/>
      <c r="J363" s="51"/>
      <c r="K363" s="51"/>
      <c r="L363" s="51"/>
      <c r="N363" s="52"/>
      <c r="P363" s="53"/>
      <c r="Q363" s="53"/>
      <c r="R363" s="53"/>
      <c r="V363" s="51"/>
    </row>
    <row r="364">
      <c r="C364" s="51"/>
      <c r="D364" s="51"/>
      <c r="E364" s="51"/>
      <c r="F364" s="51"/>
      <c r="G364" s="51"/>
      <c r="H364" s="51"/>
      <c r="I364" s="51"/>
      <c r="J364" s="51"/>
      <c r="K364" s="51"/>
      <c r="L364" s="51"/>
      <c r="N364" s="52"/>
      <c r="P364" s="53"/>
      <c r="Q364" s="53"/>
      <c r="R364" s="53"/>
      <c r="V364" s="51"/>
    </row>
    <row r="365">
      <c r="C365" s="51"/>
      <c r="D365" s="51"/>
      <c r="E365" s="51"/>
      <c r="F365" s="51"/>
      <c r="G365" s="51"/>
      <c r="H365" s="51"/>
      <c r="I365" s="51"/>
      <c r="J365" s="51"/>
      <c r="K365" s="51"/>
      <c r="L365" s="51"/>
      <c r="N365" s="52"/>
      <c r="P365" s="53"/>
      <c r="Q365" s="53"/>
      <c r="R365" s="53"/>
      <c r="V365" s="51"/>
    </row>
    <row r="366">
      <c r="C366" s="51"/>
      <c r="D366" s="51"/>
      <c r="E366" s="51"/>
      <c r="F366" s="51"/>
      <c r="G366" s="51"/>
      <c r="H366" s="51"/>
      <c r="I366" s="51"/>
      <c r="J366" s="51"/>
      <c r="K366" s="51"/>
      <c r="L366" s="51"/>
      <c r="N366" s="52"/>
      <c r="P366" s="53"/>
      <c r="Q366" s="53"/>
      <c r="R366" s="53"/>
      <c r="V366" s="51"/>
    </row>
    <row r="367">
      <c r="C367" s="51"/>
      <c r="D367" s="51"/>
      <c r="E367" s="51"/>
      <c r="F367" s="51"/>
      <c r="G367" s="51"/>
      <c r="H367" s="51"/>
      <c r="I367" s="51"/>
      <c r="J367" s="51"/>
      <c r="K367" s="51"/>
      <c r="L367" s="51"/>
      <c r="N367" s="52"/>
      <c r="P367" s="53"/>
      <c r="Q367" s="53"/>
      <c r="R367" s="53"/>
      <c r="V367" s="51"/>
    </row>
    <row r="368">
      <c r="C368" s="51"/>
      <c r="D368" s="51"/>
      <c r="E368" s="51"/>
      <c r="F368" s="51"/>
      <c r="G368" s="51"/>
      <c r="H368" s="51"/>
      <c r="I368" s="51"/>
      <c r="J368" s="51"/>
      <c r="K368" s="51"/>
      <c r="L368" s="51"/>
      <c r="N368" s="52"/>
      <c r="P368" s="53"/>
      <c r="Q368" s="53"/>
      <c r="R368" s="53"/>
      <c r="V368" s="51"/>
    </row>
    <row r="369">
      <c r="C369" s="51"/>
      <c r="D369" s="51"/>
      <c r="E369" s="51"/>
      <c r="F369" s="51"/>
      <c r="G369" s="51"/>
      <c r="H369" s="51"/>
      <c r="I369" s="51"/>
      <c r="J369" s="51"/>
      <c r="K369" s="51"/>
      <c r="L369" s="51"/>
      <c r="N369" s="52"/>
      <c r="P369" s="53"/>
      <c r="Q369" s="53"/>
      <c r="R369" s="53"/>
      <c r="V369" s="51"/>
    </row>
    <row r="370">
      <c r="C370" s="51"/>
      <c r="D370" s="51"/>
      <c r="E370" s="51"/>
      <c r="F370" s="51"/>
      <c r="G370" s="51"/>
      <c r="H370" s="51"/>
      <c r="I370" s="51"/>
      <c r="J370" s="51"/>
      <c r="K370" s="51"/>
      <c r="L370" s="51"/>
      <c r="N370" s="52"/>
      <c r="P370" s="53"/>
      <c r="Q370" s="53"/>
      <c r="R370" s="53"/>
      <c r="V370" s="51"/>
    </row>
    <row r="371">
      <c r="C371" s="51"/>
      <c r="D371" s="51"/>
      <c r="E371" s="51"/>
      <c r="F371" s="51"/>
      <c r="G371" s="51"/>
      <c r="H371" s="51"/>
      <c r="I371" s="51"/>
      <c r="J371" s="51"/>
      <c r="K371" s="51"/>
      <c r="L371" s="51"/>
      <c r="N371" s="52"/>
      <c r="P371" s="53"/>
      <c r="Q371" s="53"/>
      <c r="R371" s="53"/>
      <c r="V371" s="51"/>
    </row>
    <row r="372">
      <c r="C372" s="51"/>
      <c r="D372" s="51"/>
      <c r="E372" s="51"/>
      <c r="F372" s="51"/>
      <c r="G372" s="51"/>
      <c r="H372" s="51"/>
      <c r="I372" s="51"/>
      <c r="J372" s="51"/>
      <c r="K372" s="51"/>
      <c r="L372" s="51"/>
      <c r="N372" s="52"/>
      <c r="P372" s="53"/>
      <c r="Q372" s="53"/>
      <c r="R372" s="53"/>
      <c r="V372" s="51"/>
    </row>
    <row r="373">
      <c r="C373" s="51"/>
      <c r="D373" s="51"/>
      <c r="E373" s="51"/>
      <c r="F373" s="51"/>
      <c r="G373" s="51"/>
      <c r="H373" s="51"/>
      <c r="I373" s="51"/>
      <c r="J373" s="51"/>
      <c r="K373" s="51"/>
      <c r="L373" s="51"/>
      <c r="N373" s="52"/>
      <c r="P373" s="53"/>
      <c r="Q373" s="53"/>
      <c r="R373" s="53"/>
      <c r="V373" s="51"/>
    </row>
    <row r="374">
      <c r="C374" s="51"/>
      <c r="D374" s="51"/>
      <c r="E374" s="51"/>
      <c r="F374" s="51"/>
      <c r="G374" s="51"/>
      <c r="H374" s="51"/>
      <c r="I374" s="51"/>
      <c r="J374" s="51"/>
      <c r="K374" s="51"/>
      <c r="L374" s="51"/>
      <c r="N374" s="52"/>
      <c r="P374" s="53"/>
      <c r="Q374" s="53"/>
      <c r="R374" s="53"/>
      <c r="V374" s="51"/>
    </row>
    <row r="375">
      <c r="C375" s="51"/>
      <c r="D375" s="51"/>
      <c r="E375" s="51"/>
      <c r="F375" s="51"/>
      <c r="G375" s="51"/>
      <c r="H375" s="51"/>
      <c r="I375" s="51"/>
      <c r="J375" s="51"/>
      <c r="K375" s="51"/>
      <c r="L375" s="51"/>
      <c r="N375" s="52"/>
      <c r="P375" s="53"/>
      <c r="Q375" s="53"/>
      <c r="R375" s="53"/>
      <c r="V375" s="51"/>
    </row>
    <row r="376">
      <c r="C376" s="51"/>
      <c r="D376" s="51"/>
      <c r="E376" s="51"/>
      <c r="F376" s="51"/>
      <c r="G376" s="51"/>
      <c r="H376" s="51"/>
      <c r="I376" s="51"/>
      <c r="J376" s="51"/>
      <c r="K376" s="51"/>
      <c r="L376" s="51"/>
      <c r="N376" s="52"/>
      <c r="P376" s="53"/>
      <c r="Q376" s="53"/>
      <c r="R376" s="53"/>
      <c r="V376" s="51"/>
    </row>
    <row r="377">
      <c r="C377" s="51"/>
      <c r="D377" s="51"/>
      <c r="E377" s="51"/>
      <c r="F377" s="51"/>
      <c r="G377" s="51"/>
      <c r="H377" s="51"/>
      <c r="I377" s="51"/>
      <c r="J377" s="51"/>
      <c r="K377" s="51"/>
      <c r="L377" s="51"/>
      <c r="N377" s="52"/>
      <c r="P377" s="53"/>
      <c r="Q377" s="53"/>
      <c r="R377" s="53"/>
      <c r="V377" s="51"/>
    </row>
    <row r="378">
      <c r="C378" s="51"/>
      <c r="D378" s="51"/>
      <c r="E378" s="51"/>
      <c r="F378" s="51"/>
      <c r="G378" s="51"/>
      <c r="H378" s="51"/>
      <c r="I378" s="51"/>
      <c r="J378" s="51"/>
      <c r="K378" s="51"/>
      <c r="L378" s="51"/>
      <c r="N378" s="52"/>
      <c r="P378" s="53"/>
      <c r="Q378" s="53"/>
      <c r="R378" s="53"/>
      <c r="V378" s="51"/>
    </row>
    <row r="379">
      <c r="C379" s="51"/>
      <c r="D379" s="51"/>
      <c r="E379" s="51"/>
      <c r="F379" s="51"/>
      <c r="G379" s="51"/>
      <c r="H379" s="51"/>
      <c r="I379" s="51"/>
      <c r="J379" s="51"/>
      <c r="K379" s="51"/>
      <c r="L379" s="51"/>
      <c r="N379" s="52"/>
      <c r="P379" s="53"/>
      <c r="Q379" s="53"/>
      <c r="R379" s="53"/>
      <c r="V379" s="51"/>
    </row>
    <row r="380">
      <c r="C380" s="51"/>
      <c r="D380" s="51"/>
      <c r="E380" s="51"/>
      <c r="F380" s="51"/>
      <c r="G380" s="51"/>
      <c r="H380" s="51"/>
      <c r="I380" s="51"/>
      <c r="J380" s="51"/>
      <c r="K380" s="51"/>
      <c r="L380" s="51"/>
      <c r="N380" s="52"/>
      <c r="P380" s="53"/>
      <c r="Q380" s="53"/>
      <c r="R380" s="53"/>
      <c r="V380" s="51"/>
    </row>
    <row r="381">
      <c r="C381" s="51"/>
      <c r="D381" s="51"/>
      <c r="E381" s="51"/>
      <c r="F381" s="51"/>
      <c r="G381" s="51"/>
      <c r="H381" s="51"/>
      <c r="I381" s="51"/>
      <c r="J381" s="51"/>
      <c r="K381" s="51"/>
      <c r="L381" s="51"/>
      <c r="N381" s="52"/>
      <c r="P381" s="53"/>
      <c r="Q381" s="53"/>
      <c r="R381" s="53"/>
      <c r="V381" s="51"/>
    </row>
    <row r="382">
      <c r="C382" s="51"/>
      <c r="D382" s="51"/>
      <c r="E382" s="51"/>
      <c r="F382" s="51"/>
      <c r="G382" s="51"/>
      <c r="H382" s="51"/>
      <c r="I382" s="51"/>
      <c r="J382" s="51"/>
      <c r="K382" s="51"/>
      <c r="L382" s="51"/>
      <c r="N382" s="52"/>
      <c r="P382" s="53"/>
      <c r="Q382" s="53"/>
      <c r="R382" s="53"/>
      <c r="V382" s="51"/>
    </row>
    <row r="383">
      <c r="C383" s="51"/>
      <c r="D383" s="51"/>
      <c r="E383" s="51"/>
      <c r="F383" s="51"/>
      <c r="G383" s="51"/>
      <c r="H383" s="51"/>
      <c r="I383" s="51"/>
      <c r="J383" s="51"/>
      <c r="K383" s="51"/>
      <c r="L383" s="51"/>
      <c r="N383" s="52"/>
      <c r="P383" s="53"/>
      <c r="Q383" s="53"/>
      <c r="R383" s="53"/>
      <c r="V383" s="51"/>
    </row>
    <row r="384">
      <c r="C384" s="51"/>
      <c r="D384" s="51"/>
      <c r="E384" s="51"/>
      <c r="F384" s="51"/>
      <c r="G384" s="51"/>
      <c r="H384" s="51"/>
      <c r="I384" s="51"/>
      <c r="J384" s="51"/>
      <c r="K384" s="51"/>
      <c r="L384" s="51"/>
      <c r="N384" s="52"/>
      <c r="P384" s="53"/>
      <c r="Q384" s="53"/>
      <c r="R384" s="53"/>
      <c r="V384" s="51"/>
    </row>
    <row r="385">
      <c r="C385" s="51"/>
      <c r="D385" s="51"/>
      <c r="E385" s="51"/>
      <c r="F385" s="51"/>
      <c r="G385" s="51"/>
      <c r="H385" s="51"/>
      <c r="I385" s="51"/>
      <c r="J385" s="51"/>
      <c r="K385" s="51"/>
      <c r="L385" s="51"/>
      <c r="N385" s="52"/>
      <c r="P385" s="53"/>
      <c r="Q385" s="53"/>
      <c r="R385" s="53"/>
      <c r="V385" s="51"/>
    </row>
    <row r="386">
      <c r="C386" s="51"/>
      <c r="D386" s="51"/>
      <c r="E386" s="51"/>
      <c r="F386" s="51"/>
      <c r="G386" s="51"/>
      <c r="H386" s="51"/>
      <c r="I386" s="51"/>
      <c r="J386" s="51"/>
      <c r="K386" s="51"/>
      <c r="L386" s="51"/>
      <c r="N386" s="52"/>
      <c r="P386" s="53"/>
      <c r="Q386" s="53"/>
      <c r="R386" s="53"/>
      <c r="V386" s="51"/>
    </row>
    <row r="387">
      <c r="C387" s="51"/>
      <c r="D387" s="51"/>
      <c r="E387" s="51"/>
      <c r="F387" s="51"/>
      <c r="G387" s="51"/>
      <c r="H387" s="51"/>
      <c r="I387" s="51"/>
      <c r="J387" s="51"/>
      <c r="K387" s="51"/>
      <c r="L387" s="51"/>
      <c r="N387" s="52"/>
      <c r="P387" s="53"/>
      <c r="Q387" s="53"/>
      <c r="R387" s="53"/>
      <c r="V387" s="51"/>
    </row>
    <row r="388">
      <c r="C388" s="51"/>
      <c r="D388" s="51"/>
      <c r="E388" s="51"/>
      <c r="F388" s="51"/>
      <c r="G388" s="51"/>
      <c r="H388" s="51"/>
      <c r="I388" s="51"/>
      <c r="J388" s="51"/>
      <c r="K388" s="51"/>
      <c r="L388" s="51"/>
      <c r="N388" s="52"/>
      <c r="P388" s="53"/>
      <c r="Q388" s="53"/>
      <c r="R388" s="53"/>
      <c r="V388" s="51"/>
    </row>
    <row r="389">
      <c r="C389" s="51"/>
      <c r="D389" s="51"/>
      <c r="E389" s="51"/>
      <c r="F389" s="51"/>
      <c r="G389" s="51"/>
      <c r="H389" s="51"/>
      <c r="I389" s="51"/>
      <c r="J389" s="51"/>
      <c r="K389" s="51"/>
      <c r="L389" s="51"/>
      <c r="N389" s="52"/>
      <c r="P389" s="53"/>
      <c r="Q389" s="53"/>
      <c r="R389" s="53"/>
      <c r="V389" s="51"/>
    </row>
    <row r="390">
      <c r="C390" s="51"/>
      <c r="D390" s="51"/>
      <c r="E390" s="51"/>
      <c r="F390" s="51"/>
      <c r="G390" s="51"/>
      <c r="H390" s="51"/>
      <c r="I390" s="51"/>
      <c r="J390" s="51"/>
      <c r="K390" s="51"/>
      <c r="L390" s="51"/>
      <c r="N390" s="52"/>
      <c r="P390" s="53"/>
      <c r="Q390" s="53"/>
      <c r="R390" s="53"/>
      <c r="V390" s="51"/>
    </row>
    <row r="391">
      <c r="C391" s="51"/>
      <c r="D391" s="51"/>
      <c r="E391" s="51"/>
      <c r="F391" s="51"/>
      <c r="G391" s="51"/>
      <c r="H391" s="51"/>
      <c r="I391" s="51"/>
      <c r="J391" s="51"/>
      <c r="K391" s="51"/>
      <c r="L391" s="51"/>
      <c r="N391" s="52"/>
      <c r="P391" s="53"/>
      <c r="Q391" s="53"/>
      <c r="R391" s="53"/>
      <c r="V391" s="51"/>
    </row>
    <row r="392">
      <c r="C392" s="51"/>
      <c r="D392" s="51"/>
      <c r="E392" s="51"/>
      <c r="F392" s="51"/>
      <c r="G392" s="51"/>
      <c r="H392" s="51"/>
      <c r="I392" s="51"/>
      <c r="J392" s="51"/>
      <c r="K392" s="51"/>
      <c r="L392" s="51"/>
      <c r="N392" s="52"/>
      <c r="P392" s="53"/>
      <c r="Q392" s="53"/>
      <c r="R392" s="53"/>
      <c r="V392" s="51"/>
    </row>
    <row r="393">
      <c r="C393" s="51"/>
      <c r="D393" s="51"/>
      <c r="E393" s="51"/>
      <c r="F393" s="51"/>
      <c r="G393" s="51"/>
      <c r="H393" s="51"/>
      <c r="I393" s="51"/>
      <c r="J393" s="51"/>
      <c r="K393" s="51"/>
      <c r="L393" s="51"/>
      <c r="N393" s="52"/>
      <c r="P393" s="53"/>
      <c r="Q393" s="53"/>
      <c r="R393" s="53"/>
      <c r="V393" s="51"/>
    </row>
    <row r="394">
      <c r="C394" s="51"/>
      <c r="D394" s="51"/>
      <c r="E394" s="51"/>
      <c r="F394" s="51"/>
      <c r="G394" s="51"/>
      <c r="H394" s="51"/>
      <c r="I394" s="51"/>
      <c r="J394" s="51"/>
      <c r="K394" s="51"/>
      <c r="L394" s="51"/>
      <c r="N394" s="52"/>
      <c r="P394" s="53"/>
      <c r="Q394" s="53"/>
      <c r="R394" s="53"/>
      <c r="V394" s="51"/>
    </row>
    <row r="395">
      <c r="C395" s="51"/>
      <c r="D395" s="51"/>
      <c r="E395" s="51"/>
      <c r="F395" s="51"/>
      <c r="G395" s="51"/>
      <c r="H395" s="51"/>
      <c r="I395" s="51"/>
      <c r="J395" s="51"/>
      <c r="K395" s="51"/>
      <c r="L395" s="51"/>
      <c r="N395" s="52"/>
      <c r="P395" s="53"/>
      <c r="Q395" s="53"/>
      <c r="R395" s="53"/>
      <c r="V395" s="51"/>
    </row>
    <row r="396">
      <c r="C396" s="51"/>
      <c r="D396" s="51"/>
      <c r="E396" s="51"/>
      <c r="F396" s="51"/>
      <c r="G396" s="51"/>
      <c r="H396" s="51"/>
      <c r="I396" s="51"/>
      <c r="J396" s="51"/>
      <c r="K396" s="51"/>
      <c r="L396" s="51"/>
      <c r="N396" s="52"/>
      <c r="P396" s="53"/>
      <c r="Q396" s="53"/>
      <c r="R396" s="53"/>
      <c r="V396" s="51"/>
    </row>
    <row r="397">
      <c r="C397" s="51"/>
      <c r="D397" s="51"/>
      <c r="E397" s="51"/>
      <c r="F397" s="51"/>
      <c r="G397" s="51"/>
      <c r="H397" s="51"/>
      <c r="I397" s="51"/>
      <c r="J397" s="51"/>
      <c r="K397" s="51"/>
      <c r="L397" s="51"/>
      <c r="N397" s="52"/>
      <c r="P397" s="53"/>
      <c r="Q397" s="53"/>
      <c r="R397" s="53"/>
      <c r="V397" s="51"/>
    </row>
    <row r="398">
      <c r="C398" s="51"/>
      <c r="D398" s="51"/>
      <c r="E398" s="51"/>
      <c r="F398" s="51"/>
      <c r="G398" s="51"/>
      <c r="H398" s="51"/>
      <c r="I398" s="51"/>
      <c r="J398" s="51"/>
      <c r="K398" s="51"/>
      <c r="L398" s="51"/>
      <c r="N398" s="52"/>
      <c r="P398" s="53"/>
      <c r="Q398" s="53"/>
      <c r="R398" s="53"/>
      <c r="V398" s="51"/>
    </row>
    <row r="399">
      <c r="C399" s="51"/>
      <c r="D399" s="51"/>
      <c r="E399" s="51"/>
      <c r="F399" s="51"/>
      <c r="G399" s="51"/>
      <c r="H399" s="51"/>
      <c r="I399" s="51"/>
      <c r="J399" s="51"/>
      <c r="K399" s="51"/>
      <c r="L399" s="51"/>
      <c r="N399" s="52"/>
      <c r="P399" s="53"/>
      <c r="Q399" s="53"/>
      <c r="R399" s="53"/>
      <c r="V399" s="51"/>
    </row>
    <row r="400">
      <c r="C400" s="51"/>
      <c r="D400" s="51"/>
      <c r="E400" s="51"/>
      <c r="F400" s="51"/>
      <c r="G400" s="51"/>
      <c r="H400" s="51"/>
      <c r="I400" s="51"/>
      <c r="J400" s="51"/>
      <c r="K400" s="51"/>
      <c r="L400" s="51"/>
      <c r="N400" s="52"/>
      <c r="P400" s="53"/>
      <c r="Q400" s="53"/>
      <c r="R400" s="53"/>
      <c r="V400" s="51"/>
    </row>
    <row r="401">
      <c r="C401" s="51"/>
      <c r="D401" s="51"/>
      <c r="E401" s="51"/>
      <c r="F401" s="51"/>
      <c r="G401" s="51"/>
      <c r="H401" s="51"/>
      <c r="I401" s="51"/>
      <c r="J401" s="51"/>
      <c r="K401" s="51"/>
      <c r="L401" s="51"/>
      <c r="N401" s="52"/>
      <c r="P401" s="53"/>
      <c r="Q401" s="53"/>
      <c r="R401" s="53"/>
      <c r="V401" s="51"/>
    </row>
    <row r="402">
      <c r="C402" s="51"/>
      <c r="D402" s="51"/>
      <c r="E402" s="51"/>
      <c r="F402" s="51"/>
      <c r="G402" s="51"/>
      <c r="H402" s="51"/>
      <c r="I402" s="51"/>
      <c r="J402" s="51"/>
      <c r="K402" s="51"/>
      <c r="L402" s="51"/>
      <c r="N402" s="52"/>
      <c r="P402" s="53"/>
      <c r="Q402" s="53"/>
      <c r="R402" s="53"/>
      <c r="V402" s="51"/>
    </row>
    <row r="403">
      <c r="C403" s="51"/>
      <c r="D403" s="51"/>
      <c r="E403" s="51"/>
      <c r="F403" s="51"/>
      <c r="G403" s="51"/>
      <c r="H403" s="51"/>
      <c r="I403" s="51"/>
      <c r="J403" s="51"/>
      <c r="K403" s="51"/>
      <c r="L403" s="51"/>
      <c r="N403" s="52"/>
      <c r="P403" s="53"/>
      <c r="Q403" s="53"/>
      <c r="R403" s="53"/>
      <c r="V403" s="51"/>
    </row>
    <row r="404">
      <c r="C404" s="51"/>
      <c r="D404" s="51"/>
      <c r="E404" s="51"/>
      <c r="F404" s="51"/>
      <c r="G404" s="51"/>
      <c r="H404" s="51"/>
      <c r="I404" s="51"/>
      <c r="J404" s="51"/>
      <c r="K404" s="51"/>
      <c r="L404" s="51"/>
      <c r="N404" s="52"/>
      <c r="P404" s="53"/>
      <c r="Q404" s="53"/>
      <c r="R404" s="53"/>
      <c r="V404" s="51"/>
    </row>
    <row r="405">
      <c r="C405" s="51"/>
      <c r="D405" s="51"/>
      <c r="E405" s="51"/>
      <c r="F405" s="51"/>
      <c r="G405" s="51"/>
      <c r="H405" s="51"/>
      <c r="I405" s="51"/>
      <c r="J405" s="51"/>
      <c r="K405" s="51"/>
      <c r="L405" s="51"/>
      <c r="N405" s="52"/>
      <c r="P405" s="53"/>
      <c r="Q405" s="53"/>
      <c r="R405" s="53"/>
      <c r="V405" s="51"/>
    </row>
    <row r="406">
      <c r="C406" s="51"/>
      <c r="D406" s="51"/>
      <c r="E406" s="51"/>
      <c r="F406" s="51"/>
      <c r="G406" s="51"/>
      <c r="H406" s="51"/>
      <c r="I406" s="51"/>
      <c r="J406" s="51"/>
      <c r="K406" s="51"/>
      <c r="L406" s="51"/>
      <c r="N406" s="52"/>
      <c r="P406" s="53"/>
      <c r="Q406" s="53"/>
      <c r="R406" s="53"/>
      <c r="V406" s="51"/>
    </row>
    <row r="407">
      <c r="C407" s="51"/>
      <c r="D407" s="51"/>
      <c r="E407" s="51"/>
      <c r="F407" s="51"/>
      <c r="G407" s="51"/>
      <c r="H407" s="51"/>
      <c r="I407" s="51"/>
      <c r="J407" s="51"/>
      <c r="K407" s="51"/>
      <c r="L407" s="51"/>
      <c r="N407" s="52"/>
      <c r="P407" s="53"/>
      <c r="Q407" s="53"/>
      <c r="R407" s="53"/>
      <c r="V407" s="51"/>
    </row>
    <row r="408">
      <c r="C408" s="51"/>
      <c r="D408" s="51"/>
      <c r="E408" s="51"/>
      <c r="F408" s="51"/>
      <c r="G408" s="51"/>
      <c r="H408" s="51"/>
      <c r="I408" s="51"/>
      <c r="J408" s="51"/>
      <c r="K408" s="51"/>
      <c r="L408" s="51"/>
      <c r="N408" s="52"/>
      <c r="P408" s="53"/>
      <c r="Q408" s="53"/>
      <c r="R408" s="53"/>
      <c r="V408" s="51"/>
    </row>
    <row r="409">
      <c r="C409" s="51"/>
      <c r="D409" s="51"/>
      <c r="E409" s="51"/>
      <c r="F409" s="51"/>
      <c r="G409" s="51"/>
      <c r="H409" s="51"/>
      <c r="I409" s="51"/>
      <c r="J409" s="51"/>
      <c r="K409" s="51"/>
      <c r="L409" s="51"/>
      <c r="N409" s="52"/>
      <c r="P409" s="53"/>
      <c r="Q409" s="53"/>
      <c r="R409" s="53"/>
      <c r="V409" s="51"/>
    </row>
    <row r="410">
      <c r="C410" s="51"/>
      <c r="D410" s="51"/>
      <c r="E410" s="51"/>
      <c r="F410" s="51"/>
      <c r="G410" s="51"/>
      <c r="H410" s="51"/>
      <c r="I410" s="51"/>
      <c r="J410" s="51"/>
      <c r="K410" s="51"/>
      <c r="L410" s="51"/>
      <c r="N410" s="52"/>
      <c r="P410" s="53"/>
      <c r="Q410" s="53"/>
      <c r="R410" s="53"/>
      <c r="V410" s="51"/>
    </row>
    <row r="411">
      <c r="C411" s="51"/>
      <c r="D411" s="51"/>
      <c r="E411" s="51"/>
      <c r="F411" s="51"/>
      <c r="G411" s="51"/>
      <c r="H411" s="51"/>
      <c r="I411" s="51"/>
      <c r="J411" s="51"/>
      <c r="K411" s="51"/>
      <c r="L411" s="51"/>
      <c r="N411" s="52"/>
      <c r="P411" s="53"/>
      <c r="Q411" s="53"/>
      <c r="R411" s="53"/>
      <c r="V411" s="51"/>
    </row>
    <row r="412">
      <c r="C412" s="51"/>
      <c r="D412" s="51"/>
      <c r="E412" s="51"/>
      <c r="F412" s="51"/>
      <c r="G412" s="51"/>
      <c r="H412" s="51"/>
      <c r="I412" s="51"/>
      <c r="J412" s="51"/>
      <c r="K412" s="51"/>
      <c r="L412" s="51"/>
      <c r="N412" s="52"/>
      <c r="P412" s="53"/>
      <c r="Q412" s="53"/>
      <c r="R412" s="53"/>
      <c r="V412" s="51"/>
    </row>
    <row r="413">
      <c r="C413" s="51"/>
      <c r="D413" s="51"/>
      <c r="E413" s="51"/>
      <c r="F413" s="51"/>
      <c r="G413" s="51"/>
      <c r="H413" s="51"/>
      <c r="I413" s="51"/>
      <c r="J413" s="51"/>
      <c r="K413" s="51"/>
      <c r="L413" s="51"/>
      <c r="N413" s="52"/>
      <c r="P413" s="53"/>
      <c r="Q413" s="53"/>
      <c r="R413" s="53"/>
      <c r="V413" s="51"/>
    </row>
    <row r="414">
      <c r="C414" s="51"/>
      <c r="D414" s="51"/>
      <c r="E414" s="51"/>
      <c r="F414" s="51"/>
      <c r="G414" s="51"/>
      <c r="H414" s="51"/>
      <c r="I414" s="51"/>
      <c r="J414" s="51"/>
      <c r="K414" s="51"/>
      <c r="L414" s="51"/>
      <c r="N414" s="52"/>
      <c r="P414" s="53"/>
      <c r="Q414" s="53"/>
      <c r="R414" s="53"/>
      <c r="V414" s="51"/>
    </row>
    <row r="415">
      <c r="C415" s="51"/>
      <c r="D415" s="51"/>
      <c r="E415" s="51"/>
      <c r="F415" s="51"/>
      <c r="G415" s="51"/>
      <c r="H415" s="51"/>
      <c r="I415" s="51"/>
      <c r="J415" s="51"/>
      <c r="K415" s="51"/>
      <c r="L415" s="51"/>
      <c r="N415" s="52"/>
      <c r="P415" s="53"/>
      <c r="Q415" s="53"/>
      <c r="R415" s="53"/>
      <c r="V415" s="51"/>
    </row>
    <row r="416">
      <c r="C416" s="51"/>
      <c r="D416" s="51"/>
      <c r="E416" s="51"/>
      <c r="F416" s="51"/>
      <c r="G416" s="51"/>
      <c r="H416" s="51"/>
      <c r="I416" s="51"/>
      <c r="J416" s="51"/>
      <c r="K416" s="51"/>
      <c r="L416" s="51"/>
      <c r="N416" s="52"/>
      <c r="P416" s="53"/>
      <c r="Q416" s="53"/>
      <c r="R416" s="53"/>
      <c r="V416" s="51"/>
    </row>
    <row r="417">
      <c r="C417" s="51"/>
      <c r="D417" s="51"/>
      <c r="E417" s="51"/>
      <c r="F417" s="51"/>
      <c r="G417" s="51"/>
      <c r="H417" s="51"/>
      <c r="I417" s="51"/>
      <c r="J417" s="51"/>
      <c r="K417" s="51"/>
      <c r="L417" s="51"/>
      <c r="N417" s="52"/>
      <c r="P417" s="53"/>
      <c r="Q417" s="53"/>
      <c r="R417" s="53"/>
      <c r="V417" s="51"/>
    </row>
    <row r="418">
      <c r="C418" s="51"/>
      <c r="D418" s="51"/>
      <c r="E418" s="51"/>
      <c r="F418" s="51"/>
      <c r="G418" s="51"/>
      <c r="H418" s="51"/>
      <c r="I418" s="51"/>
      <c r="J418" s="51"/>
      <c r="K418" s="51"/>
      <c r="L418" s="51"/>
      <c r="N418" s="52"/>
      <c r="P418" s="53"/>
      <c r="Q418" s="53"/>
      <c r="R418" s="53"/>
      <c r="V418" s="51"/>
    </row>
    <row r="419">
      <c r="C419" s="51"/>
      <c r="D419" s="51"/>
      <c r="E419" s="51"/>
      <c r="F419" s="51"/>
      <c r="G419" s="51"/>
      <c r="H419" s="51"/>
      <c r="I419" s="51"/>
      <c r="J419" s="51"/>
      <c r="K419" s="51"/>
      <c r="L419" s="51"/>
      <c r="N419" s="52"/>
      <c r="P419" s="53"/>
      <c r="Q419" s="53"/>
      <c r="R419" s="53"/>
      <c r="V419" s="51"/>
    </row>
    <row r="420">
      <c r="C420" s="51"/>
      <c r="D420" s="51"/>
      <c r="E420" s="51"/>
      <c r="F420" s="51"/>
      <c r="G420" s="51"/>
      <c r="H420" s="51"/>
      <c r="I420" s="51"/>
      <c r="J420" s="51"/>
      <c r="K420" s="51"/>
      <c r="L420" s="51"/>
      <c r="N420" s="52"/>
      <c r="P420" s="53"/>
      <c r="Q420" s="53"/>
      <c r="R420" s="53"/>
      <c r="V420" s="51"/>
    </row>
    <row r="421">
      <c r="C421" s="51"/>
      <c r="D421" s="51"/>
      <c r="E421" s="51"/>
      <c r="F421" s="51"/>
      <c r="G421" s="51"/>
      <c r="H421" s="51"/>
      <c r="I421" s="51"/>
      <c r="J421" s="51"/>
      <c r="K421" s="51"/>
      <c r="L421" s="51"/>
      <c r="N421" s="52"/>
      <c r="P421" s="53"/>
      <c r="Q421" s="53"/>
      <c r="R421" s="53"/>
      <c r="V421" s="51"/>
    </row>
    <row r="422">
      <c r="C422" s="51"/>
      <c r="D422" s="51"/>
      <c r="E422" s="51"/>
      <c r="F422" s="51"/>
      <c r="G422" s="51"/>
      <c r="H422" s="51"/>
      <c r="I422" s="51"/>
      <c r="J422" s="51"/>
      <c r="K422" s="51"/>
      <c r="L422" s="51"/>
      <c r="N422" s="52"/>
      <c r="P422" s="53"/>
      <c r="Q422" s="53"/>
      <c r="R422" s="53"/>
      <c r="V422" s="51"/>
    </row>
    <row r="423">
      <c r="C423" s="51"/>
      <c r="D423" s="51"/>
      <c r="E423" s="51"/>
      <c r="F423" s="51"/>
      <c r="G423" s="51"/>
      <c r="H423" s="51"/>
      <c r="I423" s="51"/>
      <c r="J423" s="51"/>
      <c r="K423" s="51"/>
      <c r="L423" s="51"/>
      <c r="N423" s="52"/>
      <c r="P423" s="53"/>
      <c r="Q423" s="53"/>
      <c r="R423" s="53"/>
      <c r="V423" s="51"/>
    </row>
    <row r="424">
      <c r="C424" s="51"/>
      <c r="D424" s="51"/>
      <c r="E424" s="51"/>
      <c r="F424" s="51"/>
      <c r="G424" s="51"/>
      <c r="H424" s="51"/>
      <c r="I424" s="51"/>
      <c r="J424" s="51"/>
      <c r="K424" s="51"/>
      <c r="L424" s="51"/>
      <c r="N424" s="52"/>
      <c r="P424" s="53"/>
      <c r="Q424" s="53"/>
      <c r="R424" s="53"/>
      <c r="V424" s="51"/>
    </row>
    <row r="425">
      <c r="C425" s="51"/>
      <c r="D425" s="51"/>
      <c r="E425" s="51"/>
      <c r="F425" s="51"/>
      <c r="G425" s="51"/>
      <c r="H425" s="51"/>
      <c r="I425" s="51"/>
      <c r="J425" s="51"/>
      <c r="K425" s="51"/>
      <c r="L425" s="51"/>
      <c r="N425" s="52"/>
      <c r="P425" s="53"/>
      <c r="Q425" s="53"/>
      <c r="R425" s="53"/>
      <c r="V425" s="51"/>
    </row>
    <row r="426">
      <c r="C426" s="51"/>
      <c r="D426" s="51"/>
      <c r="E426" s="51"/>
      <c r="F426" s="51"/>
      <c r="G426" s="51"/>
      <c r="H426" s="51"/>
      <c r="I426" s="51"/>
      <c r="J426" s="51"/>
      <c r="K426" s="51"/>
      <c r="L426" s="51"/>
      <c r="N426" s="52"/>
      <c r="P426" s="53"/>
      <c r="Q426" s="53"/>
      <c r="R426" s="53"/>
      <c r="V426" s="51"/>
    </row>
    <row r="427">
      <c r="C427" s="51"/>
      <c r="D427" s="51"/>
      <c r="E427" s="51"/>
      <c r="F427" s="51"/>
      <c r="G427" s="51"/>
      <c r="H427" s="51"/>
      <c r="I427" s="51"/>
      <c r="J427" s="51"/>
      <c r="K427" s="51"/>
      <c r="L427" s="51"/>
      <c r="N427" s="52"/>
      <c r="P427" s="53"/>
      <c r="Q427" s="53"/>
      <c r="R427" s="53"/>
      <c r="V427" s="51"/>
    </row>
    <row r="428">
      <c r="C428" s="51"/>
      <c r="D428" s="51"/>
      <c r="E428" s="51"/>
      <c r="F428" s="51"/>
      <c r="G428" s="51"/>
      <c r="H428" s="51"/>
      <c r="I428" s="51"/>
      <c r="J428" s="51"/>
      <c r="K428" s="51"/>
      <c r="L428" s="51"/>
      <c r="N428" s="52"/>
      <c r="P428" s="53"/>
      <c r="Q428" s="53"/>
      <c r="R428" s="53"/>
      <c r="V428" s="51"/>
    </row>
    <row r="429">
      <c r="C429" s="51"/>
      <c r="D429" s="51"/>
      <c r="E429" s="51"/>
      <c r="F429" s="51"/>
      <c r="G429" s="51"/>
      <c r="H429" s="51"/>
      <c r="I429" s="51"/>
      <c r="J429" s="51"/>
      <c r="K429" s="51"/>
      <c r="L429" s="51"/>
      <c r="N429" s="52"/>
      <c r="P429" s="53"/>
      <c r="Q429" s="53"/>
      <c r="R429" s="53"/>
      <c r="V429" s="51"/>
    </row>
    <row r="430">
      <c r="C430" s="51"/>
      <c r="D430" s="51"/>
      <c r="E430" s="51"/>
      <c r="F430" s="51"/>
      <c r="G430" s="51"/>
      <c r="H430" s="51"/>
      <c r="I430" s="51"/>
      <c r="J430" s="51"/>
      <c r="K430" s="51"/>
      <c r="L430" s="51"/>
      <c r="N430" s="52"/>
      <c r="P430" s="53"/>
      <c r="Q430" s="53"/>
      <c r="R430" s="53"/>
      <c r="V430" s="51"/>
    </row>
    <row r="431">
      <c r="C431" s="51"/>
      <c r="D431" s="51"/>
      <c r="E431" s="51"/>
      <c r="F431" s="51"/>
      <c r="G431" s="51"/>
      <c r="H431" s="51"/>
      <c r="I431" s="51"/>
      <c r="J431" s="51"/>
      <c r="K431" s="51"/>
      <c r="L431" s="51"/>
      <c r="N431" s="52"/>
      <c r="P431" s="53"/>
      <c r="Q431" s="53"/>
      <c r="R431" s="53"/>
      <c r="V431" s="51"/>
    </row>
    <row r="432">
      <c r="C432" s="51"/>
      <c r="D432" s="51"/>
      <c r="E432" s="51"/>
      <c r="F432" s="51"/>
      <c r="G432" s="51"/>
      <c r="H432" s="51"/>
      <c r="I432" s="51"/>
      <c r="J432" s="51"/>
      <c r="K432" s="51"/>
      <c r="L432" s="51"/>
      <c r="N432" s="52"/>
      <c r="P432" s="53"/>
      <c r="Q432" s="53"/>
      <c r="R432" s="53"/>
      <c r="V432" s="51"/>
    </row>
    <row r="433">
      <c r="C433" s="51"/>
      <c r="D433" s="51"/>
      <c r="E433" s="51"/>
      <c r="F433" s="51"/>
      <c r="G433" s="51"/>
      <c r="H433" s="51"/>
      <c r="I433" s="51"/>
      <c r="J433" s="51"/>
      <c r="K433" s="51"/>
      <c r="L433" s="51"/>
      <c r="N433" s="52"/>
      <c r="P433" s="53"/>
      <c r="Q433" s="53"/>
      <c r="R433" s="53"/>
      <c r="V433" s="51"/>
    </row>
    <row r="434">
      <c r="C434" s="51"/>
      <c r="D434" s="51"/>
      <c r="E434" s="51"/>
      <c r="F434" s="51"/>
      <c r="G434" s="51"/>
      <c r="H434" s="51"/>
      <c r="I434" s="51"/>
      <c r="J434" s="51"/>
      <c r="K434" s="51"/>
      <c r="L434" s="51"/>
      <c r="N434" s="52"/>
      <c r="P434" s="53"/>
      <c r="Q434" s="53"/>
      <c r="R434" s="53"/>
      <c r="V434" s="51"/>
    </row>
    <row r="435">
      <c r="C435" s="51"/>
      <c r="D435" s="51"/>
      <c r="E435" s="51"/>
      <c r="F435" s="51"/>
      <c r="G435" s="51"/>
      <c r="H435" s="51"/>
      <c r="I435" s="51"/>
      <c r="J435" s="51"/>
      <c r="K435" s="51"/>
      <c r="L435" s="51"/>
      <c r="N435" s="52"/>
      <c r="P435" s="53"/>
      <c r="Q435" s="53"/>
      <c r="R435" s="53"/>
      <c r="V435" s="51"/>
    </row>
    <row r="436">
      <c r="C436" s="51"/>
      <c r="D436" s="51"/>
      <c r="E436" s="51"/>
      <c r="F436" s="51"/>
      <c r="G436" s="51"/>
      <c r="H436" s="51"/>
      <c r="I436" s="51"/>
      <c r="J436" s="51"/>
      <c r="K436" s="51"/>
      <c r="L436" s="51"/>
      <c r="N436" s="52"/>
      <c r="P436" s="53"/>
      <c r="Q436" s="53"/>
      <c r="R436" s="53"/>
      <c r="V436" s="51"/>
    </row>
    <row r="437">
      <c r="C437" s="51"/>
      <c r="D437" s="51"/>
      <c r="E437" s="51"/>
      <c r="F437" s="51"/>
      <c r="G437" s="51"/>
      <c r="H437" s="51"/>
      <c r="I437" s="51"/>
      <c r="J437" s="51"/>
      <c r="K437" s="51"/>
      <c r="L437" s="51"/>
      <c r="N437" s="52"/>
      <c r="P437" s="53"/>
      <c r="Q437" s="53"/>
      <c r="R437" s="53"/>
      <c r="V437" s="51"/>
    </row>
    <row r="438">
      <c r="C438" s="51"/>
      <c r="D438" s="51"/>
      <c r="E438" s="51"/>
      <c r="F438" s="51"/>
      <c r="G438" s="51"/>
      <c r="H438" s="51"/>
      <c r="I438" s="51"/>
      <c r="J438" s="51"/>
      <c r="K438" s="51"/>
      <c r="L438" s="51"/>
      <c r="N438" s="52"/>
      <c r="P438" s="53"/>
      <c r="Q438" s="53"/>
      <c r="R438" s="53"/>
      <c r="V438" s="51"/>
    </row>
    <row r="439">
      <c r="C439" s="51"/>
      <c r="D439" s="51"/>
      <c r="E439" s="51"/>
      <c r="F439" s="51"/>
      <c r="G439" s="51"/>
      <c r="H439" s="51"/>
      <c r="I439" s="51"/>
      <c r="J439" s="51"/>
      <c r="K439" s="51"/>
      <c r="L439" s="51"/>
      <c r="N439" s="52"/>
      <c r="P439" s="53"/>
      <c r="Q439" s="53"/>
      <c r="R439" s="53"/>
      <c r="V439" s="51"/>
    </row>
    <row r="440">
      <c r="C440" s="51"/>
      <c r="D440" s="51"/>
      <c r="E440" s="51"/>
      <c r="F440" s="51"/>
      <c r="G440" s="51"/>
      <c r="H440" s="51"/>
      <c r="I440" s="51"/>
      <c r="J440" s="51"/>
      <c r="K440" s="51"/>
      <c r="L440" s="51"/>
      <c r="N440" s="52"/>
      <c r="P440" s="53"/>
      <c r="Q440" s="53"/>
      <c r="R440" s="53"/>
      <c r="V440" s="51"/>
    </row>
    <row r="441">
      <c r="C441" s="51"/>
      <c r="D441" s="51"/>
      <c r="E441" s="51"/>
      <c r="F441" s="51"/>
      <c r="G441" s="51"/>
      <c r="H441" s="51"/>
      <c r="I441" s="51"/>
      <c r="J441" s="51"/>
      <c r="K441" s="51"/>
      <c r="L441" s="51"/>
      <c r="N441" s="52"/>
      <c r="P441" s="53"/>
      <c r="Q441" s="53"/>
      <c r="R441" s="53"/>
      <c r="V441" s="51"/>
    </row>
    <row r="442">
      <c r="C442" s="51"/>
      <c r="D442" s="51"/>
      <c r="E442" s="51"/>
      <c r="F442" s="51"/>
      <c r="G442" s="51"/>
      <c r="H442" s="51"/>
      <c r="I442" s="51"/>
      <c r="J442" s="51"/>
      <c r="K442" s="51"/>
      <c r="L442" s="51"/>
      <c r="N442" s="52"/>
      <c r="P442" s="53"/>
      <c r="Q442" s="53"/>
      <c r="R442" s="53"/>
      <c r="V442" s="51"/>
    </row>
    <row r="443">
      <c r="C443" s="51"/>
      <c r="D443" s="51"/>
      <c r="E443" s="51"/>
      <c r="F443" s="51"/>
      <c r="G443" s="51"/>
      <c r="H443" s="51"/>
      <c r="I443" s="51"/>
      <c r="J443" s="51"/>
      <c r="K443" s="51"/>
      <c r="L443" s="51"/>
      <c r="N443" s="52"/>
      <c r="P443" s="53"/>
      <c r="Q443" s="53"/>
      <c r="R443" s="53"/>
      <c r="V443" s="51"/>
    </row>
    <row r="444">
      <c r="C444" s="51"/>
      <c r="D444" s="51"/>
      <c r="E444" s="51"/>
      <c r="F444" s="51"/>
      <c r="G444" s="51"/>
      <c r="H444" s="51"/>
      <c r="I444" s="51"/>
      <c r="J444" s="51"/>
      <c r="K444" s="51"/>
      <c r="L444" s="51"/>
      <c r="N444" s="52"/>
      <c r="P444" s="53"/>
      <c r="Q444" s="53"/>
      <c r="R444" s="53"/>
      <c r="V444" s="51"/>
    </row>
    <row r="445">
      <c r="C445" s="51"/>
      <c r="D445" s="51"/>
      <c r="E445" s="51"/>
      <c r="F445" s="51"/>
      <c r="G445" s="51"/>
      <c r="H445" s="51"/>
      <c r="I445" s="51"/>
      <c r="J445" s="51"/>
      <c r="K445" s="51"/>
      <c r="L445" s="51"/>
      <c r="N445" s="52"/>
      <c r="P445" s="53"/>
      <c r="Q445" s="53"/>
      <c r="R445" s="53"/>
      <c r="V445" s="51"/>
    </row>
    <row r="446">
      <c r="C446" s="51"/>
      <c r="D446" s="51"/>
      <c r="E446" s="51"/>
      <c r="F446" s="51"/>
      <c r="G446" s="51"/>
      <c r="H446" s="51"/>
      <c r="I446" s="51"/>
      <c r="J446" s="51"/>
      <c r="K446" s="51"/>
      <c r="L446" s="51"/>
      <c r="N446" s="52"/>
      <c r="P446" s="53"/>
      <c r="Q446" s="53"/>
      <c r="R446" s="53"/>
      <c r="V446" s="51"/>
    </row>
    <row r="447">
      <c r="C447" s="51"/>
      <c r="D447" s="51"/>
      <c r="E447" s="51"/>
      <c r="F447" s="51"/>
      <c r="G447" s="51"/>
      <c r="H447" s="51"/>
      <c r="I447" s="51"/>
      <c r="J447" s="51"/>
      <c r="K447" s="51"/>
      <c r="L447" s="51"/>
      <c r="N447" s="52"/>
      <c r="P447" s="53"/>
      <c r="Q447" s="53"/>
      <c r="R447" s="53"/>
      <c r="V447" s="51"/>
    </row>
    <row r="448">
      <c r="C448" s="51"/>
      <c r="D448" s="51"/>
      <c r="E448" s="51"/>
      <c r="F448" s="51"/>
      <c r="G448" s="51"/>
      <c r="H448" s="51"/>
      <c r="I448" s="51"/>
      <c r="J448" s="51"/>
      <c r="K448" s="51"/>
      <c r="L448" s="51"/>
      <c r="N448" s="52"/>
      <c r="P448" s="53"/>
      <c r="Q448" s="53"/>
      <c r="R448" s="53"/>
      <c r="V448" s="51"/>
    </row>
    <row r="449">
      <c r="C449" s="51"/>
      <c r="D449" s="51"/>
      <c r="E449" s="51"/>
      <c r="F449" s="51"/>
      <c r="G449" s="51"/>
      <c r="H449" s="51"/>
      <c r="I449" s="51"/>
      <c r="J449" s="51"/>
      <c r="K449" s="51"/>
      <c r="L449" s="51"/>
      <c r="N449" s="52"/>
      <c r="P449" s="53"/>
      <c r="Q449" s="53"/>
      <c r="R449" s="53"/>
      <c r="V449" s="51"/>
    </row>
    <row r="450">
      <c r="C450" s="51"/>
      <c r="D450" s="51"/>
      <c r="E450" s="51"/>
      <c r="F450" s="51"/>
      <c r="G450" s="51"/>
      <c r="H450" s="51"/>
      <c r="I450" s="51"/>
      <c r="J450" s="51"/>
      <c r="K450" s="51"/>
      <c r="L450" s="51"/>
      <c r="N450" s="52"/>
      <c r="P450" s="53"/>
      <c r="Q450" s="53"/>
      <c r="R450" s="53"/>
      <c r="V450" s="51"/>
    </row>
    <row r="451">
      <c r="C451" s="51"/>
      <c r="D451" s="51"/>
      <c r="E451" s="51"/>
      <c r="F451" s="51"/>
      <c r="G451" s="51"/>
      <c r="H451" s="51"/>
      <c r="I451" s="51"/>
      <c r="J451" s="51"/>
      <c r="K451" s="51"/>
      <c r="L451" s="51"/>
      <c r="N451" s="52"/>
      <c r="P451" s="53"/>
      <c r="Q451" s="53"/>
      <c r="R451" s="53"/>
      <c r="V451" s="51"/>
    </row>
    <row r="452">
      <c r="C452" s="51"/>
      <c r="D452" s="51"/>
      <c r="E452" s="51"/>
      <c r="F452" s="51"/>
      <c r="G452" s="51"/>
      <c r="H452" s="51"/>
      <c r="I452" s="51"/>
      <c r="J452" s="51"/>
      <c r="K452" s="51"/>
      <c r="L452" s="51"/>
      <c r="N452" s="52"/>
      <c r="P452" s="53"/>
      <c r="Q452" s="53"/>
      <c r="R452" s="53"/>
      <c r="V452" s="51"/>
    </row>
    <row r="453">
      <c r="C453" s="51"/>
      <c r="D453" s="51"/>
      <c r="E453" s="51"/>
      <c r="F453" s="51"/>
      <c r="G453" s="51"/>
      <c r="H453" s="51"/>
      <c r="I453" s="51"/>
      <c r="J453" s="51"/>
      <c r="K453" s="51"/>
      <c r="L453" s="51"/>
      <c r="N453" s="52"/>
      <c r="P453" s="53"/>
      <c r="Q453" s="53"/>
      <c r="R453" s="53"/>
      <c r="V453" s="51"/>
    </row>
    <row r="454">
      <c r="C454" s="51"/>
      <c r="D454" s="51"/>
      <c r="E454" s="51"/>
      <c r="F454" s="51"/>
      <c r="G454" s="51"/>
      <c r="H454" s="51"/>
      <c r="I454" s="51"/>
      <c r="J454" s="51"/>
      <c r="K454" s="51"/>
      <c r="L454" s="51"/>
      <c r="N454" s="52"/>
      <c r="P454" s="53"/>
      <c r="Q454" s="53"/>
      <c r="R454" s="53"/>
      <c r="V454" s="51"/>
    </row>
    <row r="455">
      <c r="C455" s="51"/>
      <c r="D455" s="51"/>
      <c r="E455" s="51"/>
      <c r="F455" s="51"/>
      <c r="G455" s="51"/>
      <c r="H455" s="51"/>
      <c r="I455" s="51"/>
      <c r="J455" s="51"/>
      <c r="K455" s="51"/>
      <c r="L455" s="51"/>
      <c r="N455" s="52"/>
      <c r="P455" s="53"/>
      <c r="Q455" s="53"/>
      <c r="R455" s="53"/>
      <c r="V455" s="51"/>
    </row>
    <row r="456">
      <c r="C456" s="51"/>
      <c r="D456" s="51"/>
      <c r="E456" s="51"/>
      <c r="F456" s="51"/>
      <c r="G456" s="51"/>
      <c r="H456" s="51"/>
      <c r="I456" s="51"/>
      <c r="J456" s="51"/>
      <c r="K456" s="51"/>
      <c r="L456" s="51"/>
      <c r="N456" s="52"/>
      <c r="P456" s="53"/>
      <c r="Q456" s="53"/>
      <c r="R456" s="53"/>
      <c r="V456" s="51"/>
    </row>
    <row r="457">
      <c r="C457" s="51"/>
      <c r="D457" s="51"/>
      <c r="E457" s="51"/>
      <c r="F457" s="51"/>
      <c r="G457" s="51"/>
      <c r="H457" s="51"/>
      <c r="I457" s="51"/>
      <c r="J457" s="51"/>
      <c r="K457" s="51"/>
      <c r="L457" s="51"/>
      <c r="N457" s="52"/>
      <c r="P457" s="53"/>
      <c r="Q457" s="53"/>
      <c r="R457" s="53"/>
      <c r="V457" s="51"/>
    </row>
    <row r="458">
      <c r="C458" s="51"/>
      <c r="D458" s="51"/>
      <c r="E458" s="51"/>
      <c r="F458" s="51"/>
      <c r="G458" s="51"/>
      <c r="H458" s="51"/>
      <c r="I458" s="51"/>
      <c r="J458" s="51"/>
      <c r="K458" s="51"/>
      <c r="L458" s="51"/>
      <c r="N458" s="52"/>
      <c r="P458" s="53"/>
      <c r="Q458" s="53"/>
      <c r="R458" s="53"/>
      <c r="V458" s="51"/>
    </row>
    <row r="459">
      <c r="C459" s="51"/>
      <c r="D459" s="51"/>
      <c r="E459" s="51"/>
      <c r="F459" s="51"/>
      <c r="G459" s="51"/>
      <c r="H459" s="51"/>
      <c r="I459" s="51"/>
      <c r="J459" s="51"/>
      <c r="K459" s="51"/>
      <c r="L459" s="51"/>
      <c r="N459" s="52"/>
      <c r="P459" s="53"/>
      <c r="Q459" s="53"/>
      <c r="R459" s="53"/>
      <c r="V459" s="51"/>
    </row>
    <row r="460">
      <c r="C460" s="51"/>
      <c r="D460" s="51"/>
      <c r="E460" s="51"/>
      <c r="F460" s="51"/>
      <c r="G460" s="51"/>
      <c r="H460" s="51"/>
      <c r="I460" s="51"/>
      <c r="J460" s="51"/>
      <c r="K460" s="51"/>
      <c r="L460" s="51"/>
      <c r="N460" s="52"/>
      <c r="P460" s="53"/>
      <c r="Q460" s="53"/>
      <c r="R460" s="53"/>
      <c r="V460" s="51"/>
    </row>
    <row r="461">
      <c r="C461" s="51"/>
      <c r="D461" s="51"/>
      <c r="E461" s="51"/>
      <c r="F461" s="51"/>
      <c r="G461" s="51"/>
      <c r="H461" s="51"/>
      <c r="I461" s="51"/>
      <c r="J461" s="51"/>
      <c r="K461" s="51"/>
      <c r="L461" s="51"/>
      <c r="N461" s="52"/>
      <c r="P461" s="53"/>
      <c r="Q461" s="53"/>
      <c r="R461" s="53"/>
      <c r="V461" s="51"/>
    </row>
    <row r="462">
      <c r="C462" s="51"/>
      <c r="D462" s="51"/>
      <c r="E462" s="51"/>
      <c r="F462" s="51"/>
      <c r="G462" s="51"/>
      <c r="H462" s="51"/>
      <c r="I462" s="51"/>
      <c r="J462" s="51"/>
      <c r="K462" s="51"/>
      <c r="L462" s="51"/>
      <c r="N462" s="52"/>
      <c r="P462" s="53"/>
      <c r="Q462" s="53"/>
      <c r="R462" s="53"/>
      <c r="V462" s="51"/>
    </row>
    <row r="463">
      <c r="C463" s="51"/>
      <c r="D463" s="51"/>
      <c r="E463" s="51"/>
      <c r="F463" s="51"/>
      <c r="G463" s="51"/>
      <c r="H463" s="51"/>
      <c r="I463" s="51"/>
      <c r="J463" s="51"/>
      <c r="K463" s="51"/>
      <c r="L463" s="51"/>
      <c r="N463" s="52"/>
      <c r="P463" s="53"/>
      <c r="Q463" s="53"/>
      <c r="R463" s="53"/>
      <c r="V463" s="51"/>
    </row>
    <row r="464">
      <c r="C464" s="51"/>
      <c r="D464" s="51"/>
      <c r="E464" s="51"/>
      <c r="F464" s="51"/>
      <c r="G464" s="51"/>
      <c r="H464" s="51"/>
      <c r="I464" s="51"/>
      <c r="J464" s="51"/>
      <c r="K464" s="51"/>
      <c r="L464" s="51"/>
      <c r="N464" s="52"/>
      <c r="P464" s="53"/>
      <c r="Q464" s="53"/>
      <c r="R464" s="53"/>
      <c r="V464" s="51"/>
    </row>
    <row r="465">
      <c r="C465" s="51"/>
      <c r="D465" s="51"/>
      <c r="E465" s="51"/>
      <c r="F465" s="51"/>
      <c r="G465" s="51"/>
      <c r="H465" s="51"/>
      <c r="I465" s="51"/>
      <c r="J465" s="51"/>
      <c r="K465" s="51"/>
      <c r="L465" s="51"/>
      <c r="N465" s="52"/>
      <c r="P465" s="53"/>
      <c r="Q465" s="53"/>
      <c r="R465" s="53"/>
      <c r="V465" s="51"/>
    </row>
    <row r="466">
      <c r="C466" s="51"/>
      <c r="D466" s="51"/>
      <c r="E466" s="51"/>
      <c r="F466" s="51"/>
      <c r="G466" s="51"/>
      <c r="H466" s="51"/>
      <c r="I466" s="51"/>
      <c r="J466" s="51"/>
      <c r="K466" s="51"/>
      <c r="L466" s="51"/>
      <c r="N466" s="52"/>
      <c r="P466" s="53"/>
      <c r="Q466" s="53"/>
      <c r="R466" s="53"/>
      <c r="V466" s="51"/>
    </row>
    <row r="467">
      <c r="C467" s="51"/>
      <c r="D467" s="51"/>
      <c r="E467" s="51"/>
      <c r="F467" s="51"/>
      <c r="G467" s="51"/>
      <c r="H467" s="51"/>
      <c r="I467" s="51"/>
      <c r="J467" s="51"/>
      <c r="K467" s="51"/>
      <c r="L467" s="51"/>
      <c r="N467" s="52"/>
      <c r="P467" s="53"/>
      <c r="Q467" s="53"/>
      <c r="R467" s="53"/>
      <c r="V467" s="51"/>
    </row>
    <row r="468">
      <c r="C468" s="51"/>
      <c r="D468" s="51"/>
      <c r="E468" s="51"/>
      <c r="F468" s="51"/>
      <c r="G468" s="51"/>
      <c r="H468" s="51"/>
      <c r="I468" s="51"/>
      <c r="J468" s="51"/>
      <c r="K468" s="51"/>
      <c r="L468" s="51"/>
      <c r="N468" s="52"/>
      <c r="P468" s="53"/>
      <c r="Q468" s="53"/>
      <c r="R468" s="53"/>
      <c r="V468" s="51"/>
    </row>
    <row r="469">
      <c r="C469" s="51"/>
      <c r="D469" s="51"/>
      <c r="E469" s="51"/>
      <c r="F469" s="51"/>
      <c r="G469" s="51"/>
      <c r="H469" s="51"/>
      <c r="I469" s="51"/>
      <c r="J469" s="51"/>
      <c r="K469" s="51"/>
      <c r="L469" s="51"/>
      <c r="N469" s="52"/>
      <c r="P469" s="53"/>
      <c r="Q469" s="53"/>
      <c r="R469" s="53"/>
      <c r="V469" s="51"/>
    </row>
    <row r="470">
      <c r="C470" s="51"/>
      <c r="D470" s="51"/>
      <c r="E470" s="51"/>
      <c r="F470" s="51"/>
      <c r="G470" s="51"/>
      <c r="H470" s="51"/>
      <c r="I470" s="51"/>
      <c r="J470" s="51"/>
      <c r="K470" s="51"/>
      <c r="L470" s="51"/>
      <c r="N470" s="52"/>
      <c r="P470" s="53"/>
      <c r="Q470" s="53"/>
      <c r="R470" s="53"/>
      <c r="V470" s="51"/>
    </row>
    <row r="471">
      <c r="C471" s="51"/>
      <c r="D471" s="51"/>
      <c r="E471" s="51"/>
      <c r="F471" s="51"/>
      <c r="G471" s="51"/>
      <c r="H471" s="51"/>
      <c r="I471" s="51"/>
      <c r="J471" s="51"/>
      <c r="K471" s="51"/>
      <c r="L471" s="51"/>
      <c r="N471" s="52"/>
      <c r="P471" s="53"/>
      <c r="Q471" s="53"/>
      <c r="R471" s="53"/>
      <c r="V471" s="51"/>
    </row>
    <row r="472">
      <c r="C472" s="51"/>
      <c r="D472" s="51"/>
      <c r="E472" s="51"/>
      <c r="F472" s="51"/>
      <c r="G472" s="51"/>
      <c r="H472" s="51"/>
      <c r="I472" s="51"/>
      <c r="J472" s="51"/>
      <c r="K472" s="51"/>
      <c r="L472" s="51"/>
      <c r="N472" s="52"/>
      <c r="P472" s="53"/>
      <c r="Q472" s="53"/>
      <c r="R472" s="53"/>
      <c r="V472" s="51"/>
    </row>
    <row r="473">
      <c r="C473" s="51"/>
      <c r="D473" s="51"/>
      <c r="E473" s="51"/>
      <c r="F473" s="51"/>
      <c r="G473" s="51"/>
      <c r="H473" s="51"/>
      <c r="I473" s="51"/>
      <c r="J473" s="51"/>
      <c r="K473" s="51"/>
      <c r="L473" s="51"/>
      <c r="N473" s="52"/>
      <c r="P473" s="53"/>
      <c r="Q473" s="53"/>
      <c r="R473" s="53"/>
      <c r="V473" s="51"/>
    </row>
    <row r="474">
      <c r="C474" s="51"/>
      <c r="D474" s="51"/>
      <c r="E474" s="51"/>
      <c r="F474" s="51"/>
      <c r="G474" s="51"/>
      <c r="H474" s="51"/>
      <c r="I474" s="51"/>
      <c r="J474" s="51"/>
      <c r="K474" s="51"/>
      <c r="L474" s="51"/>
      <c r="N474" s="52"/>
      <c r="P474" s="53"/>
      <c r="Q474" s="53"/>
      <c r="R474" s="53"/>
      <c r="V474" s="51"/>
    </row>
    <row r="475">
      <c r="C475" s="51"/>
      <c r="D475" s="51"/>
      <c r="E475" s="51"/>
      <c r="F475" s="51"/>
      <c r="G475" s="51"/>
      <c r="H475" s="51"/>
      <c r="I475" s="51"/>
      <c r="J475" s="51"/>
      <c r="K475" s="51"/>
      <c r="L475" s="51"/>
      <c r="N475" s="52"/>
      <c r="P475" s="53"/>
      <c r="Q475" s="53"/>
      <c r="R475" s="53"/>
      <c r="V475" s="51"/>
    </row>
    <row r="476">
      <c r="C476" s="51"/>
      <c r="D476" s="51"/>
      <c r="E476" s="51"/>
      <c r="F476" s="51"/>
      <c r="G476" s="51"/>
      <c r="H476" s="51"/>
      <c r="I476" s="51"/>
      <c r="J476" s="51"/>
      <c r="K476" s="51"/>
      <c r="L476" s="51"/>
      <c r="N476" s="52"/>
      <c r="P476" s="53"/>
      <c r="Q476" s="53"/>
      <c r="R476" s="53"/>
      <c r="V476" s="51"/>
    </row>
    <row r="477">
      <c r="C477" s="51"/>
      <c r="D477" s="51"/>
      <c r="E477" s="51"/>
      <c r="F477" s="51"/>
      <c r="G477" s="51"/>
      <c r="H477" s="51"/>
      <c r="I477" s="51"/>
      <c r="J477" s="51"/>
      <c r="K477" s="51"/>
      <c r="L477" s="51"/>
      <c r="N477" s="52"/>
      <c r="P477" s="53"/>
      <c r="Q477" s="53"/>
      <c r="R477" s="53"/>
      <c r="V477" s="51"/>
    </row>
    <row r="478">
      <c r="C478" s="51"/>
      <c r="D478" s="51"/>
      <c r="E478" s="51"/>
      <c r="F478" s="51"/>
      <c r="G478" s="51"/>
      <c r="H478" s="51"/>
      <c r="I478" s="51"/>
      <c r="J478" s="51"/>
      <c r="K478" s="51"/>
      <c r="L478" s="51"/>
      <c r="N478" s="52"/>
      <c r="P478" s="53"/>
      <c r="Q478" s="53"/>
      <c r="R478" s="53"/>
      <c r="V478" s="51"/>
    </row>
    <row r="479">
      <c r="C479" s="51"/>
      <c r="D479" s="51"/>
      <c r="E479" s="51"/>
      <c r="F479" s="51"/>
      <c r="G479" s="51"/>
      <c r="H479" s="51"/>
      <c r="I479" s="51"/>
      <c r="J479" s="51"/>
      <c r="K479" s="51"/>
      <c r="L479" s="51"/>
      <c r="N479" s="52"/>
      <c r="P479" s="53"/>
      <c r="Q479" s="53"/>
      <c r="R479" s="53"/>
      <c r="V479" s="51"/>
    </row>
    <row r="480">
      <c r="C480" s="51"/>
      <c r="D480" s="51"/>
      <c r="E480" s="51"/>
      <c r="F480" s="51"/>
      <c r="G480" s="51"/>
      <c r="H480" s="51"/>
      <c r="I480" s="51"/>
      <c r="J480" s="51"/>
      <c r="K480" s="51"/>
      <c r="L480" s="51"/>
      <c r="N480" s="52"/>
      <c r="P480" s="53"/>
      <c r="Q480" s="53"/>
      <c r="R480" s="53"/>
      <c r="V480" s="51"/>
    </row>
    <row r="481">
      <c r="C481" s="51"/>
      <c r="D481" s="51"/>
      <c r="E481" s="51"/>
      <c r="F481" s="51"/>
      <c r="G481" s="51"/>
      <c r="H481" s="51"/>
      <c r="I481" s="51"/>
      <c r="J481" s="51"/>
      <c r="K481" s="51"/>
      <c r="L481" s="51"/>
      <c r="N481" s="52"/>
      <c r="P481" s="53"/>
      <c r="Q481" s="53"/>
      <c r="R481" s="53"/>
      <c r="V481" s="51"/>
    </row>
    <row r="482">
      <c r="C482" s="51"/>
      <c r="D482" s="51"/>
      <c r="E482" s="51"/>
      <c r="F482" s="51"/>
      <c r="G482" s="51"/>
      <c r="H482" s="51"/>
      <c r="I482" s="51"/>
      <c r="J482" s="51"/>
      <c r="K482" s="51"/>
      <c r="L482" s="51"/>
      <c r="N482" s="52"/>
      <c r="P482" s="53"/>
      <c r="Q482" s="53"/>
      <c r="R482" s="53"/>
      <c r="V482" s="51"/>
    </row>
    <row r="483">
      <c r="C483" s="51"/>
      <c r="D483" s="51"/>
      <c r="E483" s="51"/>
      <c r="F483" s="51"/>
      <c r="G483" s="51"/>
      <c r="H483" s="51"/>
      <c r="I483" s="51"/>
      <c r="J483" s="51"/>
      <c r="K483" s="51"/>
      <c r="L483" s="51"/>
      <c r="N483" s="52"/>
      <c r="P483" s="53"/>
      <c r="Q483" s="53"/>
      <c r="R483" s="53"/>
      <c r="V483" s="51"/>
    </row>
    <row r="484">
      <c r="C484" s="51"/>
      <c r="D484" s="51"/>
      <c r="E484" s="51"/>
      <c r="F484" s="51"/>
      <c r="G484" s="51"/>
      <c r="H484" s="51"/>
      <c r="I484" s="51"/>
      <c r="J484" s="51"/>
      <c r="K484" s="51"/>
      <c r="L484" s="51"/>
      <c r="N484" s="52"/>
      <c r="P484" s="53"/>
      <c r="Q484" s="53"/>
      <c r="R484" s="53"/>
      <c r="V484" s="51"/>
    </row>
    <row r="485">
      <c r="C485" s="51"/>
      <c r="D485" s="51"/>
      <c r="E485" s="51"/>
      <c r="F485" s="51"/>
      <c r="G485" s="51"/>
      <c r="H485" s="51"/>
      <c r="I485" s="51"/>
      <c r="J485" s="51"/>
      <c r="K485" s="51"/>
      <c r="L485" s="51"/>
      <c r="N485" s="52"/>
      <c r="P485" s="53"/>
      <c r="Q485" s="53"/>
      <c r="R485" s="53"/>
      <c r="V485" s="51"/>
    </row>
    <row r="486">
      <c r="C486" s="51"/>
      <c r="D486" s="51"/>
      <c r="E486" s="51"/>
      <c r="F486" s="51"/>
      <c r="G486" s="51"/>
      <c r="H486" s="51"/>
      <c r="I486" s="51"/>
      <c r="J486" s="51"/>
      <c r="K486" s="51"/>
      <c r="L486" s="51"/>
      <c r="N486" s="52"/>
      <c r="P486" s="53"/>
      <c r="Q486" s="53"/>
      <c r="R486" s="53"/>
      <c r="V486" s="51"/>
    </row>
    <row r="487">
      <c r="C487" s="51"/>
      <c r="D487" s="51"/>
      <c r="E487" s="51"/>
      <c r="F487" s="51"/>
      <c r="G487" s="51"/>
      <c r="H487" s="51"/>
      <c r="I487" s="51"/>
      <c r="J487" s="51"/>
      <c r="K487" s="51"/>
      <c r="L487" s="51"/>
      <c r="N487" s="52"/>
      <c r="P487" s="53"/>
      <c r="Q487" s="53"/>
      <c r="R487" s="53"/>
      <c r="V487" s="51"/>
    </row>
    <row r="488">
      <c r="C488" s="51"/>
      <c r="D488" s="51"/>
      <c r="E488" s="51"/>
      <c r="F488" s="51"/>
      <c r="G488" s="51"/>
      <c r="H488" s="51"/>
      <c r="I488" s="51"/>
      <c r="J488" s="51"/>
      <c r="K488" s="51"/>
      <c r="L488" s="51"/>
      <c r="N488" s="52"/>
      <c r="P488" s="53"/>
      <c r="Q488" s="53"/>
      <c r="R488" s="53"/>
      <c r="V488" s="51"/>
    </row>
    <row r="489">
      <c r="C489" s="51"/>
      <c r="D489" s="51"/>
      <c r="E489" s="51"/>
      <c r="F489" s="51"/>
      <c r="G489" s="51"/>
      <c r="H489" s="51"/>
      <c r="I489" s="51"/>
      <c r="J489" s="51"/>
      <c r="K489" s="51"/>
      <c r="L489" s="51"/>
      <c r="N489" s="52"/>
      <c r="P489" s="53"/>
      <c r="Q489" s="53"/>
      <c r="R489" s="53"/>
      <c r="V489" s="51"/>
    </row>
    <row r="490">
      <c r="C490" s="51"/>
      <c r="D490" s="51"/>
      <c r="E490" s="51"/>
      <c r="F490" s="51"/>
      <c r="G490" s="51"/>
      <c r="H490" s="51"/>
      <c r="I490" s="51"/>
      <c r="J490" s="51"/>
      <c r="K490" s="51"/>
      <c r="L490" s="51"/>
      <c r="N490" s="52"/>
      <c r="P490" s="53"/>
      <c r="Q490" s="53"/>
      <c r="R490" s="53"/>
      <c r="V490" s="51"/>
    </row>
    <row r="491">
      <c r="C491" s="51"/>
      <c r="D491" s="51"/>
      <c r="E491" s="51"/>
      <c r="F491" s="51"/>
      <c r="G491" s="51"/>
      <c r="H491" s="51"/>
      <c r="I491" s="51"/>
      <c r="J491" s="51"/>
      <c r="K491" s="51"/>
      <c r="L491" s="51"/>
      <c r="N491" s="52"/>
      <c r="P491" s="53"/>
      <c r="Q491" s="53"/>
      <c r="R491" s="53"/>
      <c r="V491" s="51"/>
    </row>
    <row r="492">
      <c r="C492" s="51"/>
      <c r="D492" s="51"/>
      <c r="E492" s="51"/>
      <c r="F492" s="51"/>
      <c r="G492" s="51"/>
      <c r="H492" s="51"/>
      <c r="I492" s="51"/>
      <c r="J492" s="51"/>
      <c r="K492" s="51"/>
      <c r="L492" s="51"/>
      <c r="N492" s="52"/>
      <c r="P492" s="53"/>
      <c r="Q492" s="53"/>
      <c r="R492" s="53"/>
      <c r="V492" s="51"/>
    </row>
    <row r="493">
      <c r="C493" s="51"/>
      <c r="D493" s="51"/>
      <c r="E493" s="51"/>
      <c r="F493" s="51"/>
      <c r="G493" s="51"/>
      <c r="H493" s="51"/>
      <c r="I493" s="51"/>
      <c r="J493" s="51"/>
      <c r="K493" s="51"/>
      <c r="L493" s="51"/>
      <c r="N493" s="52"/>
      <c r="P493" s="53"/>
      <c r="Q493" s="53"/>
      <c r="R493" s="53"/>
      <c r="V493" s="51"/>
    </row>
    <row r="494">
      <c r="C494" s="51"/>
      <c r="D494" s="51"/>
      <c r="E494" s="51"/>
      <c r="F494" s="51"/>
      <c r="G494" s="51"/>
      <c r="H494" s="51"/>
      <c r="I494" s="51"/>
      <c r="J494" s="51"/>
      <c r="K494" s="51"/>
      <c r="L494" s="51"/>
      <c r="N494" s="52"/>
      <c r="P494" s="53"/>
      <c r="Q494" s="53"/>
      <c r="R494" s="53"/>
      <c r="V494" s="51"/>
    </row>
    <row r="495">
      <c r="C495" s="51"/>
      <c r="D495" s="51"/>
      <c r="E495" s="51"/>
      <c r="F495" s="51"/>
      <c r="G495" s="51"/>
      <c r="H495" s="51"/>
      <c r="I495" s="51"/>
      <c r="J495" s="51"/>
      <c r="K495" s="51"/>
      <c r="L495" s="51"/>
      <c r="N495" s="52"/>
      <c r="P495" s="53"/>
      <c r="Q495" s="53"/>
      <c r="R495" s="53"/>
      <c r="V495" s="51"/>
    </row>
    <row r="496">
      <c r="C496" s="51"/>
      <c r="D496" s="51"/>
      <c r="E496" s="51"/>
      <c r="F496" s="51"/>
      <c r="G496" s="51"/>
      <c r="H496" s="51"/>
      <c r="I496" s="51"/>
      <c r="J496" s="51"/>
      <c r="K496" s="51"/>
      <c r="L496" s="51"/>
      <c r="N496" s="52"/>
      <c r="P496" s="53"/>
      <c r="Q496" s="53"/>
      <c r="R496" s="53"/>
      <c r="V496" s="51"/>
    </row>
    <row r="497">
      <c r="C497" s="51"/>
      <c r="D497" s="51"/>
      <c r="E497" s="51"/>
      <c r="F497" s="51"/>
      <c r="G497" s="51"/>
      <c r="H497" s="51"/>
      <c r="I497" s="51"/>
      <c r="J497" s="51"/>
      <c r="K497" s="51"/>
      <c r="L497" s="51"/>
      <c r="N497" s="52"/>
      <c r="P497" s="53"/>
      <c r="Q497" s="53"/>
      <c r="R497" s="53"/>
      <c r="V497" s="51"/>
    </row>
    <row r="498">
      <c r="C498" s="51"/>
      <c r="D498" s="51"/>
      <c r="E498" s="51"/>
      <c r="F498" s="51"/>
      <c r="G498" s="51"/>
      <c r="H498" s="51"/>
      <c r="I498" s="51"/>
      <c r="J498" s="51"/>
      <c r="K498" s="51"/>
      <c r="L498" s="51"/>
      <c r="N498" s="52"/>
      <c r="P498" s="53"/>
      <c r="Q498" s="53"/>
      <c r="R498" s="53"/>
      <c r="V498" s="51"/>
    </row>
    <row r="499">
      <c r="C499" s="51"/>
      <c r="D499" s="51"/>
      <c r="E499" s="51"/>
      <c r="F499" s="51"/>
      <c r="G499" s="51"/>
      <c r="H499" s="51"/>
      <c r="I499" s="51"/>
      <c r="J499" s="51"/>
      <c r="K499" s="51"/>
      <c r="L499" s="51"/>
      <c r="N499" s="52"/>
      <c r="P499" s="53"/>
      <c r="Q499" s="53"/>
      <c r="R499" s="53"/>
      <c r="V499" s="51"/>
    </row>
    <row r="500">
      <c r="C500" s="51"/>
      <c r="D500" s="51"/>
      <c r="E500" s="51"/>
      <c r="F500" s="51"/>
      <c r="G500" s="51"/>
      <c r="H500" s="51"/>
      <c r="I500" s="51"/>
      <c r="J500" s="51"/>
      <c r="K500" s="51"/>
      <c r="L500" s="51"/>
      <c r="N500" s="52"/>
      <c r="P500" s="53"/>
      <c r="Q500" s="53"/>
      <c r="R500" s="53"/>
      <c r="V500" s="51"/>
    </row>
    <row r="501">
      <c r="C501" s="51"/>
      <c r="D501" s="51"/>
      <c r="E501" s="51"/>
      <c r="F501" s="51"/>
      <c r="G501" s="51"/>
      <c r="H501" s="51"/>
      <c r="I501" s="51"/>
      <c r="J501" s="51"/>
      <c r="K501" s="51"/>
      <c r="L501" s="51"/>
      <c r="N501" s="52"/>
      <c r="P501" s="53"/>
      <c r="Q501" s="53"/>
      <c r="R501" s="53"/>
      <c r="V501" s="51"/>
    </row>
    <row r="502">
      <c r="C502" s="51"/>
      <c r="D502" s="51"/>
      <c r="E502" s="51"/>
      <c r="F502" s="51"/>
      <c r="G502" s="51"/>
      <c r="H502" s="51"/>
      <c r="I502" s="51"/>
      <c r="J502" s="51"/>
      <c r="K502" s="51"/>
      <c r="L502" s="51"/>
      <c r="N502" s="52"/>
      <c r="P502" s="53"/>
      <c r="Q502" s="53"/>
      <c r="R502" s="53"/>
      <c r="V502" s="51"/>
    </row>
    <row r="503">
      <c r="C503" s="51"/>
      <c r="D503" s="51"/>
      <c r="E503" s="51"/>
      <c r="F503" s="51"/>
      <c r="G503" s="51"/>
      <c r="H503" s="51"/>
      <c r="I503" s="51"/>
      <c r="J503" s="51"/>
      <c r="K503" s="51"/>
      <c r="L503" s="51"/>
      <c r="N503" s="52"/>
      <c r="P503" s="53"/>
      <c r="Q503" s="53"/>
      <c r="R503" s="53"/>
      <c r="V503" s="51"/>
    </row>
    <row r="504">
      <c r="C504" s="51"/>
      <c r="D504" s="51"/>
      <c r="E504" s="51"/>
      <c r="F504" s="51"/>
      <c r="G504" s="51"/>
      <c r="H504" s="51"/>
      <c r="I504" s="51"/>
      <c r="J504" s="51"/>
      <c r="K504" s="51"/>
      <c r="L504" s="51"/>
      <c r="N504" s="52"/>
      <c r="P504" s="53"/>
      <c r="Q504" s="53"/>
      <c r="R504" s="53"/>
      <c r="V504" s="51"/>
    </row>
    <row r="505">
      <c r="C505" s="51"/>
      <c r="D505" s="51"/>
      <c r="E505" s="51"/>
      <c r="F505" s="51"/>
      <c r="G505" s="51"/>
      <c r="H505" s="51"/>
      <c r="I505" s="51"/>
      <c r="J505" s="51"/>
      <c r="K505" s="51"/>
      <c r="L505" s="51"/>
      <c r="N505" s="52"/>
      <c r="P505" s="53"/>
      <c r="Q505" s="53"/>
      <c r="R505" s="53"/>
      <c r="V505" s="51"/>
    </row>
    <row r="506">
      <c r="C506" s="51"/>
      <c r="D506" s="51"/>
      <c r="E506" s="51"/>
      <c r="F506" s="51"/>
      <c r="G506" s="51"/>
      <c r="H506" s="51"/>
      <c r="I506" s="51"/>
      <c r="J506" s="51"/>
      <c r="K506" s="51"/>
      <c r="L506" s="51"/>
      <c r="N506" s="52"/>
      <c r="P506" s="53"/>
      <c r="Q506" s="53"/>
      <c r="R506" s="53"/>
      <c r="V506" s="51"/>
    </row>
    <row r="507">
      <c r="C507" s="51"/>
      <c r="D507" s="51"/>
      <c r="E507" s="51"/>
      <c r="F507" s="51"/>
      <c r="G507" s="51"/>
      <c r="H507" s="51"/>
      <c r="I507" s="51"/>
      <c r="J507" s="51"/>
      <c r="K507" s="51"/>
      <c r="L507" s="51"/>
      <c r="N507" s="52"/>
      <c r="P507" s="53"/>
      <c r="Q507" s="53"/>
      <c r="R507" s="53"/>
      <c r="V507" s="51"/>
    </row>
    <row r="508">
      <c r="C508" s="51"/>
      <c r="D508" s="51"/>
      <c r="E508" s="51"/>
      <c r="F508" s="51"/>
      <c r="G508" s="51"/>
      <c r="H508" s="51"/>
      <c r="I508" s="51"/>
      <c r="J508" s="51"/>
      <c r="K508" s="51"/>
      <c r="L508" s="51"/>
      <c r="N508" s="52"/>
      <c r="P508" s="53"/>
      <c r="Q508" s="53"/>
      <c r="R508" s="53"/>
      <c r="V508" s="51"/>
    </row>
    <row r="509">
      <c r="C509" s="51"/>
      <c r="D509" s="51"/>
      <c r="E509" s="51"/>
      <c r="F509" s="51"/>
      <c r="G509" s="51"/>
      <c r="H509" s="51"/>
      <c r="I509" s="51"/>
      <c r="J509" s="51"/>
      <c r="K509" s="51"/>
      <c r="L509" s="51"/>
      <c r="N509" s="52"/>
      <c r="P509" s="53"/>
      <c r="Q509" s="53"/>
      <c r="R509" s="53"/>
      <c r="V509" s="51"/>
    </row>
    <row r="510">
      <c r="C510" s="51"/>
      <c r="D510" s="51"/>
      <c r="E510" s="51"/>
      <c r="F510" s="51"/>
      <c r="G510" s="51"/>
      <c r="H510" s="51"/>
      <c r="I510" s="51"/>
      <c r="J510" s="51"/>
      <c r="K510" s="51"/>
      <c r="L510" s="51"/>
      <c r="N510" s="52"/>
      <c r="P510" s="53"/>
      <c r="Q510" s="53"/>
      <c r="R510" s="53"/>
      <c r="V510" s="51"/>
    </row>
    <row r="511">
      <c r="C511" s="51"/>
      <c r="D511" s="51"/>
      <c r="E511" s="51"/>
      <c r="F511" s="51"/>
      <c r="G511" s="51"/>
      <c r="H511" s="51"/>
      <c r="I511" s="51"/>
      <c r="J511" s="51"/>
      <c r="K511" s="51"/>
      <c r="L511" s="51"/>
      <c r="N511" s="52"/>
      <c r="P511" s="53"/>
      <c r="Q511" s="53"/>
      <c r="R511" s="53"/>
      <c r="V511" s="51"/>
    </row>
    <row r="512">
      <c r="C512" s="51"/>
      <c r="D512" s="51"/>
      <c r="E512" s="51"/>
      <c r="F512" s="51"/>
      <c r="G512" s="51"/>
      <c r="H512" s="51"/>
      <c r="I512" s="51"/>
      <c r="J512" s="51"/>
      <c r="K512" s="51"/>
      <c r="L512" s="51"/>
      <c r="N512" s="52"/>
      <c r="P512" s="53"/>
      <c r="Q512" s="53"/>
      <c r="R512" s="53"/>
      <c r="V512" s="51"/>
    </row>
    <row r="513">
      <c r="C513" s="51"/>
      <c r="D513" s="51"/>
      <c r="E513" s="51"/>
      <c r="F513" s="51"/>
      <c r="G513" s="51"/>
      <c r="H513" s="51"/>
      <c r="I513" s="51"/>
      <c r="J513" s="51"/>
      <c r="K513" s="51"/>
      <c r="L513" s="51"/>
      <c r="N513" s="52"/>
      <c r="P513" s="53"/>
      <c r="Q513" s="53"/>
      <c r="R513" s="53"/>
      <c r="V513" s="51"/>
    </row>
    <row r="514">
      <c r="C514" s="51"/>
      <c r="D514" s="51"/>
      <c r="E514" s="51"/>
      <c r="F514" s="51"/>
      <c r="G514" s="51"/>
      <c r="H514" s="51"/>
      <c r="I514" s="51"/>
      <c r="J514" s="51"/>
      <c r="K514" s="51"/>
      <c r="L514" s="51"/>
      <c r="N514" s="52"/>
      <c r="P514" s="53"/>
      <c r="Q514" s="53"/>
      <c r="R514" s="53"/>
      <c r="V514" s="51"/>
    </row>
    <row r="515">
      <c r="C515" s="51"/>
      <c r="D515" s="51"/>
      <c r="E515" s="51"/>
      <c r="F515" s="51"/>
      <c r="G515" s="51"/>
      <c r="H515" s="51"/>
      <c r="I515" s="51"/>
      <c r="J515" s="51"/>
      <c r="K515" s="51"/>
      <c r="L515" s="51"/>
      <c r="N515" s="52"/>
      <c r="P515" s="53"/>
      <c r="Q515" s="53"/>
      <c r="R515" s="53"/>
      <c r="V515" s="51"/>
    </row>
    <row r="516">
      <c r="C516" s="51"/>
      <c r="D516" s="51"/>
      <c r="E516" s="51"/>
      <c r="F516" s="51"/>
      <c r="G516" s="51"/>
      <c r="H516" s="51"/>
      <c r="I516" s="51"/>
      <c r="J516" s="51"/>
      <c r="K516" s="51"/>
      <c r="L516" s="51"/>
      <c r="N516" s="52"/>
      <c r="P516" s="53"/>
      <c r="Q516" s="53"/>
      <c r="R516" s="53"/>
      <c r="V516" s="51"/>
    </row>
    <row r="517">
      <c r="C517" s="51"/>
      <c r="D517" s="51"/>
      <c r="E517" s="51"/>
      <c r="F517" s="51"/>
      <c r="G517" s="51"/>
      <c r="H517" s="51"/>
      <c r="I517" s="51"/>
      <c r="J517" s="51"/>
      <c r="K517" s="51"/>
      <c r="L517" s="51"/>
      <c r="N517" s="52"/>
      <c r="P517" s="53"/>
      <c r="Q517" s="53"/>
      <c r="R517" s="53"/>
      <c r="V517" s="51"/>
    </row>
    <row r="518">
      <c r="C518" s="51"/>
      <c r="D518" s="51"/>
      <c r="E518" s="51"/>
      <c r="F518" s="51"/>
      <c r="G518" s="51"/>
      <c r="H518" s="51"/>
      <c r="I518" s="51"/>
      <c r="J518" s="51"/>
      <c r="K518" s="51"/>
      <c r="L518" s="51"/>
      <c r="N518" s="52"/>
      <c r="P518" s="53"/>
      <c r="Q518" s="53"/>
      <c r="R518" s="53"/>
      <c r="V518" s="51"/>
    </row>
    <row r="519">
      <c r="C519" s="51"/>
      <c r="D519" s="51"/>
      <c r="E519" s="51"/>
      <c r="F519" s="51"/>
      <c r="G519" s="51"/>
      <c r="H519" s="51"/>
      <c r="I519" s="51"/>
      <c r="J519" s="51"/>
      <c r="K519" s="51"/>
      <c r="L519" s="51"/>
      <c r="N519" s="52"/>
      <c r="P519" s="53"/>
      <c r="Q519" s="53"/>
      <c r="R519" s="53"/>
      <c r="V519" s="51"/>
    </row>
    <row r="520">
      <c r="C520" s="51"/>
      <c r="D520" s="51"/>
      <c r="E520" s="51"/>
      <c r="F520" s="51"/>
      <c r="G520" s="51"/>
      <c r="H520" s="51"/>
      <c r="I520" s="51"/>
      <c r="J520" s="51"/>
      <c r="K520" s="51"/>
      <c r="L520" s="51"/>
      <c r="N520" s="52"/>
      <c r="P520" s="53"/>
      <c r="Q520" s="53"/>
      <c r="R520" s="53"/>
      <c r="V520" s="51"/>
    </row>
    <row r="521">
      <c r="C521" s="51"/>
      <c r="D521" s="51"/>
      <c r="E521" s="51"/>
      <c r="F521" s="51"/>
      <c r="G521" s="51"/>
      <c r="H521" s="51"/>
      <c r="I521" s="51"/>
      <c r="J521" s="51"/>
      <c r="K521" s="51"/>
      <c r="L521" s="51"/>
      <c r="N521" s="52"/>
      <c r="P521" s="53"/>
      <c r="Q521" s="53"/>
      <c r="R521" s="53"/>
      <c r="V521" s="51"/>
    </row>
    <row r="522">
      <c r="C522" s="51"/>
      <c r="D522" s="51"/>
      <c r="E522" s="51"/>
      <c r="F522" s="51"/>
      <c r="G522" s="51"/>
      <c r="H522" s="51"/>
      <c r="I522" s="51"/>
      <c r="J522" s="51"/>
      <c r="K522" s="51"/>
      <c r="L522" s="51"/>
      <c r="N522" s="52"/>
      <c r="P522" s="53"/>
      <c r="Q522" s="53"/>
      <c r="R522" s="53"/>
      <c r="V522" s="51"/>
    </row>
    <row r="523">
      <c r="C523" s="51"/>
      <c r="D523" s="51"/>
      <c r="E523" s="51"/>
      <c r="F523" s="51"/>
      <c r="G523" s="51"/>
      <c r="H523" s="51"/>
      <c r="I523" s="51"/>
      <c r="J523" s="51"/>
      <c r="K523" s="51"/>
      <c r="L523" s="51"/>
      <c r="N523" s="52"/>
      <c r="P523" s="53"/>
      <c r="Q523" s="53"/>
      <c r="R523" s="53"/>
      <c r="V523" s="51"/>
    </row>
    <row r="524">
      <c r="C524" s="51"/>
      <c r="D524" s="51"/>
      <c r="E524" s="51"/>
      <c r="F524" s="51"/>
      <c r="G524" s="51"/>
      <c r="H524" s="51"/>
      <c r="I524" s="51"/>
      <c r="J524" s="51"/>
      <c r="K524" s="51"/>
      <c r="L524" s="51"/>
      <c r="N524" s="52"/>
      <c r="P524" s="53"/>
      <c r="Q524" s="53"/>
      <c r="R524" s="53"/>
      <c r="V524" s="51"/>
    </row>
    <row r="525">
      <c r="C525" s="51"/>
      <c r="D525" s="51"/>
      <c r="E525" s="51"/>
      <c r="F525" s="51"/>
      <c r="G525" s="51"/>
      <c r="H525" s="51"/>
      <c r="I525" s="51"/>
      <c r="J525" s="51"/>
      <c r="K525" s="51"/>
      <c r="L525" s="51"/>
      <c r="N525" s="52"/>
      <c r="P525" s="53"/>
      <c r="Q525" s="53"/>
      <c r="R525" s="53"/>
      <c r="V525" s="51"/>
    </row>
    <row r="526">
      <c r="C526" s="51"/>
      <c r="D526" s="51"/>
      <c r="E526" s="51"/>
      <c r="F526" s="51"/>
      <c r="G526" s="51"/>
      <c r="H526" s="51"/>
      <c r="I526" s="51"/>
      <c r="J526" s="51"/>
      <c r="K526" s="51"/>
      <c r="L526" s="51"/>
      <c r="N526" s="52"/>
      <c r="P526" s="53"/>
      <c r="Q526" s="53"/>
      <c r="R526" s="53"/>
      <c r="V526" s="51"/>
    </row>
    <row r="527">
      <c r="C527" s="51"/>
      <c r="D527" s="51"/>
      <c r="E527" s="51"/>
      <c r="F527" s="51"/>
      <c r="G527" s="51"/>
      <c r="H527" s="51"/>
      <c r="I527" s="51"/>
      <c r="J527" s="51"/>
      <c r="K527" s="51"/>
      <c r="L527" s="51"/>
      <c r="N527" s="52"/>
      <c r="P527" s="53"/>
      <c r="Q527" s="53"/>
      <c r="R527" s="53"/>
      <c r="V527" s="51"/>
    </row>
    <row r="528">
      <c r="C528" s="51"/>
      <c r="D528" s="51"/>
      <c r="E528" s="51"/>
      <c r="F528" s="51"/>
      <c r="G528" s="51"/>
      <c r="H528" s="51"/>
      <c r="I528" s="51"/>
      <c r="J528" s="51"/>
      <c r="K528" s="51"/>
      <c r="L528" s="51"/>
      <c r="N528" s="52"/>
      <c r="P528" s="53"/>
      <c r="Q528" s="53"/>
      <c r="R528" s="53"/>
      <c r="V528" s="51"/>
    </row>
    <row r="529">
      <c r="C529" s="51"/>
      <c r="D529" s="51"/>
      <c r="E529" s="51"/>
      <c r="F529" s="51"/>
      <c r="G529" s="51"/>
      <c r="H529" s="51"/>
      <c r="I529" s="51"/>
      <c r="J529" s="51"/>
      <c r="K529" s="51"/>
      <c r="L529" s="51"/>
      <c r="N529" s="52"/>
      <c r="P529" s="53"/>
      <c r="Q529" s="53"/>
      <c r="R529" s="53"/>
      <c r="V529" s="51"/>
    </row>
    <row r="530">
      <c r="C530" s="51"/>
      <c r="D530" s="51"/>
      <c r="E530" s="51"/>
      <c r="F530" s="51"/>
      <c r="G530" s="51"/>
      <c r="H530" s="51"/>
      <c r="I530" s="51"/>
      <c r="J530" s="51"/>
      <c r="K530" s="51"/>
      <c r="L530" s="51"/>
      <c r="N530" s="52"/>
      <c r="P530" s="53"/>
      <c r="Q530" s="53"/>
      <c r="R530" s="53"/>
      <c r="V530" s="51"/>
    </row>
    <row r="531">
      <c r="C531" s="51"/>
      <c r="D531" s="51"/>
      <c r="E531" s="51"/>
      <c r="F531" s="51"/>
      <c r="G531" s="51"/>
      <c r="H531" s="51"/>
      <c r="I531" s="51"/>
      <c r="J531" s="51"/>
      <c r="K531" s="51"/>
      <c r="L531" s="51"/>
      <c r="N531" s="52"/>
      <c r="P531" s="53"/>
      <c r="Q531" s="53"/>
      <c r="R531" s="53"/>
      <c r="V531" s="51"/>
    </row>
    <row r="532">
      <c r="C532" s="51"/>
      <c r="D532" s="51"/>
      <c r="E532" s="51"/>
      <c r="F532" s="51"/>
      <c r="G532" s="51"/>
      <c r="H532" s="51"/>
      <c r="I532" s="51"/>
      <c r="J532" s="51"/>
      <c r="K532" s="51"/>
      <c r="L532" s="51"/>
      <c r="N532" s="52"/>
      <c r="P532" s="53"/>
      <c r="Q532" s="53"/>
      <c r="R532" s="53"/>
      <c r="V532" s="51"/>
    </row>
    <row r="533">
      <c r="C533" s="51"/>
      <c r="D533" s="51"/>
      <c r="E533" s="51"/>
      <c r="F533" s="51"/>
      <c r="G533" s="51"/>
      <c r="H533" s="51"/>
      <c r="I533" s="51"/>
      <c r="J533" s="51"/>
      <c r="K533" s="51"/>
      <c r="L533" s="51"/>
      <c r="N533" s="52"/>
      <c r="P533" s="53"/>
      <c r="Q533" s="53"/>
      <c r="R533" s="53"/>
      <c r="V533" s="51"/>
    </row>
    <row r="534">
      <c r="C534" s="51"/>
      <c r="D534" s="51"/>
      <c r="E534" s="51"/>
      <c r="F534" s="51"/>
      <c r="G534" s="51"/>
      <c r="H534" s="51"/>
      <c r="I534" s="51"/>
      <c r="J534" s="51"/>
      <c r="K534" s="51"/>
      <c r="L534" s="51"/>
      <c r="N534" s="52"/>
      <c r="P534" s="53"/>
      <c r="Q534" s="53"/>
      <c r="R534" s="53"/>
      <c r="V534" s="51"/>
    </row>
    <row r="535">
      <c r="C535" s="51"/>
      <c r="D535" s="51"/>
      <c r="E535" s="51"/>
      <c r="F535" s="51"/>
      <c r="G535" s="51"/>
      <c r="H535" s="51"/>
      <c r="I535" s="51"/>
      <c r="J535" s="51"/>
      <c r="K535" s="51"/>
      <c r="L535" s="51"/>
      <c r="N535" s="52"/>
      <c r="P535" s="53"/>
      <c r="Q535" s="53"/>
      <c r="R535" s="53"/>
      <c r="V535" s="51"/>
    </row>
    <row r="536">
      <c r="C536" s="51"/>
      <c r="D536" s="51"/>
      <c r="E536" s="51"/>
      <c r="F536" s="51"/>
      <c r="G536" s="51"/>
      <c r="H536" s="51"/>
      <c r="I536" s="51"/>
      <c r="J536" s="51"/>
      <c r="K536" s="51"/>
      <c r="L536" s="51"/>
      <c r="N536" s="52"/>
      <c r="P536" s="53"/>
      <c r="Q536" s="53"/>
      <c r="R536" s="53"/>
      <c r="V536" s="51"/>
    </row>
    <row r="537">
      <c r="C537" s="51"/>
      <c r="D537" s="51"/>
      <c r="E537" s="51"/>
      <c r="F537" s="51"/>
      <c r="G537" s="51"/>
      <c r="H537" s="51"/>
      <c r="I537" s="51"/>
      <c r="J537" s="51"/>
      <c r="K537" s="51"/>
      <c r="L537" s="51"/>
      <c r="N537" s="52"/>
      <c r="P537" s="53"/>
      <c r="Q537" s="53"/>
      <c r="R537" s="53"/>
      <c r="V537" s="51"/>
    </row>
    <row r="538">
      <c r="C538" s="51"/>
      <c r="D538" s="51"/>
      <c r="E538" s="51"/>
      <c r="F538" s="51"/>
      <c r="G538" s="51"/>
      <c r="H538" s="51"/>
      <c r="I538" s="51"/>
      <c r="J538" s="51"/>
      <c r="K538" s="51"/>
      <c r="L538" s="51"/>
      <c r="N538" s="52"/>
      <c r="P538" s="53"/>
      <c r="Q538" s="53"/>
      <c r="R538" s="53"/>
      <c r="V538" s="51"/>
    </row>
    <row r="539">
      <c r="C539" s="51"/>
      <c r="D539" s="51"/>
      <c r="E539" s="51"/>
      <c r="F539" s="51"/>
      <c r="G539" s="51"/>
      <c r="H539" s="51"/>
      <c r="I539" s="51"/>
      <c r="J539" s="51"/>
      <c r="K539" s="51"/>
      <c r="L539" s="51"/>
      <c r="N539" s="52"/>
      <c r="P539" s="53"/>
      <c r="Q539" s="53"/>
      <c r="R539" s="53"/>
      <c r="V539" s="51"/>
    </row>
    <row r="540">
      <c r="C540" s="51"/>
      <c r="D540" s="51"/>
      <c r="E540" s="51"/>
      <c r="F540" s="51"/>
      <c r="G540" s="51"/>
      <c r="H540" s="51"/>
      <c r="I540" s="51"/>
      <c r="J540" s="51"/>
      <c r="K540" s="51"/>
      <c r="L540" s="51"/>
      <c r="N540" s="52"/>
      <c r="P540" s="53"/>
      <c r="Q540" s="53"/>
      <c r="R540" s="53"/>
      <c r="V540" s="51"/>
    </row>
    <row r="541">
      <c r="C541" s="51"/>
      <c r="D541" s="51"/>
      <c r="E541" s="51"/>
      <c r="F541" s="51"/>
      <c r="G541" s="51"/>
      <c r="H541" s="51"/>
      <c r="I541" s="51"/>
      <c r="J541" s="51"/>
      <c r="K541" s="51"/>
      <c r="L541" s="51"/>
      <c r="N541" s="52"/>
      <c r="P541" s="53"/>
      <c r="Q541" s="53"/>
      <c r="R541" s="53"/>
      <c r="V541" s="51"/>
    </row>
    <row r="542">
      <c r="C542" s="51"/>
      <c r="D542" s="51"/>
      <c r="E542" s="51"/>
      <c r="F542" s="51"/>
      <c r="G542" s="51"/>
      <c r="H542" s="51"/>
      <c r="I542" s="51"/>
      <c r="J542" s="51"/>
      <c r="K542" s="51"/>
      <c r="L542" s="51"/>
      <c r="N542" s="52"/>
      <c r="P542" s="53"/>
      <c r="Q542" s="53"/>
      <c r="R542" s="53"/>
      <c r="V542" s="51"/>
    </row>
    <row r="543">
      <c r="C543" s="51"/>
      <c r="D543" s="51"/>
      <c r="E543" s="51"/>
      <c r="F543" s="51"/>
      <c r="G543" s="51"/>
      <c r="H543" s="51"/>
      <c r="I543" s="51"/>
      <c r="J543" s="51"/>
      <c r="K543" s="51"/>
      <c r="L543" s="51"/>
      <c r="N543" s="52"/>
      <c r="P543" s="53"/>
      <c r="Q543" s="53"/>
      <c r="R543" s="53"/>
      <c r="V543" s="51"/>
    </row>
    <row r="544">
      <c r="C544" s="51"/>
      <c r="D544" s="51"/>
      <c r="E544" s="51"/>
      <c r="F544" s="51"/>
      <c r="G544" s="51"/>
      <c r="H544" s="51"/>
      <c r="I544" s="51"/>
      <c r="J544" s="51"/>
      <c r="K544" s="51"/>
      <c r="L544" s="51"/>
      <c r="N544" s="52"/>
      <c r="P544" s="53"/>
      <c r="Q544" s="53"/>
      <c r="R544" s="53"/>
      <c r="V544" s="51"/>
    </row>
    <row r="545">
      <c r="C545" s="51"/>
      <c r="D545" s="51"/>
      <c r="E545" s="51"/>
      <c r="F545" s="51"/>
      <c r="G545" s="51"/>
      <c r="H545" s="51"/>
      <c r="I545" s="51"/>
      <c r="J545" s="51"/>
      <c r="K545" s="51"/>
      <c r="L545" s="51"/>
      <c r="N545" s="52"/>
      <c r="P545" s="53"/>
      <c r="Q545" s="53"/>
      <c r="R545" s="53"/>
      <c r="V545" s="51"/>
    </row>
    <row r="546">
      <c r="C546" s="51"/>
      <c r="D546" s="51"/>
      <c r="E546" s="51"/>
      <c r="F546" s="51"/>
      <c r="G546" s="51"/>
      <c r="H546" s="51"/>
      <c r="I546" s="51"/>
      <c r="J546" s="51"/>
      <c r="K546" s="51"/>
      <c r="L546" s="51"/>
      <c r="N546" s="52"/>
      <c r="P546" s="53"/>
      <c r="Q546" s="53"/>
      <c r="R546" s="53"/>
      <c r="V546" s="51"/>
    </row>
    <row r="547">
      <c r="C547" s="51"/>
      <c r="D547" s="51"/>
      <c r="E547" s="51"/>
      <c r="F547" s="51"/>
      <c r="G547" s="51"/>
      <c r="H547" s="51"/>
      <c r="I547" s="51"/>
      <c r="J547" s="51"/>
      <c r="K547" s="51"/>
      <c r="L547" s="51"/>
      <c r="N547" s="52"/>
      <c r="P547" s="53"/>
      <c r="Q547" s="53"/>
      <c r="R547" s="53"/>
      <c r="V547" s="51"/>
    </row>
    <row r="548">
      <c r="C548" s="51"/>
      <c r="D548" s="51"/>
      <c r="E548" s="51"/>
      <c r="F548" s="51"/>
      <c r="G548" s="51"/>
      <c r="H548" s="51"/>
      <c r="I548" s="51"/>
      <c r="J548" s="51"/>
      <c r="K548" s="51"/>
      <c r="L548" s="51"/>
      <c r="N548" s="52"/>
      <c r="P548" s="53"/>
      <c r="Q548" s="53"/>
      <c r="R548" s="53"/>
      <c r="V548" s="51"/>
    </row>
    <row r="549">
      <c r="C549" s="51"/>
      <c r="D549" s="51"/>
      <c r="E549" s="51"/>
      <c r="F549" s="51"/>
      <c r="G549" s="51"/>
      <c r="H549" s="51"/>
      <c r="I549" s="51"/>
      <c r="J549" s="51"/>
      <c r="K549" s="51"/>
      <c r="L549" s="51"/>
      <c r="N549" s="52"/>
      <c r="P549" s="53"/>
      <c r="Q549" s="53"/>
      <c r="R549" s="53"/>
      <c r="V549" s="51"/>
    </row>
    <row r="550">
      <c r="C550" s="51"/>
      <c r="D550" s="51"/>
      <c r="E550" s="51"/>
      <c r="F550" s="51"/>
      <c r="G550" s="51"/>
      <c r="H550" s="51"/>
      <c r="I550" s="51"/>
      <c r="J550" s="51"/>
      <c r="K550" s="51"/>
      <c r="L550" s="51"/>
      <c r="N550" s="52"/>
      <c r="P550" s="53"/>
      <c r="Q550" s="53"/>
      <c r="R550" s="53"/>
      <c r="V550" s="51"/>
    </row>
    <row r="551">
      <c r="C551" s="51"/>
      <c r="D551" s="51"/>
      <c r="E551" s="51"/>
      <c r="F551" s="51"/>
      <c r="G551" s="51"/>
      <c r="H551" s="51"/>
      <c r="I551" s="51"/>
      <c r="J551" s="51"/>
      <c r="K551" s="51"/>
      <c r="L551" s="51"/>
      <c r="N551" s="52"/>
      <c r="P551" s="53"/>
      <c r="Q551" s="53"/>
      <c r="R551" s="53"/>
      <c r="V551" s="51"/>
    </row>
    <row r="552">
      <c r="C552" s="51"/>
      <c r="D552" s="51"/>
      <c r="E552" s="51"/>
      <c r="F552" s="51"/>
      <c r="G552" s="51"/>
      <c r="H552" s="51"/>
      <c r="I552" s="51"/>
      <c r="J552" s="51"/>
      <c r="K552" s="51"/>
      <c r="L552" s="51"/>
      <c r="N552" s="52"/>
      <c r="P552" s="53"/>
      <c r="Q552" s="53"/>
      <c r="R552" s="53"/>
      <c r="V552" s="51"/>
    </row>
    <row r="553">
      <c r="C553" s="51"/>
      <c r="D553" s="51"/>
      <c r="E553" s="51"/>
      <c r="F553" s="51"/>
      <c r="G553" s="51"/>
      <c r="H553" s="51"/>
      <c r="I553" s="51"/>
      <c r="J553" s="51"/>
      <c r="K553" s="51"/>
      <c r="L553" s="51"/>
      <c r="N553" s="52"/>
      <c r="P553" s="53"/>
      <c r="Q553" s="53"/>
      <c r="R553" s="53"/>
      <c r="V553" s="51"/>
    </row>
    <row r="554">
      <c r="C554" s="51"/>
      <c r="D554" s="51"/>
      <c r="E554" s="51"/>
      <c r="F554" s="51"/>
      <c r="G554" s="51"/>
      <c r="H554" s="51"/>
      <c r="I554" s="51"/>
      <c r="J554" s="51"/>
      <c r="K554" s="51"/>
      <c r="L554" s="51"/>
      <c r="N554" s="52"/>
      <c r="P554" s="53"/>
      <c r="Q554" s="53"/>
      <c r="R554" s="53"/>
      <c r="V554" s="51"/>
    </row>
    <row r="555">
      <c r="C555" s="51"/>
      <c r="D555" s="51"/>
      <c r="E555" s="51"/>
      <c r="F555" s="51"/>
      <c r="G555" s="51"/>
      <c r="H555" s="51"/>
      <c r="I555" s="51"/>
      <c r="J555" s="51"/>
      <c r="K555" s="51"/>
      <c r="L555" s="51"/>
      <c r="N555" s="52"/>
      <c r="P555" s="53"/>
      <c r="Q555" s="53"/>
      <c r="R555" s="53"/>
      <c r="V555" s="51"/>
    </row>
    <row r="556">
      <c r="C556" s="51"/>
      <c r="D556" s="51"/>
      <c r="E556" s="51"/>
      <c r="F556" s="51"/>
      <c r="G556" s="51"/>
      <c r="H556" s="51"/>
      <c r="I556" s="51"/>
      <c r="J556" s="51"/>
      <c r="K556" s="51"/>
      <c r="L556" s="51"/>
      <c r="N556" s="52"/>
      <c r="P556" s="53"/>
      <c r="Q556" s="53"/>
      <c r="R556" s="53"/>
      <c r="V556" s="51"/>
    </row>
    <row r="557">
      <c r="C557" s="51"/>
      <c r="D557" s="51"/>
      <c r="E557" s="51"/>
      <c r="F557" s="51"/>
      <c r="G557" s="51"/>
      <c r="H557" s="51"/>
      <c r="I557" s="51"/>
      <c r="J557" s="51"/>
      <c r="K557" s="51"/>
      <c r="L557" s="51"/>
      <c r="N557" s="52"/>
      <c r="P557" s="53"/>
      <c r="Q557" s="53"/>
      <c r="R557" s="53"/>
      <c r="V557" s="51"/>
    </row>
    <row r="558">
      <c r="C558" s="51"/>
      <c r="D558" s="51"/>
      <c r="E558" s="51"/>
      <c r="F558" s="51"/>
      <c r="G558" s="51"/>
      <c r="H558" s="51"/>
      <c r="I558" s="51"/>
      <c r="J558" s="51"/>
      <c r="K558" s="51"/>
      <c r="L558" s="51"/>
      <c r="N558" s="52"/>
      <c r="P558" s="53"/>
      <c r="Q558" s="53"/>
      <c r="R558" s="53"/>
      <c r="V558" s="51"/>
    </row>
    <row r="559">
      <c r="C559" s="51"/>
      <c r="D559" s="51"/>
      <c r="E559" s="51"/>
      <c r="F559" s="51"/>
      <c r="G559" s="51"/>
      <c r="H559" s="51"/>
      <c r="I559" s="51"/>
      <c r="J559" s="51"/>
      <c r="K559" s="51"/>
      <c r="L559" s="51"/>
      <c r="N559" s="52"/>
      <c r="P559" s="53"/>
      <c r="Q559" s="53"/>
      <c r="R559" s="53"/>
      <c r="V559" s="51"/>
    </row>
    <row r="560">
      <c r="C560" s="51"/>
      <c r="D560" s="51"/>
      <c r="E560" s="51"/>
      <c r="F560" s="51"/>
      <c r="G560" s="51"/>
      <c r="H560" s="51"/>
      <c r="I560" s="51"/>
      <c r="J560" s="51"/>
      <c r="K560" s="51"/>
      <c r="L560" s="51"/>
      <c r="N560" s="52"/>
      <c r="P560" s="53"/>
      <c r="Q560" s="53"/>
      <c r="R560" s="53"/>
      <c r="V560" s="51"/>
    </row>
    <row r="561">
      <c r="C561" s="51"/>
      <c r="D561" s="51"/>
      <c r="E561" s="51"/>
      <c r="F561" s="51"/>
      <c r="G561" s="51"/>
      <c r="H561" s="51"/>
      <c r="I561" s="51"/>
      <c r="J561" s="51"/>
      <c r="K561" s="51"/>
      <c r="L561" s="51"/>
      <c r="N561" s="52"/>
      <c r="P561" s="53"/>
      <c r="Q561" s="53"/>
      <c r="R561" s="53"/>
      <c r="V561" s="51"/>
    </row>
    <row r="562">
      <c r="C562" s="51"/>
      <c r="D562" s="51"/>
      <c r="E562" s="51"/>
      <c r="F562" s="51"/>
      <c r="G562" s="51"/>
      <c r="H562" s="51"/>
      <c r="I562" s="51"/>
      <c r="J562" s="51"/>
      <c r="K562" s="51"/>
      <c r="L562" s="51"/>
      <c r="N562" s="52"/>
      <c r="P562" s="53"/>
      <c r="Q562" s="53"/>
      <c r="R562" s="53"/>
      <c r="V562" s="51"/>
    </row>
    <row r="563">
      <c r="C563" s="51"/>
      <c r="D563" s="51"/>
      <c r="E563" s="51"/>
      <c r="F563" s="51"/>
      <c r="G563" s="51"/>
      <c r="H563" s="51"/>
      <c r="I563" s="51"/>
      <c r="J563" s="51"/>
      <c r="K563" s="51"/>
      <c r="L563" s="51"/>
      <c r="N563" s="52"/>
      <c r="P563" s="53"/>
      <c r="Q563" s="53"/>
      <c r="R563" s="53"/>
      <c r="V563" s="51"/>
    </row>
    <row r="564">
      <c r="C564" s="51"/>
      <c r="D564" s="51"/>
      <c r="E564" s="51"/>
      <c r="F564" s="51"/>
      <c r="G564" s="51"/>
      <c r="H564" s="51"/>
      <c r="I564" s="51"/>
      <c r="J564" s="51"/>
      <c r="K564" s="51"/>
      <c r="L564" s="51"/>
      <c r="N564" s="52"/>
      <c r="P564" s="53"/>
      <c r="Q564" s="53"/>
      <c r="R564" s="53"/>
      <c r="V564" s="51"/>
    </row>
    <row r="565">
      <c r="C565" s="51"/>
      <c r="D565" s="51"/>
      <c r="E565" s="51"/>
      <c r="F565" s="51"/>
      <c r="G565" s="51"/>
      <c r="H565" s="51"/>
      <c r="I565" s="51"/>
      <c r="J565" s="51"/>
      <c r="K565" s="51"/>
      <c r="L565" s="51"/>
      <c r="N565" s="52"/>
      <c r="P565" s="53"/>
      <c r="Q565" s="53"/>
      <c r="R565" s="53"/>
      <c r="V565" s="51"/>
    </row>
    <row r="566">
      <c r="C566" s="51"/>
      <c r="D566" s="51"/>
      <c r="E566" s="51"/>
      <c r="F566" s="51"/>
      <c r="G566" s="51"/>
      <c r="H566" s="51"/>
      <c r="I566" s="51"/>
      <c r="J566" s="51"/>
      <c r="K566" s="51"/>
      <c r="L566" s="51"/>
      <c r="N566" s="52"/>
      <c r="P566" s="53"/>
      <c r="Q566" s="53"/>
      <c r="R566" s="53"/>
      <c r="V566" s="51"/>
    </row>
    <row r="567">
      <c r="C567" s="51"/>
      <c r="D567" s="51"/>
      <c r="E567" s="51"/>
      <c r="F567" s="51"/>
      <c r="G567" s="51"/>
      <c r="H567" s="51"/>
      <c r="I567" s="51"/>
      <c r="J567" s="51"/>
      <c r="K567" s="51"/>
      <c r="L567" s="51"/>
      <c r="N567" s="52"/>
      <c r="P567" s="53"/>
      <c r="Q567" s="53"/>
      <c r="R567" s="53"/>
      <c r="V567" s="51"/>
    </row>
    <row r="568">
      <c r="C568" s="51"/>
      <c r="D568" s="51"/>
      <c r="E568" s="51"/>
      <c r="F568" s="51"/>
      <c r="G568" s="51"/>
      <c r="H568" s="51"/>
      <c r="I568" s="51"/>
      <c r="J568" s="51"/>
      <c r="K568" s="51"/>
      <c r="L568" s="51"/>
      <c r="N568" s="52"/>
      <c r="P568" s="53"/>
      <c r="Q568" s="53"/>
      <c r="R568" s="53"/>
      <c r="V568" s="51"/>
    </row>
    <row r="569">
      <c r="C569" s="51"/>
      <c r="D569" s="51"/>
      <c r="E569" s="51"/>
      <c r="F569" s="51"/>
      <c r="G569" s="51"/>
      <c r="H569" s="51"/>
      <c r="I569" s="51"/>
      <c r="J569" s="51"/>
      <c r="K569" s="51"/>
      <c r="L569" s="51"/>
      <c r="N569" s="52"/>
      <c r="P569" s="53"/>
      <c r="Q569" s="53"/>
      <c r="R569" s="53"/>
      <c r="V569" s="51"/>
    </row>
    <row r="570">
      <c r="C570" s="51"/>
      <c r="D570" s="51"/>
      <c r="E570" s="51"/>
      <c r="F570" s="51"/>
      <c r="G570" s="51"/>
      <c r="H570" s="51"/>
      <c r="I570" s="51"/>
      <c r="J570" s="51"/>
      <c r="K570" s="51"/>
      <c r="L570" s="51"/>
      <c r="N570" s="52"/>
      <c r="P570" s="53"/>
      <c r="Q570" s="53"/>
      <c r="R570" s="53"/>
      <c r="V570" s="51"/>
    </row>
    <row r="571">
      <c r="C571" s="51"/>
      <c r="D571" s="51"/>
      <c r="E571" s="51"/>
      <c r="F571" s="51"/>
      <c r="G571" s="51"/>
      <c r="H571" s="51"/>
      <c r="I571" s="51"/>
      <c r="J571" s="51"/>
      <c r="K571" s="51"/>
      <c r="L571" s="51"/>
      <c r="N571" s="52"/>
      <c r="P571" s="53"/>
      <c r="Q571" s="53"/>
      <c r="R571" s="53"/>
      <c r="V571" s="51"/>
    </row>
    <row r="572">
      <c r="C572" s="51"/>
      <c r="D572" s="51"/>
      <c r="E572" s="51"/>
      <c r="F572" s="51"/>
      <c r="G572" s="51"/>
      <c r="H572" s="51"/>
      <c r="I572" s="51"/>
      <c r="J572" s="51"/>
      <c r="K572" s="51"/>
      <c r="L572" s="51"/>
      <c r="N572" s="52"/>
      <c r="P572" s="53"/>
      <c r="Q572" s="53"/>
      <c r="R572" s="53"/>
      <c r="V572" s="51"/>
    </row>
    <row r="573">
      <c r="C573" s="51"/>
      <c r="D573" s="51"/>
      <c r="E573" s="51"/>
      <c r="F573" s="51"/>
      <c r="G573" s="51"/>
      <c r="H573" s="51"/>
      <c r="I573" s="51"/>
      <c r="J573" s="51"/>
      <c r="K573" s="51"/>
      <c r="L573" s="51"/>
      <c r="N573" s="52"/>
      <c r="P573" s="53"/>
      <c r="Q573" s="53"/>
      <c r="R573" s="53"/>
      <c r="V573" s="51"/>
    </row>
    <row r="574">
      <c r="C574" s="51"/>
      <c r="D574" s="51"/>
      <c r="E574" s="51"/>
      <c r="F574" s="51"/>
      <c r="G574" s="51"/>
      <c r="H574" s="51"/>
      <c r="I574" s="51"/>
      <c r="J574" s="51"/>
      <c r="K574" s="51"/>
      <c r="L574" s="51"/>
      <c r="N574" s="52"/>
      <c r="P574" s="53"/>
      <c r="Q574" s="53"/>
      <c r="R574" s="53"/>
      <c r="V574" s="51"/>
    </row>
    <row r="575">
      <c r="C575" s="51"/>
      <c r="D575" s="51"/>
      <c r="E575" s="51"/>
      <c r="F575" s="51"/>
      <c r="G575" s="51"/>
      <c r="H575" s="51"/>
      <c r="I575" s="51"/>
      <c r="J575" s="51"/>
      <c r="K575" s="51"/>
      <c r="L575" s="51"/>
      <c r="N575" s="52"/>
      <c r="P575" s="53"/>
      <c r="Q575" s="53"/>
      <c r="R575" s="53"/>
      <c r="V575" s="51"/>
    </row>
    <row r="576">
      <c r="C576" s="51"/>
      <c r="D576" s="51"/>
      <c r="E576" s="51"/>
      <c r="F576" s="51"/>
      <c r="G576" s="51"/>
      <c r="H576" s="51"/>
      <c r="I576" s="51"/>
      <c r="J576" s="51"/>
      <c r="K576" s="51"/>
      <c r="L576" s="51"/>
      <c r="N576" s="52"/>
      <c r="P576" s="53"/>
      <c r="Q576" s="53"/>
      <c r="R576" s="53"/>
      <c r="V576" s="51"/>
    </row>
    <row r="577">
      <c r="C577" s="51"/>
      <c r="D577" s="51"/>
      <c r="E577" s="51"/>
      <c r="F577" s="51"/>
      <c r="G577" s="51"/>
      <c r="H577" s="51"/>
      <c r="I577" s="51"/>
      <c r="J577" s="51"/>
      <c r="K577" s="51"/>
      <c r="L577" s="51"/>
      <c r="N577" s="52"/>
      <c r="P577" s="53"/>
      <c r="Q577" s="53"/>
      <c r="R577" s="53"/>
      <c r="V577" s="51"/>
    </row>
    <row r="578">
      <c r="C578" s="51"/>
      <c r="D578" s="51"/>
      <c r="E578" s="51"/>
      <c r="F578" s="51"/>
      <c r="G578" s="51"/>
      <c r="H578" s="51"/>
      <c r="I578" s="51"/>
      <c r="J578" s="51"/>
      <c r="K578" s="51"/>
      <c r="L578" s="51"/>
      <c r="N578" s="52"/>
      <c r="P578" s="53"/>
      <c r="Q578" s="53"/>
      <c r="R578" s="53"/>
      <c r="V578" s="51"/>
    </row>
    <row r="579">
      <c r="C579" s="51"/>
      <c r="D579" s="51"/>
      <c r="E579" s="51"/>
      <c r="F579" s="51"/>
      <c r="G579" s="51"/>
      <c r="H579" s="51"/>
      <c r="I579" s="51"/>
      <c r="J579" s="51"/>
      <c r="K579" s="51"/>
      <c r="L579" s="51"/>
      <c r="N579" s="52"/>
      <c r="P579" s="53"/>
      <c r="Q579" s="53"/>
      <c r="R579" s="53"/>
      <c r="V579" s="51"/>
    </row>
    <row r="580">
      <c r="C580" s="51"/>
      <c r="D580" s="51"/>
      <c r="E580" s="51"/>
      <c r="F580" s="51"/>
      <c r="G580" s="51"/>
      <c r="H580" s="51"/>
      <c r="I580" s="51"/>
      <c r="J580" s="51"/>
      <c r="K580" s="51"/>
      <c r="L580" s="51"/>
      <c r="N580" s="52"/>
      <c r="P580" s="53"/>
      <c r="Q580" s="53"/>
      <c r="R580" s="53"/>
      <c r="V580" s="51"/>
    </row>
    <row r="581">
      <c r="C581" s="51"/>
      <c r="D581" s="51"/>
      <c r="E581" s="51"/>
      <c r="F581" s="51"/>
      <c r="G581" s="51"/>
      <c r="H581" s="51"/>
      <c r="I581" s="51"/>
      <c r="J581" s="51"/>
      <c r="K581" s="51"/>
      <c r="L581" s="51"/>
      <c r="N581" s="52"/>
      <c r="P581" s="53"/>
      <c r="Q581" s="53"/>
      <c r="R581" s="53"/>
      <c r="V581" s="51"/>
    </row>
    <row r="582">
      <c r="C582" s="51"/>
      <c r="D582" s="51"/>
      <c r="E582" s="51"/>
      <c r="F582" s="51"/>
      <c r="G582" s="51"/>
      <c r="H582" s="51"/>
      <c r="I582" s="51"/>
      <c r="J582" s="51"/>
      <c r="K582" s="51"/>
      <c r="L582" s="51"/>
      <c r="N582" s="52"/>
      <c r="P582" s="53"/>
      <c r="Q582" s="53"/>
      <c r="R582" s="53"/>
      <c r="V582" s="51"/>
    </row>
    <row r="583">
      <c r="C583" s="51"/>
      <c r="D583" s="51"/>
      <c r="E583" s="51"/>
      <c r="F583" s="51"/>
      <c r="G583" s="51"/>
      <c r="H583" s="51"/>
      <c r="I583" s="51"/>
      <c r="J583" s="51"/>
      <c r="K583" s="51"/>
      <c r="L583" s="51"/>
      <c r="N583" s="52"/>
      <c r="P583" s="53"/>
      <c r="Q583" s="53"/>
      <c r="R583" s="53"/>
      <c r="V583" s="51"/>
    </row>
    <row r="584">
      <c r="C584" s="51"/>
      <c r="D584" s="51"/>
      <c r="E584" s="51"/>
      <c r="F584" s="51"/>
      <c r="G584" s="51"/>
      <c r="H584" s="51"/>
      <c r="I584" s="51"/>
      <c r="J584" s="51"/>
      <c r="K584" s="51"/>
      <c r="L584" s="51"/>
      <c r="N584" s="52"/>
      <c r="P584" s="53"/>
      <c r="Q584" s="53"/>
      <c r="R584" s="53"/>
      <c r="V584" s="51"/>
    </row>
    <row r="585">
      <c r="C585" s="51"/>
      <c r="D585" s="51"/>
      <c r="E585" s="51"/>
      <c r="F585" s="51"/>
      <c r="G585" s="51"/>
      <c r="H585" s="51"/>
      <c r="I585" s="51"/>
      <c r="J585" s="51"/>
      <c r="K585" s="51"/>
      <c r="L585" s="51"/>
      <c r="N585" s="52"/>
      <c r="P585" s="53"/>
      <c r="Q585" s="53"/>
      <c r="R585" s="53"/>
      <c r="V585" s="51"/>
    </row>
    <row r="586">
      <c r="C586" s="51"/>
      <c r="D586" s="51"/>
      <c r="E586" s="51"/>
      <c r="F586" s="51"/>
      <c r="G586" s="51"/>
      <c r="H586" s="51"/>
      <c r="I586" s="51"/>
      <c r="J586" s="51"/>
      <c r="K586" s="51"/>
      <c r="L586" s="51"/>
      <c r="N586" s="52"/>
      <c r="P586" s="53"/>
      <c r="Q586" s="53"/>
      <c r="R586" s="53"/>
      <c r="V586" s="51"/>
    </row>
    <row r="587">
      <c r="C587" s="51"/>
      <c r="D587" s="51"/>
      <c r="E587" s="51"/>
      <c r="F587" s="51"/>
      <c r="G587" s="51"/>
      <c r="H587" s="51"/>
      <c r="I587" s="51"/>
      <c r="J587" s="51"/>
      <c r="K587" s="51"/>
      <c r="L587" s="51"/>
      <c r="N587" s="52"/>
      <c r="P587" s="53"/>
      <c r="Q587" s="53"/>
      <c r="R587" s="53"/>
      <c r="V587" s="51"/>
    </row>
    <row r="588">
      <c r="C588" s="51"/>
      <c r="D588" s="51"/>
      <c r="E588" s="51"/>
      <c r="F588" s="51"/>
      <c r="G588" s="51"/>
      <c r="H588" s="51"/>
      <c r="I588" s="51"/>
      <c r="J588" s="51"/>
      <c r="K588" s="51"/>
      <c r="L588" s="51"/>
      <c r="N588" s="52"/>
      <c r="P588" s="53"/>
      <c r="Q588" s="53"/>
      <c r="R588" s="53"/>
      <c r="V588" s="51"/>
    </row>
    <row r="589">
      <c r="C589" s="51"/>
      <c r="D589" s="51"/>
      <c r="E589" s="51"/>
      <c r="F589" s="51"/>
      <c r="G589" s="51"/>
      <c r="H589" s="51"/>
      <c r="I589" s="51"/>
      <c r="J589" s="51"/>
      <c r="K589" s="51"/>
      <c r="L589" s="51"/>
      <c r="N589" s="52"/>
      <c r="P589" s="53"/>
      <c r="Q589" s="53"/>
      <c r="R589" s="53"/>
      <c r="V589" s="51"/>
    </row>
    <row r="590">
      <c r="C590" s="51"/>
      <c r="D590" s="51"/>
      <c r="E590" s="51"/>
      <c r="F590" s="51"/>
      <c r="G590" s="51"/>
      <c r="H590" s="51"/>
      <c r="I590" s="51"/>
      <c r="J590" s="51"/>
      <c r="K590" s="51"/>
      <c r="L590" s="51"/>
      <c r="N590" s="52"/>
      <c r="P590" s="53"/>
      <c r="Q590" s="53"/>
      <c r="R590" s="53"/>
      <c r="V590" s="51"/>
    </row>
    <row r="591">
      <c r="C591" s="51"/>
      <c r="D591" s="51"/>
      <c r="E591" s="51"/>
      <c r="F591" s="51"/>
      <c r="G591" s="51"/>
      <c r="H591" s="51"/>
      <c r="I591" s="51"/>
      <c r="J591" s="51"/>
      <c r="K591" s="51"/>
      <c r="L591" s="51"/>
      <c r="N591" s="52"/>
      <c r="P591" s="53"/>
      <c r="Q591" s="53"/>
      <c r="R591" s="53"/>
      <c r="V591" s="51"/>
    </row>
    <row r="592">
      <c r="C592" s="51"/>
      <c r="D592" s="51"/>
      <c r="E592" s="51"/>
      <c r="F592" s="51"/>
      <c r="G592" s="51"/>
      <c r="H592" s="51"/>
      <c r="I592" s="51"/>
      <c r="J592" s="51"/>
      <c r="K592" s="51"/>
      <c r="L592" s="51"/>
      <c r="N592" s="52"/>
      <c r="P592" s="53"/>
      <c r="Q592" s="53"/>
      <c r="R592" s="53"/>
      <c r="V592" s="51"/>
    </row>
    <row r="593">
      <c r="C593" s="51"/>
      <c r="D593" s="51"/>
      <c r="E593" s="51"/>
      <c r="F593" s="51"/>
      <c r="G593" s="51"/>
      <c r="H593" s="51"/>
      <c r="I593" s="51"/>
      <c r="J593" s="51"/>
      <c r="K593" s="51"/>
      <c r="L593" s="51"/>
      <c r="N593" s="52"/>
      <c r="P593" s="53"/>
      <c r="Q593" s="53"/>
      <c r="R593" s="53"/>
      <c r="V593" s="51"/>
    </row>
    <row r="594">
      <c r="C594" s="51"/>
      <c r="D594" s="51"/>
      <c r="E594" s="51"/>
      <c r="F594" s="51"/>
      <c r="G594" s="51"/>
      <c r="H594" s="51"/>
      <c r="I594" s="51"/>
      <c r="J594" s="51"/>
      <c r="K594" s="51"/>
      <c r="L594" s="51"/>
      <c r="N594" s="52"/>
      <c r="P594" s="53"/>
      <c r="Q594" s="53"/>
      <c r="R594" s="53"/>
      <c r="V594" s="51"/>
    </row>
    <row r="595">
      <c r="C595" s="51"/>
      <c r="D595" s="51"/>
      <c r="E595" s="51"/>
      <c r="F595" s="51"/>
      <c r="G595" s="51"/>
      <c r="H595" s="51"/>
      <c r="I595" s="51"/>
      <c r="J595" s="51"/>
      <c r="K595" s="51"/>
      <c r="L595" s="51"/>
      <c r="N595" s="52"/>
      <c r="P595" s="53"/>
      <c r="Q595" s="53"/>
      <c r="R595" s="53"/>
      <c r="V595" s="51"/>
    </row>
    <row r="596">
      <c r="C596" s="51"/>
      <c r="D596" s="51"/>
      <c r="E596" s="51"/>
      <c r="F596" s="51"/>
      <c r="G596" s="51"/>
      <c r="H596" s="51"/>
      <c r="I596" s="51"/>
      <c r="J596" s="51"/>
      <c r="K596" s="51"/>
      <c r="L596" s="51"/>
      <c r="N596" s="52"/>
      <c r="P596" s="53"/>
      <c r="Q596" s="53"/>
      <c r="R596" s="53"/>
      <c r="V596" s="51"/>
    </row>
    <row r="597">
      <c r="C597" s="51"/>
      <c r="D597" s="51"/>
      <c r="E597" s="51"/>
      <c r="F597" s="51"/>
      <c r="G597" s="51"/>
      <c r="H597" s="51"/>
      <c r="I597" s="51"/>
      <c r="J597" s="51"/>
      <c r="K597" s="51"/>
      <c r="L597" s="51"/>
      <c r="N597" s="52"/>
      <c r="P597" s="53"/>
      <c r="Q597" s="53"/>
      <c r="R597" s="53"/>
      <c r="V597" s="51"/>
    </row>
    <row r="598">
      <c r="C598" s="51"/>
      <c r="D598" s="51"/>
      <c r="E598" s="51"/>
      <c r="F598" s="51"/>
      <c r="G598" s="51"/>
      <c r="H598" s="51"/>
      <c r="I598" s="51"/>
      <c r="J598" s="51"/>
      <c r="K598" s="51"/>
      <c r="L598" s="51"/>
      <c r="N598" s="52"/>
      <c r="P598" s="53"/>
      <c r="Q598" s="53"/>
      <c r="R598" s="53"/>
      <c r="V598" s="51"/>
    </row>
    <row r="599">
      <c r="C599" s="51"/>
      <c r="D599" s="51"/>
      <c r="E599" s="51"/>
      <c r="F599" s="51"/>
      <c r="G599" s="51"/>
      <c r="H599" s="51"/>
      <c r="I599" s="51"/>
      <c r="J599" s="51"/>
      <c r="K599" s="51"/>
      <c r="L599" s="51"/>
      <c r="N599" s="52"/>
      <c r="P599" s="53"/>
      <c r="Q599" s="53"/>
      <c r="R599" s="53"/>
      <c r="V599" s="51"/>
    </row>
    <row r="600">
      <c r="C600" s="51"/>
      <c r="D600" s="51"/>
      <c r="E600" s="51"/>
      <c r="F600" s="51"/>
      <c r="G600" s="51"/>
      <c r="H600" s="51"/>
      <c r="I600" s="51"/>
      <c r="J600" s="51"/>
      <c r="K600" s="51"/>
      <c r="L600" s="51"/>
      <c r="N600" s="52"/>
      <c r="P600" s="53"/>
      <c r="Q600" s="53"/>
      <c r="R600" s="53"/>
      <c r="V600" s="51"/>
    </row>
    <row r="601">
      <c r="C601" s="51"/>
      <c r="D601" s="51"/>
      <c r="E601" s="51"/>
      <c r="F601" s="51"/>
      <c r="G601" s="51"/>
      <c r="H601" s="51"/>
      <c r="I601" s="51"/>
      <c r="J601" s="51"/>
      <c r="K601" s="51"/>
      <c r="L601" s="51"/>
      <c r="N601" s="52"/>
      <c r="P601" s="53"/>
      <c r="Q601" s="53"/>
      <c r="R601" s="53"/>
      <c r="V601" s="51"/>
    </row>
    <row r="602">
      <c r="C602" s="51"/>
      <c r="D602" s="51"/>
      <c r="E602" s="51"/>
      <c r="F602" s="51"/>
      <c r="G602" s="51"/>
      <c r="H602" s="51"/>
      <c r="I602" s="51"/>
      <c r="J602" s="51"/>
      <c r="K602" s="51"/>
      <c r="L602" s="51"/>
      <c r="N602" s="52"/>
      <c r="P602" s="53"/>
      <c r="Q602" s="53"/>
      <c r="R602" s="53"/>
      <c r="V602" s="51"/>
    </row>
    <row r="603">
      <c r="C603" s="51"/>
      <c r="D603" s="51"/>
      <c r="E603" s="51"/>
      <c r="F603" s="51"/>
      <c r="G603" s="51"/>
      <c r="H603" s="51"/>
      <c r="I603" s="51"/>
      <c r="J603" s="51"/>
      <c r="K603" s="51"/>
      <c r="L603" s="51"/>
      <c r="N603" s="52"/>
      <c r="P603" s="53"/>
      <c r="Q603" s="53"/>
      <c r="R603" s="53"/>
      <c r="V603" s="51"/>
    </row>
    <row r="604">
      <c r="C604" s="51"/>
      <c r="D604" s="51"/>
      <c r="E604" s="51"/>
      <c r="F604" s="51"/>
      <c r="G604" s="51"/>
      <c r="H604" s="51"/>
      <c r="I604" s="51"/>
      <c r="J604" s="51"/>
      <c r="K604" s="51"/>
      <c r="L604" s="51"/>
      <c r="N604" s="52"/>
      <c r="P604" s="53"/>
      <c r="Q604" s="53"/>
      <c r="R604" s="53"/>
      <c r="V604" s="51"/>
    </row>
    <row r="605">
      <c r="C605" s="51"/>
      <c r="D605" s="51"/>
      <c r="E605" s="51"/>
      <c r="F605" s="51"/>
      <c r="G605" s="51"/>
      <c r="H605" s="51"/>
      <c r="I605" s="51"/>
      <c r="J605" s="51"/>
      <c r="K605" s="51"/>
      <c r="L605" s="51"/>
      <c r="N605" s="52"/>
      <c r="P605" s="53"/>
      <c r="Q605" s="53"/>
      <c r="R605" s="53"/>
      <c r="V605" s="51"/>
    </row>
    <row r="606">
      <c r="C606" s="51"/>
      <c r="D606" s="51"/>
      <c r="E606" s="51"/>
      <c r="F606" s="51"/>
      <c r="G606" s="51"/>
      <c r="H606" s="51"/>
      <c r="I606" s="51"/>
      <c r="J606" s="51"/>
      <c r="K606" s="51"/>
      <c r="L606" s="51"/>
      <c r="N606" s="52"/>
      <c r="P606" s="53"/>
      <c r="Q606" s="53"/>
      <c r="R606" s="53"/>
      <c r="V606" s="51"/>
    </row>
    <row r="607">
      <c r="C607" s="51"/>
      <c r="D607" s="51"/>
      <c r="E607" s="51"/>
      <c r="F607" s="51"/>
      <c r="G607" s="51"/>
      <c r="H607" s="51"/>
      <c r="I607" s="51"/>
      <c r="J607" s="51"/>
      <c r="K607" s="51"/>
      <c r="L607" s="51"/>
      <c r="N607" s="52"/>
      <c r="P607" s="53"/>
      <c r="Q607" s="53"/>
      <c r="R607" s="53"/>
      <c r="V607" s="51"/>
    </row>
    <row r="608">
      <c r="C608" s="51"/>
      <c r="D608" s="51"/>
      <c r="E608" s="51"/>
      <c r="F608" s="51"/>
      <c r="G608" s="51"/>
      <c r="H608" s="51"/>
      <c r="I608" s="51"/>
      <c r="J608" s="51"/>
      <c r="K608" s="51"/>
      <c r="L608" s="51"/>
      <c r="N608" s="52"/>
      <c r="P608" s="53"/>
      <c r="Q608" s="53"/>
      <c r="R608" s="53"/>
      <c r="V608" s="51"/>
    </row>
    <row r="609">
      <c r="C609" s="51"/>
      <c r="D609" s="51"/>
      <c r="E609" s="51"/>
      <c r="F609" s="51"/>
      <c r="G609" s="51"/>
      <c r="H609" s="51"/>
      <c r="I609" s="51"/>
      <c r="J609" s="51"/>
      <c r="K609" s="51"/>
      <c r="L609" s="51"/>
      <c r="N609" s="52"/>
      <c r="P609" s="53"/>
      <c r="Q609" s="53"/>
      <c r="R609" s="53"/>
      <c r="V609" s="51"/>
    </row>
    <row r="610">
      <c r="C610" s="51"/>
      <c r="D610" s="51"/>
      <c r="E610" s="51"/>
      <c r="F610" s="51"/>
      <c r="G610" s="51"/>
      <c r="H610" s="51"/>
      <c r="I610" s="51"/>
      <c r="J610" s="51"/>
      <c r="K610" s="51"/>
      <c r="L610" s="51"/>
      <c r="N610" s="52"/>
      <c r="P610" s="53"/>
      <c r="Q610" s="53"/>
      <c r="R610" s="53"/>
      <c r="V610" s="51"/>
    </row>
    <row r="611">
      <c r="C611" s="51"/>
      <c r="D611" s="51"/>
      <c r="E611" s="51"/>
      <c r="F611" s="51"/>
      <c r="G611" s="51"/>
      <c r="H611" s="51"/>
      <c r="I611" s="51"/>
      <c r="J611" s="51"/>
      <c r="K611" s="51"/>
      <c r="L611" s="51"/>
      <c r="N611" s="52"/>
      <c r="P611" s="53"/>
      <c r="Q611" s="53"/>
      <c r="R611" s="53"/>
      <c r="V611" s="51"/>
    </row>
    <row r="612">
      <c r="C612" s="51"/>
      <c r="D612" s="51"/>
      <c r="E612" s="51"/>
      <c r="F612" s="51"/>
      <c r="G612" s="51"/>
      <c r="H612" s="51"/>
      <c r="I612" s="51"/>
      <c r="J612" s="51"/>
      <c r="K612" s="51"/>
      <c r="L612" s="51"/>
      <c r="N612" s="52"/>
      <c r="P612" s="53"/>
      <c r="Q612" s="53"/>
      <c r="R612" s="53"/>
      <c r="V612" s="51"/>
    </row>
    <row r="613">
      <c r="C613" s="51"/>
      <c r="D613" s="51"/>
      <c r="E613" s="51"/>
      <c r="F613" s="51"/>
      <c r="G613" s="51"/>
      <c r="H613" s="51"/>
      <c r="I613" s="51"/>
      <c r="J613" s="51"/>
      <c r="K613" s="51"/>
      <c r="L613" s="51"/>
      <c r="N613" s="52"/>
      <c r="P613" s="53"/>
      <c r="Q613" s="53"/>
      <c r="R613" s="53"/>
      <c r="V613" s="51"/>
    </row>
    <row r="614">
      <c r="C614" s="51"/>
      <c r="D614" s="51"/>
      <c r="E614" s="51"/>
      <c r="F614" s="51"/>
      <c r="G614" s="51"/>
      <c r="H614" s="51"/>
      <c r="I614" s="51"/>
      <c r="J614" s="51"/>
      <c r="K614" s="51"/>
      <c r="L614" s="51"/>
      <c r="N614" s="52"/>
      <c r="P614" s="53"/>
      <c r="Q614" s="53"/>
      <c r="R614" s="53"/>
      <c r="V614" s="51"/>
    </row>
    <row r="615">
      <c r="C615" s="51"/>
      <c r="D615" s="51"/>
      <c r="E615" s="51"/>
      <c r="F615" s="51"/>
      <c r="G615" s="51"/>
      <c r="H615" s="51"/>
      <c r="I615" s="51"/>
      <c r="J615" s="51"/>
      <c r="K615" s="51"/>
      <c r="L615" s="51"/>
      <c r="N615" s="52"/>
      <c r="P615" s="53"/>
      <c r="Q615" s="53"/>
      <c r="R615" s="53"/>
      <c r="V615" s="51"/>
    </row>
    <row r="616">
      <c r="C616" s="51"/>
      <c r="D616" s="51"/>
      <c r="E616" s="51"/>
      <c r="F616" s="51"/>
      <c r="G616" s="51"/>
      <c r="H616" s="51"/>
      <c r="I616" s="51"/>
      <c r="J616" s="51"/>
      <c r="K616" s="51"/>
      <c r="L616" s="51"/>
      <c r="N616" s="52"/>
      <c r="P616" s="53"/>
      <c r="Q616" s="53"/>
      <c r="R616" s="53"/>
      <c r="V616" s="51"/>
    </row>
    <row r="617">
      <c r="C617" s="51"/>
      <c r="D617" s="51"/>
      <c r="E617" s="51"/>
      <c r="F617" s="51"/>
      <c r="G617" s="51"/>
      <c r="H617" s="51"/>
      <c r="I617" s="51"/>
      <c r="J617" s="51"/>
      <c r="K617" s="51"/>
      <c r="L617" s="51"/>
      <c r="N617" s="52"/>
      <c r="P617" s="53"/>
      <c r="Q617" s="53"/>
      <c r="R617" s="53"/>
      <c r="V617" s="51"/>
    </row>
    <row r="618">
      <c r="C618" s="51"/>
      <c r="D618" s="51"/>
      <c r="E618" s="51"/>
      <c r="F618" s="51"/>
      <c r="G618" s="51"/>
      <c r="H618" s="51"/>
      <c r="I618" s="51"/>
      <c r="J618" s="51"/>
      <c r="K618" s="51"/>
      <c r="L618" s="51"/>
      <c r="N618" s="52"/>
      <c r="P618" s="53"/>
      <c r="Q618" s="53"/>
      <c r="R618" s="53"/>
      <c r="V618" s="51"/>
    </row>
    <row r="619">
      <c r="C619" s="51"/>
      <c r="D619" s="51"/>
      <c r="E619" s="51"/>
      <c r="F619" s="51"/>
      <c r="G619" s="51"/>
      <c r="H619" s="51"/>
      <c r="I619" s="51"/>
      <c r="J619" s="51"/>
      <c r="K619" s="51"/>
      <c r="L619" s="51"/>
      <c r="N619" s="52"/>
      <c r="P619" s="53"/>
      <c r="Q619" s="53"/>
      <c r="R619" s="53"/>
      <c r="V619" s="51"/>
    </row>
    <row r="620">
      <c r="C620" s="51"/>
      <c r="D620" s="51"/>
      <c r="E620" s="51"/>
      <c r="F620" s="51"/>
      <c r="G620" s="51"/>
      <c r="H620" s="51"/>
      <c r="I620" s="51"/>
      <c r="J620" s="51"/>
      <c r="K620" s="51"/>
      <c r="L620" s="51"/>
      <c r="N620" s="52"/>
      <c r="P620" s="53"/>
      <c r="Q620" s="53"/>
      <c r="R620" s="53"/>
      <c r="V620" s="51"/>
    </row>
    <row r="621">
      <c r="C621" s="51"/>
      <c r="D621" s="51"/>
      <c r="E621" s="51"/>
      <c r="F621" s="51"/>
      <c r="G621" s="51"/>
      <c r="H621" s="51"/>
      <c r="I621" s="51"/>
      <c r="J621" s="51"/>
      <c r="K621" s="51"/>
      <c r="L621" s="51"/>
      <c r="N621" s="52"/>
      <c r="P621" s="53"/>
      <c r="Q621" s="53"/>
      <c r="R621" s="53"/>
      <c r="V621" s="51"/>
    </row>
    <row r="622">
      <c r="C622" s="51"/>
      <c r="D622" s="51"/>
      <c r="E622" s="51"/>
      <c r="F622" s="51"/>
      <c r="G622" s="51"/>
      <c r="H622" s="51"/>
      <c r="I622" s="51"/>
      <c r="J622" s="51"/>
      <c r="K622" s="51"/>
      <c r="L622" s="51"/>
      <c r="N622" s="52"/>
      <c r="P622" s="53"/>
      <c r="Q622" s="53"/>
      <c r="R622" s="53"/>
      <c r="V622" s="51"/>
    </row>
    <row r="623">
      <c r="C623" s="51"/>
      <c r="D623" s="51"/>
      <c r="E623" s="51"/>
      <c r="F623" s="51"/>
      <c r="G623" s="51"/>
      <c r="H623" s="51"/>
      <c r="I623" s="51"/>
      <c r="J623" s="51"/>
      <c r="K623" s="51"/>
      <c r="L623" s="51"/>
      <c r="N623" s="52"/>
      <c r="P623" s="53"/>
      <c r="Q623" s="53"/>
      <c r="R623" s="53"/>
      <c r="V623" s="51"/>
    </row>
    <row r="624">
      <c r="C624" s="51"/>
      <c r="D624" s="51"/>
      <c r="E624" s="51"/>
      <c r="F624" s="51"/>
      <c r="G624" s="51"/>
      <c r="H624" s="51"/>
      <c r="I624" s="51"/>
      <c r="J624" s="51"/>
      <c r="K624" s="51"/>
      <c r="L624" s="51"/>
      <c r="N624" s="52"/>
      <c r="P624" s="53"/>
      <c r="Q624" s="53"/>
      <c r="R624" s="53"/>
      <c r="V624" s="51"/>
    </row>
    <row r="625">
      <c r="C625" s="51"/>
      <c r="D625" s="51"/>
      <c r="E625" s="51"/>
      <c r="F625" s="51"/>
      <c r="G625" s="51"/>
      <c r="H625" s="51"/>
      <c r="I625" s="51"/>
      <c r="J625" s="51"/>
      <c r="K625" s="51"/>
      <c r="L625" s="51"/>
      <c r="N625" s="52"/>
      <c r="P625" s="53"/>
      <c r="Q625" s="53"/>
      <c r="R625" s="53"/>
      <c r="V625" s="51"/>
    </row>
    <row r="626">
      <c r="C626" s="51"/>
      <c r="D626" s="51"/>
      <c r="E626" s="51"/>
      <c r="F626" s="51"/>
      <c r="G626" s="51"/>
      <c r="H626" s="51"/>
      <c r="I626" s="51"/>
      <c r="J626" s="51"/>
      <c r="K626" s="51"/>
      <c r="L626" s="51"/>
      <c r="N626" s="52"/>
      <c r="P626" s="53"/>
      <c r="Q626" s="53"/>
      <c r="R626" s="53"/>
      <c r="V626" s="51"/>
    </row>
    <row r="627">
      <c r="C627" s="51"/>
      <c r="D627" s="51"/>
      <c r="E627" s="51"/>
      <c r="F627" s="51"/>
      <c r="G627" s="51"/>
      <c r="H627" s="51"/>
      <c r="I627" s="51"/>
      <c r="J627" s="51"/>
      <c r="K627" s="51"/>
      <c r="L627" s="51"/>
      <c r="N627" s="52"/>
      <c r="P627" s="53"/>
      <c r="Q627" s="53"/>
      <c r="R627" s="53"/>
      <c r="V627" s="51"/>
    </row>
    <row r="628">
      <c r="C628" s="51"/>
      <c r="D628" s="51"/>
      <c r="E628" s="51"/>
      <c r="F628" s="51"/>
      <c r="G628" s="51"/>
      <c r="H628" s="51"/>
      <c r="I628" s="51"/>
      <c r="J628" s="51"/>
      <c r="K628" s="51"/>
      <c r="L628" s="51"/>
      <c r="N628" s="52"/>
      <c r="P628" s="53"/>
      <c r="Q628" s="53"/>
      <c r="R628" s="53"/>
      <c r="V628" s="51"/>
    </row>
    <row r="629">
      <c r="C629" s="51"/>
      <c r="D629" s="51"/>
      <c r="E629" s="51"/>
      <c r="F629" s="51"/>
      <c r="G629" s="51"/>
      <c r="H629" s="51"/>
      <c r="I629" s="51"/>
      <c r="J629" s="51"/>
      <c r="K629" s="51"/>
      <c r="L629" s="51"/>
      <c r="N629" s="52"/>
      <c r="P629" s="53"/>
      <c r="Q629" s="53"/>
      <c r="R629" s="53"/>
      <c r="V629" s="51"/>
    </row>
    <row r="630">
      <c r="C630" s="51"/>
      <c r="D630" s="51"/>
      <c r="E630" s="51"/>
      <c r="F630" s="51"/>
      <c r="G630" s="51"/>
      <c r="H630" s="51"/>
      <c r="I630" s="51"/>
      <c r="J630" s="51"/>
      <c r="K630" s="51"/>
      <c r="L630" s="51"/>
      <c r="N630" s="52"/>
      <c r="P630" s="53"/>
      <c r="Q630" s="53"/>
      <c r="R630" s="53"/>
      <c r="V630" s="51"/>
    </row>
    <row r="631">
      <c r="C631" s="51"/>
      <c r="D631" s="51"/>
      <c r="E631" s="51"/>
      <c r="F631" s="51"/>
      <c r="G631" s="51"/>
      <c r="H631" s="51"/>
      <c r="I631" s="51"/>
      <c r="J631" s="51"/>
      <c r="K631" s="51"/>
      <c r="L631" s="51"/>
      <c r="N631" s="52"/>
      <c r="P631" s="53"/>
      <c r="Q631" s="53"/>
      <c r="R631" s="53"/>
      <c r="V631" s="51"/>
    </row>
    <row r="632">
      <c r="C632" s="51"/>
      <c r="D632" s="51"/>
      <c r="E632" s="51"/>
      <c r="F632" s="51"/>
      <c r="G632" s="51"/>
      <c r="H632" s="51"/>
      <c r="I632" s="51"/>
      <c r="J632" s="51"/>
      <c r="K632" s="51"/>
      <c r="L632" s="51"/>
      <c r="N632" s="52"/>
      <c r="P632" s="53"/>
      <c r="Q632" s="53"/>
      <c r="R632" s="53"/>
      <c r="V632" s="51"/>
    </row>
    <row r="633">
      <c r="C633" s="51"/>
      <c r="D633" s="51"/>
      <c r="E633" s="51"/>
      <c r="F633" s="51"/>
      <c r="G633" s="51"/>
      <c r="H633" s="51"/>
      <c r="I633" s="51"/>
      <c r="J633" s="51"/>
      <c r="K633" s="51"/>
      <c r="L633" s="51"/>
      <c r="N633" s="52"/>
      <c r="P633" s="53"/>
      <c r="Q633" s="53"/>
      <c r="R633" s="53"/>
      <c r="V633" s="51"/>
    </row>
    <row r="634">
      <c r="C634" s="51"/>
      <c r="D634" s="51"/>
      <c r="E634" s="51"/>
      <c r="F634" s="51"/>
      <c r="G634" s="51"/>
      <c r="H634" s="51"/>
      <c r="I634" s="51"/>
      <c r="J634" s="51"/>
      <c r="K634" s="51"/>
      <c r="L634" s="51"/>
      <c r="N634" s="52"/>
      <c r="P634" s="53"/>
      <c r="Q634" s="53"/>
      <c r="R634" s="53"/>
      <c r="V634" s="51"/>
    </row>
    <row r="635">
      <c r="C635" s="51"/>
      <c r="D635" s="51"/>
      <c r="E635" s="51"/>
      <c r="F635" s="51"/>
      <c r="G635" s="51"/>
      <c r="H635" s="51"/>
      <c r="I635" s="51"/>
      <c r="J635" s="51"/>
      <c r="K635" s="51"/>
      <c r="L635" s="51"/>
      <c r="N635" s="52"/>
      <c r="P635" s="53"/>
      <c r="Q635" s="53"/>
      <c r="R635" s="53"/>
      <c r="V635" s="51"/>
    </row>
    <row r="636">
      <c r="C636" s="51"/>
      <c r="D636" s="51"/>
      <c r="E636" s="51"/>
      <c r="F636" s="51"/>
      <c r="G636" s="51"/>
      <c r="H636" s="51"/>
      <c r="I636" s="51"/>
      <c r="J636" s="51"/>
      <c r="K636" s="51"/>
      <c r="L636" s="51"/>
      <c r="N636" s="52"/>
      <c r="P636" s="53"/>
      <c r="Q636" s="53"/>
      <c r="R636" s="53"/>
      <c r="V636" s="51"/>
    </row>
    <row r="637">
      <c r="C637" s="51"/>
      <c r="D637" s="51"/>
      <c r="E637" s="51"/>
      <c r="F637" s="51"/>
      <c r="G637" s="51"/>
      <c r="H637" s="51"/>
      <c r="I637" s="51"/>
      <c r="J637" s="51"/>
      <c r="K637" s="51"/>
      <c r="L637" s="51"/>
      <c r="N637" s="52"/>
      <c r="P637" s="53"/>
      <c r="Q637" s="53"/>
      <c r="R637" s="53"/>
      <c r="V637" s="51"/>
    </row>
    <row r="638">
      <c r="C638" s="51"/>
      <c r="D638" s="51"/>
      <c r="E638" s="51"/>
      <c r="F638" s="51"/>
      <c r="G638" s="51"/>
      <c r="H638" s="51"/>
      <c r="I638" s="51"/>
      <c r="J638" s="51"/>
      <c r="K638" s="51"/>
      <c r="L638" s="51"/>
      <c r="N638" s="52"/>
      <c r="P638" s="53"/>
      <c r="Q638" s="53"/>
      <c r="R638" s="53"/>
      <c r="V638" s="51"/>
    </row>
    <row r="639">
      <c r="C639" s="51"/>
      <c r="D639" s="51"/>
      <c r="E639" s="51"/>
      <c r="F639" s="51"/>
      <c r="G639" s="51"/>
      <c r="H639" s="51"/>
      <c r="I639" s="51"/>
      <c r="J639" s="51"/>
      <c r="K639" s="51"/>
      <c r="L639" s="51"/>
      <c r="N639" s="52"/>
      <c r="P639" s="53"/>
      <c r="Q639" s="53"/>
      <c r="R639" s="53"/>
      <c r="V639" s="51"/>
    </row>
    <row r="640">
      <c r="C640" s="51"/>
      <c r="D640" s="51"/>
      <c r="E640" s="51"/>
      <c r="F640" s="51"/>
      <c r="G640" s="51"/>
      <c r="H640" s="51"/>
      <c r="I640" s="51"/>
      <c r="J640" s="51"/>
      <c r="K640" s="51"/>
      <c r="L640" s="51"/>
      <c r="N640" s="52"/>
      <c r="P640" s="53"/>
      <c r="Q640" s="53"/>
      <c r="R640" s="53"/>
      <c r="V640" s="51"/>
    </row>
    <row r="641">
      <c r="C641" s="51"/>
      <c r="D641" s="51"/>
      <c r="E641" s="51"/>
      <c r="F641" s="51"/>
      <c r="G641" s="51"/>
      <c r="H641" s="51"/>
      <c r="I641" s="51"/>
      <c r="J641" s="51"/>
      <c r="K641" s="51"/>
      <c r="L641" s="51"/>
      <c r="N641" s="52"/>
      <c r="P641" s="53"/>
      <c r="Q641" s="53"/>
      <c r="R641" s="53"/>
      <c r="V641" s="51"/>
    </row>
    <row r="642">
      <c r="C642" s="51"/>
      <c r="D642" s="51"/>
      <c r="E642" s="51"/>
      <c r="F642" s="51"/>
      <c r="G642" s="51"/>
      <c r="H642" s="51"/>
      <c r="I642" s="51"/>
      <c r="J642" s="51"/>
      <c r="K642" s="51"/>
      <c r="L642" s="51"/>
      <c r="N642" s="52"/>
      <c r="P642" s="53"/>
      <c r="Q642" s="53"/>
      <c r="R642" s="53"/>
      <c r="V642" s="51"/>
    </row>
    <row r="643">
      <c r="C643" s="51"/>
      <c r="D643" s="51"/>
      <c r="E643" s="51"/>
      <c r="F643" s="51"/>
      <c r="G643" s="51"/>
      <c r="H643" s="51"/>
      <c r="I643" s="51"/>
      <c r="J643" s="51"/>
      <c r="K643" s="51"/>
      <c r="L643" s="51"/>
      <c r="N643" s="52"/>
      <c r="P643" s="53"/>
      <c r="Q643" s="53"/>
      <c r="R643" s="53"/>
      <c r="V643" s="51"/>
    </row>
    <row r="644">
      <c r="C644" s="51"/>
      <c r="D644" s="51"/>
      <c r="E644" s="51"/>
      <c r="F644" s="51"/>
      <c r="G644" s="51"/>
      <c r="H644" s="51"/>
      <c r="I644" s="51"/>
      <c r="J644" s="51"/>
      <c r="K644" s="51"/>
      <c r="L644" s="51"/>
      <c r="N644" s="52"/>
      <c r="P644" s="53"/>
      <c r="Q644" s="53"/>
      <c r="R644" s="53"/>
      <c r="V644" s="51"/>
    </row>
    <row r="645">
      <c r="C645" s="51"/>
      <c r="D645" s="51"/>
      <c r="E645" s="51"/>
      <c r="F645" s="51"/>
      <c r="G645" s="51"/>
      <c r="H645" s="51"/>
      <c r="I645" s="51"/>
      <c r="J645" s="51"/>
      <c r="K645" s="51"/>
      <c r="L645" s="51"/>
      <c r="N645" s="52"/>
      <c r="P645" s="53"/>
      <c r="Q645" s="53"/>
      <c r="R645" s="53"/>
      <c r="V645" s="51"/>
    </row>
    <row r="646">
      <c r="C646" s="51"/>
      <c r="D646" s="51"/>
      <c r="E646" s="51"/>
      <c r="F646" s="51"/>
      <c r="G646" s="51"/>
      <c r="H646" s="51"/>
      <c r="I646" s="51"/>
      <c r="J646" s="51"/>
      <c r="K646" s="51"/>
      <c r="L646" s="51"/>
      <c r="N646" s="52"/>
      <c r="P646" s="53"/>
      <c r="Q646" s="53"/>
      <c r="R646" s="53"/>
      <c r="V646" s="51"/>
    </row>
    <row r="647">
      <c r="C647" s="51"/>
      <c r="D647" s="51"/>
      <c r="E647" s="51"/>
      <c r="F647" s="51"/>
      <c r="G647" s="51"/>
      <c r="H647" s="51"/>
      <c r="I647" s="51"/>
      <c r="J647" s="51"/>
      <c r="K647" s="51"/>
      <c r="L647" s="51"/>
      <c r="N647" s="52"/>
      <c r="P647" s="53"/>
      <c r="Q647" s="53"/>
      <c r="R647" s="53"/>
      <c r="V647" s="51"/>
    </row>
    <row r="648">
      <c r="C648" s="51"/>
      <c r="D648" s="51"/>
      <c r="E648" s="51"/>
      <c r="F648" s="51"/>
      <c r="G648" s="51"/>
      <c r="H648" s="51"/>
      <c r="I648" s="51"/>
      <c r="J648" s="51"/>
      <c r="K648" s="51"/>
      <c r="L648" s="51"/>
      <c r="N648" s="52"/>
      <c r="P648" s="53"/>
      <c r="Q648" s="53"/>
      <c r="R648" s="53"/>
      <c r="V648" s="51"/>
    </row>
    <row r="649">
      <c r="C649" s="51"/>
      <c r="D649" s="51"/>
      <c r="E649" s="51"/>
      <c r="F649" s="51"/>
      <c r="G649" s="51"/>
      <c r="H649" s="51"/>
      <c r="I649" s="51"/>
      <c r="J649" s="51"/>
      <c r="K649" s="51"/>
      <c r="L649" s="51"/>
      <c r="N649" s="52"/>
      <c r="P649" s="53"/>
      <c r="Q649" s="53"/>
      <c r="R649" s="53"/>
      <c r="V649" s="51"/>
    </row>
    <row r="650">
      <c r="C650" s="51"/>
      <c r="D650" s="51"/>
      <c r="E650" s="51"/>
      <c r="F650" s="51"/>
      <c r="G650" s="51"/>
      <c r="H650" s="51"/>
      <c r="I650" s="51"/>
      <c r="J650" s="51"/>
      <c r="K650" s="51"/>
      <c r="L650" s="51"/>
      <c r="N650" s="52"/>
      <c r="P650" s="53"/>
      <c r="Q650" s="53"/>
      <c r="R650" s="53"/>
      <c r="V650" s="51"/>
    </row>
    <row r="651">
      <c r="C651" s="51"/>
      <c r="D651" s="51"/>
      <c r="E651" s="51"/>
      <c r="F651" s="51"/>
      <c r="G651" s="51"/>
      <c r="H651" s="51"/>
      <c r="I651" s="51"/>
      <c r="J651" s="51"/>
      <c r="K651" s="51"/>
      <c r="L651" s="51"/>
      <c r="N651" s="52"/>
      <c r="P651" s="53"/>
      <c r="Q651" s="53"/>
      <c r="R651" s="53"/>
      <c r="V651" s="51"/>
    </row>
    <row r="652">
      <c r="C652" s="51"/>
      <c r="D652" s="51"/>
      <c r="E652" s="51"/>
      <c r="F652" s="51"/>
      <c r="G652" s="51"/>
      <c r="H652" s="51"/>
      <c r="I652" s="51"/>
      <c r="J652" s="51"/>
      <c r="K652" s="51"/>
      <c r="L652" s="51"/>
      <c r="N652" s="52"/>
      <c r="P652" s="53"/>
      <c r="Q652" s="53"/>
      <c r="R652" s="53"/>
      <c r="V652" s="51"/>
    </row>
    <row r="653">
      <c r="C653" s="51"/>
      <c r="D653" s="51"/>
      <c r="E653" s="51"/>
      <c r="F653" s="51"/>
      <c r="G653" s="51"/>
      <c r="H653" s="51"/>
      <c r="I653" s="51"/>
      <c r="J653" s="51"/>
      <c r="K653" s="51"/>
      <c r="L653" s="51"/>
      <c r="N653" s="52"/>
      <c r="P653" s="53"/>
      <c r="Q653" s="53"/>
      <c r="R653" s="53"/>
      <c r="V653" s="51"/>
    </row>
    <row r="654">
      <c r="C654" s="51"/>
      <c r="D654" s="51"/>
      <c r="E654" s="51"/>
      <c r="F654" s="51"/>
      <c r="G654" s="51"/>
      <c r="H654" s="51"/>
      <c r="I654" s="51"/>
      <c r="J654" s="51"/>
      <c r="K654" s="51"/>
      <c r="L654" s="51"/>
      <c r="N654" s="52"/>
      <c r="P654" s="53"/>
      <c r="Q654" s="53"/>
      <c r="R654" s="53"/>
      <c r="V654" s="51"/>
    </row>
    <row r="655">
      <c r="C655" s="51"/>
      <c r="D655" s="51"/>
      <c r="E655" s="51"/>
      <c r="F655" s="51"/>
      <c r="G655" s="51"/>
      <c r="H655" s="51"/>
      <c r="I655" s="51"/>
      <c r="J655" s="51"/>
      <c r="K655" s="51"/>
      <c r="L655" s="51"/>
      <c r="N655" s="52"/>
      <c r="P655" s="53"/>
      <c r="Q655" s="53"/>
      <c r="R655" s="53"/>
      <c r="V655" s="51"/>
    </row>
    <row r="656">
      <c r="C656" s="51"/>
      <c r="D656" s="51"/>
      <c r="E656" s="51"/>
      <c r="F656" s="51"/>
      <c r="G656" s="51"/>
      <c r="H656" s="51"/>
      <c r="I656" s="51"/>
      <c r="J656" s="51"/>
      <c r="K656" s="51"/>
      <c r="L656" s="51"/>
      <c r="N656" s="52"/>
      <c r="P656" s="53"/>
      <c r="Q656" s="53"/>
      <c r="R656" s="53"/>
      <c r="V656" s="51"/>
    </row>
    <row r="657">
      <c r="C657" s="51"/>
      <c r="D657" s="51"/>
      <c r="E657" s="51"/>
      <c r="F657" s="51"/>
      <c r="G657" s="51"/>
      <c r="H657" s="51"/>
      <c r="I657" s="51"/>
      <c r="J657" s="51"/>
      <c r="K657" s="51"/>
      <c r="L657" s="51"/>
      <c r="N657" s="52"/>
      <c r="P657" s="53"/>
      <c r="Q657" s="53"/>
      <c r="R657" s="53"/>
      <c r="V657" s="51"/>
    </row>
    <row r="658">
      <c r="C658" s="51"/>
      <c r="D658" s="51"/>
      <c r="E658" s="51"/>
      <c r="F658" s="51"/>
      <c r="G658" s="51"/>
      <c r="H658" s="51"/>
      <c r="I658" s="51"/>
      <c r="J658" s="51"/>
      <c r="K658" s="51"/>
      <c r="L658" s="51"/>
      <c r="N658" s="52"/>
      <c r="P658" s="53"/>
      <c r="Q658" s="53"/>
      <c r="R658" s="53"/>
      <c r="V658" s="51"/>
    </row>
    <row r="659">
      <c r="C659" s="51"/>
      <c r="D659" s="51"/>
      <c r="E659" s="51"/>
      <c r="F659" s="51"/>
      <c r="G659" s="51"/>
      <c r="H659" s="51"/>
      <c r="I659" s="51"/>
      <c r="J659" s="51"/>
      <c r="K659" s="51"/>
      <c r="L659" s="51"/>
      <c r="N659" s="52"/>
      <c r="P659" s="53"/>
      <c r="Q659" s="53"/>
      <c r="R659" s="53"/>
      <c r="V659" s="51"/>
    </row>
    <row r="660">
      <c r="C660" s="51"/>
      <c r="D660" s="51"/>
      <c r="E660" s="51"/>
      <c r="F660" s="51"/>
      <c r="G660" s="51"/>
      <c r="H660" s="51"/>
      <c r="I660" s="51"/>
      <c r="J660" s="51"/>
      <c r="K660" s="51"/>
      <c r="L660" s="51"/>
      <c r="N660" s="52"/>
      <c r="P660" s="53"/>
      <c r="Q660" s="53"/>
      <c r="R660" s="53"/>
      <c r="V660" s="51"/>
    </row>
    <row r="661">
      <c r="C661" s="51"/>
      <c r="D661" s="51"/>
      <c r="E661" s="51"/>
      <c r="F661" s="51"/>
      <c r="G661" s="51"/>
      <c r="H661" s="51"/>
      <c r="I661" s="51"/>
      <c r="J661" s="51"/>
      <c r="K661" s="51"/>
      <c r="L661" s="51"/>
      <c r="N661" s="52"/>
      <c r="P661" s="53"/>
      <c r="Q661" s="53"/>
      <c r="R661" s="53"/>
      <c r="V661" s="51"/>
    </row>
    <row r="662">
      <c r="C662" s="51"/>
      <c r="D662" s="51"/>
      <c r="E662" s="51"/>
      <c r="F662" s="51"/>
      <c r="G662" s="51"/>
      <c r="H662" s="51"/>
      <c r="I662" s="51"/>
      <c r="J662" s="51"/>
      <c r="K662" s="51"/>
      <c r="L662" s="51"/>
      <c r="N662" s="52"/>
      <c r="P662" s="53"/>
      <c r="Q662" s="53"/>
      <c r="R662" s="53"/>
      <c r="V662" s="51"/>
    </row>
    <row r="663">
      <c r="C663" s="51"/>
      <c r="D663" s="51"/>
      <c r="E663" s="51"/>
      <c r="F663" s="51"/>
      <c r="G663" s="51"/>
      <c r="H663" s="51"/>
      <c r="I663" s="51"/>
      <c r="J663" s="51"/>
      <c r="K663" s="51"/>
      <c r="L663" s="51"/>
      <c r="N663" s="52"/>
      <c r="P663" s="53"/>
      <c r="Q663" s="53"/>
      <c r="R663" s="53"/>
      <c r="V663" s="51"/>
    </row>
    <row r="664">
      <c r="C664" s="51"/>
      <c r="D664" s="51"/>
      <c r="E664" s="51"/>
      <c r="F664" s="51"/>
      <c r="G664" s="51"/>
      <c r="H664" s="51"/>
      <c r="I664" s="51"/>
      <c r="J664" s="51"/>
      <c r="K664" s="51"/>
      <c r="L664" s="51"/>
      <c r="N664" s="52"/>
      <c r="P664" s="53"/>
      <c r="Q664" s="53"/>
      <c r="R664" s="53"/>
      <c r="V664" s="51"/>
    </row>
    <row r="665">
      <c r="C665" s="51"/>
      <c r="D665" s="51"/>
      <c r="E665" s="51"/>
      <c r="F665" s="51"/>
      <c r="G665" s="51"/>
      <c r="H665" s="51"/>
      <c r="I665" s="51"/>
      <c r="J665" s="51"/>
      <c r="K665" s="51"/>
      <c r="L665" s="51"/>
      <c r="N665" s="52"/>
      <c r="P665" s="53"/>
      <c r="Q665" s="53"/>
      <c r="R665" s="53"/>
      <c r="V665" s="51"/>
    </row>
    <row r="666">
      <c r="C666" s="51"/>
      <c r="D666" s="51"/>
      <c r="E666" s="51"/>
      <c r="F666" s="51"/>
      <c r="G666" s="51"/>
      <c r="H666" s="51"/>
      <c r="I666" s="51"/>
      <c r="J666" s="51"/>
      <c r="K666" s="51"/>
      <c r="L666" s="51"/>
      <c r="N666" s="52"/>
      <c r="P666" s="53"/>
      <c r="Q666" s="53"/>
      <c r="R666" s="53"/>
      <c r="V666" s="51"/>
    </row>
    <row r="667">
      <c r="C667" s="51"/>
      <c r="D667" s="51"/>
      <c r="E667" s="51"/>
      <c r="F667" s="51"/>
      <c r="G667" s="51"/>
      <c r="H667" s="51"/>
      <c r="I667" s="51"/>
      <c r="J667" s="51"/>
      <c r="K667" s="51"/>
      <c r="L667" s="51"/>
      <c r="N667" s="52"/>
      <c r="P667" s="53"/>
      <c r="Q667" s="53"/>
      <c r="R667" s="53"/>
      <c r="V667" s="51"/>
    </row>
    <row r="668">
      <c r="C668" s="51"/>
      <c r="D668" s="51"/>
      <c r="E668" s="51"/>
      <c r="F668" s="51"/>
      <c r="G668" s="51"/>
      <c r="H668" s="51"/>
      <c r="I668" s="51"/>
      <c r="J668" s="51"/>
      <c r="K668" s="51"/>
      <c r="L668" s="51"/>
      <c r="N668" s="52"/>
      <c r="P668" s="53"/>
      <c r="Q668" s="53"/>
      <c r="R668" s="53"/>
      <c r="V668" s="51"/>
    </row>
    <row r="669">
      <c r="C669" s="51"/>
      <c r="D669" s="51"/>
      <c r="E669" s="51"/>
      <c r="F669" s="51"/>
      <c r="G669" s="51"/>
      <c r="H669" s="51"/>
      <c r="I669" s="51"/>
      <c r="J669" s="51"/>
      <c r="K669" s="51"/>
      <c r="L669" s="51"/>
      <c r="N669" s="52"/>
      <c r="P669" s="53"/>
      <c r="Q669" s="53"/>
      <c r="R669" s="53"/>
      <c r="V669" s="51"/>
    </row>
    <row r="670">
      <c r="C670" s="51"/>
      <c r="D670" s="51"/>
      <c r="E670" s="51"/>
      <c r="F670" s="51"/>
      <c r="G670" s="51"/>
      <c r="H670" s="51"/>
      <c r="I670" s="51"/>
      <c r="J670" s="51"/>
      <c r="K670" s="51"/>
      <c r="L670" s="51"/>
      <c r="N670" s="52"/>
      <c r="P670" s="53"/>
      <c r="Q670" s="53"/>
      <c r="R670" s="53"/>
      <c r="V670" s="51"/>
    </row>
    <row r="671">
      <c r="C671" s="51"/>
      <c r="D671" s="51"/>
      <c r="E671" s="51"/>
      <c r="F671" s="51"/>
      <c r="G671" s="51"/>
      <c r="H671" s="51"/>
      <c r="I671" s="51"/>
      <c r="J671" s="51"/>
      <c r="K671" s="51"/>
      <c r="L671" s="51"/>
      <c r="N671" s="52"/>
      <c r="P671" s="53"/>
      <c r="Q671" s="53"/>
      <c r="R671" s="53"/>
      <c r="V671" s="51"/>
    </row>
    <row r="672">
      <c r="C672" s="51"/>
      <c r="D672" s="51"/>
      <c r="E672" s="51"/>
      <c r="F672" s="51"/>
      <c r="G672" s="51"/>
      <c r="H672" s="51"/>
      <c r="I672" s="51"/>
      <c r="J672" s="51"/>
      <c r="K672" s="51"/>
      <c r="L672" s="51"/>
      <c r="N672" s="52"/>
      <c r="P672" s="53"/>
      <c r="Q672" s="53"/>
      <c r="R672" s="53"/>
      <c r="V672" s="51"/>
    </row>
    <row r="673">
      <c r="C673" s="51"/>
      <c r="D673" s="51"/>
      <c r="E673" s="51"/>
      <c r="F673" s="51"/>
      <c r="G673" s="51"/>
      <c r="H673" s="51"/>
      <c r="I673" s="51"/>
      <c r="J673" s="51"/>
      <c r="K673" s="51"/>
      <c r="L673" s="51"/>
      <c r="N673" s="52"/>
      <c r="P673" s="53"/>
      <c r="Q673" s="53"/>
      <c r="R673" s="53"/>
      <c r="V673" s="51"/>
    </row>
    <row r="674">
      <c r="C674" s="51"/>
      <c r="D674" s="51"/>
      <c r="E674" s="51"/>
      <c r="F674" s="51"/>
      <c r="G674" s="51"/>
      <c r="H674" s="51"/>
      <c r="I674" s="51"/>
      <c r="J674" s="51"/>
      <c r="K674" s="51"/>
      <c r="L674" s="51"/>
      <c r="N674" s="52"/>
      <c r="P674" s="53"/>
      <c r="Q674" s="53"/>
      <c r="R674" s="53"/>
      <c r="V674" s="51"/>
    </row>
    <row r="675">
      <c r="C675" s="51"/>
      <c r="D675" s="51"/>
      <c r="E675" s="51"/>
      <c r="F675" s="51"/>
      <c r="G675" s="51"/>
      <c r="H675" s="51"/>
      <c r="I675" s="51"/>
      <c r="J675" s="51"/>
      <c r="K675" s="51"/>
      <c r="L675" s="51"/>
      <c r="N675" s="52"/>
      <c r="P675" s="53"/>
      <c r="Q675" s="53"/>
      <c r="R675" s="53"/>
      <c r="V675" s="51"/>
    </row>
    <row r="676">
      <c r="C676" s="51"/>
      <c r="D676" s="51"/>
      <c r="E676" s="51"/>
      <c r="F676" s="51"/>
      <c r="G676" s="51"/>
      <c r="H676" s="51"/>
      <c r="I676" s="51"/>
      <c r="J676" s="51"/>
      <c r="K676" s="51"/>
      <c r="L676" s="51"/>
      <c r="N676" s="52"/>
      <c r="P676" s="53"/>
      <c r="Q676" s="53"/>
      <c r="R676" s="53"/>
      <c r="V676" s="51"/>
    </row>
    <row r="677">
      <c r="C677" s="51"/>
      <c r="D677" s="51"/>
      <c r="E677" s="51"/>
      <c r="F677" s="51"/>
      <c r="G677" s="51"/>
      <c r="H677" s="51"/>
      <c r="I677" s="51"/>
      <c r="J677" s="51"/>
      <c r="K677" s="51"/>
      <c r="L677" s="51"/>
      <c r="N677" s="52"/>
      <c r="P677" s="53"/>
      <c r="Q677" s="53"/>
      <c r="R677" s="53"/>
      <c r="V677" s="51"/>
    </row>
    <row r="678">
      <c r="C678" s="51"/>
      <c r="D678" s="51"/>
      <c r="E678" s="51"/>
      <c r="F678" s="51"/>
      <c r="G678" s="51"/>
      <c r="H678" s="51"/>
      <c r="I678" s="51"/>
      <c r="J678" s="51"/>
      <c r="K678" s="51"/>
      <c r="L678" s="51"/>
      <c r="N678" s="52"/>
      <c r="P678" s="53"/>
      <c r="Q678" s="53"/>
      <c r="R678" s="53"/>
      <c r="V678" s="51"/>
    </row>
    <row r="679">
      <c r="C679" s="51"/>
      <c r="D679" s="51"/>
      <c r="E679" s="51"/>
      <c r="F679" s="51"/>
      <c r="G679" s="51"/>
      <c r="H679" s="51"/>
      <c r="I679" s="51"/>
      <c r="J679" s="51"/>
      <c r="K679" s="51"/>
      <c r="L679" s="51"/>
      <c r="N679" s="52"/>
      <c r="P679" s="53"/>
      <c r="Q679" s="53"/>
      <c r="R679" s="53"/>
      <c r="V679" s="51"/>
    </row>
    <row r="680">
      <c r="C680" s="51"/>
      <c r="D680" s="51"/>
      <c r="E680" s="51"/>
      <c r="F680" s="51"/>
      <c r="G680" s="51"/>
      <c r="H680" s="51"/>
      <c r="I680" s="51"/>
      <c r="J680" s="51"/>
      <c r="K680" s="51"/>
      <c r="L680" s="51"/>
      <c r="N680" s="52"/>
      <c r="P680" s="53"/>
      <c r="Q680" s="53"/>
      <c r="R680" s="53"/>
      <c r="V680" s="51"/>
    </row>
    <row r="681">
      <c r="C681" s="51"/>
      <c r="D681" s="51"/>
      <c r="E681" s="51"/>
      <c r="F681" s="51"/>
      <c r="G681" s="51"/>
      <c r="H681" s="51"/>
      <c r="I681" s="51"/>
      <c r="J681" s="51"/>
      <c r="K681" s="51"/>
      <c r="L681" s="51"/>
      <c r="N681" s="52"/>
      <c r="P681" s="53"/>
      <c r="Q681" s="53"/>
      <c r="R681" s="53"/>
      <c r="V681" s="51"/>
    </row>
    <row r="682">
      <c r="C682" s="51"/>
      <c r="D682" s="51"/>
      <c r="E682" s="51"/>
      <c r="F682" s="51"/>
      <c r="G682" s="51"/>
      <c r="H682" s="51"/>
      <c r="I682" s="51"/>
      <c r="J682" s="51"/>
      <c r="K682" s="51"/>
      <c r="L682" s="51"/>
      <c r="N682" s="52"/>
      <c r="P682" s="53"/>
      <c r="Q682" s="53"/>
      <c r="R682" s="53"/>
      <c r="V682" s="51"/>
    </row>
    <row r="683">
      <c r="C683" s="51"/>
      <c r="D683" s="51"/>
      <c r="E683" s="51"/>
      <c r="F683" s="51"/>
      <c r="G683" s="51"/>
      <c r="H683" s="51"/>
      <c r="I683" s="51"/>
      <c r="J683" s="51"/>
      <c r="K683" s="51"/>
      <c r="L683" s="51"/>
      <c r="N683" s="52"/>
      <c r="P683" s="53"/>
      <c r="Q683" s="53"/>
      <c r="R683" s="53"/>
      <c r="V683" s="51"/>
    </row>
    <row r="684">
      <c r="C684" s="51"/>
      <c r="D684" s="51"/>
      <c r="E684" s="51"/>
      <c r="F684" s="51"/>
      <c r="G684" s="51"/>
      <c r="H684" s="51"/>
      <c r="I684" s="51"/>
      <c r="J684" s="51"/>
      <c r="K684" s="51"/>
      <c r="L684" s="51"/>
      <c r="N684" s="52"/>
      <c r="P684" s="53"/>
      <c r="Q684" s="53"/>
      <c r="R684" s="53"/>
      <c r="V684" s="51"/>
    </row>
    <row r="685">
      <c r="C685" s="51"/>
      <c r="D685" s="51"/>
      <c r="E685" s="51"/>
      <c r="F685" s="51"/>
      <c r="G685" s="51"/>
      <c r="H685" s="51"/>
      <c r="I685" s="51"/>
      <c r="J685" s="51"/>
      <c r="K685" s="51"/>
      <c r="L685" s="51"/>
      <c r="N685" s="52"/>
      <c r="P685" s="53"/>
      <c r="Q685" s="53"/>
      <c r="R685" s="53"/>
      <c r="V685" s="51"/>
    </row>
    <row r="686">
      <c r="C686" s="51"/>
      <c r="D686" s="51"/>
      <c r="E686" s="51"/>
      <c r="F686" s="51"/>
      <c r="G686" s="51"/>
      <c r="H686" s="51"/>
      <c r="I686" s="51"/>
      <c r="J686" s="51"/>
      <c r="K686" s="51"/>
      <c r="L686" s="51"/>
      <c r="N686" s="52"/>
      <c r="P686" s="53"/>
      <c r="Q686" s="53"/>
      <c r="R686" s="53"/>
      <c r="V686" s="51"/>
    </row>
    <row r="687">
      <c r="C687" s="51"/>
      <c r="D687" s="51"/>
      <c r="E687" s="51"/>
      <c r="F687" s="51"/>
      <c r="G687" s="51"/>
      <c r="H687" s="51"/>
      <c r="I687" s="51"/>
      <c r="J687" s="51"/>
      <c r="K687" s="51"/>
      <c r="L687" s="51"/>
      <c r="N687" s="52"/>
      <c r="P687" s="53"/>
      <c r="Q687" s="53"/>
      <c r="R687" s="53"/>
      <c r="V687" s="51"/>
    </row>
    <row r="688">
      <c r="C688" s="51"/>
      <c r="D688" s="51"/>
      <c r="E688" s="51"/>
      <c r="F688" s="51"/>
      <c r="G688" s="51"/>
      <c r="H688" s="51"/>
      <c r="I688" s="51"/>
      <c r="J688" s="51"/>
      <c r="K688" s="51"/>
      <c r="L688" s="51"/>
      <c r="N688" s="52"/>
      <c r="P688" s="53"/>
      <c r="Q688" s="53"/>
      <c r="R688" s="53"/>
      <c r="V688" s="51"/>
    </row>
    <row r="689">
      <c r="C689" s="51"/>
      <c r="D689" s="51"/>
      <c r="E689" s="51"/>
      <c r="F689" s="51"/>
      <c r="G689" s="51"/>
      <c r="H689" s="51"/>
      <c r="I689" s="51"/>
      <c r="J689" s="51"/>
      <c r="K689" s="51"/>
      <c r="L689" s="51"/>
      <c r="N689" s="52"/>
      <c r="P689" s="53"/>
      <c r="Q689" s="53"/>
      <c r="R689" s="53"/>
      <c r="V689" s="51"/>
    </row>
    <row r="690">
      <c r="C690" s="51"/>
      <c r="D690" s="51"/>
      <c r="E690" s="51"/>
      <c r="F690" s="51"/>
      <c r="G690" s="51"/>
      <c r="H690" s="51"/>
      <c r="I690" s="51"/>
      <c r="J690" s="51"/>
      <c r="K690" s="51"/>
      <c r="L690" s="51"/>
      <c r="N690" s="52"/>
      <c r="P690" s="53"/>
      <c r="Q690" s="53"/>
      <c r="R690" s="53"/>
      <c r="V690" s="51"/>
    </row>
    <row r="691">
      <c r="C691" s="51"/>
      <c r="D691" s="51"/>
      <c r="E691" s="51"/>
      <c r="F691" s="51"/>
      <c r="G691" s="51"/>
      <c r="H691" s="51"/>
      <c r="I691" s="51"/>
      <c r="J691" s="51"/>
      <c r="K691" s="51"/>
      <c r="L691" s="51"/>
      <c r="N691" s="52"/>
      <c r="P691" s="53"/>
      <c r="Q691" s="53"/>
      <c r="R691" s="53"/>
      <c r="V691" s="51"/>
    </row>
    <row r="692">
      <c r="C692" s="51"/>
      <c r="D692" s="51"/>
      <c r="E692" s="51"/>
      <c r="F692" s="51"/>
      <c r="G692" s="51"/>
      <c r="H692" s="51"/>
      <c r="I692" s="51"/>
      <c r="J692" s="51"/>
      <c r="K692" s="51"/>
      <c r="L692" s="51"/>
      <c r="N692" s="52"/>
      <c r="P692" s="53"/>
      <c r="Q692" s="53"/>
      <c r="R692" s="53"/>
      <c r="V692" s="51"/>
    </row>
    <row r="693">
      <c r="C693" s="51"/>
      <c r="D693" s="51"/>
      <c r="E693" s="51"/>
      <c r="F693" s="51"/>
      <c r="G693" s="51"/>
      <c r="H693" s="51"/>
      <c r="I693" s="51"/>
      <c r="J693" s="51"/>
      <c r="K693" s="51"/>
      <c r="L693" s="51"/>
      <c r="N693" s="52"/>
      <c r="P693" s="53"/>
      <c r="Q693" s="53"/>
      <c r="R693" s="53"/>
      <c r="V693" s="51"/>
    </row>
    <row r="694">
      <c r="C694" s="51"/>
      <c r="D694" s="51"/>
      <c r="E694" s="51"/>
      <c r="F694" s="51"/>
      <c r="G694" s="51"/>
      <c r="H694" s="51"/>
      <c r="I694" s="51"/>
      <c r="J694" s="51"/>
      <c r="K694" s="51"/>
      <c r="L694" s="51"/>
      <c r="N694" s="52"/>
      <c r="P694" s="53"/>
      <c r="Q694" s="53"/>
      <c r="R694" s="53"/>
      <c r="V694" s="51"/>
    </row>
    <row r="695">
      <c r="C695" s="51"/>
      <c r="D695" s="51"/>
      <c r="E695" s="51"/>
      <c r="F695" s="51"/>
      <c r="G695" s="51"/>
      <c r="H695" s="51"/>
      <c r="I695" s="51"/>
      <c r="J695" s="51"/>
      <c r="K695" s="51"/>
      <c r="L695" s="51"/>
      <c r="N695" s="52"/>
      <c r="P695" s="53"/>
      <c r="Q695" s="53"/>
      <c r="R695" s="53"/>
      <c r="V695" s="51"/>
    </row>
    <row r="696">
      <c r="C696" s="51"/>
      <c r="D696" s="51"/>
      <c r="E696" s="51"/>
      <c r="F696" s="51"/>
      <c r="G696" s="51"/>
      <c r="H696" s="51"/>
      <c r="I696" s="51"/>
      <c r="J696" s="51"/>
      <c r="K696" s="51"/>
      <c r="L696" s="51"/>
      <c r="N696" s="52"/>
      <c r="P696" s="53"/>
      <c r="Q696" s="53"/>
      <c r="R696" s="53"/>
      <c r="V696" s="51"/>
    </row>
    <row r="697">
      <c r="C697" s="51"/>
      <c r="D697" s="51"/>
      <c r="E697" s="51"/>
      <c r="F697" s="51"/>
      <c r="G697" s="51"/>
      <c r="H697" s="51"/>
      <c r="I697" s="51"/>
      <c r="J697" s="51"/>
      <c r="K697" s="51"/>
      <c r="L697" s="51"/>
      <c r="N697" s="52"/>
      <c r="P697" s="53"/>
      <c r="Q697" s="53"/>
      <c r="R697" s="53"/>
      <c r="V697" s="51"/>
    </row>
    <row r="698">
      <c r="C698" s="51"/>
      <c r="D698" s="51"/>
      <c r="E698" s="51"/>
      <c r="F698" s="51"/>
      <c r="G698" s="51"/>
      <c r="H698" s="51"/>
      <c r="I698" s="51"/>
      <c r="J698" s="51"/>
      <c r="K698" s="51"/>
      <c r="L698" s="51"/>
      <c r="N698" s="52"/>
      <c r="P698" s="53"/>
      <c r="Q698" s="53"/>
      <c r="R698" s="53"/>
      <c r="V698" s="51"/>
    </row>
    <row r="699">
      <c r="C699" s="51"/>
      <c r="D699" s="51"/>
      <c r="E699" s="51"/>
      <c r="F699" s="51"/>
      <c r="G699" s="51"/>
      <c r="H699" s="51"/>
      <c r="I699" s="51"/>
      <c r="J699" s="51"/>
      <c r="K699" s="51"/>
      <c r="L699" s="51"/>
      <c r="N699" s="52"/>
      <c r="P699" s="53"/>
      <c r="Q699" s="53"/>
      <c r="R699" s="53"/>
      <c r="V699" s="51"/>
    </row>
    <row r="700">
      <c r="C700" s="51"/>
      <c r="D700" s="51"/>
      <c r="E700" s="51"/>
      <c r="F700" s="51"/>
      <c r="G700" s="51"/>
      <c r="H700" s="51"/>
      <c r="I700" s="51"/>
      <c r="J700" s="51"/>
      <c r="K700" s="51"/>
      <c r="L700" s="51"/>
      <c r="N700" s="52"/>
      <c r="P700" s="53"/>
      <c r="Q700" s="53"/>
      <c r="R700" s="53"/>
      <c r="V700" s="51"/>
    </row>
    <row r="701">
      <c r="C701" s="51"/>
      <c r="D701" s="51"/>
      <c r="E701" s="51"/>
      <c r="F701" s="51"/>
      <c r="G701" s="51"/>
      <c r="H701" s="51"/>
      <c r="I701" s="51"/>
      <c r="J701" s="51"/>
      <c r="K701" s="51"/>
      <c r="L701" s="51"/>
      <c r="N701" s="52"/>
      <c r="P701" s="53"/>
      <c r="Q701" s="53"/>
      <c r="R701" s="53"/>
      <c r="V701" s="51"/>
    </row>
    <row r="702">
      <c r="C702" s="51"/>
      <c r="D702" s="51"/>
      <c r="E702" s="51"/>
      <c r="F702" s="51"/>
      <c r="G702" s="51"/>
      <c r="H702" s="51"/>
      <c r="I702" s="51"/>
      <c r="J702" s="51"/>
      <c r="K702" s="51"/>
      <c r="L702" s="51"/>
      <c r="N702" s="52"/>
      <c r="P702" s="53"/>
      <c r="Q702" s="53"/>
      <c r="R702" s="53"/>
      <c r="V702" s="51"/>
    </row>
    <row r="703">
      <c r="C703" s="51"/>
      <c r="D703" s="51"/>
      <c r="E703" s="51"/>
      <c r="F703" s="51"/>
      <c r="G703" s="51"/>
      <c r="H703" s="51"/>
      <c r="I703" s="51"/>
      <c r="J703" s="51"/>
      <c r="K703" s="51"/>
      <c r="L703" s="51"/>
      <c r="N703" s="52"/>
      <c r="P703" s="53"/>
      <c r="Q703" s="53"/>
      <c r="R703" s="53"/>
      <c r="V703" s="51"/>
    </row>
    <row r="704">
      <c r="C704" s="51"/>
      <c r="D704" s="51"/>
      <c r="E704" s="51"/>
      <c r="F704" s="51"/>
      <c r="G704" s="51"/>
      <c r="H704" s="51"/>
      <c r="I704" s="51"/>
      <c r="J704" s="51"/>
      <c r="K704" s="51"/>
      <c r="L704" s="51"/>
      <c r="N704" s="52"/>
      <c r="P704" s="53"/>
      <c r="Q704" s="53"/>
      <c r="R704" s="53"/>
      <c r="V704" s="51"/>
    </row>
    <row r="705">
      <c r="C705" s="51"/>
      <c r="D705" s="51"/>
      <c r="E705" s="51"/>
      <c r="F705" s="51"/>
      <c r="G705" s="51"/>
      <c r="H705" s="51"/>
      <c r="I705" s="51"/>
      <c r="J705" s="51"/>
      <c r="K705" s="51"/>
      <c r="L705" s="51"/>
      <c r="N705" s="52"/>
      <c r="P705" s="53"/>
      <c r="Q705" s="53"/>
      <c r="R705" s="53"/>
      <c r="V705" s="51"/>
    </row>
    <row r="706">
      <c r="C706" s="51"/>
      <c r="D706" s="51"/>
      <c r="E706" s="51"/>
      <c r="F706" s="51"/>
      <c r="G706" s="51"/>
      <c r="H706" s="51"/>
      <c r="I706" s="51"/>
      <c r="J706" s="51"/>
      <c r="K706" s="51"/>
      <c r="L706" s="51"/>
      <c r="N706" s="52"/>
      <c r="P706" s="53"/>
      <c r="Q706" s="53"/>
      <c r="R706" s="53"/>
      <c r="V706" s="51"/>
    </row>
    <row r="707">
      <c r="C707" s="51"/>
      <c r="D707" s="51"/>
      <c r="E707" s="51"/>
      <c r="F707" s="51"/>
      <c r="G707" s="51"/>
      <c r="H707" s="51"/>
      <c r="I707" s="51"/>
      <c r="J707" s="51"/>
      <c r="K707" s="51"/>
      <c r="L707" s="51"/>
      <c r="N707" s="52"/>
      <c r="P707" s="53"/>
      <c r="Q707" s="53"/>
      <c r="R707" s="53"/>
      <c r="V707" s="51"/>
    </row>
    <row r="708">
      <c r="C708" s="51"/>
      <c r="D708" s="51"/>
      <c r="E708" s="51"/>
      <c r="F708" s="51"/>
      <c r="G708" s="51"/>
      <c r="H708" s="51"/>
      <c r="I708" s="51"/>
      <c r="J708" s="51"/>
      <c r="K708" s="51"/>
      <c r="L708" s="51"/>
      <c r="N708" s="52"/>
      <c r="P708" s="53"/>
      <c r="Q708" s="53"/>
      <c r="R708" s="53"/>
      <c r="V708" s="51"/>
    </row>
    <row r="709">
      <c r="C709" s="51"/>
      <c r="D709" s="51"/>
      <c r="E709" s="51"/>
      <c r="F709" s="51"/>
      <c r="G709" s="51"/>
      <c r="H709" s="51"/>
      <c r="I709" s="51"/>
      <c r="J709" s="51"/>
      <c r="K709" s="51"/>
      <c r="L709" s="51"/>
      <c r="N709" s="52"/>
      <c r="P709" s="53"/>
      <c r="Q709" s="53"/>
      <c r="R709" s="53"/>
      <c r="V709" s="51"/>
    </row>
    <row r="710">
      <c r="C710" s="51"/>
      <c r="D710" s="51"/>
      <c r="E710" s="51"/>
      <c r="F710" s="51"/>
      <c r="G710" s="51"/>
      <c r="H710" s="51"/>
      <c r="I710" s="51"/>
      <c r="J710" s="51"/>
      <c r="K710" s="51"/>
      <c r="L710" s="51"/>
      <c r="N710" s="52"/>
      <c r="P710" s="53"/>
      <c r="Q710" s="53"/>
      <c r="R710" s="53"/>
      <c r="V710" s="51"/>
    </row>
    <row r="711">
      <c r="C711" s="51"/>
      <c r="D711" s="51"/>
      <c r="E711" s="51"/>
      <c r="F711" s="51"/>
      <c r="G711" s="51"/>
      <c r="H711" s="51"/>
      <c r="I711" s="51"/>
      <c r="J711" s="51"/>
      <c r="K711" s="51"/>
      <c r="L711" s="51"/>
      <c r="N711" s="52"/>
      <c r="P711" s="53"/>
      <c r="Q711" s="53"/>
      <c r="R711" s="53"/>
      <c r="V711" s="51"/>
    </row>
    <row r="712">
      <c r="C712" s="51"/>
      <c r="D712" s="51"/>
      <c r="E712" s="51"/>
      <c r="F712" s="51"/>
      <c r="G712" s="51"/>
      <c r="H712" s="51"/>
      <c r="I712" s="51"/>
      <c r="J712" s="51"/>
      <c r="K712" s="51"/>
      <c r="L712" s="51"/>
      <c r="N712" s="52"/>
      <c r="P712" s="53"/>
      <c r="Q712" s="53"/>
      <c r="R712" s="53"/>
      <c r="V712" s="51"/>
    </row>
    <row r="713">
      <c r="C713" s="51"/>
      <c r="D713" s="51"/>
      <c r="E713" s="51"/>
      <c r="F713" s="51"/>
      <c r="G713" s="51"/>
      <c r="H713" s="51"/>
      <c r="I713" s="51"/>
      <c r="J713" s="51"/>
      <c r="K713" s="51"/>
      <c r="L713" s="51"/>
      <c r="N713" s="52"/>
      <c r="P713" s="53"/>
      <c r="Q713" s="53"/>
      <c r="R713" s="53"/>
      <c r="V713" s="51"/>
    </row>
    <row r="714">
      <c r="C714" s="51"/>
      <c r="D714" s="51"/>
      <c r="E714" s="51"/>
      <c r="F714" s="51"/>
      <c r="G714" s="51"/>
      <c r="H714" s="51"/>
      <c r="I714" s="51"/>
      <c r="J714" s="51"/>
      <c r="K714" s="51"/>
      <c r="L714" s="51"/>
      <c r="N714" s="52"/>
      <c r="P714" s="53"/>
      <c r="Q714" s="53"/>
      <c r="R714" s="53"/>
      <c r="V714" s="51"/>
    </row>
    <row r="715">
      <c r="C715" s="51"/>
      <c r="D715" s="51"/>
      <c r="E715" s="51"/>
      <c r="F715" s="51"/>
      <c r="G715" s="51"/>
      <c r="H715" s="51"/>
      <c r="I715" s="51"/>
      <c r="J715" s="51"/>
      <c r="K715" s="51"/>
      <c r="L715" s="51"/>
      <c r="N715" s="52"/>
      <c r="P715" s="53"/>
      <c r="Q715" s="53"/>
      <c r="R715" s="53"/>
      <c r="V715" s="51"/>
    </row>
    <row r="716">
      <c r="C716" s="51"/>
      <c r="D716" s="51"/>
      <c r="E716" s="51"/>
      <c r="F716" s="51"/>
      <c r="G716" s="51"/>
      <c r="H716" s="51"/>
      <c r="I716" s="51"/>
      <c r="J716" s="51"/>
      <c r="K716" s="51"/>
      <c r="L716" s="51"/>
      <c r="N716" s="52"/>
      <c r="P716" s="53"/>
      <c r="Q716" s="53"/>
      <c r="R716" s="53"/>
      <c r="V716" s="51"/>
    </row>
    <row r="717">
      <c r="C717" s="51"/>
      <c r="D717" s="51"/>
      <c r="E717" s="51"/>
      <c r="F717" s="51"/>
      <c r="G717" s="51"/>
      <c r="H717" s="51"/>
      <c r="I717" s="51"/>
      <c r="J717" s="51"/>
      <c r="K717" s="51"/>
      <c r="L717" s="51"/>
      <c r="N717" s="52"/>
      <c r="P717" s="53"/>
      <c r="Q717" s="53"/>
      <c r="R717" s="53"/>
      <c r="V717" s="51"/>
    </row>
    <row r="718">
      <c r="C718" s="51"/>
      <c r="D718" s="51"/>
      <c r="E718" s="51"/>
      <c r="F718" s="51"/>
      <c r="G718" s="51"/>
      <c r="H718" s="51"/>
      <c r="I718" s="51"/>
      <c r="J718" s="51"/>
      <c r="K718" s="51"/>
      <c r="L718" s="51"/>
      <c r="N718" s="52"/>
      <c r="P718" s="53"/>
      <c r="Q718" s="53"/>
      <c r="R718" s="53"/>
      <c r="V718" s="51"/>
    </row>
    <row r="719">
      <c r="C719" s="51"/>
      <c r="D719" s="51"/>
      <c r="E719" s="51"/>
      <c r="F719" s="51"/>
      <c r="G719" s="51"/>
      <c r="H719" s="51"/>
      <c r="I719" s="51"/>
      <c r="J719" s="51"/>
      <c r="K719" s="51"/>
      <c r="L719" s="51"/>
      <c r="N719" s="52"/>
      <c r="P719" s="53"/>
      <c r="Q719" s="53"/>
      <c r="R719" s="53"/>
      <c r="V719" s="51"/>
    </row>
    <row r="720">
      <c r="C720" s="51"/>
      <c r="D720" s="51"/>
      <c r="E720" s="51"/>
      <c r="F720" s="51"/>
      <c r="G720" s="51"/>
      <c r="H720" s="51"/>
      <c r="I720" s="51"/>
      <c r="J720" s="51"/>
      <c r="K720" s="51"/>
      <c r="L720" s="51"/>
      <c r="N720" s="52"/>
      <c r="P720" s="53"/>
      <c r="Q720" s="53"/>
      <c r="R720" s="53"/>
      <c r="V720" s="51"/>
    </row>
    <row r="721">
      <c r="C721" s="51"/>
      <c r="D721" s="51"/>
      <c r="E721" s="51"/>
      <c r="F721" s="51"/>
      <c r="G721" s="51"/>
      <c r="H721" s="51"/>
      <c r="I721" s="51"/>
      <c r="J721" s="51"/>
      <c r="K721" s="51"/>
      <c r="L721" s="51"/>
      <c r="N721" s="52"/>
      <c r="P721" s="53"/>
      <c r="Q721" s="53"/>
      <c r="R721" s="53"/>
      <c r="V721" s="51"/>
    </row>
    <row r="722">
      <c r="C722" s="51"/>
      <c r="D722" s="51"/>
      <c r="E722" s="51"/>
      <c r="F722" s="51"/>
      <c r="G722" s="51"/>
      <c r="H722" s="51"/>
      <c r="I722" s="51"/>
      <c r="J722" s="51"/>
      <c r="K722" s="51"/>
      <c r="L722" s="51"/>
      <c r="N722" s="52"/>
      <c r="P722" s="53"/>
      <c r="Q722" s="53"/>
      <c r="R722" s="53"/>
      <c r="V722" s="51"/>
    </row>
    <row r="723">
      <c r="C723" s="51"/>
      <c r="D723" s="51"/>
      <c r="E723" s="51"/>
      <c r="F723" s="51"/>
      <c r="G723" s="51"/>
      <c r="H723" s="51"/>
      <c r="I723" s="51"/>
      <c r="J723" s="51"/>
      <c r="K723" s="51"/>
      <c r="L723" s="51"/>
      <c r="N723" s="52"/>
      <c r="P723" s="53"/>
      <c r="Q723" s="53"/>
      <c r="R723" s="53"/>
      <c r="V723" s="51"/>
    </row>
    <row r="724">
      <c r="C724" s="51"/>
      <c r="D724" s="51"/>
      <c r="E724" s="51"/>
      <c r="F724" s="51"/>
      <c r="G724" s="51"/>
      <c r="H724" s="51"/>
      <c r="I724" s="51"/>
      <c r="J724" s="51"/>
      <c r="K724" s="51"/>
      <c r="L724" s="51"/>
      <c r="N724" s="52"/>
      <c r="P724" s="53"/>
      <c r="Q724" s="53"/>
      <c r="R724" s="53"/>
      <c r="V724" s="51"/>
    </row>
    <row r="725">
      <c r="C725" s="51"/>
      <c r="D725" s="51"/>
      <c r="E725" s="51"/>
      <c r="F725" s="51"/>
      <c r="G725" s="51"/>
      <c r="H725" s="51"/>
      <c r="I725" s="51"/>
      <c r="J725" s="51"/>
      <c r="K725" s="51"/>
      <c r="L725" s="51"/>
      <c r="N725" s="52"/>
      <c r="P725" s="53"/>
      <c r="Q725" s="53"/>
      <c r="R725" s="53"/>
      <c r="V725" s="51"/>
    </row>
    <row r="726">
      <c r="C726" s="51"/>
      <c r="D726" s="51"/>
      <c r="E726" s="51"/>
      <c r="F726" s="51"/>
      <c r="G726" s="51"/>
      <c r="H726" s="51"/>
      <c r="I726" s="51"/>
      <c r="J726" s="51"/>
      <c r="K726" s="51"/>
      <c r="L726" s="51"/>
      <c r="N726" s="52"/>
      <c r="P726" s="53"/>
      <c r="Q726" s="53"/>
      <c r="R726" s="53"/>
      <c r="V726" s="51"/>
    </row>
    <row r="727">
      <c r="C727" s="51"/>
      <c r="D727" s="51"/>
      <c r="E727" s="51"/>
      <c r="F727" s="51"/>
      <c r="G727" s="51"/>
      <c r="H727" s="51"/>
      <c r="I727" s="51"/>
      <c r="J727" s="51"/>
      <c r="K727" s="51"/>
      <c r="L727" s="51"/>
      <c r="N727" s="52"/>
      <c r="P727" s="53"/>
      <c r="Q727" s="53"/>
      <c r="R727" s="53"/>
      <c r="V727" s="51"/>
    </row>
    <row r="728">
      <c r="C728" s="51"/>
      <c r="D728" s="51"/>
      <c r="E728" s="51"/>
      <c r="F728" s="51"/>
      <c r="G728" s="51"/>
      <c r="H728" s="51"/>
      <c r="I728" s="51"/>
      <c r="J728" s="51"/>
      <c r="K728" s="51"/>
      <c r="L728" s="51"/>
      <c r="N728" s="52"/>
      <c r="P728" s="53"/>
      <c r="Q728" s="53"/>
      <c r="R728" s="53"/>
      <c r="V728" s="51"/>
    </row>
    <row r="729">
      <c r="C729" s="51"/>
      <c r="D729" s="51"/>
      <c r="E729" s="51"/>
      <c r="F729" s="51"/>
      <c r="G729" s="51"/>
      <c r="H729" s="51"/>
      <c r="I729" s="51"/>
      <c r="J729" s="51"/>
      <c r="K729" s="51"/>
      <c r="L729" s="51"/>
      <c r="N729" s="52"/>
      <c r="P729" s="53"/>
      <c r="Q729" s="53"/>
      <c r="R729" s="53"/>
      <c r="V729" s="51"/>
    </row>
    <row r="730">
      <c r="C730" s="51"/>
      <c r="D730" s="51"/>
      <c r="E730" s="51"/>
      <c r="F730" s="51"/>
      <c r="G730" s="51"/>
      <c r="H730" s="51"/>
      <c r="I730" s="51"/>
      <c r="J730" s="51"/>
      <c r="K730" s="51"/>
      <c r="L730" s="51"/>
      <c r="N730" s="52"/>
      <c r="P730" s="53"/>
      <c r="Q730" s="53"/>
      <c r="R730" s="53"/>
      <c r="V730" s="51"/>
    </row>
    <row r="731">
      <c r="C731" s="51"/>
      <c r="D731" s="51"/>
      <c r="E731" s="51"/>
      <c r="F731" s="51"/>
      <c r="G731" s="51"/>
      <c r="H731" s="51"/>
      <c r="I731" s="51"/>
      <c r="J731" s="51"/>
      <c r="K731" s="51"/>
      <c r="L731" s="51"/>
      <c r="N731" s="52"/>
      <c r="P731" s="53"/>
      <c r="Q731" s="53"/>
      <c r="R731" s="53"/>
      <c r="V731" s="51"/>
    </row>
    <row r="732">
      <c r="C732" s="51"/>
      <c r="D732" s="51"/>
      <c r="E732" s="51"/>
      <c r="F732" s="51"/>
      <c r="G732" s="51"/>
      <c r="H732" s="51"/>
      <c r="I732" s="51"/>
      <c r="J732" s="51"/>
      <c r="K732" s="51"/>
      <c r="L732" s="51"/>
      <c r="N732" s="52"/>
      <c r="P732" s="53"/>
      <c r="Q732" s="53"/>
      <c r="R732" s="53"/>
      <c r="V732" s="51"/>
    </row>
    <row r="733">
      <c r="C733" s="51"/>
      <c r="D733" s="51"/>
      <c r="E733" s="51"/>
      <c r="F733" s="51"/>
      <c r="G733" s="51"/>
      <c r="H733" s="51"/>
      <c r="I733" s="51"/>
      <c r="J733" s="51"/>
      <c r="K733" s="51"/>
      <c r="L733" s="51"/>
      <c r="N733" s="52"/>
      <c r="P733" s="53"/>
      <c r="Q733" s="53"/>
      <c r="R733" s="53"/>
      <c r="V733" s="51"/>
    </row>
    <row r="734">
      <c r="C734" s="51"/>
      <c r="D734" s="51"/>
      <c r="E734" s="51"/>
      <c r="F734" s="51"/>
      <c r="G734" s="51"/>
      <c r="H734" s="51"/>
      <c r="I734" s="51"/>
      <c r="J734" s="51"/>
      <c r="K734" s="51"/>
      <c r="L734" s="51"/>
      <c r="N734" s="52"/>
      <c r="P734" s="53"/>
      <c r="Q734" s="53"/>
      <c r="R734" s="53"/>
      <c r="V734" s="51"/>
    </row>
    <row r="735">
      <c r="C735" s="51"/>
      <c r="D735" s="51"/>
      <c r="E735" s="51"/>
      <c r="F735" s="51"/>
      <c r="G735" s="51"/>
      <c r="H735" s="51"/>
      <c r="I735" s="51"/>
      <c r="J735" s="51"/>
      <c r="K735" s="51"/>
      <c r="L735" s="51"/>
      <c r="N735" s="52"/>
      <c r="P735" s="53"/>
      <c r="Q735" s="53"/>
      <c r="R735" s="53"/>
      <c r="V735" s="51"/>
    </row>
    <row r="736">
      <c r="C736" s="51"/>
      <c r="D736" s="51"/>
      <c r="E736" s="51"/>
      <c r="F736" s="51"/>
      <c r="G736" s="51"/>
      <c r="H736" s="51"/>
      <c r="I736" s="51"/>
      <c r="J736" s="51"/>
      <c r="K736" s="51"/>
      <c r="L736" s="51"/>
      <c r="N736" s="52"/>
      <c r="P736" s="53"/>
      <c r="Q736" s="53"/>
      <c r="R736" s="53"/>
      <c r="V736" s="51"/>
    </row>
    <row r="737">
      <c r="C737" s="51"/>
      <c r="D737" s="51"/>
      <c r="E737" s="51"/>
      <c r="F737" s="51"/>
      <c r="G737" s="51"/>
      <c r="H737" s="51"/>
      <c r="I737" s="51"/>
      <c r="J737" s="51"/>
      <c r="K737" s="51"/>
      <c r="L737" s="51"/>
      <c r="N737" s="52"/>
      <c r="P737" s="53"/>
      <c r="Q737" s="53"/>
      <c r="R737" s="53"/>
      <c r="V737" s="51"/>
    </row>
    <row r="738">
      <c r="C738" s="51"/>
      <c r="D738" s="51"/>
      <c r="E738" s="51"/>
      <c r="F738" s="51"/>
      <c r="G738" s="51"/>
      <c r="H738" s="51"/>
      <c r="I738" s="51"/>
      <c r="J738" s="51"/>
      <c r="K738" s="51"/>
      <c r="L738" s="51"/>
      <c r="N738" s="52"/>
      <c r="P738" s="53"/>
      <c r="Q738" s="53"/>
      <c r="R738" s="53"/>
      <c r="V738" s="51"/>
    </row>
    <row r="739">
      <c r="C739" s="51"/>
      <c r="D739" s="51"/>
      <c r="E739" s="51"/>
      <c r="F739" s="51"/>
      <c r="G739" s="51"/>
      <c r="H739" s="51"/>
      <c r="I739" s="51"/>
      <c r="J739" s="51"/>
      <c r="K739" s="51"/>
      <c r="L739" s="51"/>
      <c r="N739" s="52"/>
      <c r="P739" s="53"/>
      <c r="Q739" s="53"/>
      <c r="R739" s="53"/>
      <c r="V739" s="51"/>
    </row>
    <row r="740">
      <c r="C740" s="51"/>
      <c r="D740" s="51"/>
      <c r="E740" s="51"/>
      <c r="F740" s="51"/>
      <c r="G740" s="51"/>
      <c r="H740" s="51"/>
      <c r="I740" s="51"/>
      <c r="J740" s="51"/>
      <c r="K740" s="51"/>
      <c r="L740" s="51"/>
      <c r="N740" s="52"/>
      <c r="P740" s="53"/>
      <c r="Q740" s="53"/>
      <c r="R740" s="53"/>
      <c r="V740" s="51"/>
    </row>
    <row r="741">
      <c r="C741" s="51"/>
      <c r="D741" s="51"/>
      <c r="E741" s="51"/>
      <c r="F741" s="51"/>
      <c r="G741" s="51"/>
      <c r="H741" s="51"/>
      <c r="I741" s="51"/>
      <c r="J741" s="51"/>
      <c r="K741" s="51"/>
      <c r="L741" s="51"/>
      <c r="N741" s="52"/>
      <c r="P741" s="53"/>
      <c r="Q741" s="53"/>
      <c r="R741" s="53"/>
      <c r="V741" s="51"/>
    </row>
    <row r="742">
      <c r="C742" s="51"/>
      <c r="D742" s="51"/>
      <c r="E742" s="51"/>
      <c r="F742" s="51"/>
      <c r="G742" s="51"/>
      <c r="H742" s="51"/>
      <c r="I742" s="51"/>
      <c r="J742" s="51"/>
      <c r="K742" s="51"/>
      <c r="L742" s="51"/>
      <c r="N742" s="52"/>
      <c r="P742" s="53"/>
      <c r="Q742" s="53"/>
      <c r="R742" s="53"/>
      <c r="V742" s="51"/>
    </row>
    <row r="743">
      <c r="C743" s="51"/>
      <c r="D743" s="51"/>
      <c r="E743" s="51"/>
      <c r="F743" s="51"/>
      <c r="G743" s="51"/>
      <c r="H743" s="51"/>
      <c r="I743" s="51"/>
      <c r="J743" s="51"/>
      <c r="K743" s="51"/>
      <c r="L743" s="51"/>
      <c r="N743" s="52"/>
      <c r="P743" s="53"/>
      <c r="Q743" s="53"/>
      <c r="R743" s="53"/>
      <c r="V743" s="51"/>
    </row>
    <row r="744">
      <c r="C744" s="51"/>
      <c r="D744" s="51"/>
      <c r="E744" s="51"/>
      <c r="F744" s="51"/>
      <c r="G744" s="51"/>
      <c r="H744" s="51"/>
      <c r="I744" s="51"/>
      <c r="J744" s="51"/>
      <c r="K744" s="51"/>
      <c r="L744" s="51"/>
      <c r="N744" s="52"/>
      <c r="P744" s="53"/>
      <c r="Q744" s="53"/>
      <c r="R744" s="53"/>
      <c r="V744" s="51"/>
    </row>
    <row r="745">
      <c r="C745" s="51"/>
      <c r="D745" s="51"/>
      <c r="E745" s="51"/>
      <c r="F745" s="51"/>
      <c r="G745" s="51"/>
      <c r="H745" s="51"/>
      <c r="I745" s="51"/>
      <c r="J745" s="51"/>
      <c r="K745" s="51"/>
      <c r="L745" s="51"/>
      <c r="N745" s="52"/>
      <c r="P745" s="53"/>
      <c r="Q745" s="53"/>
      <c r="R745" s="53"/>
      <c r="V745" s="51"/>
    </row>
    <row r="746">
      <c r="C746" s="51"/>
      <c r="D746" s="51"/>
      <c r="E746" s="51"/>
      <c r="F746" s="51"/>
      <c r="G746" s="51"/>
      <c r="H746" s="51"/>
      <c r="I746" s="51"/>
      <c r="J746" s="51"/>
      <c r="K746" s="51"/>
      <c r="L746" s="51"/>
      <c r="N746" s="52"/>
      <c r="P746" s="53"/>
      <c r="Q746" s="53"/>
      <c r="R746" s="53"/>
      <c r="V746" s="51"/>
    </row>
    <row r="747">
      <c r="C747" s="51"/>
      <c r="D747" s="51"/>
      <c r="E747" s="51"/>
      <c r="F747" s="51"/>
      <c r="G747" s="51"/>
      <c r="H747" s="51"/>
      <c r="I747" s="51"/>
      <c r="J747" s="51"/>
      <c r="K747" s="51"/>
      <c r="L747" s="51"/>
      <c r="N747" s="52"/>
      <c r="P747" s="53"/>
      <c r="Q747" s="53"/>
      <c r="R747" s="53"/>
      <c r="V747" s="51"/>
    </row>
    <row r="748">
      <c r="C748" s="51"/>
      <c r="D748" s="51"/>
      <c r="E748" s="51"/>
      <c r="F748" s="51"/>
      <c r="G748" s="51"/>
      <c r="H748" s="51"/>
      <c r="I748" s="51"/>
      <c r="J748" s="51"/>
      <c r="K748" s="51"/>
      <c r="L748" s="51"/>
      <c r="N748" s="52"/>
      <c r="P748" s="53"/>
      <c r="Q748" s="53"/>
      <c r="R748" s="53"/>
      <c r="V748" s="51"/>
    </row>
    <row r="749">
      <c r="C749" s="51"/>
      <c r="D749" s="51"/>
      <c r="E749" s="51"/>
      <c r="F749" s="51"/>
      <c r="G749" s="51"/>
      <c r="H749" s="51"/>
      <c r="I749" s="51"/>
      <c r="J749" s="51"/>
      <c r="K749" s="51"/>
      <c r="L749" s="51"/>
      <c r="N749" s="52"/>
      <c r="P749" s="53"/>
      <c r="Q749" s="53"/>
      <c r="R749" s="53"/>
      <c r="V749" s="51"/>
    </row>
    <row r="750">
      <c r="C750" s="51"/>
      <c r="D750" s="51"/>
      <c r="E750" s="51"/>
      <c r="F750" s="51"/>
      <c r="G750" s="51"/>
      <c r="H750" s="51"/>
      <c r="I750" s="51"/>
      <c r="J750" s="51"/>
      <c r="K750" s="51"/>
      <c r="L750" s="51"/>
      <c r="N750" s="52"/>
      <c r="P750" s="53"/>
      <c r="Q750" s="53"/>
      <c r="R750" s="53"/>
      <c r="V750" s="51"/>
    </row>
    <row r="751">
      <c r="C751" s="51"/>
      <c r="D751" s="51"/>
      <c r="E751" s="51"/>
      <c r="F751" s="51"/>
      <c r="G751" s="51"/>
      <c r="H751" s="51"/>
      <c r="I751" s="51"/>
      <c r="J751" s="51"/>
      <c r="K751" s="51"/>
      <c r="L751" s="51"/>
      <c r="N751" s="52"/>
      <c r="P751" s="53"/>
      <c r="Q751" s="53"/>
      <c r="R751" s="53"/>
      <c r="V751" s="51"/>
    </row>
    <row r="752">
      <c r="C752" s="51"/>
      <c r="D752" s="51"/>
      <c r="E752" s="51"/>
      <c r="F752" s="51"/>
      <c r="G752" s="51"/>
      <c r="H752" s="51"/>
      <c r="I752" s="51"/>
      <c r="J752" s="51"/>
      <c r="K752" s="51"/>
      <c r="L752" s="51"/>
      <c r="N752" s="52"/>
      <c r="P752" s="53"/>
      <c r="Q752" s="53"/>
      <c r="R752" s="53"/>
      <c r="V752" s="51"/>
    </row>
    <row r="753">
      <c r="C753" s="51"/>
      <c r="D753" s="51"/>
      <c r="E753" s="51"/>
      <c r="F753" s="51"/>
      <c r="G753" s="51"/>
      <c r="H753" s="51"/>
      <c r="I753" s="51"/>
      <c r="J753" s="51"/>
      <c r="K753" s="51"/>
      <c r="L753" s="51"/>
      <c r="N753" s="52"/>
      <c r="P753" s="53"/>
      <c r="Q753" s="53"/>
      <c r="R753" s="53"/>
      <c r="V753" s="51"/>
    </row>
    <row r="754">
      <c r="C754" s="51"/>
      <c r="D754" s="51"/>
      <c r="E754" s="51"/>
      <c r="F754" s="51"/>
      <c r="G754" s="51"/>
      <c r="H754" s="51"/>
      <c r="I754" s="51"/>
      <c r="J754" s="51"/>
      <c r="K754" s="51"/>
      <c r="L754" s="51"/>
      <c r="N754" s="52"/>
      <c r="P754" s="53"/>
      <c r="Q754" s="53"/>
      <c r="R754" s="53"/>
      <c r="V754" s="51"/>
    </row>
    <row r="755">
      <c r="C755" s="51"/>
      <c r="D755" s="51"/>
      <c r="E755" s="51"/>
      <c r="F755" s="51"/>
      <c r="G755" s="51"/>
      <c r="H755" s="51"/>
      <c r="I755" s="51"/>
      <c r="J755" s="51"/>
      <c r="K755" s="51"/>
      <c r="L755" s="51"/>
      <c r="N755" s="52"/>
      <c r="P755" s="53"/>
      <c r="Q755" s="53"/>
      <c r="R755" s="53"/>
      <c r="V755" s="51"/>
    </row>
    <row r="756">
      <c r="C756" s="51"/>
      <c r="D756" s="51"/>
      <c r="E756" s="51"/>
      <c r="F756" s="51"/>
      <c r="G756" s="51"/>
      <c r="H756" s="51"/>
      <c r="I756" s="51"/>
      <c r="J756" s="51"/>
      <c r="K756" s="51"/>
      <c r="L756" s="51"/>
      <c r="N756" s="52"/>
      <c r="P756" s="53"/>
      <c r="Q756" s="53"/>
      <c r="R756" s="53"/>
      <c r="V756" s="51"/>
    </row>
    <row r="757">
      <c r="C757" s="51"/>
      <c r="D757" s="51"/>
      <c r="E757" s="51"/>
      <c r="F757" s="51"/>
      <c r="G757" s="51"/>
      <c r="H757" s="51"/>
      <c r="I757" s="51"/>
      <c r="J757" s="51"/>
      <c r="K757" s="51"/>
      <c r="L757" s="51"/>
      <c r="N757" s="52"/>
      <c r="P757" s="53"/>
      <c r="Q757" s="53"/>
      <c r="R757" s="53"/>
      <c r="V757" s="51"/>
    </row>
    <row r="758">
      <c r="C758" s="51"/>
      <c r="D758" s="51"/>
      <c r="E758" s="51"/>
      <c r="F758" s="51"/>
      <c r="G758" s="51"/>
      <c r="H758" s="51"/>
      <c r="I758" s="51"/>
      <c r="J758" s="51"/>
      <c r="K758" s="51"/>
      <c r="L758" s="51"/>
      <c r="N758" s="52"/>
      <c r="P758" s="53"/>
      <c r="Q758" s="53"/>
      <c r="R758" s="53"/>
      <c r="V758" s="51"/>
    </row>
    <row r="759">
      <c r="C759" s="51"/>
      <c r="D759" s="51"/>
      <c r="E759" s="51"/>
      <c r="F759" s="51"/>
      <c r="G759" s="51"/>
      <c r="H759" s="51"/>
      <c r="I759" s="51"/>
      <c r="J759" s="51"/>
      <c r="K759" s="51"/>
      <c r="L759" s="51"/>
      <c r="N759" s="52"/>
      <c r="P759" s="53"/>
      <c r="Q759" s="53"/>
      <c r="R759" s="53"/>
      <c r="V759" s="51"/>
    </row>
    <row r="760">
      <c r="C760" s="51"/>
      <c r="D760" s="51"/>
      <c r="E760" s="51"/>
      <c r="F760" s="51"/>
      <c r="G760" s="51"/>
      <c r="H760" s="51"/>
      <c r="I760" s="51"/>
      <c r="J760" s="51"/>
      <c r="K760" s="51"/>
      <c r="L760" s="51"/>
      <c r="N760" s="52"/>
      <c r="P760" s="53"/>
      <c r="Q760" s="53"/>
      <c r="R760" s="53"/>
      <c r="V760" s="51"/>
    </row>
    <row r="761">
      <c r="C761" s="51"/>
      <c r="D761" s="51"/>
      <c r="E761" s="51"/>
      <c r="F761" s="51"/>
      <c r="G761" s="51"/>
      <c r="H761" s="51"/>
      <c r="I761" s="51"/>
      <c r="J761" s="51"/>
      <c r="K761" s="51"/>
      <c r="L761" s="51"/>
      <c r="N761" s="52"/>
      <c r="P761" s="53"/>
      <c r="Q761" s="53"/>
      <c r="R761" s="53"/>
      <c r="V761" s="51"/>
    </row>
    <row r="762">
      <c r="C762" s="51"/>
      <c r="D762" s="51"/>
      <c r="E762" s="51"/>
      <c r="F762" s="51"/>
      <c r="G762" s="51"/>
      <c r="H762" s="51"/>
      <c r="I762" s="51"/>
      <c r="J762" s="51"/>
      <c r="K762" s="51"/>
      <c r="L762" s="51"/>
      <c r="N762" s="52"/>
      <c r="P762" s="53"/>
      <c r="Q762" s="53"/>
      <c r="R762" s="53"/>
      <c r="V762" s="51"/>
    </row>
    <row r="763">
      <c r="C763" s="51"/>
      <c r="D763" s="51"/>
      <c r="E763" s="51"/>
      <c r="F763" s="51"/>
      <c r="G763" s="51"/>
      <c r="H763" s="51"/>
      <c r="I763" s="51"/>
      <c r="J763" s="51"/>
      <c r="K763" s="51"/>
      <c r="L763" s="51"/>
      <c r="N763" s="52"/>
      <c r="P763" s="53"/>
      <c r="Q763" s="53"/>
      <c r="R763" s="53"/>
      <c r="V763" s="51"/>
    </row>
    <row r="764">
      <c r="C764" s="51"/>
      <c r="D764" s="51"/>
      <c r="E764" s="51"/>
      <c r="F764" s="51"/>
      <c r="G764" s="51"/>
      <c r="H764" s="51"/>
      <c r="I764" s="51"/>
      <c r="J764" s="51"/>
      <c r="K764" s="51"/>
      <c r="L764" s="51"/>
      <c r="N764" s="52"/>
      <c r="P764" s="53"/>
      <c r="Q764" s="53"/>
      <c r="R764" s="53"/>
      <c r="V764" s="51"/>
    </row>
    <row r="765">
      <c r="C765" s="51"/>
      <c r="D765" s="51"/>
      <c r="E765" s="51"/>
      <c r="F765" s="51"/>
      <c r="G765" s="51"/>
      <c r="H765" s="51"/>
      <c r="I765" s="51"/>
      <c r="J765" s="51"/>
      <c r="K765" s="51"/>
      <c r="L765" s="51"/>
      <c r="N765" s="52"/>
      <c r="P765" s="53"/>
      <c r="Q765" s="53"/>
      <c r="R765" s="53"/>
      <c r="V765" s="51"/>
    </row>
    <row r="766">
      <c r="C766" s="51"/>
      <c r="D766" s="51"/>
      <c r="E766" s="51"/>
      <c r="F766" s="51"/>
      <c r="G766" s="51"/>
      <c r="H766" s="51"/>
      <c r="I766" s="51"/>
      <c r="J766" s="51"/>
      <c r="K766" s="51"/>
      <c r="L766" s="51"/>
      <c r="N766" s="52"/>
      <c r="P766" s="53"/>
      <c r="Q766" s="53"/>
      <c r="R766" s="53"/>
      <c r="V766" s="51"/>
    </row>
    <row r="767">
      <c r="C767" s="51"/>
      <c r="D767" s="51"/>
      <c r="E767" s="51"/>
      <c r="F767" s="51"/>
      <c r="G767" s="51"/>
      <c r="H767" s="51"/>
      <c r="I767" s="51"/>
      <c r="J767" s="51"/>
      <c r="K767" s="51"/>
      <c r="L767" s="51"/>
      <c r="N767" s="52"/>
      <c r="P767" s="53"/>
      <c r="Q767" s="53"/>
      <c r="R767" s="53"/>
      <c r="V767" s="51"/>
    </row>
    <row r="768">
      <c r="C768" s="51"/>
      <c r="D768" s="51"/>
      <c r="E768" s="51"/>
      <c r="F768" s="51"/>
      <c r="G768" s="51"/>
      <c r="H768" s="51"/>
      <c r="I768" s="51"/>
      <c r="J768" s="51"/>
      <c r="K768" s="51"/>
      <c r="L768" s="51"/>
      <c r="N768" s="52"/>
      <c r="P768" s="53"/>
      <c r="Q768" s="53"/>
      <c r="R768" s="53"/>
      <c r="V768" s="51"/>
    </row>
    <row r="769">
      <c r="C769" s="51"/>
      <c r="D769" s="51"/>
      <c r="E769" s="51"/>
      <c r="F769" s="51"/>
      <c r="G769" s="51"/>
      <c r="H769" s="51"/>
      <c r="I769" s="51"/>
      <c r="J769" s="51"/>
      <c r="K769" s="51"/>
      <c r="L769" s="51"/>
      <c r="N769" s="52"/>
      <c r="P769" s="53"/>
      <c r="Q769" s="53"/>
      <c r="R769" s="53"/>
      <c r="V769" s="51"/>
    </row>
    <row r="770">
      <c r="C770" s="51"/>
      <c r="D770" s="51"/>
      <c r="E770" s="51"/>
      <c r="F770" s="51"/>
      <c r="G770" s="51"/>
      <c r="H770" s="51"/>
      <c r="I770" s="51"/>
      <c r="J770" s="51"/>
      <c r="K770" s="51"/>
      <c r="L770" s="51"/>
      <c r="N770" s="52"/>
      <c r="P770" s="53"/>
      <c r="Q770" s="53"/>
      <c r="R770" s="53"/>
      <c r="V770" s="51"/>
    </row>
    <row r="771">
      <c r="C771" s="51"/>
      <c r="D771" s="51"/>
      <c r="E771" s="51"/>
      <c r="F771" s="51"/>
      <c r="G771" s="51"/>
      <c r="H771" s="51"/>
      <c r="I771" s="51"/>
      <c r="J771" s="51"/>
      <c r="K771" s="51"/>
      <c r="L771" s="51"/>
      <c r="N771" s="52"/>
      <c r="P771" s="53"/>
      <c r="Q771" s="53"/>
      <c r="R771" s="53"/>
      <c r="V771" s="51"/>
    </row>
    <row r="772">
      <c r="C772" s="51"/>
      <c r="D772" s="51"/>
      <c r="E772" s="51"/>
      <c r="F772" s="51"/>
      <c r="G772" s="51"/>
      <c r="H772" s="51"/>
      <c r="I772" s="51"/>
      <c r="J772" s="51"/>
      <c r="K772" s="51"/>
      <c r="L772" s="51"/>
      <c r="N772" s="52"/>
      <c r="P772" s="53"/>
      <c r="Q772" s="53"/>
      <c r="R772" s="53"/>
      <c r="V772" s="51"/>
    </row>
    <row r="773">
      <c r="C773" s="51"/>
      <c r="D773" s="51"/>
      <c r="E773" s="51"/>
      <c r="F773" s="51"/>
      <c r="G773" s="51"/>
      <c r="H773" s="51"/>
      <c r="I773" s="51"/>
      <c r="J773" s="51"/>
      <c r="K773" s="51"/>
      <c r="L773" s="51"/>
      <c r="N773" s="52"/>
      <c r="P773" s="53"/>
      <c r="Q773" s="53"/>
      <c r="R773" s="53"/>
      <c r="V773" s="51"/>
    </row>
    <row r="774">
      <c r="C774" s="51"/>
      <c r="D774" s="51"/>
      <c r="E774" s="51"/>
      <c r="F774" s="51"/>
      <c r="G774" s="51"/>
      <c r="H774" s="51"/>
      <c r="I774" s="51"/>
      <c r="J774" s="51"/>
      <c r="K774" s="51"/>
      <c r="L774" s="51"/>
      <c r="N774" s="52"/>
      <c r="P774" s="53"/>
      <c r="Q774" s="53"/>
      <c r="R774" s="53"/>
      <c r="V774" s="51"/>
    </row>
    <row r="775">
      <c r="C775" s="51"/>
      <c r="D775" s="51"/>
      <c r="E775" s="51"/>
      <c r="F775" s="51"/>
      <c r="G775" s="51"/>
      <c r="H775" s="51"/>
      <c r="I775" s="51"/>
      <c r="J775" s="51"/>
      <c r="K775" s="51"/>
      <c r="L775" s="51"/>
      <c r="N775" s="52"/>
      <c r="P775" s="53"/>
      <c r="Q775" s="53"/>
      <c r="R775" s="53"/>
      <c r="V775" s="51"/>
    </row>
    <row r="776">
      <c r="C776" s="51"/>
      <c r="D776" s="51"/>
      <c r="E776" s="51"/>
      <c r="F776" s="51"/>
      <c r="G776" s="51"/>
      <c r="H776" s="51"/>
      <c r="I776" s="51"/>
      <c r="J776" s="51"/>
      <c r="K776" s="51"/>
      <c r="L776" s="51"/>
      <c r="N776" s="52"/>
      <c r="P776" s="53"/>
      <c r="Q776" s="53"/>
      <c r="R776" s="53"/>
      <c r="V776" s="51"/>
    </row>
    <row r="777">
      <c r="C777" s="51"/>
      <c r="D777" s="51"/>
      <c r="E777" s="51"/>
      <c r="F777" s="51"/>
      <c r="G777" s="51"/>
      <c r="H777" s="51"/>
      <c r="I777" s="51"/>
      <c r="J777" s="51"/>
      <c r="K777" s="51"/>
      <c r="L777" s="51"/>
      <c r="N777" s="52"/>
      <c r="P777" s="53"/>
      <c r="Q777" s="53"/>
      <c r="R777" s="53"/>
      <c r="V777" s="51"/>
    </row>
    <row r="778">
      <c r="C778" s="51"/>
      <c r="D778" s="51"/>
      <c r="E778" s="51"/>
      <c r="F778" s="51"/>
      <c r="G778" s="51"/>
      <c r="H778" s="51"/>
      <c r="I778" s="51"/>
      <c r="J778" s="51"/>
      <c r="K778" s="51"/>
      <c r="L778" s="51"/>
      <c r="N778" s="52"/>
      <c r="P778" s="53"/>
      <c r="Q778" s="53"/>
      <c r="R778" s="53"/>
      <c r="V778" s="51"/>
    </row>
    <row r="779">
      <c r="C779" s="51"/>
      <c r="D779" s="51"/>
      <c r="E779" s="51"/>
      <c r="F779" s="51"/>
      <c r="G779" s="51"/>
      <c r="H779" s="51"/>
      <c r="I779" s="51"/>
      <c r="J779" s="51"/>
      <c r="K779" s="51"/>
      <c r="L779" s="51"/>
      <c r="N779" s="52"/>
      <c r="P779" s="53"/>
      <c r="Q779" s="53"/>
      <c r="R779" s="53"/>
      <c r="V779" s="51"/>
    </row>
    <row r="780">
      <c r="C780" s="51"/>
      <c r="D780" s="51"/>
      <c r="E780" s="51"/>
      <c r="F780" s="51"/>
      <c r="G780" s="51"/>
      <c r="H780" s="51"/>
      <c r="I780" s="51"/>
      <c r="J780" s="51"/>
      <c r="K780" s="51"/>
      <c r="L780" s="51"/>
      <c r="N780" s="52"/>
      <c r="P780" s="53"/>
      <c r="Q780" s="53"/>
      <c r="R780" s="53"/>
      <c r="V780" s="51"/>
    </row>
    <row r="781">
      <c r="C781" s="51"/>
      <c r="D781" s="51"/>
      <c r="E781" s="51"/>
      <c r="F781" s="51"/>
      <c r="G781" s="51"/>
      <c r="H781" s="51"/>
      <c r="I781" s="51"/>
      <c r="J781" s="51"/>
      <c r="K781" s="51"/>
      <c r="L781" s="51"/>
      <c r="N781" s="52"/>
      <c r="P781" s="53"/>
      <c r="Q781" s="53"/>
      <c r="R781" s="53"/>
      <c r="V781" s="51"/>
    </row>
    <row r="782">
      <c r="C782" s="51"/>
      <c r="D782" s="51"/>
      <c r="E782" s="51"/>
      <c r="F782" s="51"/>
      <c r="G782" s="51"/>
      <c r="H782" s="51"/>
      <c r="I782" s="51"/>
      <c r="J782" s="51"/>
      <c r="K782" s="51"/>
      <c r="L782" s="51"/>
      <c r="N782" s="52"/>
      <c r="P782" s="53"/>
      <c r="Q782" s="53"/>
      <c r="R782" s="53"/>
      <c r="V782" s="51"/>
    </row>
    <row r="783">
      <c r="C783" s="51"/>
      <c r="D783" s="51"/>
      <c r="E783" s="51"/>
      <c r="F783" s="51"/>
      <c r="G783" s="51"/>
      <c r="H783" s="51"/>
      <c r="I783" s="51"/>
      <c r="J783" s="51"/>
      <c r="K783" s="51"/>
      <c r="L783" s="51"/>
      <c r="N783" s="52"/>
      <c r="P783" s="53"/>
      <c r="Q783" s="53"/>
      <c r="R783" s="53"/>
      <c r="V783" s="51"/>
    </row>
    <row r="784">
      <c r="C784" s="51"/>
      <c r="D784" s="51"/>
      <c r="E784" s="51"/>
      <c r="F784" s="51"/>
      <c r="G784" s="51"/>
      <c r="H784" s="51"/>
      <c r="I784" s="51"/>
      <c r="J784" s="51"/>
      <c r="K784" s="51"/>
      <c r="L784" s="51"/>
      <c r="N784" s="52"/>
      <c r="P784" s="53"/>
      <c r="Q784" s="53"/>
      <c r="R784" s="53"/>
      <c r="V784" s="51"/>
    </row>
    <row r="785">
      <c r="C785" s="51"/>
      <c r="D785" s="51"/>
      <c r="E785" s="51"/>
      <c r="F785" s="51"/>
      <c r="G785" s="51"/>
      <c r="H785" s="51"/>
      <c r="I785" s="51"/>
      <c r="J785" s="51"/>
      <c r="K785" s="51"/>
      <c r="L785" s="51"/>
      <c r="N785" s="52"/>
      <c r="P785" s="53"/>
      <c r="Q785" s="53"/>
      <c r="R785" s="53"/>
      <c r="V785" s="51"/>
    </row>
    <row r="786">
      <c r="C786" s="51"/>
      <c r="D786" s="51"/>
      <c r="E786" s="51"/>
      <c r="F786" s="51"/>
      <c r="G786" s="51"/>
      <c r="H786" s="51"/>
      <c r="I786" s="51"/>
      <c r="J786" s="51"/>
      <c r="K786" s="51"/>
      <c r="L786" s="51"/>
      <c r="N786" s="52"/>
      <c r="P786" s="53"/>
      <c r="Q786" s="53"/>
      <c r="R786" s="53"/>
      <c r="V786" s="51"/>
    </row>
    <row r="787">
      <c r="C787" s="51"/>
      <c r="D787" s="51"/>
      <c r="E787" s="51"/>
      <c r="F787" s="51"/>
      <c r="G787" s="51"/>
      <c r="H787" s="51"/>
      <c r="I787" s="51"/>
      <c r="J787" s="51"/>
      <c r="K787" s="51"/>
      <c r="L787" s="51"/>
      <c r="N787" s="52"/>
      <c r="P787" s="53"/>
      <c r="Q787" s="53"/>
      <c r="R787" s="53"/>
      <c r="V787" s="51"/>
    </row>
    <row r="788">
      <c r="C788" s="51"/>
      <c r="D788" s="51"/>
      <c r="E788" s="51"/>
      <c r="F788" s="51"/>
      <c r="G788" s="51"/>
      <c r="H788" s="51"/>
      <c r="I788" s="51"/>
      <c r="J788" s="51"/>
      <c r="K788" s="51"/>
      <c r="L788" s="51"/>
      <c r="N788" s="52"/>
      <c r="P788" s="53"/>
      <c r="Q788" s="53"/>
      <c r="R788" s="53"/>
      <c r="V788" s="51"/>
    </row>
    <row r="789">
      <c r="C789" s="51"/>
      <c r="D789" s="51"/>
      <c r="E789" s="51"/>
      <c r="F789" s="51"/>
      <c r="G789" s="51"/>
      <c r="H789" s="51"/>
      <c r="I789" s="51"/>
      <c r="J789" s="51"/>
      <c r="K789" s="51"/>
      <c r="L789" s="51"/>
      <c r="N789" s="52"/>
      <c r="P789" s="53"/>
      <c r="Q789" s="53"/>
      <c r="R789" s="53"/>
      <c r="V789" s="51"/>
    </row>
    <row r="790">
      <c r="C790" s="51"/>
      <c r="D790" s="51"/>
      <c r="E790" s="51"/>
      <c r="F790" s="51"/>
      <c r="G790" s="51"/>
      <c r="H790" s="51"/>
      <c r="I790" s="51"/>
      <c r="J790" s="51"/>
      <c r="K790" s="51"/>
      <c r="L790" s="51"/>
      <c r="N790" s="52"/>
      <c r="P790" s="53"/>
      <c r="Q790" s="53"/>
      <c r="R790" s="53"/>
      <c r="V790" s="51"/>
    </row>
    <row r="791">
      <c r="C791" s="51"/>
      <c r="D791" s="51"/>
      <c r="E791" s="51"/>
      <c r="F791" s="51"/>
      <c r="G791" s="51"/>
      <c r="H791" s="51"/>
      <c r="I791" s="51"/>
      <c r="J791" s="51"/>
      <c r="K791" s="51"/>
      <c r="L791" s="51"/>
      <c r="N791" s="52"/>
      <c r="P791" s="53"/>
      <c r="Q791" s="53"/>
      <c r="R791" s="53"/>
      <c r="V791" s="51"/>
    </row>
    <row r="792">
      <c r="C792" s="51"/>
      <c r="D792" s="51"/>
      <c r="E792" s="51"/>
      <c r="F792" s="51"/>
      <c r="G792" s="51"/>
      <c r="H792" s="51"/>
      <c r="I792" s="51"/>
      <c r="J792" s="51"/>
      <c r="K792" s="51"/>
      <c r="L792" s="51"/>
      <c r="N792" s="52"/>
      <c r="P792" s="53"/>
      <c r="Q792" s="53"/>
      <c r="R792" s="53"/>
      <c r="V792" s="51"/>
    </row>
    <row r="793">
      <c r="C793" s="51"/>
      <c r="D793" s="51"/>
      <c r="E793" s="51"/>
      <c r="F793" s="51"/>
      <c r="G793" s="51"/>
      <c r="H793" s="51"/>
      <c r="I793" s="51"/>
      <c r="J793" s="51"/>
      <c r="K793" s="51"/>
      <c r="L793" s="51"/>
      <c r="N793" s="52"/>
      <c r="P793" s="53"/>
      <c r="Q793" s="53"/>
      <c r="R793" s="53"/>
      <c r="V793" s="51"/>
    </row>
    <row r="794">
      <c r="C794" s="51"/>
      <c r="D794" s="51"/>
      <c r="E794" s="51"/>
      <c r="F794" s="51"/>
      <c r="G794" s="51"/>
      <c r="H794" s="51"/>
      <c r="I794" s="51"/>
      <c r="J794" s="51"/>
      <c r="K794" s="51"/>
      <c r="L794" s="51"/>
      <c r="N794" s="52"/>
      <c r="P794" s="53"/>
      <c r="Q794" s="53"/>
      <c r="R794" s="53"/>
      <c r="V794" s="51"/>
    </row>
    <row r="795">
      <c r="C795" s="51"/>
      <c r="D795" s="51"/>
      <c r="E795" s="51"/>
      <c r="F795" s="51"/>
      <c r="G795" s="51"/>
      <c r="H795" s="51"/>
      <c r="I795" s="51"/>
      <c r="J795" s="51"/>
      <c r="K795" s="51"/>
      <c r="L795" s="51"/>
      <c r="N795" s="52"/>
      <c r="P795" s="53"/>
      <c r="Q795" s="53"/>
      <c r="R795" s="53"/>
      <c r="V795" s="51"/>
    </row>
    <row r="796">
      <c r="C796" s="51"/>
      <c r="D796" s="51"/>
      <c r="E796" s="51"/>
      <c r="F796" s="51"/>
      <c r="G796" s="51"/>
      <c r="H796" s="51"/>
      <c r="I796" s="51"/>
      <c r="J796" s="51"/>
      <c r="K796" s="51"/>
      <c r="L796" s="51"/>
      <c r="N796" s="52"/>
      <c r="P796" s="53"/>
      <c r="Q796" s="53"/>
      <c r="R796" s="53"/>
      <c r="V796" s="51"/>
    </row>
    <row r="797">
      <c r="C797" s="51"/>
      <c r="D797" s="51"/>
      <c r="E797" s="51"/>
      <c r="F797" s="51"/>
      <c r="G797" s="51"/>
      <c r="H797" s="51"/>
      <c r="I797" s="51"/>
      <c r="J797" s="51"/>
      <c r="K797" s="51"/>
      <c r="L797" s="51"/>
      <c r="N797" s="52"/>
      <c r="P797" s="53"/>
      <c r="Q797" s="53"/>
      <c r="R797" s="53"/>
      <c r="V797" s="51"/>
    </row>
    <row r="798">
      <c r="C798" s="51"/>
      <c r="D798" s="51"/>
      <c r="E798" s="51"/>
      <c r="F798" s="51"/>
      <c r="G798" s="51"/>
      <c r="H798" s="51"/>
      <c r="I798" s="51"/>
      <c r="J798" s="51"/>
      <c r="K798" s="51"/>
      <c r="L798" s="51"/>
      <c r="N798" s="52"/>
      <c r="P798" s="53"/>
      <c r="Q798" s="53"/>
      <c r="R798" s="53"/>
      <c r="V798" s="51"/>
    </row>
    <row r="799">
      <c r="C799" s="51"/>
      <c r="D799" s="51"/>
      <c r="E799" s="51"/>
      <c r="F799" s="51"/>
      <c r="G799" s="51"/>
      <c r="H799" s="51"/>
      <c r="I799" s="51"/>
      <c r="J799" s="51"/>
      <c r="K799" s="51"/>
      <c r="L799" s="51"/>
      <c r="N799" s="52"/>
      <c r="P799" s="53"/>
      <c r="Q799" s="53"/>
      <c r="R799" s="53"/>
      <c r="V799" s="51"/>
    </row>
    <row r="800">
      <c r="C800" s="51"/>
      <c r="D800" s="51"/>
      <c r="E800" s="51"/>
      <c r="F800" s="51"/>
      <c r="G800" s="51"/>
      <c r="H800" s="51"/>
      <c r="I800" s="51"/>
      <c r="J800" s="51"/>
      <c r="K800" s="51"/>
      <c r="L800" s="51"/>
      <c r="N800" s="52"/>
      <c r="P800" s="53"/>
      <c r="Q800" s="53"/>
      <c r="R800" s="53"/>
      <c r="V800" s="51"/>
    </row>
    <row r="801">
      <c r="C801" s="51"/>
      <c r="D801" s="51"/>
      <c r="E801" s="51"/>
      <c r="F801" s="51"/>
      <c r="G801" s="51"/>
      <c r="H801" s="51"/>
      <c r="I801" s="51"/>
      <c r="J801" s="51"/>
      <c r="K801" s="51"/>
      <c r="L801" s="51"/>
      <c r="N801" s="52"/>
      <c r="P801" s="53"/>
      <c r="Q801" s="53"/>
      <c r="R801" s="53"/>
      <c r="V801" s="51"/>
    </row>
    <row r="802">
      <c r="C802" s="51"/>
      <c r="D802" s="51"/>
      <c r="E802" s="51"/>
      <c r="F802" s="51"/>
      <c r="G802" s="51"/>
      <c r="H802" s="51"/>
      <c r="I802" s="51"/>
      <c r="J802" s="51"/>
      <c r="K802" s="51"/>
      <c r="L802" s="51"/>
      <c r="N802" s="52"/>
      <c r="P802" s="53"/>
      <c r="Q802" s="53"/>
      <c r="R802" s="53"/>
      <c r="V802" s="51"/>
    </row>
    <row r="803">
      <c r="C803" s="51"/>
      <c r="D803" s="51"/>
      <c r="E803" s="51"/>
      <c r="F803" s="51"/>
      <c r="G803" s="51"/>
      <c r="H803" s="51"/>
      <c r="I803" s="51"/>
      <c r="J803" s="51"/>
      <c r="K803" s="51"/>
      <c r="L803" s="51"/>
      <c r="N803" s="52"/>
      <c r="P803" s="53"/>
      <c r="Q803" s="53"/>
      <c r="R803" s="53"/>
      <c r="V803" s="51"/>
    </row>
    <row r="804">
      <c r="C804" s="51"/>
      <c r="D804" s="51"/>
      <c r="E804" s="51"/>
      <c r="F804" s="51"/>
      <c r="G804" s="51"/>
      <c r="H804" s="51"/>
      <c r="I804" s="51"/>
      <c r="J804" s="51"/>
      <c r="K804" s="51"/>
      <c r="L804" s="51"/>
      <c r="N804" s="52"/>
      <c r="P804" s="53"/>
      <c r="Q804" s="53"/>
      <c r="R804" s="53"/>
      <c r="V804" s="51"/>
    </row>
    <row r="805">
      <c r="C805" s="51"/>
      <c r="D805" s="51"/>
      <c r="E805" s="51"/>
      <c r="F805" s="51"/>
      <c r="G805" s="51"/>
      <c r="H805" s="51"/>
      <c r="I805" s="51"/>
      <c r="J805" s="51"/>
      <c r="K805" s="51"/>
      <c r="L805" s="51"/>
      <c r="N805" s="52"/>
      <c r="P805" s="53"/>
      <c r="Q805" s="53"/>
      <c r="R805" s="53"/>
      <c r="V805" s="51"/>
    </row>
    <row r="806">
      <c r="C806" s="51"/>
      <c r="D806" s="51"/>
      <c r="E806" s="51"/>
      <c r="F806" s="51"/>
      <c r="G806" s="51"/>
      <c r="H806" s="51"/>
      <c r="I806" s="51"/>
      <c r="J806" s="51"/>
      <c r="K806" s="51"/>
      <c r="L806" s="51"/>
      <c r="N806" s="52"/>
      <c r="P806" s="53"/>
      <c r="Q806" s="53"/>
      <c r="R806" s="53"/>
      <c r="V806" s="51"/>
    </row>
    <row r="807">
      <c r="C807" s="51"/>
      <c r="D807" s="51"/>
      <c r="E807" s="51"/>
      <c r="F807" s="51"/>
      <c r="G807" s="51"/>
      <c r="H807" s="51"/>
      <c r="I807" s="51"/>
      <c r="J807" s="51"/>
      <c r="K807" s="51"/>
      <c r="L807" s="51"/>
      <c r="N807" s="52"/>
      <c r="P807" s="53"/>
      <c r="Q807" s="53"/>
      <c r="R807" s="53"/>
      <c r="V807" s="51"/>
    </row>
    <row r="808">
      <c r="C808" s="51"/>
      <c r="D808" s="51"/>
      <c r="E808" s="51"/>
      <c r="F808" s="51"/>
      <c r="G808" s="51"/>
      <c r="H808" s="51"/>
      <c r="I808" s="51"/>
      <c r="J808" s="51"/>
      <c r="K808" s="51"/>
      <c r="L808" s="51"/>
      <c r="N808" s="52"/>
      <c r="P808" s="53"/>
      <c r="Q808" s="53"/>
      <c r="R808" s="53"/>
      <c r="V808" s="51"/>
    </row>
    <row r="809">
      <c r="C809" s="51"/>
      <c r="D809" s="51"/>
      <c r="E809" s="51"/>
      <c r="F809" s="51"/>
      <c r="G809" s="51"/>
      <c r="H809" s="51"/>
      <c r="I809" s="51"/>
      <c r="J809" s="51"/>
      <c r="K809" s="51"/>
      <c r="L809" s="51"/>
      <c r="N809" s="52"/>
      <c r="P809" s="53"/>
      <c r="Q809" s="53"/>
      <c r="R809" s="53"/>
      <c r="V809" s="51"/>
    </row>
    <row r="810">
      <c r="C810" s="51"/>
      <c r="D810" s="51"/>
      <c r="E810" s="51"/>
      <c r="F810" s="51"/>
      <c r="G810" s="51"/>
      <c r="H810" s="51"/>
      <c r="I810" s="51"/>
      <c r="J810" s="51"/>
      <c r="K810" s="51"/>
      <c r="L810" s="51"/>
      <c r="N810" s="52"/>
      <c r="P810" s="53"/>
      <c r="Q810" s="53"/>
      <c r="R810" s="53"/>
      <c r="V810" s="51"/>
    </row>
    <row r="811">
      <c r="C811" s="51"/>
      <c r="D811" s="51"/>
      <c r="E811" s="51"/>
      <c r="F811" s="51"/>
      <c r="G811" s="51"/>
      <c r="H811" s="51"/>
      <c r="I811" s="51"/>
      <c r="J811" s="51"/>
      <c r="K811" s="51"/>
      <c r="L811" s="51"/>
      <c r="N811" s="52"/>
      <c r="P811" s="53"/>
      <c r="Q811" s="53"/>
      <c r="R811" s="53"/>
      <c r="V811" s="51"/>
    </row>
    <row r="812">
      <c r="C812" s="51"/>
      <c r="D812" s="51"/>
      <c r="E812" s="51"/>
      <c r="F812" s="51"/>
      <c r="G812" s="51"/>
      <c r="H812" s="51"/>
      <c r="I812" s="51"/>
      <c r="J812" s="51"/>
      <c r="K812" s="51"/>
      <c r="L812" s="51"/>
      <c r="N812" s="52"/>
      <c r="P812" s="53"/>
      <c r="Q812" s="53"/>
      <c r="R812" s="53"/>
      <c r="V812" s="51"/>
    </row>
    <row r="813">
      <c r="C813" s="51"/>
      <c r="D813" s="51"/>
      <c r="E813" s="51"/>
      <c r="F813" s="51"/>
      <c r="G813" s="51"/>
      <c r="H813" s="51"/>
      <c r="I813" s="51"/>
      <c r="J813" s="51"/>
      <c r="K813" s="51"/>
      <c r="L813" s="51"/>
      <c r="N813" s="52"/>
      <c r="P813" s="53"/>
      <c r="Q813" s="53"/>
      <c r="R813" s="53"/>
      <c r="V813" s="51"/>
    </row>
    <row r="814">
      <c r="C814" s="51"/>
      <c r="D814" s="51"/>
      <c r="E814" s="51"/>
      <c r="F814" s="51"/>
      <c r="G814" s="51"/>
      <c r="H814" s="51"/>
      <c r="I814" s="51"/>
      <c r="J814" s="51"/>
      <c r="K814" s="51"/>
      <c r="L814" s="51"/>
      <c r="N814" s="52"/>
      <c r="P814" s="53"/>
      <c r="Q814" s="53"/>
      <c r="R814" s="53"/>
      <c r="V814" s="51"/>
    </row>
    <row r="815">
      <c r="C815" s="51"/>
      <c r="D815" s="51"/>
      <c r="E815" s="51"/>
      <c r="F815" s="51"/>
      <c r="G815" s="51"/>
      <c r="H815" s="51"/>
      <c r="I815" s="51"/>
      <c r="J815" s="51"/>
      <c r="K815" s="51"/>
      <c r="L815" s="51"/>
      <c r="N815" s="52"/>
      <c r="P815" s="53"/>
      <c r="Q815" s="53"/>
      <c r="R815" s="53"/>
      <c r="V815" s="51"/>
    </row>
    <row r="816">
      <c r="C816" s="51"/>
      <c r="D816" s="51"/>
      <c r="E816" s="51"/>
      <c r="F816" s="51"/>
      <c r="G816" s="51"/>
      <c r="H816" s="51"/>
      <c r="I816" s="51"/>
      <c r="J816" s="51"/>
      <c r="K816" s="51"/>
      <c r="L816" s="51"/>
      <c r="N816" s="52"/>
      <c r="P816" s="53"/>
      <c r="Q816" s="53"/>
      <c r="R816" s="53"/>
      <c r="V816" s="51"/>
    </row>
    <row r="817">
      <c r="C817" s="51"/>
      <c r="D817" s="51"/>
      <c r="E817" s="51"/>
      <c r="F817" s="51"/>
      <c r="G817" s="51"/>
      <c r="H817" s="51"/>
      <c r="I817" s="51"/>
      <c r="J817" s="51"/>
      <c r="K817" s="51"/>
      <c r="L817" s="51"/>
      <c r="N817" s="52"/>
      <c r="P817" s="53"/>
      <c r="Q817" s="53"/>
      <c r="R817" s="53"/>
      <c r="V817" s="51"/>
    </row>
    <row r="818">
      <c r="C818" s="51"/>
      <c r="D818" s="51"/>
      <c r="E818" s="51"/>
      <c r="F818" s="51"/>
      <c r="G818" s="51"/>
      <c r="H818" s="51"/>
      <c r="I818" s="51"/>
      <c r="J818" s="51"/>
      <c r="K818" s="51"/>
      <c r="L818" s="51"/>
      <c r="N818" s="52"/>
      <c r="P818" s="53"/>
      <c r="Q818" s="53"/>
      <c r="R818" s="53"/>
      <c r="V818" s="51"/>
    </row>
    <row r="819">
      <c r="C819" s="51"/>
      <c r="D819" s="51"/>
      <c r="E819" s="51"/>
      <c r="F819" s="51"/>
      <c r="G819" s="51"/>
      <c r="H819" s="51"/>
      <c r="I819" s="51"/>
      <c r="J819" s="51"/>
      <c r="K819" s="51"/>
      <c r="L819" s="51"/>
      <c r="N819" s="52"/>
      <c r="P819" s="53"/>
      <c r="Q819" s="53"/>
      <c r="R819" s="53"/>
      <c r="V819" s="51"/>
    </row>
    <row r="820">
      <c r="C820" s="51"/>
      <c r="D820" s="51"/>
      <c r="E820" s="51"/>
      <c r="F820" s="51"/>
      <c r="G820" s="51"/>
      <c r="H820" s="51"/>
      <c r="I820" s="51"/>
      <c r="J820" s="51"/>
      <c r="K820" s="51"/>
      <c r="L820" s="51"/>
      <c r="N820" s="52"/>
      <c r="P820" s="53"/>
      <c r="Q820" s="53"/>
      <c r="R820" s="53"/>
      <c r="V820" s="51"/>
    </row>
    <row r="821">
      <c r="C821" s="51"/>
      <c r="D821" s="51"/>
      <c r="E821" s="51"/>
      <c r="F821" s="51"/>
      <c r="G821" s="51"/>
      <c r="H821" s="51"/>
      <c r="I821" s="51"/>
      <c r="J821" s="51"/>
      <c r="K821" s="51"/>
      <c r="L821" s="51"/>
      <c r="N821" s="52"/>
      <c r="P821" s="53"/>
      <c r="Q821" s="53"/>
      <c r="R821" s="53"/>
      <c r="V821" s="51"/>
    </row>
    <row r="822">
      <c r="C822" s="51"/>
      <c r="D822" s="51"/>
      <c r="E822" s="51"/>
      <c r="F822" s="51"/>
      <c r="G822" s="51"/>
      <c r="H822" s="51"/>
      <c r="I822" s="51"/>
      <c r="J822" s="51"/>
      <c r="K822" s="51"/>
      <c r="L822" s="51"/>
      <c r="N822" s="52"/>
      <c r="P822" s="53"/>
      <c r="Q822" s="53"/>
      <c r="R822" s="53"/>
      <c r="V822" s="51"/>
    </row>
    <row r="823">
      <c r="C823" s="51"/>
      <c r="D823" s="51"/>
      <c r="E823" s="51"/>
      <c r="F823" s="51"/>
      <c r="G823" s="51"/>
      <c r="H823" s="51"/>
      <c r="I823" s="51"/>
      <c r="J823" s="51"/>
      <c r="K823" s="51"/>
      <c r="L823" s="51"/>
      <c r="N823" s="52"/>
      <c r="P823" s="53"/>
      <c r="Q823" s="53"/>
      <c r="R823" s="53"/>
      <c r="V823" s="51"/>
    </row>
    <row r="824">
      <c r="C824" s="51"/>
      <c r="D824" s="51"/>
      <c r="E824" s="51"/>
      <c r="F824" s="51"/>
      <c r="G824" s="51"/>
      <c r="H824" s="51"/>
      <c r="I824" s="51"/>
      <c r="J824" s="51"/>
      <c r="K824" s="51"/>
      <c r="L824" s="51"/>
      <c r="N824" s="52"/>
      <c r="P824" s="53"/>
      <c r="Q824" s="53"/>
      <c r="R824" s="53"/>
      <c r="V824" s="51"/>
    </row>
    <row r="825">
      <c r="C825" s="51"/>
      <c r="D825" s="51"/>
      <c r="E825" s="51"/>
      <c r="F825" s="51"/>
      <c r="G825" s="51"/>
      <c r="H825" s="51"/>
      <c r="I825" s="51"/>
      <c r="J825" s="51"/>
      <c r="K825" s="51"/>
      <c r="L825" s="51"/>
      <c r="N825" s="52"/>
      <c r="P825" s="53"/>
      <c r="Q825" s="53"/>
      <c r="R825" s="53"/>
      <c r="V825" s="51"/>
    </row>
    <row r="826">
      <c r="C826" s="51"/>
      <c r="D826" s="51"/>
      <c r="E826" s="51"/>
      <c r="F826" s="51"/>
      <c r="G826" s="51"/>
      <c r="H826" s="51"/>
      <c r="I826" s="51"/>
      <c r="J826" s="51"/>
      <c r="K826" s="51"/>
      <c r="L826" s="51"/>
      <c r="N826" s="52"/>
      <c r="P826" s="53"/>
      <c r="Q826" s="53"/>
      <c r="R826" s="53"/>
      <c r="V826" s="51"/>
    </row>
    <row r="827">
      <c r="C827" s="51"/>
      <c r="D827" s="51"/>
      <c r="E827" s="51"/>
      <c r="F827" s="51"/>
      <c r="G827" s="51"/>
      <c r="H827" s="51"/>
      <c r="I827" s="51"/>
      <c r="J827" s="51"/>
      <c r="K827" s="51"/>
      <c r="L827" s="51"/>
      <c r="N827" s="52"/>
      <c r="P827" s="53"/>
      <c r="Q827" s="53"/>
      <c r="R827" s="53"/>
      <c r="V827" s="51"/>
    </row>
    <row r="828">
      <c r="C828" s="51"/>
      <c r="D828" s="51"/>
      <c r="E828" s="51"/>
      <c r="F828" s="51"/>
      <c r="G828" s="51"/>
      <c r="H828" s="51"/>
      <c r="I828" s="51"/>
      <c r="J828" s="51"/>
      <c r="K828" s="51"/>
      <c r="L828" s="51"/>
      <c r="N828" s="52"/>
      <c r="P828" s="53"/>
      <c r="Q828" s="53"/>
      <c r="R828" s="53"/>
      <c r="V828" s="51"/>
    </row>
    <row r="829">
      <c r="C829" s="51"/>
      <c r="D829" s="51"/>
      <c r="E829" s="51"/>
      <c r="F829" s="51"/>
      <c r="G829" s="51"/>
      <c r="H829" s="51"/>
      <c r="I829" s="51"/>
      <c r="J829" s="51"/>
      <c r="K829" s="51"/>
      <c r="L829" s="51"/>
      <c r="N829" s="52"/>
      <c r="P829" s="53"/>
      <c r="Q829" s="53"/>
      <c r="R829" s="53"/>
      <c r="V829" s="51"/>
    </row>
    <row r="830">
      <c r="C830" s="51"/>
      <c r="D830" s="51"/>
      <c r="E830" s="51"/>
      <c r="F830" s="51"/>
      <c r="G830" s="51"/>
      <c r="H830" s="51"/>
      <c r="I830" s="51"/>
      <c r="J830" s="51"/>
      <c r="K830" s="51"/>
      <c r="L830" s="51"/>
      <c r="N830" s="52"/>
      <c r="P830" s="53"/>
      <c r="Q830" s="53"/>
      <c r="R830" s="53"/>
      <c r="V830" s="51"/>
    </row>
    <row r="831">
      <c r="C831" s="51"/>
      <c r="D831" s="51"/>
      <c r="E831" s="51"/>
      <c r="F831" s="51"/>
      <c r="G831" s="51"/>
      <c r="H831" s="51"/>
      <c r="I831" s="51"/>
      <c r="J831" s="51"/>
      <c r="K831" s="51"/>
      <c r="L831" s="51"/>
      <c r="N831" s="52"/>
      <c r="P831" s="53"/>
      <c r="Q831" s="53"/>
      <c r="R831" s="53"/>
      <c r="V831" s="51"/>
    </row>
    <row r="832">
      <c r="C832" s="51"/>
      <c r="D832" s="51"/>
      <c r="E832" s="51"/>
      <c r="F832" s="51"/>
      <c r="G832" s="51"/>
      <c r="H832" s="51"/>
      <c r="I832" s="51"/>
      <c r="J832" s="51"/>
      <c r="K832" s="51"/>
      <c r="L832" s="51"/>
      <c r="N832" s="52"/>
      <c r="P832" s="53"/>
      <c r="Q832" s="53"/>
      <c r="R832" s="53"/>
      <c r="V832" s="51"/>
    </row>
    <row r="833">
      <c r="C833" s="51"/>
      <c r="D833" s="51"/>
      <c r="E833" s="51"/>
      <c r="F833" s="51"/>
      <c r="G833" s="51"/>
      <c r="H833" s="51"/>
      <c r="I833" s="51"/>
      <c r="J833" s="51"/>
      <c r="K833" s="51"/>
      <c r="L833" s="51"/>
      <c r="N833" s="52"/>
      <c r="P833" s="53"/>
      <c r="Q833" s="53"/>
      <c r="R833" s="53"/>
      <c r="V833" s="51"/>
    </row>
    <row r="834">
      <c r="C834" s="51"/>
      <c r="D834" s="51"/>
      <c r="E834" s="51"/>
      <c r="F834" s="51"/>
      <c r="G834" s="51"/>
      <c r="H834" s="51"/>
      <c r="I834" s="51"/>
      <c r="J834" s="51"/>
      <c r="K834" s="51"/>
      <c r="L834" s="51"/>
      <c r="N834" s="52"/>
      <c r="P834" s="53"/>
      <c r="Q834" s="53"/>
      <c r="R834" s="53"/>
      <c r="V834" s="51"/>
    </row>
    <row r="835">
      <c r="C835" s="51"/>
      <c r="D835" s="51"/>
      <c r="E835" s="51"/>
      <c r="F835" s="51"/>
      <c r="G835" s="51"/>
      <c r="H835" s="51"/>
      <c r="I835" s="51"/>
      <c r="J835" s="51"/>
      <c r="K835" s="51"/>
      <c r="L835" s="51"/>
      <c r="N835" s="52"/>
      <c r="P835" s="53"/>
      <c r="Q835" s="53"/>
      <c r="R835" s="53"/>
      <c r="V835" s="51"/>
    </row>
    <row r="836">
      <c r="C836" s="51"/>
      <c r="D836" s="51"/>
      <c r="E836" s="51"/>
      <c r="F836" s="51"/>
      <c r="G836" s="51"/>
      <c r="H836" s="51"/>
      <c r="I836" s="51"/>
      <c r="J836" s="51"/>
      <c r="K836" s="51"/>
      <c r="L836" s="51"/>
      <c r="N836" s="52"/>
      <c r="P836" s="53"/>
      <c r="Q836" s="53"/>
      <c r="R836" s="53"/>
      <c r="V836" s="51"/>
    </row>
    <row r="837">
      <c r="C837" s="51"/>
      <c r="D837" s="51"/>
      <c r="E837" s="51"/>
      <c r="F837" s="51"/>
      <c r="G837" s="51"/>
      <c r="H837" s="51"/>
      <c r="I837" s="51"/>
      <c r="J837" s="51"/>
      <c r="K837" s="51"/>
      <c r="L837" s="51"/>
      <c r="N837" s="52"/>
      <c r="P837" s="53"/>
      <c r="Q837" s="53"/>
      <c r="R837" s="53"/>
      <c r="V837" s="51"/>
    </row>
    <row r="838">
      <c r="C838" s="51"/>
      <c r="D838" s="51"/>
      <c r="E838" s="51"/>
      <c r="F838" s="51"/>
      <c r="G838" s="51"/>
      <c r="H838" s="51"/>
      <c r="I838" s="51"/>
      <c r="J838" s="51"/>
      <c r="K838" s="51"/>
      <c r="L838" s="51"/>
      <c r="N838" s="52"/>
      <c r="P838" s="53"/>
      <c r="Q838" s="53"/>
      <c r="R838" s="53"/>
      <c r="V838" s="51"/>
    </row>
    <row r="839">
      <c r="C839" s="51"/>
      <c r="D839" s="51"/>
      <c r="E839" s="51"/>
      <c r="F839" s="51"/>
      <c r="G839" s="51"/>
      <c r="H839" s="51"/>
      <c r="I839" s="51"/>
      <c r="J839" s="51"/>
      <c r="K839" s="51"/>
      <c r="L839" s="51"/>
      <c r="N839" s="52"/>
      <c r="P839" s="53"/>
      <c r="Q839" s="53"/>
      <c r="R839" s="53"/>
      <c r="V839" s="51"/>
    </row>
    <row r="840">
      <c r="C840" s="51"/>
      <c r="D840" s="51"/>
      <c r="E840" s="51"/>
      <c r="F840" s="51"/>
      <c r="G840" s="51"/>
      <c r="H840" s="51"/>
      <c r="I840" s="51"/>
      <c r="J840" s="51"/>
      <c r="K840" s="51"/>
      <c r="L840" s="51"/>
      <c r="N840" s="52"/>
      <c r="P840" s="53"/>
      <c r="Q840" s="53"/>
      <c r="R840" s="53"/>
      <c r="V840" s="51"/>
    </row>
    <row r="841">
      <c r="C841" s="51"/>
      <c r="D841" s="51"/>
      <c r="E841" s="51"/>
      <c r="F841" s="51"/>
      <c r="G841" s="51"/>
      <c r="H841" s="51"/>
      <c r="I841" s="51"/>
      <c r="J841" s="51"/>
      <c r="K841" s="51"/>
      <c r="L841" s="51"/>
      <c r="N841" s="52"/>
      <c r="P841" s="53"/>
      <c r="Q841" s="53"/>
      <c r="R841" s="53"/>
      <c r="V841" s="51"/>
    </row>
    <row r="842">
      <c r="C842" s="51"/>
      <c r="D842" s="51"/>
      <c r="E842" s="51"/>
      <c r="F842" s="51"/>
      <c r="G842" s="51"/>
      <c r="H842" s="51"/>
      <c r="I842" s="51"/>
      <c r="J842" s="51"/>
      <c r="K842" s="51"/>
      <c r="L842" s="51"/>
      <c r="N842" s="52"/>
      <c r="P842" s="53"/>
      <c r="Q842" s="53"/>
      <c r="R842" s="53"/>
      <c r="V842" s="51"/>
    </row>
    <row r="843">
      <c r="C843" s="51"/>
      <c r="D843" s="51"/>
      <c r="E843" s="51"/>
      <c r="F843" s="51"/>
      <c r="G843" s="51"/>
      <c r="H843" s="51"/>
      <c r="I843" s="51"/>
      <c r="J843" s="51"/>
      <c r="K843" s="51"/>
      <c r="L843" s="51"/>
      <c r="N843" s="52"/>
      <c r="P843" s="53"/>
      <c r="Q843" s="53"/>
      <c r="R843" s="53"/>
      <c r="V843" s="51"/>
    </row>
    <row r="844">
      <c r="C844" s="51"/>
      <c r="D844" s="51"/>
      <c r="E844" s="51"/>
      <c r="F844" s="51"/>
      <c r="G844" s="51"/>
      <c r="H844" s="51"/>
      <c r="I844" s="51"/>
      <c r="J844" s="51"/>
      <c r="K844" s="51"/>
      <c r="L844" s="51"/>
      <c r="N844" s="52"/>
      <c r="P844" s="53"/>
      <c r="Q844" s="53"/>
      <c r="R844" s="53"/>
      <c r="V844" s="51"/>
    </row>
    <row r="845">
      <c r="C845" s="51"/>
      <c r="D845" s="51"/>
      <c r="E845" s="51"/>
      <c r="F845" s="51"/>
      <c r="G845" s="51"/>
      <c r="H845" s="51"/>
      <c r="I845" s="51"/>
      <c r="J845" s="51"/>
      <c r="K845" s="51"/>
      <c r="L845" s="51"/>
      <c r="N845" s="52"/>
      <c r="P845" s="53"/>
      <c r="Q845" s="53"/>
      <c r="R845" s="53"/>
      <c r="V845" s="51"/>
    </row>
    <row r="846">
      <c r="C846" s="51"/>
      <c r="D846" s="51"/>
      <c r="E846" s="51"/>
      <c r="F846" s="51"/>
      <c r="G846" s="51"/>
      <c r="H846" s="51"/>
      <c r="I846" s="51"/>
      <c r="J846" s="51"/>
      <c r="K846" s="51"/>
      <c r="L846" s="51"/>
      <c r="N846" s="52"/>
      <c r="P846" s="53"/>
      <c r="Q846" s="53"/>
      <c r="R846" s="53"/>
      <c r="V846" s="51"/>
    </row>
    <row r="847">
      <c r="C847" s="51"/>
      <c r="D847" s="51"/>
      <c r="E847" s="51"/>
      <c r="F847" s="51"/>
      <c r="G847" s="51"/>
      <c r="H847" s="51"/>
      <c r="I847" s="51"/>
      <c r="J847" s="51"/>
      <c r="K847" s="51"/>
      <c r="L847" s="51"/>
      <c r="N847" s="52"/>
      <c r="P847" s="53"/>
      <c r="Q847" s="53"/>
      <c r="R847" s="53"/>
      <c r="V847" s="51"/>
    </row>
    <row r="848">
      <c r="C848" s="51"/>
      <c r="D848" s="51"/>
      <c r="E848" s="51"/>
      <c r="F848" s="51"/>
      <c r="G848" s="51"/>
      <c r="H848" s="51"/>
      <c r="I848" s="51"/>
      <c r="J848" s="51"/>
      <c r="K848" s="51"/>
      <c r="L848" s="51"/>
      <c r="N848" s="52"/>
      <c r="P848" s="53"/>
      <c r="Q848" s="53"/>
      <c r="R848" s="53"/>
      <c r="V848" s="51"/>
    </row>
    <row r="849">
      <c r="C849" s="51"/>
      <c r="D849" s="51"/>
      <c r="E849" s="51"/>
      <c r="F849" s="51"/>
      <c r="G849" s="51"/>
      <c r="H849" s="51"/>
      <c r="I849" s="51"/>
      <c r="J849" s="51"/>
      <c r="K849" s="51"/>
      <c r="L849" s="51"/>
      <c r="N849" s="52"/>
      <c r="P849" s="53"/>
      <c r="Q849" s="53"/>
      <c r="R849" s="53"/>
      <c r="V849" s="51"/>
    </row>
    <row r="850">
      <c r="C850" s="51"/>
      <c r="D850" s="51"/>
      <c r="E850" s="51"/>
      <c r="F850" s="51"/>
      <c r="G850" s="51"/>
      <c r="H850" s="51"/>
      <c r="I850" s="51"/>
      <c r="J850" s="51"/>
      <c r="K850" s="51"/>
      <c r="L850" s="51"/>
      <c r="N850" s="52"/>
      <c r="P850" s="53"/>
      <c r="Q850" s="53"/>
      <c r="R850" s="53"/>
      <c r="V850" s="51"/>
    </row>
    <row r="851">
      <c r="C851" s="51"/>
      <c r="D851" s="51"/>
      <c r="E851" s="51"/>
      <c r="F851" s="51"/>
      <c r="G851" s="51"/>
      <c r="H851" s="51"/>
      <c r="I851" s="51"/>
      <c r="J851" s="51"/>
      <c r="K851" s="51"/>
      <c r="L851" s="51"/>
      <c r="N851" s="52"/>
      <c r="P851" s="53"/>
      <c r="Q851" s="53"/>
      <c r="R851" s="53"/>
      <c r="V851" s="51"/>
    </row>
    <row r="852">
      <c r="C852" s="51"/>
      <c r="D852" s="51"/>
      <c r="E852" s="51"/>
      <c r="F852" s="51"/>
      <c r="G852" s="51"/>
      <c r="H852" s="51"/>
      <c r="I852" s="51"/>
      <c r="J852" s="51"/>
      <c r="K852" s="51"/>
      <c r="L852" s="51"/>
      <c r="N852" s="52"/>
      <c r="P852" s="53"/>
      <c r="Q852" s="53"/>
      <c r="R852" s="53"/>
      <c r="V852" s="51"/>
    </row>
    <row r="853">
      <c r="C853" s="51"/>
      <c r="D853" s="51"/>
      <c r="E853" s="51"/>
      <c r="F853" s="51"/>
      <c r="G853" s="51"/>
      <c r="H853" s="51"/>
      <c r="I853" s="51"/>
      <c r="J853" s="51"/>
      <c r="K853" s="51"/>
      <c r="L853" s="51"/>
      <c r="N853" s="52"/>
      <c r="P853" s="53"/>
      <c r="Q853" s="53"/>
      <c r="R853" s="53"/>
      <c r="V853" s="51"/>
    </row>
    <row r="854">
      <c r="C854" s="51"/>
      <c r="D854" s="51"/>
      <c r="E854" s="51"/>
      <c r="F854" s="51"/>
      <c r="G854" s="51"/>
      <c r="H854" s="51"/>
      <c r="I854" s="51"/>
      <c r="J854" s="51"/>
      <c r="K854" s="51"/>
      <c r="L854" s="51"/>
      <c r="N854" s="52"/>
      <c r="P854" s="53"/>
      <c r="Q854" s="53"/>
      <c r="R854" s="53"/>
      <c r="V854" s="51"/>
    </row>
    <row r="855">
      <c r="C855" s="51"/>
      <c r="D855" s="51"/>
      <c r="E855" s="51"/>
      <c r="F855" s="51"/>
      <c r="G855" s="51"/>
      <c r="H855" s="51"/>
      <c r="I855" s="51"/>
      <c r="J855" s="51"/>
      <c r="K855" s="51"/>
      <c r="L855" s="51"/>
      <c r="N855" s="52"/>
      <c r="P855" s="53"/>
      <c r="Q855" s="53"/>
      <c r="R855" s="53"/>
      <c r="V855" s="51"/>
    </row>
    <row r="856">
      <c r="C856" s="51"/>
      <c r="D856" s="51"/>
      <c r="E856" s="51"/>
      <c r="F856" s="51"/>
      <c r="G856" s="51"/>
      <c r="H856" s="51"/>
      <c r="I856" s="51"/>
      <c r="J856" s="51"/>
      <c r="K856" s="51"/>
      <c r="L856" s="51"/>
      <c r="N856" s="52"/>
      <c r="P856" s="53"/>
      <c r="Q856" s="53"/>
      <c r="R856" s="53"/>
      <c r="V856" s="51"/>
    </row>
    <row r="857">
      <c r="C857" s="51"/>
      <c r="D857" s="51"/>
      <c r="E857" s="51"/>
      <c r="F857" s="51"/>
      <c r="G857" s="51"/>
      <c r="H857" s="51"/>
      <c r="I857" s="51"/>
      <c r="J857" s="51"/>
      <c r="K857" s="51"/>
      <c r="L857" s="51"/>
      <c r="N857" s="52"/>
      <c r="P857" s="53"/>
      <c r="Q857" s="53"/>
      <c r="R857" s="53"/>
      <c r="V857" s="51"/>
    </row>
    <row r="858">
      <c r="C858" s="51"/>
      <c r="D858" s="51"/>
      <c r="E858" s="51"/>
      <c r="F858" s="51"/>
      <c r="G858" s="51"/>
      <c r="H858" s="51"/>
      <c r="I858" s="51"/>
      <c r="J858" s="51"/>
      <c r="K858" s="51"/>
      <c r="L858" s="51"/>
      <c r="N858" s="52"/>
      <c r="P858" s="53"/>
      <c r="Q858" s="53"/>
      <c r="R858" s="53"/>
      <c r="V858" s="51"/>
    </row>
    <row r="859">
      <c r="C859" s="51"/>
      <c r="D859" s="51"/>
      <c r="E859" s="51"/>
      <c r="F859" s="51"/>
      <c r="G859" s="51"/>
      <c r="H859" s="51"/>
      <c r="I859" s="51"/>
      <c r="J859" s="51"/>
      <c r="K859" s="51"/>
      <c r="L859" s="51"/>
      <c r="N859" s="52"/>
      <c r="P859" s="53"/>
      <c r="Q859" s="53"/>
      <c r="R859" s="53"/>
      <c r="V859" s="51"/>
    </row>
    <row r="860">
      <c r="C860" s="51"/>
      <c r="D860" s="51"/>
      <c r="E860" s="51"/>
      <c r="F860" s="51"/>
      <c r="G860" s="51"/>
      <c r="H860" s="51"/>
      <c r="I860" s="51"/>
      <c r="J860" s="51"/>
      <c r="K860" s="51"/>
      <c r="L860" s="51"/>
      <c r="N860" s="52"/>
      <c r="P860" s="53"/>
      <c r="Q860" s="53"/>
      <c r="R860" s="53"/>
      <c r="V860" s="51"/>
    </row>
    <row r="861">
      <c r="C861" s="51"/>
      <c r="D861" s="51"/>
      <c r="E861" s="51"/>
      <c r="F861" s="51"/>
      <c r="G861" s="51"/>
      <c r="H861" s="51"/>
      <c r="I861" s="51"/>
      <c r="J861" s="51"/>
      <c r="K861" s="51"/>
      <c r="L861" s="51"/>
      <c r="N861" s="52"/>
      <c r="P861" s="53"/>
      <c r="Q861" s="53"/>
      <c r="R861" s="53"/>
      <c r="V861" s="51"/>
    </row>
    <row r="862">
      <c r="C862" s="51"/>
      <c r="D862" s="51"/>
      <c r="E862" s="51"/>
      <c r="F862" s="51"/>
      <c r="G862" s="51"/>
      <c r="H862" s="51"/>
      <c r="I862" s="51"/>
      <c r="J862" s="51"/>
      <c r="K862" s="51"/>
      <c r="L862" s="51"/>
      <c r="N862" s="52"/>
      <c r="P862" s="53"/>
      <c r="Q862" s="53"/>
      <c r="R862" s="53"/>
      <c r="V862" s="51"/>
    </row>
    <row r="863">
      <c r="C863" s="51"/>
      <c r="D863" s="51"/>
      <c r="E863" s="51"/>
      <c r="F863" s="51"/>
      <c r="G863" s="51"/>
      <c r="H863" s="51"/>
      <c r="I863" s="51"/>
      <c r="J863" s="51"/>
      <c r="K863" s="51"/>
      <c r="L863" s="51"/>
      <c r="N863" s="52"/>
      <c r="P863" s="53"/>
      <c r="Q863" s="53"/>
      <c r="R863" s="53"/>
      <c r="V863" s="51"/>
    </row>
    <row r="864">
      <c r="C864" s="51"/>
      <c r="D864" s="51"/>
      <c r="E864" s="51"/>
      <c r="F864" s="51"/>
      <c r="G864" s="51"/>
      <c r="H864" s="51"/>
      <c r="I864" s="51"/>
      <c r="J864" s="51"/>
      <c r="K864" s="51"/>
      <c r="L864" s="51"/>
      <c r="N864" s="52"/>
      <c r="P864" s="53"/>
      <c r="Q864" s="53"/>
      <c r="R864" s="53"/>
      <c r="V864" s="51"/>
    </row>
    <row r="865">
      <c r="C865" s="51"/>
      <c r="D865" s="51"/>
      <c r="E865" s="51"/>
      <c r="F865" s="51"/>
      <c r="G865" s="51"/>
      <c r="H865" s="51"/>
      <c r="I865" s="51"/>
      <c r="J865" s="51"/>
      <c r="K865" s="51"/>
      <c r="L865" s="51"/>
      <c r="N865" s="52"/>
      <c r="P865" s="53"/>
      <c r="Q865" s="53"/>
      <c r="R865" s="53"/>
      <c r="V865" s="51"/>
    </row>
    <row r="866">
      <c r="C866" s="51"/>
      <c r="D866" s="51"/>
      <c r="E866" s="51"/>
      <c r="F866" s="51"/>
      <c r="G866" s="51"/>
      <c r="H866" s="51"/>
      <c r="I866" s="51"/>
      <c r="J866" s="51"/>
      <c r="K866" s="51"/>
      <c r="L866" s="51"/>
      <c r="N866" s="52"/>
      <c r="P866" s="53"/>
      <c r="Q866" s="53"/>
      <c r="R866" s="53"/>
      <c r="V866" s="51"/>
    </row>
    <row r="867">
      <c r="C867" s="51"/>
      <c r="D867" s="51"/>
      <c r="E867" s="51"/>
      <c r="F867" s="51"/>
      <c r="G867" s="51"/>
      <c r="H867" s="51"/>
      <c r="I867" s="51"/>
      <c r="J867" s="51"/>
      <c r="K867" s="51"/>
      <c r="L867" s="51"/>
      <c r="N867" s="52"/>
      <c r="P867" s="53"/>
      <c r="Q867" s="53"/>
      <c r="R867" s="53"/>
      <c r="V867" s="51"/>
    </row>
    <row r="868">
      <c r="C868" s="51"/>
      <c r="D868" s="51"/>
      <c r="E868" s="51"/>
      <c r="F868" s="51"/>
      <c r="G868" s="51"/>
      <c r="H868" s="51"/>
      <c r="I868" s="51"/>
      <c r="J868" s="51"/>
      <c r="K868" s="51"/>
      <c r="L868" s="51"/>
      <c r="N868" s="52"/>
      <c r="P868" s="53"/>
      <c r="Q868" s="53"/>
      <c r="R868" s="53"/>
      <c r="V868" s="51"/>
    </row>
    <row r="869">
      <c r="C869" s="51"/>
      <c r="D869" s="51"/>
      <c r="E869" s="51"/>
      <c r="F869" s="51"/>
      <c r="G869" s="51"/>
      <c r="H869" s="51"/>
      <c r="I869" s="51"/>
      <c r="J869" s="51"/>
      <c r="K869" s="51"/>
      <c r="L869" s="51"/>
      <c r="N869" s="52"/>
      <c r="P869" s="53"/>
      <c r="Q869" s="53"/>
      <c r="R869" s="53"/>
      <c r="V869" s="51"/>
    </row>
    <row r="870">
      <c r="C870" s="51"/>
      <c r="D870" s="51"/>
      <c r="E870" s="51"/>
      <c r="F870" s="51"/>
      <c r="G870" s="51"/>
      <c r="H870" s="51"/>
      <c r="I870" s="51"/>
      <c r="J870" s="51"/>
      <c r="K870" s="51"/>
      <c r="L870" s="51"/>
      <c r="N870" s="52"/>
      <c r="P870" s="53"/>
      <c r="Q870" s="53"/>
      <c r="R870" s="53"/>
      <c r="V870" s="51"/>
    </row>
    <row r="871">
      <c r="C871" s="51"/>
      <c r="D871" s="51"/>
      <c r="E871" s="51"/>
      <c r="F871" s="51"/>
      <c r="G871" s="51"/>
      <c r="H871" s="51"/>
      <c r="I871" s="51"/>
      <c r="J871" s="51"/>
      <c r="K871" s="51"/>
      <c r="L871" s="51"/>
      <c r="N871" s="52"/>
      <c r="P871" s="53"/>
      <c r="Q871" s="53"/>
      <c r="R871" s="53"/>
      <c r="V871" s="51"/>
    </row>
    <row r="872">
      <c r="C872" s="51"/>
      <c r="D872" s="51"/>
      <c r="E872" s="51"/>
      <c r="F872" s="51"/>
      <c r="G872" s="51"/>
      <c r="H872" s="51"/>
      <c r="I872" s="51"/>
      <c r="J872" s="51"/>
      <c r="K872" s="51"/>
      <c r="L872" s="51"/>
      <c r="N872" s="52"/>
      <c r="P872" s="53"/>
      <c r="Q872" s="53"/>
      <c r="R872" s="53"/>
      <c r="V872" s="51"/>
    </row>
    <row r="873">
      <c r="C873" s="51"/>
      <c r="D873" s="51"/>
      <c r="E873" s="51"/>
      <c r="F873" s="51"/>
      <c r="G873" s="51"/>
      <c r="H873" s="51"/>
      <c r="I873" s="51"/>
      <c r="J873" s="51"/>
      <c r="K873" s="51"/>
      <c r="L873" s="51"/>
      <c r="N873" s="52"/>
      <c r="P873" s="53"/>
      <c r="Q873" s="53"/>
      <c r="R873" s="53"/>
      <c r="V873" s="51"/>
    </row>
    <row r="874">
      <c r="C874" s="51"/>
      <c r="D874" s="51"/>
      <c r="E874" s="51"/>
      <c r="F874" s="51"/>
      <c r="G874" s="51"/>
      <c r="H874" s="51"/>
      <c r="I874" s="51"/>
      <c r="J874" s="51"/>
      <c r="K874" s="51"/>
      <c r="L874" s="51"/>
      <c r="N874" s="52"/>
      <c r="P874" s="53"/>
      <c r="Q874" s="53"/>
      <c r="R874" s="53"/>
      <c r="V874" s="51"/>
    </row>
    <row r="875">
      <c r="C875" s="51"/>
      <c r="D875" s="51"/>
      <c r="E875" s="51"/>
      <c r="F875" s="51"/>
      <c r="G875" s="51"/>
      <c r="H875" s="51"/>
      <c r="I875" s="51"/>
      <c r="J875" s="51"/>
      <c r="K875" s="51"/>
      <c r="L875" s="51"/>
      <c r="N875" s="52"/>
      <c r="P875" s="53"/>
      <c r="Q875" s="53"/>
      <c r="R875" s="53"/>
      <c r="V875" s="51"/>
    </row>
    <row r="876">
      <c r="C876" s="51"/>
      <c r="D876" s="51"/>
      <c r="E876" s="51"/>
      <c r="F876" s="51"/>
      <c r="G876" s="51"/>
      <c r="H876" s="51"/>
      <c r="I876" s="51"/>
      <c r="J876" s="51"/>
      <c r="K876" s="51"/>
      <c r="L876" s="51"/>
      <c r="N876" s="52"/>
      <c r="P876" s="53"/>
      <c r="Q876" s="53"/>
      <c r="R876" s="53"/>
      <c r="V876" s="51"/>
    </row>
    <row r="877">
      <c r="C877" s="51"/>
      <c r="D877" s="51"/>
      <c r="E877" s="51"/>
      <c r="F877" s="51"/>
      <c r="G877" s="51"/>
      <c r="H877" s="51"/>
      <c r="I877" s="51"/>
      <c r="J877" s="51"/>
      <c r="K877" s="51"/>
      <c r="L877" s="51"/>
      <c r="N877" s="52"/>
      <c r="P877" s="53"/>
      <c r="Q877" s="53"/>
      <c r="R877" s="53"/>
      <c r="V877" s="51"/>
    </row>
    <row r="878">
      <c r="C878" s="51"/>
      <c r="D878" s="51"/>
      <c r="E878" s="51"/>
      <c r="F878" s="51"/>
      <c r="G878" s="51"/>
      <c r="H878" s="51"/>
      <c r="I878" s="51"/>
      <c r="J878" s="51"/>
      <c r="K878" s="51"/>
      <c r="L878" s="51"/>
      <c r="N878" s="52"/>
      <c r="P878" s="53"/>
      <c r="Q878" s="53"/>
      <c r="R878" s="53"/>
      <c r="V878" s="51"/>
    </row>
    <row r="879">
      <c r="C879" s="51"/>
      <c r="D879" s="51"/>
      <c r="E879" s="51"/>
      <c r="F879" s="51"/>
      <c r="G879" s="51"/>
      <c r="H879" s="51"/>
      <c r="I879" s="51"/>
      <c r="J879" s="51"/>
      <c r="K879" s="51"/>
      <c r="L879" s="51"/>
      <c r="N879" s="52"/>
      <c r="P879" s="53"/>
      <c r="Q879" s="53"/>
      <c r="R879" s="53"/>
      <c r="V879" s="51"/>
    </row>
    <row r="880">
      <c r="C880" s="51"/>
      <c r="D880" s="51"/>
      <c r="E880" s="51"/>
      <c r="F880" s="51"/>
      <c r="G880" s="51"/>
      <c r="H880" s="51"/>
      <c r="I880" s="51"/>
      <c r="J880" s="51"/>
      <c r="K880" s="51"/>
      <c r="L880" s="51"/>
      <c r="N880" s="52"/>
      <c r="P880" s="53"/>
      <c r="Q880" s="53"/>
      <c r="R880" s="53"/>
      <c r="V880" s="51"/>
    </row>
    <row r="881">
      <c r="C881" s="51"/>
      <c r="D881" s="51"/>
      <c r="E881" s="51"/>
      <c r="F881" s="51"/>
      <c r="G881" s="51"/>
      <c r="H881" s="51"/>
      <c r="I881" s="51"/>
      <c r="J881" s="51"/>
      <c r="K881" s="51"/>
      <c r="L881" s="51"/>
      <c r="N881" s="52"/>
      <c r="P881" s="53"/>
      <c r="Q881" s="53"/>
      <c r="R881" s="53"/>
      <c r="V881" s="51"/>
    </row>
    <row r="882">
      <c r="C882" s="51"/>
      <c r="D882" s="51"/>
      <c r="E882" s="51"/>
      <c r="F882" s="51"/>
      <c r="G882" s="51"/>
      <c r="H882" s="51"/>
      <c r="I882" s="51"/>
      <c r="J882" s="51"/>
      <c r="K882" s="51"/>
      <c r="L882" s="51"/>
      <c r="N882" s="52"/>
      <c r="P882" s="53"/>
      <c r="Q882" s="53"/>
      <c r="R882" s="53"/>
      <c r="V882" s="51"/>
    </row>
    <row r="883">
      <c r="C883" s="51"/>
      <c r="D883" s="51"/>
      <c r="E883" s="51"/>
      <c r="F883" s="51"/>
      <c r="G883" s="51"/>
      <c r="H883" s="51"/>
      <c r="I883" s="51"/>
      <c r="J883" s="51"/>
      <c r="K883" s="51"/>
      <c r="L883" s="51"/>
      <c r="N883" s="52"/>
      <c r="P883" s="53"/>
      <c r="Q883" s="53"/>
      <c r="R883" s="53"/>
      <c r="V883" s="51"/>
    </row>
    <row r="884">
      <c r="C884" s="51"/>
      <c r="D884" s="51"/>
      <c r="E884" s="51"/>
      <c r="F884" s="51"/>
      <c r="G884" s="51"/>
      <c r="H884" s="51"/>
      <c r="I884" s="51"/>
      <c r="J884" s="51"/>
      <c r="K884" s="51"/>
      <c r="L884" s="51"/>
      <c r="N884" s="52"/>
      <c r="P884" s="53"/>
      <c r="Q884" s="53"/>
      <c r="R884" s="53"/>
      <c r="V884" s="51"/>
    </row>
    <row r="885">
      <c r="C885" s="51"/>
      <c r="D885" s="51"/>
      <c r="E885" s="51"/>
      <c r="F885" s="51"/>
      <c r="G885" s="51"/>
      <c r="H885" s="51"/>
      <c r="I885" s="51"/>
      <c r="J885" s="51"/>
      <c r="K885" s="51"/>
      <c r="L885" s="51"/>
      <c r="N885" s="52"/>
      <c r="P885" s="53"/>
      <c r="Q885" s="53"/>
      <c r="R885" s="53"/>
      <c r="V885" s="51"/>
    </row>
    <row r="886">
      <c r="C886" s="51"/>
      <c r="D886" s="51"/>
      <c r="E886" s="51"/>
      <c r="F886" s="51"/>
      <c r="G886" s="51"/>
      <c r="H886" s="51"/>
      <c r="I886" s="51"/>
      <c r="J886" s="51"/>
      <c r="K886" s="51"/>
      <c r="L886" s="51"/>
      <c r="N886" s="52"/>
      <c r="P886" s="53"/>
      <c r="Q886" s="53"/>
      <c r="R886" s="53"/>
      <c r="V886" s="51"/>
    </row>
    <row r="887">
      <c r="C887" s="51"/>
      <c r="D887" s="51"/>
      <c r="E887" s="51"/>
      <c r="F887" s="51"/>
      <c r="G887" s="51"/>
      <c r="H887" s="51"/>
      <c r="I887" s="51"/>
      <c r="J887" s="51"/>
      <c r="K887" s="51"/>
      <c r="L887" s="51"/>
      <c r="N887" s="52"/>
      <c r="P887" s="53"/>
      <c r="Q887" s="53"/>
      <c r="R887" s="53"/>
      <c r="V887" s="51"/>
    </row>
    <row r="888">
      <c r="C888" s="51"/>
      <c r="D888" s="51"/>
      <c r="E888" s="51"/>
      <c r="F888" s="51"/>
      <c r="G888" s="51"/>
      <c r="H888" s="51"/>
      <c r="I888" s="51"/>
      <c r="J888" s="51"/>
      <c r="K888" s="51"/>
      <c r="L888" s="51"/>
      <c r="N888" s="52"/>
      <c r="P888" s="53"/>
      <c r="Q888" s="53"/>
      <c r="R888" s="53"/>
      <c r="V888" s="51"/>
    </row>
    <row r="889">
      <c r="C889" s="51"/>
      <c r="D889" s="51"/>
      <c r="E889" s="51"/>
      <c r="F889" s="51"/>
      <c r="G889" s="51"/>
      <c r="H889" s="51"/>
      <c r="I889" s="51"/>
      <c r="J889" s="51"/>
      <c r="K889" s="51"/>
      <c r="L889" s="51"/>
      <c r="N889" s="52"/>
      <c r="P889" s="53"/>
      <c r="Q889" s="53"/>
      <c r="R889" s="53"/>
      <c r="V889" s="51"/>
    </row>
    <row r="890">
      <c r="C890" s="51"/>
      <c r="D890" s="51"/>
      <c r="E890" s="51"/>
      <c r="F890" s="51"/>
      <c r="G890" s="51"/>
      <c r="H890" s="51"/>
      <c r="I890" s="51"/>
      <c r="J890" s="51"/>
      <c r="K890" s="51"/>
      <c r="L890" s="51"/>
      <c r="N890" s="52"/>
      <c r="P890" s="53"/>
      <c r="Q890" s="53"/>
      <c r="R890" s="53"/>
      <c r="V890" s="51"/>
    </row>
    <row r="891">
      <c r="C891" s="51"/>
      <c r="D891" s="51"/>
      <c r="E891" s="51"/>
      <c r="F891" s="51"/>
      <c r="G891" s="51"/>
      <c r="H891" s="51"/>
      <c r="I891" s="51"/>
      <c r="J891" s="51"/>
      <c r="K891" s="51"/>
      <c r="L891" s="51"/>
      <c r="N891" s="52"/>
      <c r="P891" s="53"/>
      <c r="Q891" s="53"/>
      <c r="R891" s="53"/>
      <c r="V891" s="51"/>
    </row>
    <row r="892">
      <c r="C892" s="51"/>
      <c r="D892" s="51"/>
      <c r="E892" s="51"/>
      <c r="F892" s="51"/>
      <c r="G892" s="51"/>
      <c r="H892" s="51"/>
      <c r="I892" s="51"/>
      <c r="J892" s="51"/>
      <c r="K892" s="51"/>
      <c r="L892" s="51"/>
      <c r="N892" s="52"/>
      <c r="P892" s="53"/>
      <c r="Q892" s="53"/>
      <c r="R892" s="53"/>
      <c r="V892" s="51"/>
    </row>
    <row r="893">
      <c r="C893" s="51"/>
      <c r="D893" s="51"/>
      <c r="E893" s="51"/>
      <c r="F893" s="51"/>
      <c r="G893" s="51"/>
      <c r="H893" s="51"/>
      <c r="I893" s="51"/>
      <c r="J893" s="51"/>
      <c r="K893" s="51"/>
      <c r="L893" s="51"/>
      <c r="N893" s="52"/>
      <c r="P893" s="53"/>
      <c r="Q893" s="53"/>
      <c r="R893" s="53"/>
      <c r="V893" s="51"/>
    </row>
    <row r="894">
      <c r="C894" s="51"/>
      <c r="D894" s="51"/>
      <c r="E894" s="51"/>
      <c r="F894" s="51"/>
      <c r="G894" s="51"/>
      <c r="H894" s="51"/>
      <c r="I894" s="51"/>
      <c r="J894" s="51"/>
      <c r="K894" s="51"/>
      <c r="L894" s="51"/>
      <c r="N894" s="52"/>
      <c r="P894" s="53"/>
      <c r="Q894" s="53"/>
      <c r="R894" s="53"/>
      <c r="V894" s="51"/>
    </row>
    <row r="895">
      <c r="C895" s="51"/>
      <c r="D895" s="51"/>
      <c r="E895" s="51"/>
      <c r="F895" s="51"/>
      <c r="G895" s="51"/>
      <c r="H895" s="51"/>
      <c r="I895" s="51"/>
      <c r="J895" s="51"/>
      <c r="K895" s="51"/>
      <c r="L895" s="51"/>
      <c r="N895" s="52"/>
      <c r="P895" s="53"/>
      <c r="Q895" s="53"/>
      <c r="R895" s="53"/>
      <c r="V895" s="51"/>
    </row>
    <row r="896">
      <c r="C896" s="51"/>
      <c r="D896" s="51"/>
      <c r="E896" s="51"/>
      <c r="F896" s="51"/>
      <c r="G896" s="51"/>
      <c r="H896" s="51"/>
      <c r="I896" s="51"/>
      <c r="J896" s="51"/>
      <c r="K896" s="51"/>
      <c r="L896" s="51"/>
      <c r="N896" s="52"/>
      <c r="P896" s="53"/>
      <c r="Q896" s="53"/>
      <c r="R896" s="53"/>
      <c r="V896" s="51"/>
    </row>
    <row r="897">
      <c r="C897" s="51"/>
      <c r="D897" s="51"/>
      <c r="E897" s="51"/>
      <c r="F897" s="51"/>
      <c r="G897" s="51"/>
      <c r="H897" s="51"/>
      <c r="I897" s="51"/>
      <c r="J897" s="51"/>
      <c r="K897" s="51"/>
      <c r="L897" s="51"/>
      <c r="N897" s="52"/>
      <c r="P897" s="53"/>
      <c r="Q897" s="53"/>
      <c r="R897" s="53"/>
      <c r="V897" s="51"/>
    </row>
    <row r="898">
      <c r="C898" s="51"/>
      <c r="D898" s="51"/>
      <c r="E898" s="51"/>
      <c r="F898" s="51"/>
      <c r="G898" s="51"/>
      <c r="H898" s="51"/>
      <c r="I898" s="51"/>
      <c r="J898" s="51"/>
      <c r="K898" s="51"/>
      <c r="L898" s="51"/>
      <c r="N898" s="52"/>
      <c r="P898" s="53"/>
      <c r="Q898" s="53"/>
      <c r="R898" s="53"/>
      <c r="V898" s="51"/>
    </row>
    <row r="899">
      <c r="C899" s="51"/>
      <c r="D899" s="51"/>
      <c r="E899" s="51"/>
      <c r="F899" s="51"/>
      <c r="G899" s="51"/>
      <c r="H899" s="51"/>
      <c r="I899" s="51"/>
      <c r="J899" s="51"/>
      <c r="K899" s="51"/>
      <c r="L899" s="51"/>
      <c r="N899" s="52"/>
      <c r="P899" s="53"/>
      <c r="Q899" s="53"/>
      <c r="R899" s="53"/>
      <c r="V899" s="51"/>
    </row>
    <row r="900">
      <c r="C900" s="51"/>
      <c r="D900" s="51"/>
      <c r="E900" s="51"/>
      <c r="F900" s="51"/>
      <c r="G900" s="51"/>
      <c r="H900" s="51"/>
      <c r="I900" s="51"/>
      <c r="J900" s="51"/>
      <c r="K900" s="51"/>
      <c r="L900" s="51"/>
      <c r="N900" s="52"/>
      <c r="P900" s="53"/>
      <c r="Q900" s="53"/>
      <c r="R900" s="53"/>
      <c r="V900" s="51"/>
    </row>
    <row r="901">
      <c r="C901" s="51"/>
      <c r="D901" s="51"/>
      <c r="E901" s="51"/>
      <c r="F901" s="51"/>
      <c r="G901" s="51"/>
      <c r="H901" s="51"/>
      <c r="I901" s="51"/>
      <c r="J901" s="51"/>
      <c r="K901" s="51"/>
      <c r="L901" s="51"/>
      <c r="N901" s="52"/>
      <c r="P901" s="53"/>
      <c r="Q901" s="53"/>
      <c r="R901" s="53"/>
      <c r="V901" s="51"/>
    </row>
    <row r="902">
      <c r="C902" s="51"/>
      <c r="D902" s="51"/>
      <c r="E902" s="51"/>
      <c r="F902" s="51"/>
      <c r="G902" s="51"/>
      <c r="H902" s="51"/>
      <c r="I902" s="51"/>
      <c r="J902" s="51"/>
      <c r="K902" s="51"/>
      <c r="L902" s="51"/>
      <c r="N902" s="52"/>
      <c r="P902" s="53"/>
      <c r="Q902" s="53"/>
      <c r="R902" s="53"/>
      <c r="V902" s="51"/>
    </row>
    <row r="903">
      <c r="C903" s="51"/>
      <c r="D903" s="51"/>
      <c r="E903" s="51"/>
      <c r="F903" s="51"/>
      <c r="G903" s="51"/>
      <c r="H903" s="51"/>
      <c r="I903" s="51"/>
      <c r="J903" s="51"/>
      <c r="K903" s="51"/>
      <c r="L903" s="51"/>
      <c r="N903" s="52"/>
      <c r="P903" s="53"/>
      <c r="Q903" s="53"/>
      <c r="R903" s="53"/>
      <c r="V903" s="51"/>
    </row>
    <row r="904">
      <c r="C904" s="51"/>
      <c r="D904" s="51"/>
      <c r="E904" s="51"/>
      <c r="F904" s="51"/>
      <c r="G904" s="51"/>
      <c r="H904" s="51"/>
      <c r="I904" s="51"/>
      <c r="J904" s="51"/>
      <c r="K904" s="51"/>
      <c r="L904" s="51"/>
      <c r="N904" s="52"/>
      <c r="P904" s="53"/>
      <c r="Q904" s="53"/>
      <c r="R904" s="53"/>
      <c r="V904" s="51"/>
    </row>
    <row r="905">
      <c r="C905" s="51"/>
      <c r="D905" s="51"/>
      <c r="E905" s="51"/>
      <c r="F905" s="51"/>
      <c r="G905" s="51"/>
      <c r="H905" s="51"/>
      <c r="I905" s="51"/>
      <c r="J905" s="51"/>
      <c r="K905" s="51"/>
      <c r="L905" s="51"/>
      <c r="N905" s="52"/>
      <c r="P905" s="53"/>
      <c r="Q905" s="53"/>
      <c r="R905" s="53"/>
      <c r="V905" s="51"/>
    </row>
    <row r="906">
      <c r="C906" s="51"/>
      <c r="D906" s="51"/>
      <c r="E906" s="51"/>
      <c r="F906" s="51"/>
      <c r="G906" s="51"/>
      <c r="H906" s="51"/>
      <c r="I906" s="51"/>
      <c r="J906" s="51"/>
      <c r="K906" s="51"/>
      <c r="L906" s="51"/>
      <c r="N906" s="52"/>
      <c r="P906" s="53"/>
      <c r="Q906" s="53"/>
      <c r="R906" s="53"/>
      <c r="V906" s="51"/>
    </row>
    <row r="907">
      <c r="C907" s="51"/>
      <c r="D907" s="51"/>
      <c r="E907" s="51"/>
      <c r="F907" s="51"/>
      <c r="G907" s="51"/>
      <c r="H907" s="51"/>
      <c r="I907" s="51"/>
      <c r="J907" s="51"/>
      <c r="K907" s="51"/>
      <c r="L907" s="51"/>
      <c r="N907" s="52"/>
      <c r="P907" s="53"/>
      <c r="Q907" s="53"/>
      <c r="R907" s="53"/>
      <c r="V907" s="51"/>
    </row>
    <row r="908">
      <c r="C908" s="51"/>
      <c r="D908" s="51"/>
      <c r="E908" s="51"/>
      <c r="F908" s="51"/>
      <c r="G908" s="51"/>
      <c r="H908" s="51"/>
      <c r="I908" s="51"/>
      <c r="J908" s="51"/>
      <c r="K908" s="51"/>
      <c r="L908" s="51"/>
      <c r="N908" s="52"/>
      <c r="P908" s="53"/>
      <c r="Q908" s="53"/>
      <c r="R908" s="53"/>
      <c r="V908" s="51"/>
    </row>
    <row r="909">
      <c r="C909" s="51"/>
      <c r="D909" s="51"/>
      <c r="E909" s="51"/>
      <c r="F909" s="51"/>
      <c r="G909" s="51"/>
      <c r="H909" s="51"/>
      <c r="I909" s="51"/>
      <c r="J909" s="51"/>
      <c r="K909" s="51"/>
      <c r="L909" s="51"/>
      <c r="N909" s="52"/>
      <c r="P909" s="53"/>
      <c r="Q909" s="53"/>
      <c r="R909" s="53"/>
      <c r="V909" s="51"/>
    </row>
    <row r="910">
      <c r="C910" s="51"/>
      <c r="D910" s="51"/>
      <c r="E910" s="51"/>
      <c r="F910" s="51"/>
      <c r="G910" s="51"/>
      <c r="H910" s="51"/>
      <c r="I910" s="51"/>
      <c r="J910" s="51"/>
      <c r="K910" s="51"/>
      <c r="L910" s="51"/>
      <c r="N910" s="52"/>
      <c r="P910" s="53"/>
      <c r="Q910" s="53"/>
      <c r="R910" s="53"/>
      <c r="V910" s="51"/>
    </row>
    <row r="911">
      <c r="C911" s="51"/>
      <c r="D911" s="51"/>
      <c r="E911" s="51"/>
      <c r="F911" s="51"/>
      <c r="G911" s="51"/>
      <c r="H911" s="51"/>
      <c r="I911" s="51"/>
      <c r="J911" s="51"/>
      <c r="K911" s="51"/>
      <c r="L911" s="51"/>
      <c r="N911" s="52"/>
      <c r="P911" s="53"/>
      <c r="Q911" s="53"/>
      <c r="R911" s="53"/>
      <c r="V911" s="51"/>
    </row>
    <row r="912">
      <c r="C912" s="51"/>
      <c r="D912" s="51"/>
      <c r="E912" s="51"/>
      <c r="F912" s="51"/>
      <c r="G912" s="51"/>
      <c r="H912" s="51"/>
      <c r="I912" s="51"/>
      <c r="J912" s="51"/>
      <c r="K912" s="51"/>
      <c r="L912" s="51"/>
      <c r="N912" s="52"/>
      <c r="P912" s="53"/>
      <c r="Q912" s="53"/>
      <c r="R912" s="53"/>
      <c r="V912" s="51"/>
    </row>
    <row r="913">
      <c r="C913" s="51"/>
      <c r="D913" s="51"/>
      <c r="E913" s="51"/>
      <c r="F913" s="51"/>
      <c r="G913" s="51"/>
      <c r="H913" s="51"/>
      <c r="I913" s="51"/>
      <c r="J913" s="51"/>
      <c r="K913" s="51"/>
      <c r="L913" s="51"/>
      <c r="N913" s="52"/>
      <c r="P913" s="53"/>
      <c r="Q913" s="53"/>
      <c r="R913" s="53"/>
      <c r="V913" s="51"/>
    </row>
    <row r="914">
      <c r="C914" s="51"/>
      <c r="D914" s="51"/>
      <c r="E914" s="51"/>
      <c r="F914" s="51"/>
      <c r="G914" s="51"/>
      <c r="H914" s="51"/>
      <c r="I914" s="51"/>
      <c r="J914" s="51"/>
      <c r="K914" s="51"/>
      <c r="L914" s="51"/>
      <c r="N914" s="52"/>
      <c r="P914" s="53"/>
      <c r="Q914" s="53"/>
      <c r="R914" s="53"/>
      <c r="V914" s="51"/>
    </row>
    <row r="915">
      <c r="C915" s="51"/>
      <c r="D915" s="51"/>
      <c r="E915" s="51"/>
      <c r="F915" s="51"/>
      <c r="G915" s="51"/>
      <c r="H915" s="51"/>
      <c r="I915" s="51"/>
      <c r="J915" s="51"/>
      <c r="K915" s="51"/>
      <c r="L915" s="51"/>
      <c r="N915" s="52"/>
      <c r="P915" s="53"/>
      <c r="Q915" s="53"/>
      <c r="R915" s="53"/>
      <c r="V915" s="51"/>
    </row>
    <row r="916">
      <c r="C916" s="51"/>
      <c r="D916" s="51"/>
      <c r="E916" s="51"/>
      <c r="F916" s="51"/>
      <c r="G916" s="51"/>
      <c r="H916" s="51"/>
      <c r="I916" s="51"/>
      <c r="J916" s="51"/>
      <c r="K916" s="51"/>
      <c r="L916" s="51"/>
      <c r="N916" s="52"/>
      <c r="P916" s="53"/>
      <c r="Q916" s="53"/>
      <c r="R916" s="53"/>
      <c r="V916" s="51"/>
    </row>
    <row r="917">
      <c r="C917" s="51"/>
      <c r="D917" s="51"/>
      <c r="E917" s="51"/>
      <c r="F917" s="51"/>
      <c r="G917" s="51"/>
      <c r="H917" s="51"/>
      <c r="I917" s="51"/>
      <c r="J917" s="51"/>
      <c r="K917" s="51"/>
      <c r="L917" s="51"/>
      <c r="N917" s="52"/>
      <c r="P917" s="53"/>
      <c r="Q917" s="53"/>
      <c r="R917" s="53"/>
      <c r="V917" s="51"/>
    </row>
    <row r="918">
      <c r="C918" s="51"/>
      <c r="D918" s="51"/>
      <c r="E918" s="51"/>
      <c r="F918" s="51"/>
      <c r="G918" s="51"/>
      <c r="H918" s="51"/>
      <c r="I918" s="51"/>
      <c r="J918" s="51"/>
      <c r="K918" s="51"/>
      <c r="L918" s="51"/>
      <c r="N918" s="52"/>
      <c r="P918" s="53"/>
      <c r="Q918" s="53"/>
      <c r="R918" s="53"/>
      <c r="V918" s="51"/>
    </row>
    <row r="919">
      <c r="C919" s="51"/>
      <c r="D919" s="51"/>
      <c r="E919" s="51"/>
      <c r="F919" s="51"/>
      <c r="G919" s="51"/>
      <c r="H919" s="51"/>
      <c r="I919" s="51"/>
      <c r="J919" s="51"/>
      <c r="K919" s="51"/>
      <c r="L919" s="51"/>
      <c r="N919" s="52"/>
      <c r="P919" s="53"/>
      <c r="Q919" s="53"/>
      <c r="R919" s="53"/>
      <c r="V919" s="51"/>
    </row>
    <row r="920">
      <c r="C920" s="51"/>
      <c r="D920" s="51"/>
      <c r="E920" s="51"/>
      <c r="F920" s="51"/>
      <c r="G920" s="51"/>
      <c r="H920" s="51"/>
      <c r="I920" s="51"/>
      <c r="J920" s="51"/>
      <c r="K920" s="51"/>
      <c r="L920" s="51"/>
      <c r="N920" s="52"/>
      <c r="P920" s="53"/>
      <c r="Q920" s="53"/>
      <c r="R920" s="53"/>
      <c r="V920" s="51"/>
    </row>
    <row r="921">
      <c r="C921" s="51"/>
      <c r="D921" s="51"/>
      <c r="E921" s="51"/>
      <c r="F921" s="51"/>
      <c r="G921" s="51"/>
      <c r="H921" s="51"/>
      <c r="I921" s="51"/>
      <c r="J921" s="51"/>
      <c r="K921" s="51"/>
      <c r="L921" s="51"/>
      <c r="N921" s="52"/>
      <c r="P921" s="53"/>
      <c r="Q921" s="53"/>
      <c r="R921" s="53"/>
      <c r="V921" s="51"/>
    </row>
    <row r="922">
      <c r="C922" s="51"/>
      <c r="D922" s="51"/>
      <c r="E922" s="51"/>
      <c r="F922" s="51"/>
      <c r="G922" s="51"/>
      <c r="H922" s="51"/>
      <c r="I922" s="51"/>
      <c r="J922" s="51"/>
      <c r="K922" s="51"/>
      <c r="L922" s="51"/>
      <c r="N922" s="52"/>
      <c r="P922" s="53"/>
      <c r="Q922" s="53"/>
      <c r="R922" s="53"/>
      <c r="V922" s="51"/>
    </row>
    <row r="923">
      <c r="C923" s="51"/>
      <c r="D923" s="51"/>
      <c r="E923" s="51"/>
      <c r="F923" s="51"/>
      <c r="G923" s="51"/>
      <c r="H923" s="51"/>
      <c r="I923" s="51"/>
      <c r="J923" s="51"/>
      <c r="K923" s="51"/>
      <c r="L923" s="51"/>
      <c r="N923" s="52"/>
      <c r="P923" s="53"/>
      <c r="Q923" s="53"/>
      <c r="R923" s="53"/>
      <c r="V923" s="51"/>
    </row>
    <row r="924">
      <c r="C924" s="51"/>
      <c r="D924" s="51"/>
      <c r="E924" s="51"/>
      <c r="F924" s="51"/>
      <c r="G924" s="51"/>
      <c r="H924" s="51"/>
      <c r="I924" s="51"/>
      <c r="J924" s="51"/>
      <c r="K924" s="51"/>
      <c r="L924" s="51"/>
      <c r="N924" s="52"/>
      <c r="P924" s="53"/>
      <c r="Q924" s="53"/>
      <c r="R924" s="53"/>
      <c r="V924" s="51"/>
    </row>
    <row r="925">
      <c r="C925" s="51"/>
      <c r="D925" s="51"/>
      <c r="E925" s="51"/>
      <c r="F925" s="51"/>
      <c r="G925" s="51"/>
      <c r="H925" s="51"/>
      <c r="I925" s="51"/>
      <c r="J925" s="51"/>
      <c r="K925" s="51"/>
      <c r="L925" s="51"/>
      <c r="N925" s="52"/>
      <c r="P925" s="53"/>
      <c r="Q925" s="53"/>
      <c r="R925" s="53"/>
      <c r="V925" s="51"/>
    </row>
    <row r="926">
      <c r="C926" s="51"/>
      <c r="D926" s="51"/>
      <c r="E926" s="51"/>
      <c r="F926" s="51"/>
      <c r="G926" s="51"/>
      <c r="H926" s="51"/>
      <c r="I926" s="51"/>
      <c r="J926" s="51"/>
      <c r="K926" s="51"/>
      <c r="L926" s="51"/>
      <c r="N926" s="52"/>
      <c r="P926" s="53"/>
      <c r="Q926" s="53"/>
      <c r="R926" s="53"/>
      <c r="V926" s="51"/>
    </row>
    <row r="927">
      <c r="C927" s="51"/>
      <c r="D927" s="51"/>
      <c r="E927" s="51"/>
      <c r="F927" s="51"/>
      <c r="G927" s="51"/>
      <c r="H927" s="51"/>
      <c r="I927" s="51"/>
      <c r="J927" s="51"/>
      <c r="K927" s="51"/>
      <c r="L927" s="51"/>
      <c r="N927" s="52"/>
      <c r="P927" s="53"/>
      <c r="Q927" s="53"/>
      <c r="R927" s="53"/>
      <c r="V927" s="51"/>
    </row>
    <row r="928">
      <c r="C928" s="51"/>
      <c r="D928" s="51"/>
      <c r="E928" s="51"/>
      <c r="F928" s="51"/>
      <c r="G928" s="51"/>
      <c r="H928" s="51"/>
      <c r="I928" s="51"/>
      <c r="J928" s="51"/>
      <c r="K928" s="51"/>
      <c r="L928" s="51"/>
      <c r="N928" s="52"/>
      <c r="P928" s="53"/>
      <c r="Q928" s="53"/>
      <c r="R928" s="53"/>
      <c r="V928" s="51"/>
    </row>
    <row r="929">
      <c r="C929" s="51"/>
      <c r="D929" s="51"/>
      <c r="E929" s="51"/>
      <c r="F929" s="51"/>
      <c r="G929" s="51"/>
      <c r="H929" s="51"/>
      <c r="I929" s="51"/>
      <c r="J929" s="51"/>
      <c r="K929" s="51"/>
      <c r="L929" s="51"/>
      <c r="N929" s="52"/>
      <c r="P929" s="53"/>
      <c r="Q929" s="53"/>
      <c r="R929" s="53"/>
      <c r="V929" s="51"/>
    </row>
    <row r="930">
      <c r="C930" s="51"/>
      <c r="D930" s="51"/>
      <c r="E930" s="51"/>
      <c r="F930" s="51"/>
      <c r="G930" s="51"/>
      <c r="H930" s="51"/>
      <c r="I930" s="51"/>
      <c r="J930" s="51"/>
      <c r="K930" s="51"/>
      <c r="L930" s="51"/>
      <c r="N930" s="52"/>
      <c r="P930" s="53"/>
      <c r="Q930" s="53"/>
      <c r="R930" s="53"/>
      <c r="V930" s="51"/>
    </row>
    <row r="931">
      <c r="C931" s="51"/>
      <c r="D931" s="51"/>
      <c r="E931" s="51"/>
      <c r="F931" s="51"/>
      <c r="G931" s="51"/>
      <c r="H931" s="51"/>
      <c r="I931" s="51"/>
      <c r="J931" s="51"/>
      <c r="K931" s="51"/>
      <c r="L931" s="51"/>
      <c r="N931" s="52"/>
      <c r="P931" s="53"/>
      <c r="Q931" s="53"/>
      <c r="R931" s="53"/>
      <c r="V931" s="51"/>
    </row>
    <row r="932">
      <c r="C932" s="51"/>
      <c r="D932" s="51"/>
      <c r="E932" s="51"/>
      <c r="F932" s="51"/>
      <c r="G932" s="51"/>
      <c r="H932" s="51"/>
      <c r="I932" s="51"/>
      <c r="J932" s="51"/>
      <c r="K932" s="51"/>
      <c r="L932" s="51"/>
      <c r="N932" s="52"/>
      <c r="P932" s="53"/>
      <c r="Q932" s="53"/>
      <c r="R932" s="53"/>
      <c r="V932" s="51"/>
    </row>
    <row r="933">
      <c r="C933" s="51"/>
      <c r="D933" s="51"/>
      <c r="E933" s="51"/>
      <c r="F933" s="51"/>
      <c r="G933" s="51"/>
      <c r="H933" s="51"/>
      <c r="I933" s="51"/>
      <c r="J933" s="51"/>
      <c r="K933" s="51"/>
      <c r="L933" s="51"/>
      <c r="N933" s="52"/>
      <c r="P933" s="53"/>
      <c r="Q933" s="53"/>
      <c r="R933" s="53"/>
      <c r="V933" s="51"/>
    </row>
    <row r="934">
      <c r="C934" s="51"/>
      <c r="D934" s="51"/>
      <c r="E934" s="51"/>
      <c r="F934" s="51"/>
      <c r="G934" s="51"/>
      <c r="H934" s="51"/>
      <c r="I934" s="51"/>
      <c r="J934" s="51"/>
      <c r="K934" s="51"/>
      <c r="L934" s="51"/>
      <c r="N934" s="52"/>
      <c r="P934" s="53"/>
      <c r="Q934" s="53"/>
      <c r="R934" s="53"/>
      <c r="V934" s="51"/>
    </row>
    <row r="935">
      <c r="C935" s="51"/>
      <c r="D935" s="51"/>
      <c r="E935" s="51"/>
      <c r="F935" s="51"/>
      <c r="G935" s="51"/>
      <c r="H935" s="51"/>
      <c r="I935" s="51"/>
      <c r="J935" s="51"/>
      <c r="K935" s="51"/>
      <c r="L935" s="51"/>
      <c r="N935" s="52"/>
      <c r="P935" s="53"/>
      <c r="Q935" s="53"/>
      <c r="R935" s="53"/>
      <c r="V935" s="51"/>
    </row>
    <row r="936">
      <c r="C936" s="51"/>
      <c r="D936" s="51"/>
      <c r="E936" s="51"/>
      <c r="F936" s="51"/>
      <c r="G936" s="51"/>
      <c r="H936" s="51"/>
      <c r="I936" s="51"/>
      <c r="J936" s="51"/>
      <c r="K936" s="51"/>
      <c r="L936" s="51"/>
      <c r="N936" s="52"/>
      <c r="P936" s="53"/>
      <c r="Q936" s="53"/>
      <c r="R936" s="53"/>
      <c r="V936" s="51"/>
    </row>
    <row r="937">
      <c r="C937" s="51"/>
      <c r="D937" s="51"/>
      <c r="E937" s="51"/>
      <c r="F937" s="51"/>
      <c r="G937" s="51"/>
      <c r="H937" s="51"/>
      <c r="I937" s="51"/>
      <c r="J937" s="51"/>
      <c r="K937" s="51"/>
      <c r="L937" s="51"/>
      <c r="N937" s="52"/>
      <c r="P937" s="53"/>
      <c r="Q937" s="53"/>
      <c r="R937" s="53"/>
      <c r="V937" s="51"/>
    </row>
    <row r="938">
      <c r="C938" s="51"/>
      <c r="D938" s="51"/>
      <c r="E938" s="51"/>
      <c r="F938" s="51"/>
      <c r="G938" s="51"/>
      <c r="H938" s="51"/>
      <c r="I938" s="51"/>
      <c r="J938" s="51"/>
      <c r="K938" s="51"/>
      <c r="L938" s="51"/>
      <c r="N938" s="52"/>
      <c r="P938" s="53"/>
      <c r="Q938" s="53"/>
      <c r="R938" s="53"/>
      <c r="V938" s="51"/>
    </row>
    <row r="939">
      <c r="C939" s="51"/>
      <c r="D939" s="51"/>
      <c r="E939" s="51"/>
      <c r="F939" s="51"/>
      <c r="G939" s="51"/>
      <c r="H939" s="51"/>
      <c r="I939" s="51"/>
      <c r="J939" s="51"/>
      <c r="K939" s="51"/>
      <c r="L939" s="51"/>
      <c r="N939" s="52"/>
      <c r="P939" s="53"/>
      <c r="Q939" s="53"/>
      <c r="R939" s="53"/>
      <c r="V939" s="51"/>
    </row>
    <row r="940">
      <c r="C940" s="51"/>
      <c r="D940" s="51"/>
      <c r="E940" s="51"/>
      <c r="F940" s="51"/>
      <c r="G940" s="51"/>
      <c r="H940" s="51"/>
      <c r="I940" s="51"/>
      <c r="J940" s="51"/>
      <c r="K940" s="51"/>
      <c r="L940" s="51"/>
      <c r="N940" s="52"/>
      <c r="P940" s="53"/>
      <c r="Q940" s="53"/>
      <c r="R940" s="53"/>
      <c r="V940" s="51"/>
    </row>
    <row r="941">
      <c r="C941" s="51"/>
      <c r="D941" s="51"/>
      <c r="E941" s="51"/>
      <c r="F941" s="51"/>
      <c r="G941" s="51"/>
      <c r="H941" s="51"/>
      <c r="I941" s="51"/>
      <c r="J941" s="51"/>
      <c r="K941" s="51"/>
      <c r="L941" s="51"/>
      <c r="N941" s="52"/>
      <c r="P941" s="53"/>
      <c r="Q941" s="53"/>
      <c r="R941" s="53"/>
      <c r="V941" s="51"/>
    </row>
    <row r="942">
      <c r="C942" s="51"/>
      <c r="D942" s="51"/>
      <c r="E942" s="51"/>
      <c r="F942" s="51"/>
      <c r="G942" s="51"/>
      <c r="H942" s="51"/>
      <c r="I942" s="51"/>
      <c r="J942" s="51"/>
      <c r="K942" s="51"/>
      <c r="L942" s="51"/>
      <c r="N942" s="52"/>
      <c r="P942" s="53"/>
      <c r="Q942" s="53"/>
      <c r="R942" s="53"/>
      <c r="V942" s="51"/>
    </row>
    <row r="943">
      <c r="C943" s="51"/>
      <c r="D943" s="51"/>
      <c r="E943" s="51"/>
      <c r="F943" s="51"/>
      <c r="G943" s="51"/>
      <c r="H943" s="51"/>
      <c r="I943" s="51"/>
      <c r="J943" s="51"/>
      <c r="K943" s="51"/>
      <c r="L943" s="51"/>
      <c r="N943" s="52"/>
      <c r="P943" s="53"/>
      <c r="Q943" s="53"/>
      <c r="R943" s="53"/>
      <c r="V943" s="51"/>
    </row>
    <row r="944">
      <c r="C944" s="51"/>
      <c r="D944" s="51"/>
      <c r="E944" s="51"/>
      <c r="F944" s="51"/>
      <c r="G944" s="51"/>
      <c r="H944" s="51"/>
      <c r="I944" s="51"/>
      <c r="J944" s="51"/>
      <c r="K944" s="51"/>
      <c r="L944" s="51"/>
      <c r="N944" s="52"/>
      <c r="P944" s="53"/>
      <c r="Q944" s="53"/>
      <c r="R944" s="53"/>
      <c r="V944" s="51"/>
    </row>
    <row r="945">
      <c r="C945" s="51"/>
      <c r="D945" s="51"/>
      <c r="E945" s="51"/>
      <c r="F945" s="51"/>
      <c r="G945" s="51"/>
      <c r="H945" s="51"/>
      <c r="I945" s="51"/>
      <c r="J945" s="51"/>
      <c r="K945" s="51"/>
      <c r="L945" s="51"/>
      <c r="N945" s="52"/>
      <c r="P945" s="53"/>
      <c r="Q945" s="53"/>
      <c r="R945" s="53"/>
      <c r="V945" s="51"/>
    </row>
    <row r="946">
      <c r="C946" s="51"/>
      <c r="D946" s="51"/>
      <c r="E946" s="51"/>
      <c r="F946" s="51"/>
      <c r="G946" s="51"/>
      <c r="H946" s="51"/>
      <c r="I946" s="51"/>
      <c r="J946" s="51"/>
      <c r="K946" s="51"/>
      <c r="L946" s="51"/>
      <c r="N946" s="52"/>
      <c r="P946" s="53"/>
      <c r="Q946" s="53"/>
      <c r="R946" s="53"/>
      <c r="V946" s="51"/>
    </row>
    <row r="947">
      <c r="C947" s="51"/>
      <c r="D947" s="51"/>
      <c r="E947" s="51"/>
      <c r="F947" s="51"/>
      <c r="G947" s="51"/>
      <c r="H947" s="51"/>
      <c r="I947" s="51"/>
      <c r="J947" s="51"/>
      <c r="K947" s="51"/>
      <c r="L947" s="51"/>
      <c r="N947" s="52"/>
      <c r="P947" s="53"/>
      <c r="Q947" s="53"/>
      <c r="R947" s="53"/>
      <c r="V947" s="51"/>
    </row>
    <row r="948">
      <c r="C948" s="51"/>
      <c r="D948" s="51"/>
      <c r="E948" s="51"/>
      <c r="F948" s="51"/>
      <c r="G948" s="51"/>
      <c r="H948" s="51"/>
      <c r="I948" s="51"/>
      <c r="J948" s="51"/>
      <c r="K948" s="51"/>
      <c r="L948" s="51"/>
      <c r="N948" s="52"/>
      <c r="P948" s="53"/>
      <c r="Q948" s="53"/>
      <c r="R948" s="53"/>
      <c r="V948" s="51"/>
    </row>
    <row r="949">
      <c r="C949" s="51"/>
      <c r="D949" s="51"/>
      <c r="E949" s="51"/>
      <c r="F949" s="51"/>
      <c r="G949" s="51"/>
      <c r="H949" s="51"/>
      <c r="I949" s="51"/>
      <c r="J949" s="51"/>
      <c r="K949" s="51"/>
      <c r="L949" s="51"/>
      <c r="N949" s="52"/>
      <c r="P949" s="53"/>
      <c r="Q949" s="53"/>
      <c r="R949" s="53"/>
      <c r="V949" s="51"/>
    </row>
    <row r="950">
      <c r="C950" s="51"/>
      <c r="D950" s="51"/>
      <c r="E950" s="51"/>
      <c r="F950" s="51"/>
      <c r="G950" s="51"/>
      <c r="H950" s="51"/>
      <c r="I950" s="51"/>
      <c r="J950" s="51"/>
      <c r="K950" s="51"/>
      <c r="L950" s="51"/>
      <c r="N950" s="52"/>
      <c r="P950" s="53"/>
      <c r="Q950" s="53"/>
      <c r="R950" s="53"/>
      <c r="V950" s="51"/>
    </row>
    <row r="951">
      <c r="C951" s="51"/>
      <c r="D951" s="51"/>
      <c r="E951" s="51"/>
      <c r="F951" s="51"/>
      <c r="G951" s="51"/>
      <c r="H951" s="51"/>
      <c r="I951" s="51"/>
      <c r="J951" s="51"/>
      <c r="K951" s="51"/>
      <c r="L951" s="51"/>
      <c r="N951" s="52"/>
      <c r="P951" s="53"/>
      <c r="Q951" s="53"/>
      <c r="R951" s="53"/>
      <c r="V951" s="51"/>
    </row>
    <row r="952">
      <c r="C952" s="51"/>
      <c r="D952" s="51"/>
      <c r="E952" s="51"/>
      <c r="F952" s="51"/>
      <c r="G952" s="51"/>
      <c r="H952" s="51"/>
      <c r="I952" s="51"/>
      <c r="J952" s="51"/>
      <c r="K952" s="51"/>
      <c r="L952" s="51"/>
      <c r="N952" s="52"/>
      <c r="P952" s="53"/>
      <c r="Q952" s="53"/>
      <c r="R952" s="53"/>
      <c r="V952" s="51"/>
    </row>
    <row r="953">
      <c r="C953" s="51"/>
      <c r="D953" s="51"/>
      <c r="E953" s="51"/>
      <c r="F953" s="51"/>
      <c r="G953" s="51"/>
      <c r="H953" s="51"/>
      <c r="I953" s="51"/>
      <c r="J953" s="51"/>
      <c r="K953" s="51"/>
      <c r="L953" s="51"/>
      <c r="N953" s="52"/>
      <c r="P953" s="53"/>
      <c r="Q953" s="53"/>
      <c r="R953" s="53"/>
      <c r="V953" s="51"/>
    </row>
    <row r="954">
      <c r="C954" s="51"/>
      <c r="D954" s="51"/>
      <c r="E954" s="51"/>
      <c r="F954" s="51"/>
      <c r="G954" s="51"/>
      <c r="H954" s="51"/>
      <c r="I954" s="51"/>
      <c r="J954" s="51"/>
      <c r="K954" s="51"/>
      <c r="L954" s="51"/>
      <c r="N954" s="52"/>
      <c r="P954" s="53"/>
      <c r="Q954" s="53"/>
      <c r="R954" s="53"/>
      <c r="V954" s="51"/>
    </row>
    <row r="955">
      <c r="C955" s="51"/>
      <c r="D955" s="51"/>
      <c r="E955" s="51"/>
      <c r="F955" s="51"/>
      <c r="G955" s="51"/>
      <c r="H955" s="51"/>
      <c r="I955" s="51"/>
      <c r="J955" s="51"/>
      <c r="K955" s="51"/>
      <c r="L955" s="51"/>
      <c r="N955" s="52"/>
      <c r="P955" s="53"/>
      <c r="Q955" s="53"/>
      <c r="R955" s="53"/>
      <c r="V955" s="51"/>
    </row>
    <row r="956">
      <c r="C956" s="51"/>
      <c r="D956" s="51"/>
      <c r="E956" s="51"/>
      <c r="F956" s="51"/>
      <c r="G956" s="51"/>
      <c r="H956" s="51"/>
      <c r="I956" s="51"/>
      <c r="J956" s="51"/>
      <c r="K956" s="51"/>
      <c r="L956" s="51"/>
      <c r="N956" s="52"/>
      <c r="P956" s="53"/>
      <c r="Q956" s="53"/>
      <c r="R956" s="53"/>
      <c r="V956" s="51"/>
    </row>
    <row r="957">
      <c r="C957" s="51"/>
      <c r="D957" s="51"/>
      <c r="E957" s="51"/>
      <c r="F957" s="51"/>
      <c r="G957" s="51"/>
      <c r="H957" s="51"/>
      <c r="I957" s="51"/>
      <c r="J957" s="51"/>
      <c r="K957" s="51"/>
      <c r="L957" s="51"/>
      <c r="N957" s="52"/>
      <c r="P957" s="53"/>
      <c r="Q957" s="53"/>
      <c r="R957" s="53"/>
      <c r="V957" s="51"/>
    </row>
    <row r="958">
      <c r="C958" s="51"/>
      <c r="D958" s="51"/>
      <c r="E958" s="51"/>
      <c r="F958" s="51"/>
      <c r="G958" s="51"/>
      <c r="H958" s="51"/>
      <c r="I958" s="51"/>
      <c r="J958" s="51"/>
      <c r="K958" s="51"/>
      <c r="L958" s="51"/>
      <c r="N958" s="52"/>
      <c r="P958" s="53"/>
      <c r="Q958" s="53"/>
      <c r="R958" s="53"/>
      <c r="V958" s="51"/>
    </row>
    <row r="959">
      <c r="C959" s="51"/>
      <c r="D959" s="51"/>
      <c r="E959" s="51"/>
      <c r="F959" s="51"/>
      <c r="G959" s="51"/>
      <c r="H959" s="51"/>
      <c r="I959" s="51"/>
      <c r="J959" s="51"/>
      <c r="K959" s="51"/>
      <c r="L959" s="51"/>
      <c r="N959" s="52"/>
      <c r="P959" s="53"/>
      <c r="Q959" s="53"/>
      <c r="R959" s="53"/>
      <c r="V959" s="51"/>
    </row>
    <row r="960">
      <c r="C960" s="51"/>
      <c r="D960" s="51"/>
      <c r="E960" s="51"/>
      <c r="F960" s="51"/>
      <c r="G960" s="51"/>
      <c r="H960" s="51"/>
      <c r="I960" s="51"/>
      <c r="J960" s="51"/>
      <c r="K960" s="51"/>
      <c r="L960" s="51"/>
      <c r="N960" s="52"/>
      <c r="P960" s="53"/>
      <c r="Q960" s="53"/>
      <c r="R960" s="53"/>
      <c r="V960" s="51"/>
    </row>
    <row r="961">
      <c r="C961" s="51"/>
      <c r="D961" s="51"/>
      <c r="E961" s="51"/>
      <c r="F961" s="51"/>
      <c r="G961" s="51"/>
      <c r="H961" s="51"/>
      <c r="I961" s="51"/>
      <c r="J961" s="51"/>
      <c r="K961" s="51"/>
      <c r="L961" s="51"/>
      <c r="N961" s="52"/>
      <c r="P961" s="53"/>
      <c r="Q961" s="53"/>
      <c r="R961" s="53"/>
      <c r="V961" s="51"/>
    </row>
    <row r="962">
      <c r="C962" s="51"/>
      <c r="D962" s="51"/>
      <c r="E962" s="51"/>
      <c r="F962" s="51"/>
      <c r="G962" s="51"/>
      <c r="H962" s="51"/>
      <c r="I962" s="51"/>
      <c r="J962" s="51"/>
      <c r="K962" s="51"/>
      <c r="L962" s="51"/>
      <c r="N962" s="52"/>
      <c r="P962" s="53"/>
      <c r="Q962" s="53"/>
      <c r="R962" s="53"/>
      <c r="V962" s="51"/>
    </row>
    <row r="963">
      <c r="C963" s="51"/>
      <c r="D963" s="51"/>
      <c r="E963" s="51"/>
      <c r="F963" s="51"/>
      <c r="G963" s="51"/>
      <c r="H963" s="51"/>
      <c r="I963" s="51"/>
      <c r="J963" s="51"/>
      <c r="K963" s="51"/>
      <c r="L963" s="51"/>
      <c r="N963" s="52"/>
      <c r="P963" s="53"/>
      <c r="Q963" s="53"/>
      <c r="R963" s="53"/>
      <c r="V963" s="51"/>
    </row>
    <row r="964">
      <c r="C964" s="51"/>
      <c r="D964" s="51"/>
      <c r="E964" s="51"/>
      <c r="F964" s="51"/>
      <c r="G964" s="51"/>
      <c r="H964" s="51"/>
      <c r="I964" s="51"/>
      <c r="J964" s="51"/>
      <c r="K964" s="51"/>
      <c r="L964" s="51"/>
      <c r="N964" s="52"/>
      <c r="P964" s="53"/>
      <c r="Q964" s="53"/>
      <c r="R964" s="53"/>
      <c r="V964" s="51"/>
    </row>
    <row r="965">
      <c r="C965" s="51"/>
      <c r="D965" s="51"/>
      <c r="E965" s="51"/>
      <c r="F965" s="51"/>
      <c r="G965" s="51"/>
      <c r="H965" s="51"/>
      <c r="I965" s="51"/>
      <c r="J965" s="51"/>
      <c r="K965" s="51"/>
      <c r="L965" s="51"/>
      <c r="N965" s="52"/>
      <c r="P965" s="53"/>
      <c r="Q965" s="53"/>
      <c r="R965" s="53"/>
      <c r="V965" s="51"/>
    </row>
    <row r="966">
      <c r="C966" s="51"/>
      <c r="D966" s="51"/>
      <c r="E966" s="51"/>
      <c r="F966" s="51"/>
      <c r="G966" s="51"/>
      <c r="H966" s="51"/>
      <c r="I966" s="51"/>
      <c r="J966" s="51"/>
      <c r="K966" s="51"/>
      <c r="L966" s="51"/>
      <c r="N966" s="52"/>
      <c r="P966" s="53"/>
      <c r="Q966" s="53"/>
      <c r="R966" s="53"/>
      <c r="V966" s="51"/>
    </row>
    <row r="967">
      <c r="C967" s="51"/>
      <c r="D967" s="51"/>
      <c r="E967" s="51"/>
      <c r="F967" s="51"/>
      <c r="G967" s="51"/>
      <c r="H967" s="51"/>
      <c r="I967" s="51"/>
      <c r="J967" s="51"/>
      <c r="K967" s="51"/>
      <c r="L967" s="51"/>
      <c r="N967" s="52"/>
      <c r="P967" s="53"/>
      <c r="Q967" s="53"/>
      <c r="R967" s="53"/>
      <c r="V967" s="51"/>
    </row>
    <row r="968">
      <c r="C968" s="51"/>
      <c r="D968" s="51"/>
      <c r="E968" s="51"/>
      <c r="F968" s="51"/>
      <c r="G968" s="51"/>
      <c r="H968" s="51"/>
      <c r="I968" s="51"/>
      <c r="J968" s="51"/>
      <c r="K968" s="51"/>
      <c r="L968" s="51"/>
      <c r="N968" s="52"/>
      <c r="P968" s="53"/>
      <c r="Q968" s="53"/>
      <c r="R968" s="53"/>
      <c r="V968" s="51"/>
    </row>
    <row r="969">
      <c r="C969" s="51"/>
      <c r="D969" s="51"/>
      <c r="E969" s="51"/>
      <c r="F969" s="51"/>
      <c r="G969" s="51"/>
      <c r="H969" s="51"/>
      <c r="I969" s="51"/>
      <c r="J969" s="51"/>
      <c r="K969" s="51"/>
      <c r="L969" s="51"/>
      <c r="N969" s="52"/>
      <c r="P969" s="53"/>
      <c r="Q969" s="53"/>
      <c r="R969" s="53"/>
      <c r="V969" s="51"/>
    </row>
    <row r="970">
      <c r="C970" s="51"/>
      <c r="D970" s="51"/>
      <c r="E970" s="51"/>
      <c r="F970" s="51"/>
      <c r="G970" s="51"/>
      <c r="H970" s="51"/>
      <c r="I970" s="51"/>
      <c r="J970" s="51"/>
      <c r="K970" s="51"/>
      <c r="L970" s="51"/>
      <c r="N970" s="52"/>
      <c r="P970" s="53"/>
      <c r="Q970" s="53"/>
      <c r="R970" s="53"/>
      <c r="V970" s="51"/>
    </row>
    <row r="971">
      <c r="C971" s="51"/>
      <c r="D971" s="51"/>
      <c r="E971" s="51"/>
      <c r="F971" s="51"/>
      <c r="G971" s="51"/>
      <c r="H971" s="51"/>
      <c r="I971" s="51"/>
      <c r="J971" s="51"/>
      <c r="K971" s="51"/>
      <c r="L971" s="51"/>
      <c r="N971" s="52"/>
      <c r="P971" s="53"/>
      <c r="Q971" s="53"/>
      <c r="R971" s="53"/>
      <c r="V971" s="51"/>
    </row>
    <row r="972">
      <c r="C972" s="51"/>
      <c r="D972" s="51"/>
      <c r="E972" s="51"/>
      <c r="F972" s="51"/>
      <c r="G972" s="51"/>
      <c r="H972" s="51"/>
      <c r="I972" s="51"/>
      <c r="J972" s="51"/>
      <c r="K972" s="51"/>
      <c r="L972" s="51"/>
      <c r="N972" s="52"/>
      <c r="P972" s="53"/>
      <c r="Q972" s="53"/>
      <c r="R972" s="53"/>
      <c r="V972" s="51"/>
    </row>
    <row r="973">
      <c r="C973" s="51"/>
      <c r="D973" s="51"/>
      <c r="E973" s="51"/>
      <c r="F973" s="51"/>
      <c r="G973" s="51"/>
      <c r="H973" s="51"/>
      <c r="I973" s="51"/>
      <c r="J973" s="51"/>
      <c r="K973" s="51"/>
      <c r="L973" s="51"/>
      <c r="N973" s="52"/>
      <c r="P973" s="53"/>
      <c r="Q973" s="53"/>
      <c r="R973" s="53"/>
      <c r="V973" s="51"/>
    </row>
    <row r="974">
      <c r="C974" s="51"/>
      <c r="D974" s="51"/>
      <c r="E974" s="51"/>
      <c r="F974" s="51"/>
      <c r="G974" s="51"/>
      <c r="H974" s="51"/>
      <c r="I974" s="51"/>
      <c r="J974" s="51"/>
      <c r="K974" s="51"/>
      <c r="L974" s="51"/>
      <c r="N974" s="52"/>
      <c r="P974" s="53"/>
      <c r="Q974" s="53"/>
      <c r="R974" s="53"/>
      <c r="V974" s="51"/>
    </row>
    <row r="975">
      <c r="C975" s="51"/>
      <c r="D975" s="51"/>
      <c r="E975" s="51"/>
      <c r="F975" s="51"/>
      <c r="G975" s="51"/>
      <c r="H975" s="51"/>
      <c r="I975" s="51"/>
      <c r="J975" s="51"/>
      <c r="K975" s="51"/>
      <c r="L975" s="51"/>
      <c r="N975" s="52"/>
      <c r="P975" s="53"/>
      <c r="Q975" s="53"/>
      <c r="R975" s="53"/>
      <c r="V975" s="51"/>
    </row>
    <row r="976">
      <c r="C976" s="51"/>
      <c r="D976" s="51"/>
      <c r="E976" s="51"/>
      <c r="F976" s="51"/>
      <c r="G976" s="51"/>
      <c r="H976" s="51"/>
      <c r="I976" s="51"/>
      <c r="J976" s="51"/>
      <c r="K976" s="51"/>
      <c r="L976" s="51"/>
      <c r="N976" s="52"/>
      <c r="P976" s="53"/>
      <c r="Q976" s="53"/>
      <c r="R976" s="53"/>
      <c r="V976" s="51"/>
    </row>
    <row r="977">
      <c r="C977" s="51"/>
      <c r="D977" s="51"/>
      <c r="E977" s="51"/>
      <c r="F977" s="51"/>
      <c r="G977" s="51"/>
      <c r="H977" s="51"/>
      <c r="I977" s="51"/>
      <c r="J977" s="51"/>
      <c r="K977" s="51"/>
      <c r="L977" s="51"/>
      <c r="N977" s="52"/>
      <c r="P977" s="53"/>
      <c r="Q977" s="53"/>
      <c r="R977" s="53"/>
      <c r="V977" s="51"/>
    </row>
    <row r="978">
      <c r="C978" s="51"/>
      <c r="D978" s="51"/>
      <c r="E978" s="51"/>
      <c r="F978" s="51"/>
      <c r="G978" s="51"/>
      <c r="H978" s="51"/>
      <c r="I978" s="51"/>
      <c r="J978" s="51"/>
      <c r="K978" s="51"/>
      <c r="L978" s="51"/>
      <c r="N978" s="52"/>
      <c r="P978" s="53"/>
      <c r="Q978" s="53"/>
      <c r="R978" s="53"/>
      <c r="V978" s="51"/>
    </row>
    <row r="979">
      <c r="C979" s="51"/>
      <c r="D979" s="51"/>
      <c r="E979" s="51"/>
      <c r="F979" s="51"/>
      <c r="G979" s="51"/>
      <c r="H979" s="51"/>
      <c r="I979" s="51"/>
      <c r="J979" s="51"/>
      <c r="K979" s="51"/>
      <c r="L979" s="51"/>
      <c r="N979" s="52"/>
      <c r="P979" s="53"/>
      <c r="Q979" s="53"/>
      <c r="R979" s="53"/>
      <c r="V979" s="51"/>
    </row>
    <row r="980">
      <c r="C980" s="51"/>
      <c r="D980" s="51"/>
      <c r="E980" s="51"/>
      <c r="F980" s="51"/>
      <c r="G980" s="51"/>
      <c r="H980" s="51"/>
      <c r="I980" s="51"/>
      <c r="J980" s="51"/>
      <c r="K980" s="51"/>
      <c r="L980" s="51"/>
      <c r="N980" s="52"/>
      <c r="P980" s="53"/>
      <c r="Q980" s="53"/>
      <c r="R980" s="53"/>
      <c r="V980" s="51"/>
    </row>
    <row r="981">
      <c r="C981" s="51"/>
      <c r="D981" s="51"/>
      <c r="E981" s="51"/>
      <c r="F981" s="51"/>
      <c r="G981" s="51"/>
      <c r="H981" s="51"/>
      <c r="I981" s="51"/>
      <c r="J981" s="51"/>
      <c r="K981" s="51"/>
      <c r="L981" s="51"/>
      <c r="N981" s="52"/>
      <c r="P981" s="53"/>
      <c r="Q981" s="53"/>
      <c r="R981" s="53"/>
      <c r="V981" s="51"/>
    </row>
    <row r="982">
      <c r="C982" s="51"/>
      <c r="D982" s="51"/>
      <c r="E982" s="51"/>
      <c r="F982" s="51"/>
      <c r="G982" s="51"/>
      <c r="H982" s="51"/>
      <c r="I982" s="51"/>
      <c r="J982" s="51"/>
      <c r="K982" s="51"/>
      <c r="L982" s="51"/>
      <c r="N982" s="52"/>
      <c r="P982" s="53"/>
      <c r="Q982" s="53"/>
      <c r="R982" s="53"/>
      <c r="V982" s="51"/>
    </row>
    <row r="983">
      <c r="C983" s="51"/>
      <c r="D983" s="51"/>
      <c r="E983" s="51"/>
      <c r="F983" s="51"/>
      <c r="G983" s="51"/>
      <c r="H983" s="51"/>
      <c r="I983" s="51"/>
      <c r="J983" s="51"/>
      <c r="K983" s="51"/>
      <c r="L983" s="51"/>
      <c r="N983" s="52"/>
      <c r="P983" s="53"/>
      <c r="Q983" s="53"/>
      <c r="R983" s="53"/>
      <c r="V983" s="51"/>
    </row>
    <row r="984">
      <c r="C984" s="51"/>
      <c r="D984" s="51"/>
      <c r="E984" s="51"/>
      <c r="F984" s="51"/>
      <c r="G984" s="51"/>
      <c r="H984" s="51"/>
      <c r="I984" s="51"/>
      <c r="J984" s="51"/>
      <c r="K984" s="51"/>
      <c r="L984" s="51"/>
      <c r="N984" s="52"/>
      <c r="P984" s="53"/>
      <c r="Q984" s="53"/>
      <c r="R984" s="53"/>
      <c r="V984" s="51"/>
    </row>
    <row r="985">
      <c r="C985" s="51"/>
      <c r="D985" s="51"/>
      <c r="E985" s="51"/>
      <c r="F985" s="51"/>
      <c r="G985" s="51"/>
      <c r="H985" s="51"/>
      <c r="I985" s="51"/>
      <c r="J985" s="51"/>
      <c r="K985" s="51"/>
      <c r="L985" s="51"/>
      <c r="N985" s="52"/>
      <c r="P985" s="53"/>
      <c r="Q985" s="53"/>
      <c r="R985" s="53"/>
      <c r="V985" s="51"/>
    </row>
    <row r="986">
      <c r="C986" s="51"/>
      <c r="D986" s="51"/>
      <c r="E986" s="51"/>
      <c r="F986" s="51"/>
      <c r="G986" s="51"/>
      <c r="H986" s="51"/>
      <c r="I986" s="51"/>
      <c r="J986" s="51"/>
      <c r="K986" s="51"/>
      <c r="L986" s="51"/>
      <c r="N986" s="52"/>
      <c r="P986" s="53"/>
      <c r="Q986" s="53"/>
      <c r="R986" s="53"/>
      <c r="V986" s="51"/>
    </row>
    <row r="987">
      <c r="C987" s="51"/>
      <c r="D987" s="51"/>
      <c r="E987" s="51"/>
      <c r="F987" s="51"/>
      <c r="G987" s="51"/>
      <c r="H987" s="51"/>
      <c r="I987" s="51"/>
      <c r="J987" s="51"/>
      <c r="K987" s="51"/>
      <c r="L987" s="51"/>
      <c r="N987" s="52"/>
      <c r="P987" s="53"/>
      <c r="Q987" s="53"/>
      <c r="R987" s="53"/>
      <c r="V987" s="51"/>
    </row>
    <row r="988">
      <c r="C988" s="51"/>
      <c r="D988" s="51"/>
      <c r="E988" s="51"/>
      <c r="F988" s="51"/>
      <c r="G988" s="51"/>
      <c r="H988" s="51"/>
      <c r="I988" s="51"/>
      <c r="J988" s="51"/>
      <c r="K988" s="51"/>
      <c r="L988" s="51"/>
      <c r="N988" s="52"/>
      <c r="P988" s="53"/>
      <c r="Q988" s="53"/>
      <c r="R988" s="53"/>
      <c r="V988" s="51"/>
    </row>
    <row r="989">
      <c r="C989" s="51"/>
      <c r="D989" s="51"/>
      <c r="E989" s="51"/>
      <c r="F989" s="51"/>
      <c r="G989" s="51"/>
      <c r="H989" s="51"/>
      <c r="I989" s="51"/>
      <c r="J989" s="51"/>
      <c r="K989" s="51"/>
      <c r="L989" s="51"/>
      <c r="N989" s="52"/>
      <c r="P989" s="53"/>
      <c r="Q989" s="53"/>
      <c r="R989" s="53"/>
      <c r="V989" s="51"/>
    </row>
    <row r="990">
      <c r="C990" s="51"/>
      <c r="D990" s="51"/>
      <c r="E990" s="51"/>
      <c r="F990" s="51"/>
      <c r="G990" s="51"/>
      <c r="H990" s="51"/>
      <c r="I990" s="51"/>
      <c r="J990" s="51"/>
      <c r="K990" s="51"/>
      <c r="L990" s="51"/>
      <c r="N990" s="52"/>
      <c r="P990" s="53"/>
      <c r="Q990" s="53"/>
      <c r="R990" s="53"/>
      <c r="V990" s="51"/>
    </row>
    <row r="991">
      <c r="C991" s="51"/>
      <c r="D991" s="51"/>
      <c r="E991" s="51"/>
      <c r="F991" s="51"/>
      <c r="G991" s="51"/>
      <c r="H991" s="51"/>
      <c r="I991" s="51"/>
      <c r="J991" s="51"/>
      <c r="K991" s="51"/>
      <c r="L991" s="51"/>
      <c r="N991" s="52"/>
      <c r="P991" s="53"/>
      <c r="Q991" s="53"/>
      <c r="R991" s="53"/>
      <c r="V991" s="51"/>
    </row>
    <row r="992">
      <c r="C992" s="51"/>
      <c r="D992" s="51"/>
      <c r="E992" s="51"/>
      <c r="F992" s="51"/>
      <c r="G992" s="51"/>
      <c r="H992" s="51"/>
      <c r="I992" s="51"/>
      <c r="J992" s="51"/>
      <c r="K992" s="51"/>
      <c r="L992" s="51"/>
      <c r="N992" s="52"/>
      <c r="P992" s="53"/>
      <c r="Q992" s="53"/>
      <c r="R992" s="53"/>
      <c r="V992" s="51"/>
    </row>
    <row r="993">
      <c r="C993" s="51"/>
      <c r="D993" s="51"/>
      <c r="E993" s="51"/>
      <c r="F993" s="51"/>
      <c r="G993" s="51"/>
      <c r="H993" s="51"/>
      <c r="I993" s="51"/>
      <c r="J993" s="51"/>
      <c r="K993" s="51"/>
      <c r="L993" s="51"/>
      <c r="N993" s="52"/>
      <c r="P993" s="53"/>
      <c r="Q993" s="53"/>
      <c r="R993" s="53"/>
      <c r="V993" s="51"/>
    </row>
    <row r="994">
      <c r="C994" s="51"/>
      <c r="D994" s="51"/>
      <c r="E994" s="51"/>
      <c r="F994" s="51"/>
      <c r="G994" s="51"/>
      <c r="H994" s="51"/>
      <c r="I994" s="51"/>
      <c r="J994" s="51"/>
      <c r="K994" s="51"/>
      <c r="L994" s="51"/>
      <c r="N994" s="52"/>
      <c r="P994" s="53"/>
      <c r="Q994" s="53"/>
      <c r="R994" s="53"/>
      <c r="V994" s="51"/>
    </row>
    <row r="995">
      <c r="C995" s="51"/>
      <c r="D995" s="51"/>
      <c r="E995" s="51"/>
      <c r="F995" s="51"/>
      <c r="G995" s="51"/>
      <c r="H995" s="51"/>
      <c r="I995" s="51"/>
      <c r="J995" s="51"/>
      <c r="K995" s="51"/>
      <c r="L995" s="51"/>
      <c r="N995" s="52"/>
      <c r="P995" s="53"/>
      <c r="Q995" s="53"/>
      <c r="R995" s="53"/>
      <c r="V995" s="51"/>
    </row>
    <row r="996">
      <c r="C996" s="51"/>
      <c r="D996" s="51"/>
      <c r="E996" s="51"/>
      <c r="F996" s="51"/>
      <c r="G996" s="51"/>
      <c r="H996" s="51"/>
      <c r="I996" s="51"/>
      <c r="J996" s="51"/>
      <c r="K996" s="51"/>
      <c r="L996" s="51"/>
      <c r="N996" s="52"/>
      <c r="P996" s="53"/>
      <c r="Q996" s="53"/>
      <c r="R996" s="53"/>
      <c r="V996" s="51"/>
    </row>
    <row r="997">
      <c r="C997" s="51"/>
      <c r="D997" s="51"/>
      <c r="E997" s="51"/>
      <c r="F997" s="51"/>
      <c r="G997" s="51"/>
      <c r="H997" s="51"/>
      <c r="I997" s="51"/>
      <c r="J997" s="51"/>
      <c r="K997" s="51"/>
      <c r="L997" s="51"/>
      <c r="N997" s="52"/>
      <c r="P997" s="53"/>
      <c r="Q997" s="53"/>
      <c r="R997" s="53"/>
      <c r="V997" s="51"/>
    </row>
    <row r="998">
      <c r="C998" s="51"/>
      <c r="D998" s="51"/>
      <c r="E998" s="51"/>
      <c r="F998" s="51"/>
      <c r="G998" s="51"/>
      <c r="H998" s="51"/>
      <c r="I998" s="51"/>
      <c r="J998" s="51"/>
      <c r="K998" s="51"/>
      <c r="L998" s="51"/>
      <c r="N998" s="52"/>
      <c r="P998" s="53"/>
      <c r="Q998" s="53"/>
      <c r="R998" s="53"/>
      <c r="V998" s="51"/>
    </row>
    <row r="999">
      <c r="C999" s="51"/>
      <c r="D999" s="51"/>
      <c r="E999" s="51"/>
      <c r="F999" s="51"/>
      <c r="G999" s="51"/>
      <c r="H999" s="51"/>
      <c r="I999" s="51"/>
      <c r="J999" s="51"/>
      <c r="K999" s="51"/>
      <c r="L999" s="51"/>
      <c r="N999" s="52"/>
      <c r="P999" s="53"/>
      <c r="Q999" s="53"/>
      <c r="R999" s="53"/>
      <c r="V999" s="51"/>
    </row>
    <row r="1000">
      <c r="C1000" s="51"/>
      <c r="D1000" s="51"/>
      <c r="E1000" s="51"/>
      <c r="F1000" s="51"/>
      <c r="G1000" s="51"/>
      <c r="H1000" s="51"/>
      <c r="I1000" s="51"/>
      <c r="J1000" s="51"/>
      <c r="K1000" s="51"/>
      <c r="L1000" s="51"/>
      <c r="N1000" s="52"/>
      <c r="P1000" s="53"/>
      <c r="Q1000" s="53"/>
      <c r="R1000" s="53"/>
      <c r="V1000" s="51"/>
    </row>
    <row r="1001">
      <c r="C1001" s="51"/>
      <c r="D1001" s="51"/>
      <c r="E1001" s="51"/>
      <c r="F1001" s="51"/>
      <c r="G1001" s="51"/>
      <c r="H1001" s="51"/>
      <c r="I1001" s="51"/>
      <c r="J1001" s="51"/>
      <c r="K1001" s="51"/>
      <c r="L1001" s="51"/>
      <c r="N1001" s="52"/>
      <c r="P1001" s="53"/>
      <c r="Q1001" s="53"/>
      <c r="R1001" s="53"/>
      <c r="V1001" s="51"/>
    </row>
    <row r="1002">
      <c r="C1002" s="51"/>
      <c r="D1002" s="51"/>
      <c r="E1002" s="51"/>
      <c r="F1002" s="51"/>
      <c r="G1002" s="51"/>
      <c r="H1002" s="51"/>
      <c r="I1002" s="51"/>
      <c r="J1002" s="51"/>
      <c r="K1002" s="51"/>
      <c r="L1002" s="51"/>
      <c r="N1002" s="52"/>
      <c r="P1002" s="53"/>
      <c r="Q1002" s="53"/>
      <c r="R1002" s="53"/>
      <c r="V1002" s="51"/>
    </row>
    <row r="1003">
      <c r="C1003" s="51"/>
      <c r="D1003" s="51"/>
      <c r="E1003" s="51"/>
      <c r="F1003" s="51"/>
      <c r="G1003" s="51"/>
      <c r="H1003" s="51"/>
      <c r="I1003" s="51"/>
      <c r="J1003" s="51"/>
      <c r="K1003" s="51"/>
      <c r="L1003" s="51"/>
      <c r="N1003" s="52"/>
      <c r="P1003" s="53"/>
      <c r="Q1003" s="53"/>
      <c r="R1003" s="53"/>
      <c r="V1003" s="51"/>
    </row>
    <row r="1004">
      <c r="C1004" s="51"/>
      <c r="D1004" s="51"/>
      <c r="E1004" s="51"/>
      <c r="F1004" s="51"/>
      <c r="G1004" s="51"/>
      <c r="H1004" s="51"/>
      <c r="I1004" s="51"/>
      <c r="J1004" s="51"/>
      <c r="K1004" s="51"/>
      <c r="L1004" s="51"/>
      <c r="N1004" s="52"/>
      <c r="P1004" s="53"/>
      <c r="Q1004" s="53"/>
      <c r="R1004" s="53"/>
      <c r="V1004" s="51"/>
    </row>
    <row r="1005">
      <c r="C1005" s="51"/>
      <c r="D1005" s="51"/>
      <c r="E1005" s="51"/>
      <c r="F1005" s="51"/>
      <c r="G1005" s="51"/>
      <c r="H1005" s="51"/>
      <c r="I1005" s="51"/>
      <c r="J1005" s="51"/>
      <c r="K1005" s="51"/>
      <c r="L1005" s="51"/>
      <c r="N1005" s="52"/>
      <c r="P1005" s="53"/>
      <c r="Q1005" s="53"/>
      <c r="R1005" s="53"/>
      <c r="V1005" s="51"/>
    </row>
    <row r="1006">
      <c r="C1006" s="51"/>
      <c r="D1006" s="51"/>
      <c r="E1006" s="51"/>
      <c r="F1006" s="51"/>
      <c r="G1006" s="51"/>
      <c r="H1006" s="51"/>
      <c r="I1006" s="51"/>
      <c r="J1006" s="51"/>
      <c r="K1006" s="51"/>
      <c r="L1006" s="51"/>
      <c r="N1006" s="52"/>
      <c r="P1006" s="53"/>
      <c r="Q1006" s="53"/>
      <c r="R1006" s="53"/>
      <c r="V1006" s="51"/>
    </row>
    <row r="1007">
      <c r="C1007" s="51"/>
      <c r="D1007" s="51"/>
      <c r="E1007" s="51"/>
      <c r="F1007" s="51"/>
      <c r="G1007" s="51"/>
      <c r="H1007" s="51"/>
      <c r="I1007" s="51"/>
      <c r="J1007" s="51"/>
      <c r="K1007" s="51"/>
      <c r="L1007" s="51"/>
      <c r="N1007" s="52"/>
      <c r="P1007" s="53"/>
      <c r="Q1007" s="53"/>
      <c r="R1007" s="53"/>
      <c r="V1007" s="51"/>
    </row>
    <row r="1008">
      <c r="C1008" s="51"/>
      <c r="D1008" s="51"/>
      <c r="E1008" s="51"/>
      <c r="F1008" s="51"/>
      <c r="G1008" s="51"/>
      <c r="H1008" s="51"/>
      <c r="I1008" s="51"/>
      <c r="J1008" s="51"/>
      <c r="K1008" s="51"/>
      <c r="L1008" s="51"/>
      <c r="N1008" s="52"/>
      <c r="P1008" s="53"/>
      <c r="Q1008" s="53"/>
      <c r="R1008" s="53"/>
      <c r="V1008" s="51"/>
    </row>
    <row r="1009">
      <c r="C1009" s="51"/>
      <c r="D1009" s="51"/>
      <c r="E1009" s="51"/>
      <c r="F1009" s="51"/>
      <c r="G1009" s="51"/>
      <c r="H1009" s="51"/>
      <c r="I1009" s="51"/>
      <c r="J1009" s="51"/>
      <c r="K1009" s="51"/>
      <c r="L1009" s="51"/>
      <c r="N1009" s="52"/>
      <c r="P1009" s="53"/>
      <c r="Q1009" s="53"/>
      <c r="R1009" s="53"/>
      <c r="V1009" s="51"/>
    </row>
    <row r="1010">
      <c r="C1010" s="51"/>
      <c r="D1010" s="51"/>
      <c r="E1010" s="51"/>
      <c r="F1010" s="51"/>
      <c r="G1010" s="51"/>
      <c r="H1010" s="51"/>
      <c r="I1010" s="51"/>
      <c r="J1010" s="51"/>
      <c r="K1010" s="51"/>
      <c r="L1010" s="51"/>
      <c r="N1010" s="52"/>
      <c r="P1010" s="53"/>
      <c r="Q1010" s="53"/>
      <c r="R1010" s="53"/>
      <c r="V1010" s="51"/>
    </row>
    <row r="1011">
      <c r="C1011" s="51"/>
      <c r="D1011" s="51"/>
      <c r="E1011" s="51"/>
      <c r="F1011" s="51"/>
      <c r="G1011" s="51"/>
      <c r="H1011" s="51"/>
      <c r="I1011" s="51"/>
      <c r="J1011" s="51"/>
      <c r="K1011" s="51"/>
      <c r="L1011" s="51"/>
      <c r="N1011" s="52"/>
      <c r="P1011" s="53"/>
      <c r="Q1011" s="53"/>
      <c r="R1011" s="53"/>
      <c r="V1011" s="51"/>
    </row>
    <row r="1012">
      <c r="C1012" s="51"/>
      <c r="D1012" s="51"/>
      <c r="E1012" s="51"/>
      <c r="F1012" s="51"/>
      <c r="G1012" s="51"/>
      <c r="H1012" s="51"/>
      <c r="I1012" s="51"/>
      <c r="J1012" s="51"/>
      <c r="K1012" s="51"/>
      <c r="L1012" s="51"/>
      <c r="N1012" s="52"/>
      <c r="P1012" s="53"/>
      <c r="Q1012" s="53"/>
      <c r="R1012" s="53"/>
      <c r="V1012" s="51"/>
    </row>
    <row r="1013">
      <c r="C1013" s="51"/>
      <c r="D1013" s="51"/>
      <c r="E1013" s="51"/>
      <c r="F1013" s="51"/>
      <c r="G1013" s="51"/>
      <c r="H1013" s="51"/>
      <c r="I1013" s="51"/>
      <c r="J1013" s="51"/>
      <c r="K1013" s="51"/>
      <c r="L1013" s="51"/>
      <c r="N1013" s="52"/>
      <c r="P1013" s="53"/>
      <c r="Q1013" s="53"/>
      <c r="R1013" s="53"/>
      <c r="V1013" s="51"/>
    </row>
    <row r="1014">
      <c r="C1014" s="51"/>
      <c r="D1014" s="51"/>
      <c r="E1014" s="51"/>
      <c r="F1014" s="51"/>
      <c r="G1014" s="51"/>
      <c r="H1014" s="51"/>
      <c r="I1014" s="51"/>
      <c r="J1014" s="51"/>
      <c r="K1014" s="51"/>
      <c r="L1014" s="51"/>
      <c r="N1014" s="52"/>
      <c r="P1014" s="53"/>
      <c r="Q1014" s="53"/>
      <c r="R1014" s="53"/>
      <c r="V1014" s="51"/>
    </row>
    <row r="1015">
      <c r="C1015" s="51"/>
      <c r="D1015" s="51"/>
      <c r="E1015" s="51"/>
      <c r="F1015" s="51"/>
      <c r="G1015" s="51"/>
      <c r="H1015" s="51"/>
      <c r="I1015" s="51"/>
      <c r="J1015" s="51"/>
      <c r="K1015" s="51"/>
      <c r="L1015" s="51"/>
      <c r="N1015" s="52"/>
      <c r="P1015" s="53"/>
      <c r="Q1015" s="53"/>
      <c r="R1015" s="53"/>
      <c r="V1015" s="51"/>
    </row>
    <row r="1016">
      <c r="C1016" s="51"/>
      <c r="D1016" s="51"/>
      <c r="E1016" s="51"/>
      <c r="F1016" s="51"/>
      <c r="G1016" s="51"/>
      <c r="H1016" s="51"/>
      <c r="I1016" s="51"/>
      <c r="J1016" s="51"/>
      <c r="K1016" s="51"/>
      <c r="L1016" s="51"/>
      <c r="N1016" s="52"/>
      <c r="P1016" s="53"/>
      <c r="Q1016" s="53"/>
      <c r="R1016" s="53"/>
      <c r="V1016" s="51"/>
    </row>
    <row r="1017">
      <c r="C1017" s="51"/>
      <c r="D1017" s="51"/>
      <c r="E1017" s="51"/>
      <c r="F1017" s="51"/>
      <c r="G1017" s="51"/>
      <c r="H1017" s="51"/>
      <c r="I1017" s="51"/>
      <c r="J1017" s="51"/>
      <c r="K1017" s="51"/>
      <c r="L1017" s="51"/>
      <c r="N1017" s="52"/>
      <c r="P1017" s="53"/>
      <c r="Q1017" s="53"/>
      <c r="R1017" s="53"/>
      <c r="V1017" s="51"/>
    </row>
    <row r="1018">
      <c r="C1018" s="51"/>
      <c r="D1018" s="51"/>
      <c r="E1018" s="51"/>
      <c r="F1018" s="51"/>
      <c r="G1018" s="51"/>
      <c r="H1018" s="51"/>
      <c r="I1018" s="51"/>
      <c r="J1018" s="51"/>
      <c r="K1018" s="51"/>
      <c r="L1018" s="51"/>
      <c r="N1018" s="52"/>
      <c r="P1018" s="53"/>
      <c r="Q1018" s="53"/>
      <c r="R1018" s="53"/>
      <c r="V1018" s="51"/>
    </row>
    <row r="1019">
      <c r="C1019" s="51"/>
      <c r="D1019" s="51"/>
      <c r="E1019" s="51"/>
      <c r="F1019" s="51"/>
      <c r="G1019" s="51"/>
      <c r="H1019" s="51"/>
      <c r="I1019" s="51"/>
      <c r="J1019" s="51"/>
      <c r="K1019" s="51"/>
      <c r="L1019" s="51"/>
      <c r="N1019" s="52"/>
      <c r="P1019" s="53"/>
      <c r="Q1019" s="53"/>
      <c r="R1019" s="53"/>
      <c r="V1019" s="51"/>
    </row>
    <row r="1020">
      <c r="C1020" s="51"/>
      <c r="D1020" s="51"/>
      <c r="E1020" s="51"/>
      <c r="F1020" s="51"/>
      <c r="G1020" s="51"/>
      <c r="H1020" s="51"/>
      <c r="I1020" s="51"/>
      <c r="J1020" s="51"/>
      <c r="K1020" s="51"/>
      <c r="L1020" s="51"/>
      <c r="N1020" s="52"/>
      <c r="P1020" s="53"/>
      <c r="Q1020" s="53"/>
      <c r="R1020" s="53"/>
      <c r="V1020" s="51"/>
    </row>
    <row r="1021">
      <c r="C1021" s="51"/>
      <c r="D1021" s="51"/>
      <c r="E1021" s="51"/>
      <c r="F1021" s="51"/>
      <c r="G1021" s="51"/>
      <c r="H1021" s="51"/>
      <c r="I1021" s="51"/>
      <c r="J1021" s="51"/>
      <c r="K1021" s="51"/>
      <c r="L1021" s="51"/>
      <c r="N1021" s="52"/>
      <c r="P1021" s="53"/>
      <c r="Q1021" s="53"/>
      <c r="R1021" s="53"/>
      <c r="V1021" s="51"/>
    </row>
    <row r="1022">
      <c r="C1022" s="51"/>
      <c r="D1022" s="51"/>
      <c r="E1022" s="51"/>
      <c r="F1022" s="51"/>
      <c r="G1022" s="51"/>
      <c r="H1022" s="51"/>
      <c r="I1022" s="51"/>
      <c r="J1022" s="51"/>
      <c r="K1022" s="51"/>
      <c r="L1022" s="51"/>
      <c r="N1022" s="52"/>
      <c r="P1022" s="53"/>
      <c r="Q1022" s="53"/>
      <c r="R1022" s="53"/>
      <c r="V1022" s="51"/>
    </row>
    <row r="1023">
      <c r="C1023" s="51"/>
      <c r="D1023" s="51"/>
      <c r="E1023" s="51"/>
      <c r="F1023" s="51"/>
      <c r="G1023" s="51"/>
      <c r="H1023" s="51"/>
      <c r="I1023" s="51"/>
      <c r="J1023" s="51"/>
      <c r="K1023" s="51"/>
      <c r="L1023" s="51"/>
      <c r="N1023" s="52"/>
      <c r="P1023" s="53"/>
      <c r="Q1023" s="53"/>
      <c r="R1023" s="53"/>
      <c r="V1023" s="51"/>
    </row>
    <row r="1024">
      <c r="C1024" s="51"/>
      <c r="D1024" s="51"/>
      <c r="E1024" s="51"/>
      <c r="F1024" s="51"/>
      <c r="G1024" s="51"/>
      <c r="H1024" s="51"/>
      <c r="I1024" s="51"/>
      <c r="J1024" s="51"/>
      <c r="K1024" s="51"/>
      <c r="L1024" s="51"/>
      <c r="N1024" s="52"/>
      <c r="P1024" s="53"/>
      <c r="Q1024" s="53"/>
      <c r="R1024" s="53"/>
      <c r="V1024" s="51"/>
    </row>
    <row r="1025">
      <c r="C1025" s="51"/>
      <c r="D1025" s="51"/>
      <c r="E1025" s="51"/>
      <c r="F1025" s="51"/>
      <c r="G1025" s="51"/>
      <c r="H1025" s="51"/>
      <c r="I1025" s="51"/>
      <c r="J1025" s="51"/>
      <c r="K1025" s="51"/>
      <c r="L1025" s="51"/>
      <c r="N1025" s="52"/>
      <c r="P1025" s="53"/>
      <c r="Q1025" s="53"/>
      <c r="R1025" s="53"/>
      <c r="V1025" s="51"/>
    </row>
    <row r="1026">
      <c r="C1026" s="51"/>
      <c r="D1026" s="51"/>
      <c r="E1026" s="51"/>
      <c r="F1026" s="51"/>
      <c r="G1026" s="51"/>
      <c r="H1026" s="51"/>
      <c r="I1026" s="51"/>
      <c r="J1026" s="51"/>
      <c r="K1026" s="51"/>
      <c r="L1026" s="51"/>
      <c r="N1026" s="52"/>
      <c r="P1026" s="53"/>
      <c r="Q1026" s="53"/>
      <c r="R1026" s="53"/>
      <c r="V1026" s="51"/>
    </row>
    <row r="1027">
      <c r="C1027" s="51"/>
      <c r="D1027" s="51"/>
      <c r="E1027" s="51"/>
      <c r="F1027" s="51"/>
      <c r="G1027" s="51"/>
      <c r="H1027" s="51"/>
      <c r="I1027" s="51"/>
      <c r="J1027" s="51"/>
      <c r="K1027" s="51"/>
      <c r="L1027" s="51"/>
      <c r="N1027" s="52"/>
      <c r="P1027" s="53"/>
      <c r="Q1027" s="53"/>
      <c r="R1027" s="53"/>
      <c r="V1027" s="51"/>
    </row>
    <row r="1028">
      <c r="C1028" s="51"/>
      <c r="D1028" s="51"/>
      <c r="E1028" s="51"/>
      <c r="F1028" s="51"/>
      <c r="G1028" s="51"/>
      <c r="H1028" s="51"/>
      <c r="I1028" s="51"/>
      <c r="J1028" s="51"/>
      <c r="K1028" s="51"/>
      <c r="L1028" s="51"/>
      <c r="N1028" s="52"/>
      <c r="P1028" s="53"/>
      <c r="Q1028" s="53"/>
      <c r="R1028" s="53"/>
      <c r="V1028" s="51"/>
    </row>
    <row r="1029">
      <c r="C1029" s="51"/>
      <c r="D1029" s="51"/>
      <c r="E1029" s="51"/>
      <c r="F1029" s="51"/>
      <c r="G1029" s="51"/>
      <c r="H1029" s="51"/>
      <c r="I1029" s="51"/>
      <c r="J1029" s="51"/>
      <c r="K1029" s="51"/>
      <c r="L1029" s="51"/>
      <c r="N1029" s="52"/>
      <c r="P1029" s="53"/>
      <c r="Q1029" s="53"/>
      <c r="R1029" s="53"/>
      <c r="V1029" s="51"/>
    </row>
    <row r="1030">
      <c r="C1030" s="51"/>
      <c r="D1030" s="51"/>
      <c r="E1030" s="51"/>
      <c r="F1030" s="51"/>
      <c r="G1030" s="51"/>
      <c r="H1030" s="51"/>
      <c r="I1030" s="51"/>
      <c r="J1030" s="51"/>
      <c r="K1030" s="51"/>
      <c r="L1030" s="51"/>
      <c r="N1030" s="52"/>
      <c r="P1030" s="53"/>
      <c r="Q1030" s="53"/>
      <c r="R1030" s="53"/>
      <c r="V1030" s="51"/>
    </row>
    <row r="1031">
      <c r="C1031" s="51"/>
      <c r="D1031" s="51"/>
      <c r="E1031" s="51"/>
      <c r="F1031" s="51"/>
      <c r="G1031" s="51"/>
      <c r="H1031" s="51"/>
      <c r="I1031" s="51"/>
      <c r="J1031" s="51"/>
      <c r="K1031" s="51"/>
      <c r="L1031" s="51"/>
      <c r="N1031" s="52"/>
      <c r="P1031" s="53"/>
      <c r="Q1031" s="53"/>
      <c r="R1031" s="53"/>
      <c r="V1031" s="51"/>
    </row>
    <row r="1032">
      <c r="C1032" s="51"/>
      <c r="D1032" s="51"/>
      <c r="E1032" s="51"/>
      <c r="F1032" s="51"/>
      <c r="G1032" s="51"/>
      <c r="H1032" s="51"/>
      <c r="I1032" s="51"/>
      <c r="J1032" s="51"/>
      <c r="K1032" s="51"/>
      <c r="L1032" s="51"/>
      <c r="N1032" s="52"/>
      <c r="P1032" s="53"/>
      <c r="Q1032" s="53"/>
      <c r="R1032" s="53"/>
      <c r="V1032" s="51"/>
    </row>
    <row r="1033">
      <c r="C1033" s="51"/>
      <c r="D1033" s="51"/>
      <c r="E1033" s="51"/>
      <c r="F1033" s="51"/>
      <c r="G1033" s="51"/>
      <c r="H1033" s="51"/>
      <c r="I1033" s="51"/>
      <c r="J1033" s="51"/>
      <c r="K1033" s="51"/>
      <c r="L1033" s="51"/>
      <c r="N1033" s="52"/>
      <c r="P1033" s="53"/>
      <c r="Q1033" s="53"/>
      <c r="R1033" s="53"/>
      <c r="V1033" s="51"/>
    </row>
    <row r="1034">
      <c r="C1034" s="51"/>
      <c r="D1034" s="51"/>
      <c r="E1034" s="51"/>
      <c r="F1034" s="51"/>
      <c r="G1034" s="51"/>
      <c r="H1034" s="51"/>
      <c r="I1034" s="51"/>
      <c r="J1034" s="51"/>
      <c r="K1034" s="51"/>
      <c r="L1034" s="51"/>
      <c r="N1034" s="52"/>
      <c r="P1034" s="53"/>
      <c r="Q1034" s="53"/>
      <c r="R1034" s="53"/>
      <c r="V1034" s="51"/>
    </row>
    <row r="1035">
      <c r="C1035" s="51"/>
      <c r="D1035" s="51"/>
      <c r="E1035" s="51"/>
      <c r="F1035" s="51"/>
      <c r="G1035" s="51"/>
      <c r="H1035" s="51"/>
      <c r="I1035" s="51"/>
      <c r="J1035" s="51"/>
      <c r="K1035" s="51"/>
      <c r="L1035" s="51"/>
      <c r="N1035" s="52"/>
      <c r="P1035" s="53"/>
      <c r="Q1035" s="53"/>
      <c r="R1035" s="53"/>
      <c r="V1035" s="51"/>
    </row>
    <row r="1036">
      <c r="C1036" s="51"/>
      <c r="D1036" s="51"/>
      <c r="E1036" s="51"/>
      <c r="F1036" s="51"/>
      <c r="G1036" s="51"/>
      <c r="H1036" s="51"/>
      <c r="I1036" s="51"/>
      <c r="J1036" s="51"/>
      <c r="K1036" s="51"/>
      <c r="L1036" s="51"/>
      <c r="N1036" s="52"/>
      <c r="P1036" s="53"/>
      <c r="Q1036" s="53"/>
      <c r="R1036" s="53"/>
      <c r="V1036" s="51"/>
    </row>
    <row r="1037">
      <c r="C1037" s="51"/>
      <c r="D1037" s="51"/>
      <c r="E1037" s="51"/>
      <c r="F1037" s="51"/>
      <c r="G1037" s="51"/>
      <c r="H1037" s="51"/>
      <c r="I1037" s="51"/>
      <c r="J1037" s="51"/>
      <c r="K1037" s="51"/>
      <c r="L1037" s="51"/>
      <c r="N1037" s="52"/>
      <c r="P1037" s="53"/>
      <c r="Q1037" s="53"/>
      <c r="R1037" s="53"/>
      <c r="V1037" s="51"/>
    </row>
    <row r="1038">
      <c r="C1038" s="51"/>
      <c r="D1038" s="51"/>
      <c r="E1038" s="51"/>
      <c r="F1038" s="51"/>
      <c r="G1038" s="51"/>
      <c r="H1038" s="51"/>
      <c r="I1038" s="51"/>
      <c r="J1038" s="51"/>
      <c r="K1038" s="51"/>
      <c r="L1038" s="51"/>
      <c r="N1038" s="52"/>
      <c r="P1038" s="53"/>
      <c r="Q1038" s="53"/>
      <c r="R1038" s="53"/>
      <c r="V1038" s="51"/>
    </row>
    <row r="1039">
      <c r="C1039" s="51"/>
      <c r="D1039" s="51"/>
      <c r="E1039" s="51"/>
      <c r="F1039" s="51"/>
      <c r="G1039" s="51"/>
      <c r="H1039" s="51"/>
      <c r="I1039" s="51"/>
      <c r="J1039" s="51"/>
      <c r="K1039" s="51"/>
      <c r="L1039" s="51"/>
      <c r="N1039" s="52"/>
      <c r="P1039" s="53"/>
      <c r="Q1039" s="53"/>
      <c r="R1039" s="53"/>
      <c r="V1039" s="51"/>
    </row>
    <row r="1040">
      <c r="C1040" s="51"/>
      <c r="D1040" s="51"/>
      <c r="E1040" s="51"/>
      <c r="F1040" s="51"/>
      <c r="G1040" s="51"/>
      <c r="H1040" s="51"/>
      <c r="I1040" s="51"/>
      <c r="J1040" s="51"/>
      <c r="K1040" s="51"/>
      <c r="L1040" s="51"/>
      <c r="N1040" s="52"/>
      <c r="P1040" s="53"/>
      <c r="Q1040" s="53"/>
      <c r="R1040" s="53"/>
      <c r="V1040" s="51"/>
    </row>
    <row r="1041">
      <c r="C1041" s="51"/>
      <c r="D1041" s="51"/>
      <c r="E1041" s="51"/>
      <c r="F1041" s="51"/>
      <c r="G1041" s="51"/>
      <c r="H1041" s="51"/>
      <c r="I1041" s="51"/>
      <c r="J1041" s="51"/>
      <c r="K1041" s="51"/>
      <c r="L1041" s="51"/>
      <c r="N1041" s="52"/>
      <c r="P1041" s="53"/>
      <c r="Q1041" s="53"/>
      <c r="R1041" s="53"/>
      <c r="V1041" s="51"/>
    </row>
    <row r="1042">
      <c r="C1042" s="51"/>
      <c r="D1042" s="51"/>
      <c r="E1042" s="51"/>
      <c r="F1042" s="51"/>
      <c r="G1042" s="51"/>
      <c r="H1042" s="51"/>
      <c r="I1042" s="51"/>
      <c r="J1042" s="51"/>
      <c r="K1042" s="51"/>
      <c r="L1042" s="51"/>
      <c r="N1042" s="52"/>
      <c r="P1042" s="53"/>
      <c r="Q1042" s="53"/>
      <c r="R1042" s="53"/>
      <c r="V1042" s="51"/>
    </row>
    <row r="1043">
      <c r="C1043" s="51"/>
      <c r="D1043" s="51"/>
      <c r="E1043" s="51"/>
      <c r="F1043" s="51"/>
      <c r="G1043" s="51"/>
      <c r="H1043" s="51"/>
      <c r="I1043" s="51"/>
      <c r="J1043" s="51"/>
      <c r="K1043" s="51"/>
      <c r="L1043" s="51"/>
      <c r="N1043" s="52"/>
      <c r="P1043" s="53"/>
      <c r="Q1043" s="53"/>
      <c r="R1043" s="53"/>
      <c r="V1043" s="51"/>
    </row>
    <row r="1044">
      <c r="C1044" s="51"/>
      <c r="D1044" s="51"/>
      <c r="E1044" s="51"/>
      <c r="F1044" s="51"/>
      <c r="G1044" s="51"/>
      <c r="H1044" s="51"/>
      <c r="I1044" s="51"/>
      <c r="J1044" s="51"/>
      <c r="K1044" s="51"/>
      <c r="L1044" s="51"/>
      <c r="N1044" s="52"/>
      <c r="P1044" s="53"/>
      <c r="Q1044" s="53"/>
      <c r="R1044" s="53"/>
      <c r="V1044" s="51"/>
    </row>
    <row r="1045">
      <c r="C1045" s="51"/>
      <c r="D1045" s="51"/>
      <c r="E1045" s="51"/>
      <c r="F1045" s="51"/>
      <c r="G1045" s="51"/>
      <c r="H1045" s="51"/>
      <c r="I1045" s="51"/>
      <c r="J1045" s="51"/>
      <c r="K1045" s="51"/>
      <c r="L1045" s="51"/>
      <c r="N1045" s="52"/>
      <c r="P1045" s="53"/>
      <c r="Q1045" s="53"/>
      <c r="R1045" s="53"/>
      <c r="V1045" s="51"/>
    </row>
    <row r="1046">
      <c r="C1046" s="51"/>
      <c r="D1046" s="51"/>
      <c r="E1046" s="51"/>
      <c r="F1046" s="51"/>
      <c r="G1046" s="51"/>
      <c r="H1046" s="51"/>
      <c r="I1046" s="51"/>
      <c r="J1046" s="51"/>
      <c r="K1046" s="51"/>
      <c r="L1046" s="51"/>
      <c r="N1046" s="52"/>
      <c r="P1046" s="53"/>
      <c r="Q1046" s="53"/>
      <c r="R1046" s="53"/>
      <c r="V1046" s="51"/>
    </row>
    <row r="1047">
      <c r="C1047" s="51"/>
      <c r="D1047" s="51"/>
      <c r="E1047" s="51"/>
      <c r="F1047" s="51"/>
      <c r="G1047" s="51"/>
      <c r="H1047" s="51"/>
      <c r="I1047" s="51"/>
      <c r="J1047" s="51"/>
      <c r="K1047" s="51"/>
      <c r="L1047" s="51"/>
      <c r="N1047" s="52"/>
      <c r="P1047" s="53"/>
      <c r="Q1047" s="53"/>
      <c r="R1047" s="53"/>
      <c r="V1047" s="51"/>
    </row>
    <row r="1048">
      <c r="C1048" s="51"/>
      <c r="D1048" s="51"/>
      <c r="E1048" s="51"/>
      <c r="F1048" s="51"/>
      <c r="G1048" s="51"/>
      <c r="H1048" s="51"/>
      <c r="I1048" s="51"/>
      <c r="J1048" s="51"/>
      <c r="K1048" s="51"/>
      <c r="L1048" s="51"/>
      <c r="N1048" s="52"/>
      <c r="P1048" s="53"/>
      <c r="Q1048" s="53"/>
      <c r="R1048" s="53"/>
      <c r="V1048" s="51"/>
    </row>
    <row r="1049">
      <c r="C1049" s="51"/>
      <c r="D1049" s="51"/>
      <c r="E1049" s="51"/>
      <c r="F1049" s="51"/>
      <c r="G1049" s="51"/>
      <c r="H1049" s="51"/>
      <c r="I1049" s="51"/>
      <c r="J1049" s="51"/>
      <c r="K1049" s="51"/>
      <c r="L1049" s="51"/>
      <c r="N1049" s="52"/>
      <c r="P1049" s="53"/>
      <c r="Q1049" s="53"/>
      <c r="R1049" s="53"/>
      <c r="V1049" s="51"/>
    </row>
    <row r="1050">
      <c r="C1050" s="51"/>
      <c r="D1050" s="51"/>
      <c r="E1050" s="51"/>
      <c r="F1050" s="51"/>
      <c r="G1050" s="51"/>
      <c r="H1050" s="51"/>
      <c r="I1050" s="51"/>
      <c r="J1050" s="51"/>
      <c r="K1050" s="51"/>
      <c r="L1050" s="51"/>
      <c r="N1050" s="52"/>
      <c r="P1050" s="53"/>
      <c r="Q1050" s="53"/>
      <c r="R1050" s="53"/>
      <c r="V1050" s="51"/>
    </row>
    <row r="1051">
      <c r="C1051" s="51"/>
      <c r="D1051" s="51"/>
      <c r="E1051" s="51"/>
      <c r="F1051" s="51"/>
      <c r="G1051" s="51"/>
      <c r="H1051" s="51"/>
      <c r="I1051" s="51"/>
      <c r="J1051" s="51"/>
      <c r="K1051" s="51"/>
      <c r="L1051" s="51"/>
      <c r="N1051" s="52"/>
      <c r="P1051" s="53"/>
      <c r="Q1051" s="53"/>
      <c r="R1051" s="53"/>
      <c r="V1051" s="51"/>
    </row>
    <row r="1052">
      <c r="C1052" s="51"/>
      <c r="D1052" s="51"/>
      <c r="E1052" s="51"/>
      <c r="F1052" s="51"/>
      <c r="G1052" s="51"/>
      <c r="H1052" s="51"/>
      <c r="I1052" s="51"/>
      <c r="J1052" s="51"/>
      <c r="K1052" s="51"/>
      <c r="L1052" s="51"/>
      <c r="N1052" s="52"/>
      <c r="P1052" s="53"/>
      <c r="Q1052" s="53"/>
      <c r="R1052" s="53"/>
      <c r="V1052" s="51"/>
    </row>
    <row r="1053">
      <c r="C1053" s="51"/>
      <c r="D1053" s="51"/>
      <c r="E1053" s="51"/>
      <c r="F1053" s="51"/>
      <c r="G1053" s="51"/>
      <c r="H1053" s="51"/>
      <c r="I1053" s="51"/>
      <c r="J1053" s="51"/>
      <c r="K1053" s="51"/>
      <c r="L1053" s="51"/>
      <c r="N1053" s="52"/>
      <c r="P1053" s="53"/>
      <c r="Q1053" s="53"/>
      <c r="R1053" s="53"/>
      <c r="V1053" s="51"/>
    </row>
    <row r="1054">
      <c r="C1054" s="51"/>
      <c r="D1054" s="51"/>
      <c r="E1054" s="51"/>
      <c r="F1054" s="51"/>
      <c r="G1054" s="51"/>
      <c r="H1054" s="51"/>
      <c r="I1054" s="51"/>
      <c r="J1054" s="51"/>
      <c r="K1054" s="51"/>
      <c r="L1054" s="51"/>
      <c r="N1054" s="52"/>
      <c r="P1054" s="53"/>
      <c r="Q1054" s="53"/>
      <c r="R1054" s="53"/>
      <c r="V1054" s="51"/>
    </row>
    <row r="1055">
      <c r="C1055" s="51"/>
      <c r="D1055" s="51"/>
      <c r="E1055" s="51"/>
      <c r="F1055" s="51"/>
      <c r="G1055" s="51"/>
      <c r="H1055" s="51"/>
      <c r="I1055" s="51"/>
      <c r="J1055" s="51"/>
      <c r="K1055" s="51"/>
      <c r="L1055" s="51"/>
      <c r="N1055" s="52"/>
      <c r="P1055" s="53"/>
      <c r="Q1055" s="53"/>
      <c r="R1055" s="53"/>
      <c r="V1055" s="51"/>
    </row>
    <row r="1056">
      <c r="C1056" s="51"/>
      <c r="D1056" s="51"/>
      <c r="E1056" s="51"/>
      <c r="F1056" s="51"/>
      <c r="G1056" s="51"/>
      <c r="H1056" s="51"/>
      <c r="I1056" s="51"/>
      <c r="J1056" s="51"/>
      <c r="K1056" s="51"/>
      <c r="L1056" s="51"/>
      <c r="N1056" s="52"/>
      <c r="P1056" s="53"/>
      <c r="Q1056" s="53"/>
      <c r="R1056" s="53"/>
      <c r="V1056" s="51"/>
    </row>
    <row r="1057">
      <c r="C1057" s="51"/>
      <c r="D1057" s="51"/>
      <c r="E1057" s="51"/>
      <c r="F1057" s="51"/>
      <c r="G1057" s="51"/>
      <c r="H1057" s="51"/>
      <c r="I1057" s="51"/>
      <c r="J1057" s="51"/>
      <c r="K1057" s="51"/>
      <c r="L1057" s="51"/>
      <c r="N1057" s="52"/>
      <c r="P1057" s="53"/>
      <c r="Q1057" s="53"/>
      <c r="R1057" s="53"/>
      <c r="V1057" s="51"/>
    </row>
    <row r="1058">
      <c r="C1058" s="51"/>
      <c r="D1058" s="51"/>
      <c r="E1058" s="51"/>
      <c r="F1058" s="51"/>
      <c r="G1058" s="51"/>
      <c r="H1058" s="51"/>
      <c r="I1058" s="51"/>
      <c r="J1058" s="51"/>
      <c r="K1058" s="51"/>
      <c r="L1058" s="51"/>
      <c r="N1058" s="52"/>
      <c r="P1058" s="53"/>
      <c r="Q1058" s="53"/>
      <c r="R1058" s="53"/>
      <c r="V1058" s="51"/>
    </row>
    <row r="1059">
      <c r="C1059" s="51"/>
      <c r="D1059" s="51"/>
      <c r="E1059" s="51"/>
      <c r="F1059" s="51"/>
      <c r="G1059" s="51"/>
      <c r="H1059" s="51"/>
      <c r="I1059" s="51"/>
      <c r="J1059" s="51"/>
      <c r="K1059" s="51"/>
      <c r="L1059" s="51"/>
      <c r="N1059" s="52"/>
      <c r="P1059" s="53"/>
      <c r="Q1059" s="53"/>
      <c r="R1059" s="53"/>
      <c r="V1059" s="51"/>
    </row>
    <row r="1060">
      <c r="C1060" s="51"/>
      <c r="D1060" s="51"/>
      <c r="E1060" s="51"/>
      <c r="F1060" s="51"/>
      <c r="G1060" s="51"/>
      <c r="H1060" s="51"/>
      <c r="I1060" s="51"/>
      <c r="J1060" s="51"/>
      <c r="K1060" s="51"/>
      <c r="L1060" s="51"/>
      <c r="N1060" s="52"/>
      <c r="P1060" s="53"/>
      <c r="Q1060" s="53"/>
      <c r="R1060" s="53"/>
      <c r="V1060" s="51"/>
    </row>
    <row r="1061">
      <c r="C1061" s="51"/>
      <c r="D1061" s="51"/>
      <c r="E1061" s="51"/>
      <c r="F1061" s="51"/>
      <c r="G1061" s="51"/>
      <c r="H1061" s="51"/>
      <c r="I1061" s="51"/>
      <c r="J1061" s="51"/>
      <c r="K1061" s="51"/>
      <c r="L1061" s="51"/>
      <c r="N1061" s="52"/>
      <c r="P1061" s="53"/>
      <c r="Q1061" s="53"/>
      <c r="R1061" s="53"/>
      <c r="V1061" s="51"/>
    </row>
    <row r="1062">
      <c r="C1062" s="51"/>
      <c r="D1062" s="51"/>
      <c r="E1062" s="51"/>
      <c r="F1062" s="51"/>
      <c r="G1062" s="51"/>
      <c r="H1062" s="51"/>
      <c r="I1062" s="51"/>
      <c r="J1062" s="51"/>
      <c r="K1062" s="51"/>
      <c r="L1062" s="51"/>
      <c r="N1062" s="52"/>
      <c r="P1062" s="53"/>
      <c r="Q1062" s="53"/>
      <c r="R1062" s="53"/>
      <c r="V1062" s="51"/>
    </row>
    <row r="1063">
      <c r="C1063" s="51"/>
      <c r="D1063" s="51"/>
      <c r="E1063" s="51"/>
      <c r="F1063" s="51"/>
      <c r="G1063" s="51"/>
      <c r="H1063" s="51"/>
      <c r="I1063" s="51"/>
      <c r="J1063" s="51"/>
      <c r="K1063" s="51"/>
      <c r="L1063" s="51"/>
      <c r="N1063" s="52"/>
      <c r="P1063" s="53"/>
      <c r="Q1063" s="53"/>
      <c r="R1063" s="53"/>
      <c r="V1063" s="51"/>
    </row>
    <row r="1064">
      <c r="C1064" s="51"/>
      <c r="D1064" s="51"/>
      <c r="E1064" s="51"/>
      <c r="F1064" s="51"/>
      <c r="G1064" s="51"/>
      <c r="H1064" s="51"/>
      <c r="I1064" s="51"/>
      <c r="J1064" s="51"/>
      <c r="K1064" s="51"/>
      <c r="L1064" s="51"/>
      <c r="N1064" s="52"/>
      <c r="P1064" s="53"/>
      <c r="Q1064" s="53"/>
      <c r="R1064" s="53"/>
      <c r="V1064" s="51"/>
    </row>
    <row r="1065">
      <c r="C1065" s="51"/>
      <c r="D1065" s="51"/>
      <c r="E1065" s="51"/>
      <c r="F1065" s="51"/>
      <c r="G1065" s="51"/>
      <c r="H1065" s="51"/>
      <c r="I1065" s="51"/>
      <c r="J1065" s="51"/>
      <c r="K1065" s="51"/>
      <c r="L1065" s="51"/>
      <c r="N1065" s="52"/>
      <c r="P1065" s="53"/>
      <c r="Q1065" s="53"/>
      <c r="R1065" s="53"/>
      <c r="V1065" s="51"/>
    </row>
    <row r="1066">
      <c r="C1066" s="51"/>
      <c r="D1066" s="51"/>
      <c r="E1066" s="51"/>
      <c r="F1066" s="51"/>
      <c r="G1066" s="51"/>
      <c r="H1066" s="51"/>
      <c r="I1066" s="51"/>
      <c r="J1066" s="51"/>
      <c r="K1066" s="51"/>
      <c r="L1066" s="51"/>
      <c r="N1066" s="52"/>
      <c r="P1066" s="53"/>
      <c r="Q1066" s="53"/>
      <c r="R1066" s="53"/>
      <c r="V1066" s="51"/>
    </row>
    <row r="1067">
      <c r="C1067" s="51"/>
      <c r="D1067" s="51"/>
      <c r="E1067" s="51"/>
      <c r="F1067" s="51"/>
      <c r="G1067" s="51"/>
      <c r="H1067" s="51"/>
      <c r="I1067" s="51"/>
      <c r="J1067" s="51"/>
      <c r="K1067" s="51"/>
      <c r="L1067" s="51"/>
      <c r="N1067" s="52"/>
      <c r="P1067" s="53"/>
      <c r="Q1067" s="53"/>
      <c r="R1067" s="53"/>
      <c r="V1067" s="51"/>
    </row>
    <row r="1068">
      <c r="C1068" s="51"/>
      <c r="D1068" s="51"/>
      <c r="E1068" s="51"/>
      <c r="F1068" s="51"/>
      <c r="G1068" s="51"/>
      <c r="H1068" s="51"/>
      <c r="I1068" s="51"/>
      <c r="J1068" s="51"/>
      <c r="K1068" s="51"/>
      <c r="L1068" s="51"/>
      <c r="N1068" s="52"/>
      <c r="P1068" s="53"/>
      <c r="Q1068" s="53"/>
      <c r="R1068" s="53"/>
      <c r="V1068" s="51"/>
    </row>
    <row r="1069">
      <c r="C1069" s="51"/>
      <c r="D1069" s="51"/>
      <c r="E1069" s="51"/>
      <c r="F1069" s="51"/>
      <c r="G1069" s="51"/>
      <c r="H1069" s="51"/>
      <c r="I1069" s="51"/>
      <c r="J1069" s="51"/>
      <c r="K1069" s="51"/>
      <c r="L1069" s="51"/>
      <c r="N1069" s="52"/>
      <c r="P1069" s="53"/>
      <c r="Q1069" s="53"/>
      <c r="R1069" s="53"/>
      <c r="V1069" s="51"/>
    </row>
    <row r="1070">
      <c r="C1070" s="51"/>
      <c r="D1070" s="51"/>
      <c r="E1070" s="51"/>
      <c r="F1070" s="51"/>
      <c r="G1070" s="51"/>
      <c r="H1070" s="51"/>
      <c r="I1070" s="51"/>
      <c r="J1070" s="51"/>
      <c r="K1070" s="51"/>
      <c r="L1070" s="51"/>
      <c r="N1070" s="52"/>
      <c r="P1070" s="53"/>
      <c r="Q1070" s="53"/>
      <c r="R1070" s="53"/>
      <c r="V1070" s="51"/>
    </row>
    <row r="1071">
      <c r="C1071" s="51"/>
      <c r="D1071" s="51"/>
      <c r="E1071" s="51"/>
      <c r="F1071" s="51"/>
      <c r="G1071" s="51"/>
      <c r="H1071" s="51"/>
      <c r="I1071" s="51"/>
      <c r="J1071" s="51"/>
      <c r="K1071" s="51"/>
      <c r="L1071" s="51"/>
      <c r="N1071" s="52"/>
      <c r="P1071" s="53"/>
      <c r="Q1071" s="53"/>
      <c r="R1071" s="53"/>
      <c r="V1071" s="51"/>
    </row>
    <row r="1072">
      <c r="C1072" s="51"/>
      <c r="D1072" s="51"/>
      <c r="E1072" s="51"/>
      <c r="F1072" s="51"/>
      <c r="G1072" s="51"/>
      <c r="H1072" s="51"/>
      <c r="I1072" s="51"/>
      <c r="J1072" s="51"/>
      <c r="K1072" s="51"/>
      <c r="L1072" s="51"/>
      <c r="N1072" s="52"/>
      <c r="P1072" s="53"/>
      <c r="Q1072" s="53"/>
      <c r="R1072" s="53"/>
      <c r="V1072" s="51"/>
    </row>
    <row r="1073">
      <c r="C1073" s="51"/>
      <c r="D1073" s="51"/>
      <c r="E1073" s="51"/>
      <c r="F1073" s="51"/>
      <c r="G1073" s="51"/>
      <c r="H1073" s="51"/>
      <c r="I1073" s="51"/>
      <c r="J1073" s="51"/>
      <c r="K1073" s="51"/>
      <c r="L1073" s="51"/>
      <c r="N1073" s="52"/>
      <c r="P1073" s="53"/>
      <c r="Q1073" s="53"/>
      <c r="R1073" s="53"/>
      <c r="V1073" s="51"/>
    </row>
    <row r="1074">
      <c r="C1074" s="51"/>
      <c r="D1074" s="51"/>
      <c r="E1074" s="51"/>
      <c r="F1074" s="51"/>
      <c r="G1074" s="51"/>
      <c r="H1074" s="51"/>
      <c r="I1074" s="51"/>
      <c r="J1074" s="51"/>
      <c r="K1074" s="51"/>
      <c r="L1074" s="51"/>
      <c r="N1074" s="52"/>
      <c r="P1074" s="53"/>
      <c r="Q1074" s="53"/>
      <c r="R1074" s="53"/>
      <c r="V1074" s="51"/>
    </row>
    <row r="1075">
      <c r="C1075" s="51"/>
      <c r="D1075" s="51"/>
      <c r="E1075" s="51"/>
      <c r="F1075" s="51"/>
      <c r="G1075" s="51"/>
      <c r="H1075" s="51"/>
      <c r="I1075" s="51"/>
      <c r="J1075" s="51"/>
      <c r="K1075" s="51"/>
      <c r="L1075" s="51"/>
      <c r="N1075" s="52"/>
      <c r="P1075" s="53"/>
      <c r="Q1075" s="53"/>
      <c r="R1075" s="53"/>
      <c r="V1075" s="51"/>
    </row>
    <row r="1076">
      <c r="C1076" s="51"/>
      <c r="D1076" s="51"/>
      <c r="E1076" s="51"/>
      <c r="F1076" s="51"/>
      <c r="G1076" s="51"/>
      <c r="H1076" s="51"/>
      <c r="I1076" s="51"/>
      <c r="J1076" s="51"/>
      <c r="K1076" s="51"/>
      <c r="L1076" s="51"/>
      <c r="N1076" s="52"/>
      <c r="P1076" s="53"/>
      <c r="Q1076" s="53"/>
      <c r="R1076" s="53"/>
      <c r="V1076" s="51"/>
    </row>
    <row r="1077">
      <c r="C1077" s="51"/>
      <c r="D1077" s="51"/>
      <c r="E1077" s="51"/>
      <c r="F1077" s="51"/>
      <c r="G1077" s="51"/>
      <c r="H1077" s="51"/>
      <c r="I1077" s="51"/>
      <c r="J1077" s="51"/>
      <c r="K1077" s="51"/>
      <c r="L1077" s="51"/>
      <c r="N1077" s="52"/>
      <c r="P1077" s="53"/>
      <c r="Q1077" s="53"/>
      <c r="R1077" s="53"/>
      <c r="V1077" s="51"/>
    </row>
    <row r="1078">
      <c r="C1078" s="51"/>
      <c r="D1078" s="51"/>
      <c r="E1078" s="51"/>
      <c r="F1078" s="51"/>
      <c r="G1078" s="51"/>
      <c r="H1078" s="51"/>
      <c r="I1078" s="51"/>
      <c r="J1078" s="51"/>
      <c r="K1078" s="51"/>
      <c r="L1078" s="51"/>
      <c r="N1078" s="52"/>
      <c r="P1078" s="53"/>
      <c r="Q1078" s="53"/>
      <c r="R1078" s="53"/>
      <c r="V1078" s="51"/>
    </row>
    <row r="1079">
      <c r="C1079" s="51"/>
      <c r="D1079" s="51"/>
      <c r="E1079" s="51"/>
      <c r="F1079" s="51"/>
      <c r="G1079" s="51"/>
      <c r="H1079" s="51"/>
      <c r="I1079" s="51"/>
      <c r="J1079" s="51"/>
      <c r="K1079" s="51"/>
      <c r="L1079" s="51"/>
      <c r="N1079" s="52"/>
      <c r="P1079" s="53"/>
      <c r="Q1079" s="53"/>
      <c r="R1079" s="53"/>
      <c r="V1079" s="51"/>
    </row>
    <row r="1080">
      <c r="C1080" s="51"/>
      <c r="D1080" s="51"/>
      <c r="E1080" s="51"/>
      <c r="F1080" s="51"/>
      <c r="G1080" s="51"/>
      <c r="H1080" s="51"/>
      <c r="I1080" s="51"/>
      <c r="J1080" s="51"/>
      <c r="K1080" s="51"/>
      <c r="L1080" s="51"/>
      <c r="N1080" s="52"/>
      <c r="P1080" s="53"/>
      <c r="Q1080" s="53"/>
      <c r="R1080" s="53"/>
      <c r="V1080" s="51"/>
    </row>
    <row r="1081">
      <c r="C1081" s="51"/>
      <c r="D1081" s="51"/>
      <c r="E1081" s="51"/>
      <c r="F1081" s="51"/>
      <c r="G1081" s="51"/>
      <c r="H1081" s="51"/>
      <c r="I1081" s="51"/>
      <c r="J1081" s="51"/>
      <c r="K1081" s="51"/>
      <c r="L1081" s="51"/>
      <c r="N1081" s="52"/>
      <c r="P1081" s="53"/>
      <c r="Q1081" s="53"/>
      <c r="R1081" s="53"/>
      <c r="V1081" s="51"/>
    </row>
    <row r="1082">
      <c r="C1082" s="51"/>
      <c r="D1082" s="51"/>
      <c r="E1082" s="51"/>
      <c r="F1082" s="51"/>
      <c r="G1082" s="51"/>
      <c r="H1082" s="51"/>
      <c r="I1082" s="51"/>
      <c r="J1082" s="51"/>
      <c r="K1082" s="51"/>
      <c r="L1082" s="51"/>
      <c r="N1082" s="52"/>
      <c r="P1082" s="53"/>
      <c r="Q1082" s="53"/>
      <c r="R1082" s="53"/>
      <c r="V1082" s="51"/>
    </row>
    <row r="1083">
      <c r="C1083" s="51"/>
      <c r="D1083" s="51"/>
      <c r="E1083" s="51"/>
      <c r="F1083" s="51"/>
      <c r="G1083" s="51"/>
      <c r="H1083" s="51"/>
      <c r="I1083" s="51"/>
      <c r="J1083" s="51"/>
      <c r="K1083" s="51"/>
      <c r="L1083" s="51"/>
      <c r="N1083" s="52"/>
      <c r="P1083" s="53"/>
      <c r="Q1083" s="53"/>
      <c r="R1083" s="53"/>
      <c r="V1083" s="51"/>
    </row>
    <row r="1084">
      <c r="C1084" s="51"/>
      <c r="D1084" s="51"/>
      <c r="E1084" s="51"/>
      <c r="F1084" s="51"/>
      <c r="G1084" s="51"/>
      <c r="H1084" s="51"/>
      <c r="I1084" s="51"/>
      <c r="J1084" s="51"/>
      <c r="K1084" s="51"/>
      <c r="L1084" s="51"/>
      <c r="N1084" s="52"/>
      <c r="P1084" s="53"/>
      <c r="Q1084" s="53"/>
      <c r="R1084" s="53"/>
      <c r="V1084" s="51"/>
    </row>
    <row r="1085">
      <c r="C1085" s="51"/>
      <c r="D1085" s="51"/>
      <c r="E1085" s="51"/>
      <c r="F1085" s="51"/>
      <c r="G1085" s="51"/>
      <c r="H1085" s="51"/>
      <c r="I1085" s="51"/>
      <c r="J1085" s="51"/>
      <c r="K1085" s="51"/>
      <c r="L1085" s="51"/>
      <c r="N1085" s="52"/>
      <c r="P1085" s="53"/>
      <c r="Q1085" s="53"/>
      <c r="R1085" s="53"/>
      <c r="V1085" s="51"/>
    </row>
    <row r="1086">
      <c r="C1086" s="51"/>
      <c r="D1086" s="51"/>
      <c r="E1086" s="51"/>
      <c r="F1086" s="51"/>
      <c r="G1086" s="51"/>
      <c r="H1086" s="51"/>
      <c r="I1086" s="51"/>
      <c r="J1086" s="51"/>
      <c r="K1086" s="51"/>
      <c r="L1086" s="51"/>
      <c r="N1086" s="52"/>
      <c r="P1086" s="53"/>
      <c r="Q1086" s="53"/>
      <c r="R1086" s="53"/>
      <c r="V1086" s="51"/>
    </row>
    <row r="1087">
      <c r="C1087" s="51"/>
      <c r="D1087" s="51"/>
      <c r="E1087" s="51"/>
      <c r="F1087" s="51"/>
      <c r="G1087" s="51"/>
      <c r="H1087" s="51"/>
      <c r="I1087" s="51"/>
      <c r="J1087" s="51"/>
      <c r="K1087" s="51"/>
      <c r="L1087" s="51"/>
      <c r="N1087" s="52"/>
      <c r="P1087" s="53"/>
      <c r="Q1087" s="53"/>
      <c r="R1087" s="53"/>
      <c r="V1087" s="51"/>
    </row>
    <row r="1088">
      <c r="C1088" s="51"/>
      <c r="D1088" s="51"/>
      <c r="E1088" s="51"/>
      <c r="F1088" s="51"/>
      <c r="G1088" s="51"/>
      <c r="H1088" s="51"/>
      <c r="I1088" s="51"/>
      <c r="J1088" s="51"/>
      <c r="K1088" s="51"/>
      <c r="L1088" s="51"/>
      <c r="N1088" s="52"/>
      <c r="P1088" s="53"/>
      <c r="Q1088" s="53"/>
      <c r="R1088" s="53"/>
      <c r="V1088" s="51"/>
    </row>
    <row r="1089">
      <c r="C1089" s="51"/>
      <c r="D1089" s="51"/>
      <c r="E1089" s="51"/>
      <c r="F1089" s="51"/>
      <c r="G1089" s="51"/>
      <c r="H1089" s="51"/>
      <c r="I1089" s="51"/>
      <c r="J1089" s="51"/>
      <c r="K1089" s="51"/>
      <c r="L1089" s="51"/>
      <c r="N1089" s="52"/>
      <c r="P1089" s="53"/>
      <c r="Q1089" s="53"/>
      <c r="R1089" s="53"/>
      <c r="V1089" s="51"/>
    </row>
    <row r="1090">
      <c r="C1090" s="51"/>
      <c r="D1090" s="51"/>
      <c r="E1090" s="51"/>
      <c r="F1090" s="51"/>
      <c r="G1090" s="51"/>
      <c r="H1090" s="51"/>
      <c r="I1090" s="51"/>
      <c r="J1090" s="51"/>
      <c r="K1090" s="51"/>
      <c r="L1090" s="51"/>
      <c r="N1090" s="52"/>
      <c r="P1090" s="53"/>
      <c r="Q1090" s="53"/>
      <c r="R1090" s="53"/>
      <c r="V1090" s="51"/>
    </row>
    <row r="1091">
      <c r="C1091" s="51"/>
      <c r="D1091" s="51"/>
      <c r="E1091" s="51"/>
      <c r="F1091" s="51"/>
      <c r="G1091" s="51"/>
      <c r="H1091" s="51"/>
      <c r="I1091" s="51"/>
      <c r="J1091" s="51"/>
      <c r="K1091" s="51"/>
      <c r="L1091" s="51"/>
      <c r="N1091" s="52"/>
      <c r="P1091" s="53"/>
      <c r="Q1091" s="53"/>
      <c r="R1091" s="53"/>
      <c r="V1091" s="51"/>
    </row>
    <row r="1092">
      <c r="C1092" s="51"/>
      <c r="D1092" s="51"/>
      <c r="E1092" s="51"/>
      <c r="F1092" s="51"/>
      <c r="G1092" s="51"/>
      <c r="H1092" s="51"/>
      <c r="I1092" s="51"/>
      <c r="J1092" s="51"/>
      <c r="K1092" s="51"/>
      <c r="L1092" s="51"/>
      <c r="N1092" s="52"/>
      <c r="P1092" s="53"/>
      <c r="Q1092" s="53"/>
      <c r="R1092" s="53"/>
      <c r="V1092" s="51"/>
    </row>
    <row r="1093">
      <c r="C1093" s="51"/>
      <c r="D1093" s="51"/>
      <c r="E1093" s="51"/>
      <c r="F1093" s="51"/>
      <c r="G1093" s="51"/>
      <c r="H1093" s="51"/>
      <c r="I1093" s="51"/>
      <c r="J1093" s="51"/>
      <c r="K1093" s="51"/>
      <c r="L1093" s="51"/>
      <c r="N1093" s="52"/>
      <c r="P1093" s="53"/>
      <c r="Q1093" s="53"/>
      <c r="R1093" s="53"/>
      <c r="V1093" s="51"/>
    </row>
    <row r="1094">
      <c r="C1094" s="51"/>
      <c r="D1094" s="51"/>
      <c r="E1094" s="51"/>
      <c r="F1094" s="51"/>
      <c r="G1094" s="51"/>
      <c r="H1094" s="51"/>
      <c r="I1094" s="51"/>
      <c r="J1094" s="51"/>
      <c r="K1094" s="51"/>
      <c r="L1094" s="51"/>
      <c r="N1094" s="52"/>
      <c r="P1094" s="53"/>
      <c r="Q1094" s="53"/>
      <c r="R1094" s="53"/>
      <c r="V1094" s="51"/>
    </row>
    <row r="1095">
      <c r="C1095" s="51"/>
      <c r="D1095" s="51"/>
      <c r="E1095" s="51"/>
      <c r="F1095" s="51"/>
      <c r="G1095" s="51"/>
      <c r="H1095" s="51"/>
      <c r="I1095" s="51"/>
      <c r="J1095" s="51"/>
      <c r="K1095" s="51"/>
      <c r="L1095" s="51"/>
      <c r="N1095" s="52"/>
      <c r="P1095" s="53"/>
      <c r="Q1095" s="53"/>
      <c r="R1095" s="53"/>
      <c r="V1095" s="51"/>
    </row>
    <row r="1096">
      <c r="C1096" s="51"/>
      <c r="D1096" s="51"/>
      <c r="E1096" s="51"/>
      <c r="F1096" s="51"/>
      <c r="G1096" s="51"/>
      <c r="H1096" s="51"/>
      <c r="I1096" s="51"/>
      <c r="J1096" s="51"/>
      <c r="K1096" s="51"/>
      <c r="L1096" s="51"/>
      <c r="N1096" s="52"/>
      <c r="P1096" s="53"/>
      <c r="Q1096" s="53"/>
      <c r="R1096" s="53"/>
      <c r="V1096" s="51"/>
    </row>
    <row r="1097">
      <c r="C1097" s="51"/>
      <c r="D1097" s="51"/>
      <c r="E1097" s="51"/>
      <c r="F1097" s="51"/>
      <c r="G1097" s="51"/>
      <c r="H1097" s="51"/>
      <c r="I1097" s="51"/>
      <c r="J1097" s="51"/>
      <c r="K1097" s="51"/>
      <c r="L1097" s="51"/>
      <c r="N1097" s="52"/>
      <c r="P1097" s="53"/>
      <c r="Q1097" s="53"/>
      <c r="R1097" s="53"/>
      <c r="V1097" s="51"/>
    </row>
    <row r="1098">
      <c r="C1098" s="51"/>
      <c r="D1098" s="51"/>
      <c r="E1098" s="51"/>
      <c r="F1098" s="51"/>
      <c r="G1098" s="51"/>
      <c r="H1098" s="51"/>
      <c r="I1098" s="51"/>
      <c r="J1098" s="51"/>
      <c r="K1098" s="51"/>
      <c r="L1098" s="51"/>
      <c r="N1098" s="52"/>
      <c r="P1098" s="53"/>
      <c r="Q1098" s="53"/>
      <c r="R1098" s="53"/>
      <c r="V1098" s="51"/>
    </row>
    <row r="1099">
      <c r="C1099" s="51"/>
      <c r="D1099" s="51"/>
      <c r="E1099" s="51"/>
      <c r="F1099" s="51"/>
      <c r="G1099" s="51"/>
      <c r="H1099" s="51"/>
      <c r="I1099" s="51"/>
      <c r="J1099" s="51"/>
      <c r="K1099" s="51"/>
      <c r="L1099" s="51"/>
      <c r="N1099" s="52"/>
      <c r="P1099" s="53"/>
      <c r="Q1099" s="53"/>
      <c r="R1099" s="53"/>
      <c r="V1099" s="51"/>
    </row>
    <row r="1100">
      <c r="C1100" s="51"/>
      <c r="D1100" s="51"/>
      <c r="E1100" s="51"/>
      <c r="F1100" s="51"/>
      <c r="G1100" s="51"/>
      <c r="H1100" s="51"/>
      <c r="I1100" s="51"/>
      <c r="J1100" s="51"/>
      <c r="K1100" s="51"/>
      <c r="L1100" s="51"/>
      <c r="N1100" s="52"/>
      <c r="P1100" s="53"/>
      <c r="Q1100" s="53"/>
      <c r="R1100" s="53"/>
      <c r="V1100" s="51"/>
    </row>
    <row r="1101">
      <c r="C1101" s="51"/>
      <c r="D1101" s="51"/>
      <c r="E1101" s="51"/>
      <c r="F1101" s="51"/>
      <c r="G1101" s="51"/>
      <c r="H1101" s="51"/>
      <c r="I1101" s="51"/>
      <c r="J1101" s="51"/>
      <c r="K1101" s="51"/>
      <c r="L1101" s="51"/>
      <c r="N1101" s="52"/>
      <c r="P1101" s="53"/>
      <c r="Q1101" s="53"/>
      <c r="R1101" s="53"/>
      <c r="V1101" s="51"/>
    </row>
    <row r="1102">
      <c r="C1102" s="51"/>
      <c r="D1102" s="51"/>
      <c r="E1102" s="51"/>
      <c r="F1102" s="51"/>
      <c r="G1102" s="51"/>
      <c r="H1102" s="51"/>
      <c r="I1102" s="51"/>
      <c r="J1102" s="51"/>
      <c r="K1102" s="51"/>
      <c r="L1102" s="51"/>
      <c r="N1102" s="52"/>
      <c r="P1102" s="53"/>
      <c r="Q1102" s="53"/>
      <c r="R1102" s="53"/>
      <c r="V1102" s="51"/>
    </row>
    <row r="1103">
      <c r="C1103" s="51"/>
      <c r="D1103" s="51"/>
      <c r="E1103" s="51"/>
      <c r="F1103" s="51"/>
      <c r="G1103" s="51"/>
      <c r="H1103" s="51"/>
      <c r="I1103" s="51"/>
      <c r="J1103" s="51"/>
      <c r="K1103" s="51"/>
      <c r="L1103" s="51"/>
      <c r="N1103" s="52"/>
      <c r="P1103" s="53"/>
      <c r="Q1103" s="53"/>
      <c r="R1103" s="53"/>
      <c r="V1103" s="51"/>
    </row>
    <row r="1104">
      <c r="C1104" s="51"/>
      <c r="D1104" s="51"/>
      <c r="E1104" s="51"/>
      <c r="F1104" s="51"/>
      <c r="G1104" s="51"/>
      <c r="H1104" s="51"/>
      <c r="I1104" s="51"/>
      <c r="J1104" s="51"/>
      <c r="K1104" s="51"/>
      <c r="L1104" s="51"/>
      <c r="N1104" s="52"/>
      <c r="P1104" s="53"/>
      <c r="Q1104" s="53"/>
      <c r="R1104" s="53"/>
      <c r="V1104" s="51"/>
    </row>
    <row r="1105">
      <c r="C1105" s="51"/>
      <c r="D1105" s="51"/>
      <c r="E1105" s="51"/>
      <c r="F1105" s="51"/>
      <c r="G1105" s="51"/>
      <c r="H1105" s="51"/>
      <c r="I1105" s="51"/>
      <c r="J1105" s="51"/>
      <c r="K1105" s="51"/>
      <c r="L1105" s="51"/>
      <c r="N1105" s="52"/>
      <c r="P1105" s="53"/>
      <c r="Q1105" s="53"/>
      <c r="R1105" s="53"/>
      <c r="V1105" s="51"/>
    </row>
    <row r="1106">
      <c r="C1106" s="51"/>
      <c r="D1106" s="51"/>
      <c r="E1106" s="51"/>
      <c r="F1106" s="51"/>
      <c r="G1106" s="51"/>
      <c r="H1106" s="51"/>
      <c r="I1106" s="51"/>
      <c r="J1106" s="51"/>
      <c r="K1106" s="51"/>
      <c r="L1106" s="51"/>
      <c r="N1106" s="52"/>
      <c r="P1106" s="53"/>
      <c r="Q1106" s="53"/>
      <c r="R1106" s="53"/>
      <c r="V1106" s="51"/>
    </row>
    <row r="1107">
      <c r="C1107" s="51"/>
      <c r="D1107" s="51"/>
      <c r="E1107" s="51"/>
      <c r="F1107" s="51"/>
      <c r="G1107" s="51"/>
      <c r="H1107" s="51"/>
      <c r="I1107" s="51"/>
      <c r="J1107" s="51"/>
      <c r="K1107" s="51"/>
      <c r="L1107" s="51"/>
      <c r="N1107" s="52"/>
      <c r="P1107" s="53"/>
      <c r="Q1107" s="53"/>
      <c r="R1107" s="53"/>
      <c r="V1107" s="51"/>
    </row>
    <row r="1108">
      <c r="C1108" s="51"/>
      <c r="D1108" s="51"/>
      <c r="E1108" s="51"/>
      <c r="F1108" s="51"/>
      <c r="G1108" s="51"/>
      <c r="H1108" s="51"/>
      <c r="I1108" s="51"/>
      <c r="J1108" s="51"/>
      <c r="K1108" s="51"/>
      <c r="L1108" s="51"/>
      <c r="N1108" s="52"/>
      <c r="P1108" s="53"/>
      <c r="Q1108" s="53"/>
      <c r="R1108" s="53"/>
      <c r="V1108" s="51"/>
    </row>
    <row r="1109">
      <c r="C1109" s="51"/>
      <c r="D1109" s="51"/>
      <c r="E1109" s="51"/>
      <c r="F1109" s="51"/>
      <c r="G1109" s="51"/>
      <c r="H1109" s="51"/>
      <c r="I1109" s="51"/>
      <c r="J1109" s="51"/>
      <c r="K1109" s="51"/>
      <c r="L1109" s="51"/>
      <c r="N1109" s="52"/>
      <c r="P1109" s="53"/>
      <c r="Q1109" s="53"/>
      <c r="R1109" s="53"/>
      <c r="V1109" s="51"/>
    </row>
    <row r="1110">
      <c r="C1110" s="51"/>
      <c r="D1110" s="51"/>
      <c r="E1110" s="51"/>
      <c r="F1110" s="51"/>
      <c r="G1110" s="51"/>
      <c r="H1110" s="51"/>
      <c r="I1110" s="51"/>
      <c r="J1110" s="51"/>
      <c r="K1110" s="51"/>
      <c r="L1110" s="51"/>
      <c r="N1110" s="52"/>
      <c r="P1110" s="53"/>
      <c r="Q1110" s="53"/>
      <c r="R1110" s="53"/>
      <c r="V1110" s="51"/>
    </row>
    <row r="1111">
      <c r="C1111" s="51"/>
      <c r="D1111" s="51"/>
      <c r="E1111" s="51"/>
      <c r="F1111" s="51"/>
      <c r="G1111" s="51"/>
      <c r="H1111" s="51"/>
      <c r="I1111" s="51"/>
      <c r="J1111" s="51"/>
      <c r="K1111" s="51"/>
      <c r="L1111" s="51"/>
      <c r="N1111" s="52"/>
      <c r="P1111" s="53"/>
      <c r="Q1111" s="53"/>
      <c r="R1111" s="53"/>
      <c r="V1111" s="51"/>
    </row>
    <row r="1112">
      <c r="C1112" s="51"/>
      <c r="D1112" s="51"/>
      <c r="E1112" s="51"/>
      <c r="F1112" s="51"/>
      <c r="G1112" s="51"/>
      <c r="H1112" s="51"/>
      <c r="I1112" s="51"/>
      <c r="J1112" s="51"/>
      <c r="K1112" s="51"/>
      <c r="L1112" s="51"/>
      <c r="N1112" s="52"/>
      <c r="P1112" s="53"/>
      <c r="Q1112" s="53"/>
      <c r="R1112" s="53"/>
      <c r="V1112" s="51"/>
    </row>
    <row r="1113">
      <c r="C1113" s="51"/>
      <c r="D1113" s="51"/>
      <c r="E1113" s="51"/>
      <c r="F1113" s="51"/>
      <c r="G1113" s="51"/>
      <c r="H1113" s="51"/>
      <c r="I1113" s="51"/>
      <c r="J1113" s="51"/>
      <c r="K1113" s="51"/>
      <c r="L1113" s="51"/>
      <c r="N1113" s="52"/>
      <c r="P1113" s="53"/>
      <c r="Q1113" s="53"/>
      <c r="R1113" s="53"/>
      <c r="V1113" s="51"/>
    </row>
    <row r="1114">
      <c r="C1114" s="51"/>
      <c r="D1114" s="51"/>
      <c r="E1114" s="51"/>
      <c r="F1114" s="51"/>
      <c r="G1114" s="51"/>
      <c r="H1114" s="51"/>
      <c r="I1114" s="51"/>
      <c r="J1114" s="51"/>
      <c r="K1114" s="51"/>
      <c r="L1114" s="51"/>
      <c r="N1114" s="52"/>
      <c r="P1114" s="53"/>
      <c r="Q1114" s="53"/>
      <c r="R1114" s="53"/>
      <c r="V1114" s="51"/>
    </row>
    <row r="1115">
      <c r="C1115" s="51"/>
      <c r="D1115" s="51"/>
      <c r="E1115" s="51"/>
      <c r="F1115" s="51"/>
      <c r="G1115" s="51"/>
      <c r="H1115" s="51"/>
      <c r="I1115" s="51"/>
      <c r="J1115" s="51"/>
      <c r="K1115" s="51"/>
      <c r="L1115" s="51"/>
      <c r="N1115" s="52"/>
      <c r="P1115" s="53"/>
      <c r="Q1115" s="53"/>
      <c r="R1115" s="53"/>
      <c r="V1115" s="51"/>
    </row>
    <row r="1116">
      <c r="C1116" s="51"/>
      <c r="D1116" s="51"/>
      <c r="E1116" s="51"/>
      <c r="F1116" s="51"/>
      <c r="G1116" s="51"/>
      <c r="H1116" s="51"/>
      <c r="I1116" s="51"/>
      <c r="J1116" s="51"/>
      <c r="K1116" s="51"/>
      <c r="L1116" s="51"/>
      <c r="N1116" s="52"/>
      <c r="P1116" s="53"/>
      <c r="Q1116" s="53"/>
      <c r="R1116" s="53"/>
      <c r="V1116" s="51"/>
    </row>
    <row r="1117">
      <c r="C1117" s="51"/>
      <c r="D1117" s="51"/>
      <c r="E1117" s="51"/>
      <c r="F1117" s="51"/>
      <c r="G1117" s="51"/>
      <c r="H1117" s="51"/>
      <c r="I1117" s="51"/>
      <c r="J1117" s="51"/>
      <c r="K1117" s="51"/>
      <c r="L1117" s="51"/>
      <c r="N1117" s="52"/>
      <c r="P1117" s="53"/>
      <c r="Q1117" s="53"/>
      <c r="R1117" s="53"/>
      <c r="V1117" s="51"/>
    </row>
    <row r="1118">
      <c r="C1118" s="51"/>
      <c r="D1118" s="51"/>
      <c r="E1118" s="51"/>
      <c r="F1118" s="51"/>
      <c r="G1118" s="51"/>
      <c r="H1118" s="51"/>
      <c r="I1118" s="51"/>
      <c r="J1118" s="51"/>
      <c r="K1118" s="51"/>
      <c r="L1118" s="51"/>
      <c r="N1118" s="52"/>
      <c r="P1118" s="53"/>
      <c r="Q1118" s="53"/>
      <c r="R1118" s="53"/>
      <c r="V1118" s="51"/>
    </row>
    <row r="1119">
      <c r="C1119" s="51"/>
      <c r="D1119" s="51"/>
      <c r="E1119" s="51"/>
      <c r="F1119" s="51"/>
      <c r="G1119" s="51"/>
      <c r="H1119" s="51"/>
      <c r="I1119" s="51"/>
      <c r="J1119" s="51"/>
      <c r="K1119" s="51"/>
      <c r="L1119" s="51"/>
      <c r="N1119" s="52"/>
      <c r="P1119" s="53"/>
      <c r="Q1119" s="53"/>
      <c r="R1119" s="53"/>
      <c r="V1119" s="51"/>
    </row>
    <row r="1120">
      <c r="C1120" s="51"/>
      <c r="D1120" s="51"/>
      <c r="E1120" s="51"/>
      <c r="F1120" s="51"/>
      <c r="G1120" s="51"/>
      <c r="H1120" s="51"/>
      <c r="I1120" s="51"/>
      <c r="J1120" s="51"/>
      <c r="K1120" s="51"/>
      <c r="L1120" s="51"/>
      <c r="N1120" s="52"/>
      <c r="P1120" s="53"/>
      <c r="Q1120" s="53"/>
      <c r="R1120" s="53"/>
      <c r="V1120" s="51"/>
    </row>
    <row r="1121">
      <c r="C1121" s="51"/>
      <c r="D1121" s="51"/>
      <c r="E1121" s="51"/>
      <c r="F1121" s="51"/>
      <c r="G1121" s="51"/>
      <c r="H1121" s="51"/>
      <c r="I1121" s="51"/>
      <c r="J1121" s="51"/>
      <c r="K1121" s="51"/>
      <c r="L1121" s="51"/>
      <c r="N1121" s="52"/>
      <c r="P1121" s="53"/>
      <c r="Q1121" s="53"/>
      <c r="R1121" s="53"/>
      <c r="V1121" s="51"/>
    </row>
    <row r="1122">
      <c r="C1122" s="51"/>
      <c r="D1122" s="51"/>
      <c r="E1122" s="51"/>
      <c r="F1122" s="51"/>
      <c r="G1122" s="51"/>
      <c r="H1122" s="51"/>
      <c r="I1122" s="51"/>
      <c r="J1122" s="51"/>
      <c r="K1122" s="51"/>
      <c r="L1122" s="51"/>
      <c r="N1122" s="52"/>
      <c r="P1122" s="53"/>
      <c r="Q1122" s="53"/>
      <c r="R1122" s="53"/>
      <c r="V1122" s="51"/>
    </row>
    <row r="1123">
      <c r="C1123" s="51"/>
      <c r="D1123" s="51"/>
      <c r="E1123" s="51"/>
      <c r="F1123" s="51"/>
      <c r="G1123" s="51"/>
      <c r="H1123" s="51"/>
      <c r="I1123" s="51"/>
      <c r="J1123" s="51"/>
      <c r="K1123" s="51"/>
      <c r="L1123" s="51"/>
      <c r="N1123" s="52"/>
      <c r="P1123" s="53"/>
      <c r="Q1123" s="53"/>
      <c r="R1123" s="53"/>
      <c r="V1123" s="51"/>
    </row>
    <row r="1124">
      <c r="C1124" s="51"/>
      <c r="D1124" s="51"/>
      <c r="E1124" s="51"/>
      <c r="F1124" s="51"/>
      <c r="G1124" s="51"/>
      <c r="H1124" s="51"/>
      <c r="I1124" s="51"/>
      <c r="J1124" s="51"/>
      <c r="K1124" s="51"/>
      <c r="L1124" s="51"/>
      <c r="N1124" s="52"/>
      <c r="P1124" s="53"/>
      <c r="Q1124" s="53"/>
      <c r="R1124" s="53"/>
      <c r="V1124" s="51"/>
    </row>
    <row r="1125">
      <c r="C1125" s="51"/>
      <c r="D1125" s="51"/>
      <c r="E1125" s="51"/>
      <c r="F1125" s="51"/>
      <c r="G1125" s="51"/>
      <c r="H1125" s="51"/>
      <c r="I1125" s="51"/>
      <c r="J1125" s="51"/>
      <c r="K1125" s="51"/>
      <c r="L1125" s="51"/>
      <c r="N1125" s="52"/>
      <c r="P1125" s="53"/>
      <c r="Q1125" s="53"/>
      <c r="R1125" s="53"/>
      <c r="V1125" s="51"/>
    </row>
    <row r="1126">
      <c r="C1126" s="51"/>
      <c r="D1126" s="51"/>
      <c r="E1126" s="51"/>
      <c r="F1126" s="51"/>
      <c r="G1126" s="51"/>
      <c r="H1126" s="51"/>
      <c r="I1126" s="51"/>
      <c r="J1126" s="51"/>
      <c r="K1126" s="51"/>
      <c r="L1126" s="51"/>
      <c r="N1126" s="52"/>
      <c r="P1126" s="53"/>
      <c r="Q1126" s="53"/>
      <c r="R1126" s="53"/>
      <c r="V1126" s="51"/>
    </row>
    <row r="1127">
      <c r="C1127" s="51"/>
      <c r="D1127" s="51"/>
      <c r="E1127" s="51"/>
      <c r="F1127" s="51"/>
      <c r="G1127" s="51"/>
      <c r="H1127" s="51"/>
      <c r="I1127" s="51"/>
      <c r="J1127" s="51"/>
      <c r="K1127" s="51"/>
      <c r="L1127" s="51"/>
      <c r="N1127" s="52"/>
      <c r="P1127" s="53"/>
      <c r="Q1127" s="53"/>
      <c r="R1127" s="53"/>
      <c r="V1127" s="51"/>
    </row>
    <row r="1128">
      <c r="C1128" s="51"/>
      <c r="D1128" s="51"/>
      <c r="E1128" s="51"/>
      <c r="F1128" s="51"/>
      <c r="G1128" s="51"/>
      <c r="H1128" s="51"/>
      <c r="I1128" s="51"/>
      <c r="J1128" s="51"/>
      <c r="K1128" s="51"/>
      <c r="L1128" s="51"/>
      <c r="N1128" s="52"/>
      <c r="P1128" s="53"/>
      <c r="Q1128" s="53"/>
      <c r="R1128" s="53"/>
      <c r="V1128" s="51"/>
    </row>
    <row r="1129">
      <c r="C1129" s="51"/>
      <c r="D1129" s="51"/>
      <c r="E1129" s="51"/>
      <c r="F1129" s="51"/>
      <c r="G1129" s="51"/>
      <c r="H1129" s="51"/>
      <c r="I1129" s="51"/>
      <c r="J1129" s="51"/>
      <c r="K1129" s="51"/>
      <c r="L1129" s="51"/>
      <c r="N1129" s="52"/>
      <c r="P1129" s="53"/>
      <c r="Q1129" s="53"/>
      <c r="R1129" s="53"/>
      <c r="V1129" s="51"/>
    </row>
    <row r="1130">
      <c r="C1130" s="51"/>
      <c r="D1130" s="51"/>
      <c r="E1130" s="51"/>
      <c r="F1130" s="51"/>
      <c r="G1130" s="51"/>
      <c r="H1130" s="51"/>
      <c r="I1130" s="51"/>
      <c r="J1130" s="51"/>
      <c r="K1130" s="51"/>
      <c r="L1130" s="51"/>
      <c r="N1130" s="52"/>
      <c r="P1130" s="53"/>
      <c r="Q1130" s="53"/>
      <c r="R1130" s="53"/>
      <c r="V1130" s="51"/>
    </row>
    <row r="1131">
      <c r="C1131" s="51"/>
      <c r="D1131" s="51"/>
      <c r="E1131" s="51"/>
      <c r="F1131" s="51"/>
      <c r="G1131" s="51"/>
      <c r="H1131" s="51"/>
      <c r="I1131" s="51"/>
      <c r="J1131" s="51"/>
      <c r="K1131" s="51"/>
      <c r="L1131" s="51"/>
      <c r="N1131" s="52"/>
      <c r="P1131" s="53"/>
      <c r="Q1131" s="53"/>
      <c r="R1131" s="53"/>
      <c r="V1131" s="51"/>
    </row>
    <row r="1132">
      <c r="C1132" s="51"/>
      <c r="D1132" s="51"/>
      <c r="E1132" s="51"/>
      <c r="F1132" s="51"/>
      <c r="G1132" s="51"/>
      <c r="H1132" s="51"/>
      <c r="I1132" s="51"/>
      <c r="J1132" s="51"/>
      <c r="K1132" s="51"/>
      <c r="L1132" s="51"/>
      <c r="N1132" s="52"/>
      <c r="P1132" s="53"/>
      <c r="Q1132" s="53"/>
      <c r="R1132" s="53"/>
      <c r="V1132" s="51"/>
    </row>
    <row r="1133">
      <c r="C1133" s="51"/>
      <c r="D1133" s="51"/>
      <c r="E1133" s="51"/>
      <c r="F1133" s="51"/>
      <c r="G1133" s="51"/>
      <c r="H1133" s="51"/>
      <c r="I1133" s="51"/>
      <c r="J1133" s="51"/>
      <c r="K1133" s="51"/>
      <c r="L1133" s="51"/>
      <c r="N1133" s="52"/>
      <c r="P1133" s="53"/>
      <c r="Q1133" s="53"/>
      <c r="R1133" s="53"/>
      <c r="V1133" s="51"/>
    </row>
    <row r="1134">
      <c r="C1134" s="51"/>
      <c r="D1134" s="51"/>
      <c r="E1134" s="51"/>
      <c r="F1134" s="51"/>
      <c r="G1134" s="51"/>
      <c r="H1134" s="51"/>
      <c r="I1134" s="51"/>
      <c r="J1134" s="51"/>
      <c r="K1134" s="51"/>
      <c r="L1134" s="51"/>
      <c r="N1134" s="52"/>
      <c r="P1134" s="53"/>
      <c r="Q1134" s="53"/>
      <c r="R1134" s="53"/>
      <c r="V1134" s="51"/>
    </row>
    <row r="1135">
      <c r="C1135" s="51"/>
      <c r="D1135" s="51"/>
      <c r="E1135" s="51"/>
      <c r="F1135" s="51"/>
      <c r="G1135" s="51"/>
      <c r="H1135" s="51"/>
      <c r="I1135" s="51"/>
      <c r="J1135" s="51"/>
      <c r="K1135" s="51"/>
      <c r="L1135" s="51"/>
      <c r="N1135" s="52"/>
      <c r="P1135" s="53"/>
      <c r="Q1135" s="53"/>
      <c r="R1135" s="53"/>
      <c r="V1135" s="51"/>
    </row>
    <row r="1136">
      <c r="C1136" s="51"/>
      <c r="D1136" s="51"/>
      <c r="E1136" s="51"/>
      <c r="F1136" s="51"/>
      <c r="G1136" s="51"/>
      <c r="H1136" s="51"/>
      <c r="I1136" s="51"/>
      <c r="J1136" s="51"/>
      <c r="K1136" s="51"/>
      <c r="L1136" s="51"/>
      <c r="N1136" s="52"/>
      <c r="P1136" s="53"/>
      <c r="Q1136" s="53"/>
      <c r="R1136" s="53"/>
      <c r="V1136" s="51"/>
    </row>
    <row r="1137">
      <c r="C1137" s="51"/>
      <c r="D1137" s="51"/>
      <c r="E1137" s="51"/>
      <c r="F1137" s="51"/>
      <c r="G1137" s="51"/>
      <c r="H1137" s="51"/>
      <c r="I1137" s="51"/>
      <c r="J1137" s="51"/>
      <c r="K1137" s="51"/>
      <c r="L1137" s="51"/>
      <c r="N1137" s="52"/>
      <c r="P1137" s="53"/>
      <c r="Q1137" s="53"/>
      <c r="R1137" s="53"/>
      <c r="V1137" s="51"/>
    </row>
    <row r="1138">
      <c r="C1138" s="51"/>
      <c r="D1138" s="51"/>
      <c r="E1138" s="51"/>
      <c r="F1138" s="51"/>
      <c r="G1138" s="51"/>
      <c r="H1138" s="51"/>
      <c r="I1138" s="51"/>
      <c r="J1138" s="51"/>
      <c r="K1138" s="51"/>
      <c r="L1138" s="51"/>
      <c r="N1138" s="52"/>
      <c r="P1138" s="53"/>
      <c r="Q1138" s="53"/>
      <c r="R1138" s="53"/>
      <c r="V1138" s="51"/>
    </row>
    <row r="1139">
      <c r="C1139" s="51"/>
      <c r="D1139" s="51"/>
      <c r="E1139" s="51"/>
      <c r="F1139" s="51"/>
      <c r="G1139" s="51"/>
      <c r="H1139" s="51"/>
      <c r="I1139" s="51"/>
      <c r="J1139" s="51"/>
      <c r="K1139" s="51"/>
      <c r="L1139" s="51"/>
      <c r="N1139" s="52"/>
      <c r="P1139" s="53"/>
      <c r="Q1139" s="53"/>
      <c r="R1139" s="53"/>
      <c r="V1139" s="51"/>
    </row>
    <row r="1140">
      <c r="C1140" s="51"/>
      <c r="D1140" s="51"/>
      <c r="E1140" s="51"/>
      <c r="F1140" s="51"/>
      <c r="G1140" s="51"/>
      <c r="H1140" s="51"/>
      <c r="I1140" s="51"/>
      <c r="J1140" s="51"/>
      <c r="K1140" s="51"/>
      <c r="L1140" s="51"/>
      <c r="N1140" s="52"/>
      <c r="P1140" s="53"/>
      <c r="Q1140" s="53"/>
      <c r="R1140" s="53"/>
      <c r="V1140" s="51"/>
    </row>
    <row r="1141">
      <c r="C1141" s="51"/>
      <c r="D1141" s="51"/>
      <c r="E1141" s="51"/>
      <c r="F1141" s="51"/>
      <c r="G1141" s="51"/>
      <c r="H1141" s="51"/>
      <c r="I1141" s="51"/>
      <c r="J1141" s="51"/>
      <c r="K1141" s="51"/>
      <c r="L1141" s="51"/>
      <c r="N1141" s="52"/>
      <c r="P1141" s="53"/>
      <c r="Q1141" s="53"/>
      <c r="R1141" s="53"/>
      <c r="V1141" s="51"/>
    </row>
    <row r="1142">
      <c r="C1142" s="51"/>
      <c r="D1142" s="51"/>
      <c r="E1142" s="51"/>
      <c r="F1142" s="51"/>
      <c r="G1142" s="51"/>
      <c r="H1142" s="51"/>
      <c r="I1142" s="51"/>
      <c r="J1142" s="51"/>
      <c r="K1142" s="51"/>
      <c r="L1142" s="51"/>
      <c r="N1142" s="52"/>
      <c r="P1142" s="53"/>
      <c r="Q1142" s="53"/>
      <c r="R1142" s="53"/>
      <c r="V1142" s="51"/>
    </row>
    <row r="1143">
      <c r="C1143" s="51"/>
      <c r="D1143" s="51"/>
      <c r="E1143" s="51"/>
      <c r="F1143" s="51"/>
      <c r="G1143" s="51"/>
      <c r="H1143" s="51"/>
      <c r="I1143" s="51"/>
      <c r="J1143" s="51"/>
      <c r="K1143" s="51"/>
      <c r="L1143" s="51"/>
      <c r="N1143" s="52"/>
      <c r="P1143" s="53"/>
      <c r="Q1143" s="53"/>
      <c r="R1143" s="53"/>
      <c r="V1143" s="51"/>
    </row>
    <row r="1144">
      <c r="C1144" s="51"/>
      <c r="D1144" s="51"/>
      <c r="E1144" s="51"/>
      <c r="F1144" s="51"/>
      <c r="G1144" s="51"/>
      <c r="H1144" s="51"/>
      <c r="I1144" s="51"/>
      <c r="J1144" s="51"/>
      <c r="K1144" s="51"/>
      <c r="L1144" s="51"/>
      <c r="N1144" s="52"/>
      <c r="P1144" s="53"/>
      <c r="Q1144" s="53"/>
      <c r="R1144" s="53"/>
      <c r="V1144" s="51"/>
    </row>
    <row r="1145">
      <c r="C1145" s="51"/>
      <c r="D1145" s="51"/>
      <c r="E1145" s="51"/>
      <c r="F1145" s="51"/>
      <c r="G1145" s="51"/>
      <c r="H1145" s="51"/>
      <c r="I1145" s="51"/>
      <c r="J1145" s="51"/>
      <c r="K1145" s="51"/>
      <c r="L1145" s="51"/>
      <c r="N1145" s="52"/>
      <c r="P1145" s="53"/>
      <c r="Q1145" s="53"/>
      <c r="R1145" s="53"/>
      <c r="V1145" s="51"/>
    </row>
    <row r="1146">
      <c r="C1146" s="51"/>
      <c r="D1146" s="51"/>
      <c r="E1146" s="51"/>
      <c r="F1146" s="51"/>
      <c r="G1146" s="51"/>
      <c r="H1146" s="51"/>
      <c r="I1146" s="51"/>
      <c r="J1146" s="51"/>
      <c r="K1146" s="51"/>
      <c r="L1146" s="51"/>
      <c r="N1146" s="52"/>
      <c r="P1146" s="53"/>
      <c r="Q1146" s="53"/>
      <c r="R1146" s="53"/>
      <c r="V1146" s="51"/>
    </row>
    <row r="1147">
      <c r="C1147" s="51"/>
      <c r="D1147" s="51"/>
      <c r="E1147" s="51"/>
      <c r="F1147" s="51"/>
      <c r="G1147" s="51"/>
      <c r="H1147" s="51"/>
      <c r="I1147" s="51"/>
      <c r="J1147" s="51"/>
      <c r="K1147" s="51"/>
      <c r="L1147" s="51"/>
      <c r="N1147" s="52"/>
      <c r="P1147" s="53"/>
      <c r="Q1147" s="53"/>
      <c r="R1147" s="53"/>
      <c r="V1147" s="51"/>
    </row>
    <row r="1148">
      <c r="C1148" s="51"/>
      <c r="D1148" s="51"/>
      <c r="E1148" s="51"/>
      <c r="F1148" s="51"/>
      <c r="G1148" s="51"/>
      <c r="H1148" s="51"/>
      <c r="I1148" s="51"/>
      <c r="J1148" s="51"/>
      <c r="K1148" s="51"/>
      <c r="L1148" s="51"/>
      <c r="N1148" s="52"/>
      <c r="P1148" s="53"/>
      <c r="Q1148" s="53"/>
      <c r="R1148" s="53"/>
      <c r="V1148" s="51"/>
    </row>
    <row r="1149">
      <c r="C1149" s="51"/>
      <c r="D1149" s="51"/>
      <c r="E1149" s="51"/>
      <c r="F1149" s="51"/>
      <c r="G1149" s="51"/>
      <c r="H1149" s="51"/>
      <c r="I1149" s="51"/>
      <c r="J1149" s="51"/>
      <c r="K1149" s="51"/>
      <c r="L1149" s="51"/>
      <c r="N1149" s="52"/>
      <c r="P1149" s="53"/>
      <c r="Q1149" s="53"/>
      <c r="R1149" s="53"/>
      <c r="V1149" s="51"/>
    </row>
    <row r="1150">
      <c r="C1150" s="51"/>
      <c r="D1150" s="51"/>
      <c r="E1150" s="51"/>
      <c r="F1150" s="51"/>
      <c r="G1150" s="51"/>
      <c r="H1150" s="51"/>
      <c r="I1150" s="51"/>
      <c r="J1150" s="51"/>
      <c r="K1150" s="51"/>
      <c r="L1150" s="51"/>
      <c r="N1150" s="52"/>
      <c r="P1150" s="53"/>
      <c r="Q1150" s="53"/>
      <c r="R1150" s="53"/>
      <c r="V1150" s="51"/>
    </row>
    <row r="1151">
      <c r="C1151" s="51"/>
      <c r="D1151" s="51"/>
      <c r="E1151" s="51"/>
      <c r="F1151" s="51"/>
      <c r="G1151" s="51"/>
      <c r="H1151" s="51"/>
      <c r="I1151" s="51"/>
      <c r="J1151" s="51"/>
      <c r="K1151" s="51"/>
      <c r="L1151" s="51"/>
      <c r="N1151" s="52"/>
      <c r="P1151" s="53"/>
      <c r="Q1151" s="53"/>
      <c r="R1151" s="53"/>
      <c r="V1151" s="51"/>
    </row>
    <row r="1152">
      <c r="C1152" s="51"/>
      <c r="D1152" s="51"/>
      <c r="E1152" s="51"/>
      <c r="F1152" s="51"/>
      <c r="G1152" s="51"/>
      <c r="H1152" s="51"/>
      <c r="I1152" s="51"/>
      <c r="J1152" s="51"/>
      <c r="K1152" s="51"/>
      <c r="L1152" s="51"/>
      <c r="N1152" s="52"/>
      <c r="P1152" s="53"/>
      <c r="Q1152" s="53"/>
      <c r="R1152" s="53"/>
      <c r="V1152" s="51"/>
    </row>
    <row r="1153">
      <c r="C1153" s="51"/>
      <c r="D1153" s="51"/>
      <c r="E1153" s="51"/>
      <c r="F1153" s="51"/>
      <c r="G1153" s="51"/>
      <c r="H1153" s="51"/>
      <c r="I1153" s="51"/>
      <c r="J1153" s="51"/>
      <c r="K1153" s="51"/>
      <c r="L1153" s="51"/>
      <c r="N1153" s="52"/>
      <c r="P1153" s="53"/>
      <c r="Q1153" s="53"/>
      <c r="R1153" s="53"/>
      <c r="V1153" s="51"/>
    </row>
    <row r="1154">
      <c r="C1154" s="51"/>
      <c r="D1154" s="51"/>
      <c r="E1154" s="51"/>
      <c r="F1154" s="51"/>
      <c r="G1154" s="51"/>
      <c r="H1154" s="51"/>
      <c r="I1154" s="51"/>
      <c r="J1154" s="51"/>
      <c r="K1154" s="51"/>
      <c r="L1154" s="51"/>
      <c r="N1154" s="52"/>
      <c r="P1154" s="53"/>
      <c r="Q1154" s="53"/>
      <c r="R1154" s="53"/>
      <c r="V1154" s="51"/>
    </row>
    <row r="1155">
      <c r="C1155" s="51"/>
      <c r="D1155" s="51"/>
      <c r="E1155" s="51"/>
      <c r="F1155" s="51"/>
      <c r="G1155" s="51"/>
      <c r="H1155" s="51"/>
      <c r="I1155" s="51"/>
      <c r="J1155" s="51"/>
      <c r="K1155" s="51"/>
      <c r="L1155" s="51"/>
      <c r="N1155" s="52"/>
      <c r="P1155" s="53"/>
      <c r="Q1155" s="53"/>
      <c r="R1155" s="53"/>
      <c r="V1155" s="51"/>
    </row>
    <row r="1156">
      <c r="C1156" s="51"/>
      <c r="D1156" s="51"/>
      <c r="E1156" s="51"/>
      <c r="F1156" s="51"/>
      <c r="G1156" s="51"/>
      <c r="H1156" s="51"/>
      <c r="I1156" s="51"/>
      <c r="J1156" s="51"/>
      <c r="K1156" s="51"/>
      <c r="L1156" s="51"/>
      <c r="N1156" s="52"/>
      <c r="P1156" s="53"/>
      <c r="Q1156" s="53"/>
      <c r="R1156" s="53"/>
      <c r="V1156" s="51"/>
    </row>
    <row r="1157">
      <c r="C1157" s="51"/>
      <c r="D1157" s="51"/>
      <c r="E1157" s="51"/>
      <c r="F1157" s="51"/>
      <c r="G1157" s="51"/>
      <c r="H1157" s="51"/>
      <c r="I1157" s="51"/>
      <c r="J1157" s="51"/>
      <c r="K1157" s="51"/>
      <c r="L1157" s="51"/>
      <c r="N1157" s="52"/>
      <c r="P1157" s="53"/>
      <c r="Q1157" s="53"/>
      <c r="R1157" s="53"/>
      <c r="V1157" s="51"/>
    </row>
    <row r="1158">
      <c r="C1158" s="51"/>
      <c r="D1158" s="51"/>
      <c r="E1158" s="51"/>
      <c r="F1158" s="51"/>
      <c r="G1158" s="51"/>
      <c r="H1158" s="51"/>
      <c r="I1158" s="51"/>
      <c r="J1158" s="51"/>
      <c r="K1158" s="51"/>
      <c r="L1158" s="51"/>
      <c r="N1158" s="52"/>
      <c r="P1158" s="53"/>
      <c r="Q1158" s="53"/>
      <c r="R1158" s="53"/>
      <c r="V1158" s="51"/>
    </row>
    <row r="1159">
      <c r="C1159" s="51"/>
      <c r="D1159" s="51"/>
      <c r="E1159" s="51"/>
      <c r="F1159" s="51"/>
      <c r="G1159" s="51"/>
      <c r="H1159" s="51"/>
      <c r="I1159" s="51"/>
      <c r="J1159" s="51"/>
      <c r="K1159" s="51"/>
      <c r="L1159" s="51"/>
      <c r="N1159" s="52"/>
      <c r="P1159" s="53"/>
      <c r="Q1159" s="53"/>
      <c r="R1159" s="53"/>
      <c r="V1159" s="51"/>
    </row>
    <row r="1160">
      <c r="C1160" s="51"/>
      <c r="D1160" s="51"/>
      <c r="E1160" s="51"/>
      <c r="F1160" s="51"/>
      <c r="G1160" s="51"/>
      <c r="H1160" s="51"/>
      <c r="I1160" s="51"/>
      <c r="J1160" s="51"/>
      <c r="K1160" s="51"/>
      <c r="L1160" s="51"/>
      <c r="N1160" s="52"/>
      <c r="P1160" s="53"/>
      <c r="Q1160" s="53"/>
      <c r="R1160" s="53"/>
      <c r="V1160" s="51"/>
    </row>
    <row r="1161">
      <c r="C1161" s="51"/>
      <c r="D1161" s="51"/>
      <c r="E1161" s="51"/>
      <c r="F1161" s="51"/>
      <c r="G1161" s="51"/>
      <c r="H1161" s="51"/>
      <c r="I1161" s="51"/>
      <c r="J1161" s="51"/>
      <c r="K1161" s="51"/>
      <c r="L1161" s="51"/>
      <c r="N1161" s="52"/>
      <c r="P1161" s="53"/>
      <c r="Q1161" s="53"/>
      <c r="R1161" s="53"/>
      <c r="V1161" s="51"/>
    </row>
    <row r="1162">
      <c r="C1162" s="51"/>
      <c r="D1162" s="51"/>
      <c r="E1162" s="51"/>
      <c r="F1162" s="51"/>
      <c r="G1162" s="51"/>
      <c r="H1162" s="51"/>
      <c r="I1162" s="51"/>
      <c r="J1162" s="51"/>
      <c r="K1162" s="51"/>
      <c r="L1162" s="51"/>
      <c r="N1162" s="52"/>
      <c r="P1162" s="53"/>
      <c r="Q1162" s="53"/>
      <c r="R1162" s="53"/>
      <c r="V1162" s="51"/>
    </row>
    <row r="1163">
      <c r="C1163" s="51"/>
      <c r="D1163" s="51"/>
      <c r="E1163" s="51"/>
      <c r="F1163" s="51"/>
      <c r="G1163" s="51"/>
      <c r="H1163" s="51"/>
      <c r="I1163" s="51"/>
      <c r="J1163" s="51"/>
      <c r="K1163" s="51"/>
      <c r="L1163" s="51"/>
      <c r="N1163" s="52"/>
      <c r="P1163" s="53"/>
      <c r="Q1163" s="53"/>
      <c r="R1163" s="53"/>
      <c r="V1163" s="51"/>
    </row>
    <row r="1164">
      <c r="C1164" s="51"/>
      <c r="D1164" s="51"/>
      <c r="E1164" s="51"/>
      <c r="F1164" s="51"/>
      <c r="G1164" s="51"/>
      <c r="H1164" s="51"/>
      <c r="I1164" s="51"/>
      <c r="J1164" s="51"/>
      <c r="K1164" s="51"/>
      <c r="L1164" s="51"/>
      <c r="N1164" s="52"/>
      <c r="P1164" s="53"/>
      <c r="Q1164" s="53"/>
      <c r="R1164" s="53"/>
      <c r="V1164" s="51"/>
    </row>
    <row r="1165">
      <c r="C1165" s="51"/>
      <c r="D1165" s="51"/>
      <c r="E1165" s="51"/>
      <c r="F1165" s="51"/>
      <c r="G1165" s="51"/>
      <c r="H1165" s="51"/>
      <c r="I1165" s="51"/>
      <c r="J1165" s="51"/>
      <c r="K1165" s="51"/>
      <c r="L1165" s="51"/>
      <c r="N1165" s="52"/>
      <c r="P1165" s="53"/>
      <c r="Q1165" s="53"/>
      <c r="R1165" s="53"/>
      <c r="V1165" s="51"/>
    </row>
    <row r="1166">
      <c r="C1166" s="51"/>
      <c r="D1166" s="51"/>
      <c r="E1166" s="51"/>
      <c r="F1166" s="51"/>
      <c r="G1166" s="51"/>
      <c r="H1166" s="51"/>
      <c r="I1166" s="51"/>
      <c r="J1166" s="51"/>
      <c r="K1166" s="51"/>
      <c r="L1166" s="51"/>
      <c r="N1166" s="52"/>
      <c r="P1166" s="53"/>
      <c r="Q1166" s="53"/>
      <c r="R1166" s="53"/>
      <c r="V1166" s="51"/>
    </row>
    <row r="1167">
      <c r="C1167" s="51"/>
      <c r="D1167" s="51"/>
      <c r="E1167" s="51"/>
      <c r="F1167" s="51"/>
      <c r="G1167" s="51"/>
      <c r="H1167" s="51"/>
      <c r="I1167" s="51"/>
      <c r="J1167" s="51"/>
      <c r="K1167" s="51"/>
      <c r="L1167" s="51"/>
      <c r="N1167" s="52"/>
      <c r="P1167" s="53"/>
      <c r="Q1167" s="53"/>
      <c r="R1167" s="53"/>
      <c r="V1167" s="51"/>
    </row>
    <row r="1168">
      <c r="C1168" s="51"/>
      <c r="D1168" s="51"/>
      <c r="E1168" s="51"/>
      <c r="F1168" s="51"/>
      <c r="G1168" s="51"/>
      <c r="H1168" s="51"/>
      <c r="I1168" s="51"/>
      <c r="J1168" s="51"/>
      <c r="K1168" s="51"/>
      <c r="L1168" s="51"/>
      <c r="N1168" s="52"/>
      <c r="P1168" s="53"/>
      <c r="Q1168" s="53"/>
      <c r="R1168" s="53"/>
      <c r="V1168" s="51"/>
    </row>
    <row r="1169">
      <c r="C1169" s="51"/>
      <c r="D1169" s="51"/>
      <c r="E1169" s="51"/>
      <c r="F1169" s="51"/>
      <c r="G1169" s="51"/>
      <c r="H1169" s="51"/>
      <c r="I1169" s="51"/>
      <c r="J1169" s="51"/>
      <c r="K1169" s="51"/>
      <c r="L1169" s="51"/>
      <c r="N1169" s="52"/>
      <c r="P1169" s="53"/>
      <c r="Q1169" s="53"/>
      <c r="R1169" s="53"/>
      <c r="V1169" s="51"/>
    </row>
    <row r="1170">
      <c r="C1170" s="51"/>
      <c r="D1170" s="51"/>
      <c r="E1170" s="51"/>
      <c r="F1170" s="51"/>
      <c r="G1170" s="51"/>
      <c r="H1170" s="51"/>
      <c r="I1170" s="51"/>
      <c r="J1170" s="51"/>
      <c r="K1170" s="51"/>
      <c r="L1170" s="51"/>
      <c r="N1170" s="52"/>
      <c r="P1170" s="53"/>
      <c r="Q1170" s="53"/>
      <c r="R1170" s="53"/>
      <c r="V1170" s="51"/>
    </row>
    <row r="1171">
      <c r="C1171" s="51"/>
      <c r="D1171" s="51"/>
      <c r="E1171" s="51"/>
      <c r="F1171" s="51"/>
      <c r="G1171" s="51"/>
      <c r="H1171" s="51"/>
      <c r="I1171" s="51"/>
      <c r="J1171" s="51"/>
      <c r="K1171" s="51"/>
      <c r="L1171" s="51"/>
      <c r="N1171" s="52"/>
      <c r="P1171" s="53"/>
      <c r="Q1171" s="53"/>
      <c r="R1171" s="53"/>
      <c r="V1171" s="51"/>
    </row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0" t="s">
        <v>288</v>
      </c>
      <c r="B1" s="40" t="s">
        <v>532</v>
      </c>
      <c r="C1" s="40" t="s">
        <v>534</v>
      </c>
      <c r="D1" s="40" t="s">
        <v>535</v>
      </c>
      <c r="E1" s="40" t="s">
        <v>537</v>
      </c>
      <c r="F1" s="40" t="s">
        <v>538</v>
      </c>
      <c r="G1" s="40" t="s">
        <v>540</v>
      </c>
      <c r="H1" s="40" t="s">
        <v>250</v>
      </c>
      <c r="I1" s="40" t="s">
        <v>252</v>
      </c>
      <c r="J1" s="40" t="s">
        <v>254</v>
      </c>
      <c r="K1" s="40" t="s">
        <v>256</v>
      </c>
      <c r="L1" s="40" t="s">
        <v>259</v>
      </c>
      <c r="M1" s="40" t="s">
        <v>73</v>
      </c>
      <c r="N1" s="40" t="s">
        <v>263</v>
      </c>
      <c r="O1" s="40" t="s">
        <v>265</v>
      </c>
      <c r="P1" s="40" t="s">
        <v>267</v>
      </c>
      <c r="Q1" s="40" t="s">
        <v>269</v>
      </c>
      <c r="R1" s="40" t="s">
        <v>270</v>
      </c>
      <c r="S1" s="40" t="s">
        <v>271</v>
      </c>
      <c r="T1" s="40" t="s">
        <v>272</v>
      </c>
      <c r="U1" s="40" t="s">
        <v>273</v>
      </c>
      <c r="V1" s="40" t="s">
        <v>274</v>
      </c>
      <c r="W1" s="40" t="s">
        <v>548</v>
      </c>
      <c r="X1" s="40" t="s">
        <v>549</v>
      </c>
      <c r="Y1" s="40" t="s">
        <v>550</v>
      </c>
      <c r="Z1" s="40" t="s">
        <v>552</v>
      </c>
      <c r="AA1" s="40" t="s">
        <v>554</v>
      </c>
      <c r="AB1" s="40" t="s">
        <v>555</v>
      </c>
      <c r="AC1" s="40" t="s">
        <v>558</v>
      </c>
      <c r="AD1" s="40" t="s">
        <v>559</v>
      </c>
      <c r="AE1" s="4" t="s">
        <v>560</v>
      </c>
    </row>
    <row r="2">
      <c r="A2" s="43">
        <v>1001.0</v>
      </c>
      <c r="B2" s="43" t="s">
        <v>563</v>
      </c>
      <c r="C2" s="63" t="str">
        <f>"每層提升5%攻擊，可堆疊，最多"&amp;X2&amp;"層，持續"&amp;Y2&amp;"回合"</f>
        <v>每層提升5%攻擊，可堆疊，最多5層，持續3回合</v>
      </c>
      <c r="D2" s="43" t="s">
        <v>573</v>
      </c>
      <c r="E2" s="65"/>
      <c r="F2" s="65"/>
      <c r="G2" s="65"/>
      <c r="H2" s="65">
        <v>0.05</v>
      </c>
      <c r="I2" s="57"/>
      <c r="J2" s="57"/>
      <c r="K2" s="57"/>
      <c r="L2" s="57"/>
      <c r="M2" s="43"/>
      <c r="N2" s="43"/>
      <c r="O2" s="43"/>
      <c r="P2" s="43"/>
      <c r="Q2" s="43"/>
      <c r="R2" s="43"/>
      <c r="S2" s="43"/>
      <c r="T2" s="43"/>
      <c r="U2" s="43"/>
      <c r="V2" s="43"/>
      <c r="W2" s="43" t="b">
        <v>1</v>
      </c>
      <c r="X2" s="43">
        <v>5.0</v>
      </c>
      <c r="Y2" s="43">
        <v>3.0</v>
      </c>
      <c r="Z2" s="14"/>
      <c r="AA2" s="14"/>
      <c r="AB2" s="14"/>
      <c r="AC2" s="14"/>
      <c r="AD2" s="43"/>
      <c r="AE2" s="14"/>
    </row>
    <row r="3">
      <c r="A3" s="43">
        <v>1002.0</v>
      </c>
      <c r="B3" s="43" t="s">
        <v>586</v>
      </c>
      <c r="C3" s="63" t="str">
        <f>"每層提升5%防禦，可堆疊，最多"&amp;X3&amp;"層，持續"&amp;Y3&amp;"回合"</f>
        <v>每層提升5%防禦，可堆疊，最多5層，持續3回合</v>
      </c>
      <c r="D3" s="43" t="s">
        <v>573</v>
      </c>
      <c r="E3" s="57"/>
      <c r="F3" s="57"/>
      <c r="G3" s="57"/>
      <c r="H3" s="57"/>
      <c r="I3" s="57"/>
      <c r="J3" s="65">
        <v>0.05</v>
      </c>
      <c r="K3" s="57"/>
      <c r="L3" s="57"/>
      <c r="M3" s="43"/>
      <c r="N3" s="43"/>
      <c r="O3" s="43"/>
      <c r="P3" s="43"/>
      <c r="Q3" s="43"/>
      <c r="R3" s="43"/>
      <c r="S3" s="43"/>
      <c r="T3" s="43"/>
      <c r="U3" s="43"/>
      <c r="V3" s="43"/>
      <c r="W3" s="43" t="b">
        <v>1</v>
      </c>
      <c r="X3" s="43">
        <v>5.0</v>
      </c>
      <c r="Y3" s="43">
        <v>3.0</v>
      </c>
      <c r="Z3" s="14"/>
      <c r="AA3" s="14"/>
      <c r="AB3" s="14"/>
      <c r="AC3" s="14"/>
      <c r="AD3" s="43"/>
      <c r="AE3" s="14"/>
    </row>
    <row r="4">
      <c r="A4" s="43">
        <v>1003.0</v>
      </c>
      <c r="B4" s="43" t="s">
        <v>598</v>
      </c>
      <c r="C4" s="63" t="str">
        <f>"每層提升5%魔攻，可堆疊，最多"&amp;X4&amp;"層，持續"&amp;Y4&amp;"回合"</f>
        <v>每層提升5%魔攻，可堆疊，最多5層，持續3回合</v>
      </c>
      <c r="D4" s="43" t="s">
        <v>573</v>
      </c>
      <c r="E4" s="57"/>
      <c r="F4" s="57"/>
      <c r="G4" s="57"/>
      <c r="H4" s="57"/>
      <c r="I4" s="65">
        <v>0.05</v>
      </c>
      <c r="J4" s="57"/>
      <c r="K4" s="57"/>
      <c r="L4" s="57"/>
      <c r="M4" s="43"/>
      <c r="N4" s="43"/>
      <c r="O4" s="43"/>
      <c r="P4" s="43"/>
      <c r="Q4" s="43"/>
      <c r="R4" s="43"/>
      <c r="S4" s="43"/>
      <c r="T4" s="43"/>
      <c r="U4" s="43"/>
      <c r="V4" s="43"/>
      <c r="W4" s="43" t="b">
        <v>1</v>
      </c>
      <c r="X4" s="43">
        <v>5.0</v>
      </c>
      <c r="Y4" s="43">
        <v>3.0</v>
      </c>
      <c r="Z4" s="14"/>
      <c r="AA4" s="14"/>
      <c r="AB4" s="14"/>
      <c r="AC4" s="14"/>
      <c r="AD4" s="43"/>
      <c r="AE4" s="14"/>
    </row>
    <row r="5">
      <c r="A5" s="43">
        <v>1004.0</v>
      </c>
      <c r="B5" s="43" t="s">
        <v>607</v>
      </c>
      <c r="C5" s="63" t="str">
        <f>"每層提升5%魔防，可堆疊，最多"&amp;X5&amp;"層，持續"&amp;Y5&amp;"回合"</f>
        <v>每層提升5%魔防，可堆疊，最多5層，持續3回合</v>
      </c>
      <c r="D5" s="43" t="s">
        <v>573</v>
      </c>
      <c r="E5" s="57"/>
      <c r="F5" s="57"/>
      <c r="G5" s="57"/>
      <c r="H5" s="57"/>
      <c r="I5" s="57"/>
      <c r="J5" s="57"/>
      <c r="K5" s="65">
        <v>0.05</v>
      </c>
      <c r="L5" s="57"/>
      <c r="M5" s="43"/>
      <c r="N5" s="43"/>
      <c r="O5" s="43"/>
      <c r="P5" s="43"/>
      <c r="Q5" s="43"/>
      <c r="R5" s="43"/>
      <c r="S5" s="43"/>
      <c r="T5" s="43"/>
      <c r="U5" s="43"/>
      <c r="V5" s="43"/>
      <c r="W5" s="43" t="b">
        <v>1</v>
      </c>
      <c r="X5" s="43">
        <v>5.0</v>
      </c>
      <c r="Y5" s="43">
        <v>3.0</v>
      </c>
      <c r="Z5" s="14"/>
      <c r="AA5" s="14"/>
      <c r="AB5" s="14"/>
      <c r="AC5" s="14"/>
      <c r="AD5" s="43"/>
      <c r="AE5" s="14"/>
    </row>
    <row r="6">
      <c r="A6" s="43">
        <v>1005.0</v>
      </c>
      <c r="B6" s="43" t="s">
        <v>617</v>
      </c>
      <c r="C6" s="63" t="str">
        <f>"每層提升5%爆擊率，可堆疊，最多"&amp;X6&amp;"層，持續"&amp;Y6&amp;"回合"</f>
        <v>每層提升5%爆擊率，可堆疊，最多5層，持續3回合</v>
      </c>
      <c r="D6" s="43" t="s">
        <v>573</v>
      </c>
      <c r="E6" s="57"/>
      <c r="F6" s="57"/>
      <c r="G6" s="57"/>
      <c r="H6" s="57"/>
      <c r="I6" s="57"/>
      <c r="J6" s="57"/>
      <c r="K6" s="57"/>
      <c r="L6" s="65">
        <v>0.05</v>
      </c>
      <c r="M6" s="43"/>
      <c r="N6" s="43"/>
      <c r="O6" s="43"/>
      <c r="P6" s="43"/>
      <c r="Q6" s="43"/>
      <c r="R6" s="43"/>
      <c r="S6" s="43"/>
      <c r="T6" s="43"/>
      <c r="U6" s="43"/>
      <c r="V6" s="43"/>
      <c r="W6" s="43" t="b">
        <v>1</v>
      </c>
      <c r="X6" s="43">
        <v>5.0</v>
      </c>
      <c r="Y6" s="43">
        <v>3.0</v>
      </c>
      <c r="Z6" s="14"/>
      <c r="AA6" s="14"/>
      <c r="AB6" s="14"/>
      <c r="AC6" s="14"/>
      <c r="AD6" s="43"/>
      <c r="AE6" s="14"/>
    </row>
    <row r="7">
      <c r="A7" s="43">
        <v>1006.0</v>
      </c>
      <c r="B7" s="43" t="s">
        <v>626</v>
      </c>
      <c r="C7" s="63" t="str">
        <f>"每層提升5%爆擊傷害，可堆疊，最多"&amp;X7&amp;"層，持續"&amp;Y7&amp;"回合"</f>
        <v>每層提升5%爆擊傷害，可堆疊，最多5層，持續3回合</v>
      </c>
      <c r="D7" s="43" t="s">
        <v>573</v>
      </c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65">
        <v>0.05</v>
      </c>
      <c r="R7" s="14"/>
      <c r="S7" s="14"/>
      <c r="T7" s="14"/>
      <c r="U7" s="14"/>
      <c r="V7" s="57"/>
      <c r="W7" s="43" t="b">
        <v>1</v>
      </c>
      <c r="X7" s="43">
        <v>5.0</v>
      </c>
      <c r="Y7" s="43">
        <v>3.0</v>
      </c>
      <c r="Z7" s="14"/>
      <c r="AA7" s="14"/>
      <c r="AB7" s="14"/>
      <c r="AC7" s="14"/>
      <c r="AD7" s="43"/>
      <c r="AE7" s="14"/>
    </row>
    <row r="8">
      <c r="A8" s="43">
        <v>1007.0</v>
      </c>
      <c r="B8" s="43" t="s">
        <v>633</v>
      </c>
      <c r="C8" s="63" t="str">
        <f>"每層提升5%技能傷害，可堆疊，最多"&amp;X8&amp;"層，持續"&amp;Y8&amp;"回合"</f>
        <v>每層提升5%技能傷害，可堆疊，最多5層，持續3回合</v>
      </c>
      <c r="D8" s="43" t="s">
        <v>573</v>
      </c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65">
        <v>0.05</v>
      </c>
      <c r="T8" s="14"/>
      <c r="U8" s="14"/>
      <c r="V8" s="57"/>
      <c r="W8" s="43" t="b">
        <v>1</v>
      </c>
      <c r="X8" s="43">
        <v>5.0</v>
      </c>
      <c r="Y8" s="43">
        <v>3.0</v>
      </c>
      <c r="Z8" s="14"/>
      <c r="AA8" s="14"/>
      <c r="AB8" s="14"/>
      <c r="AC8" s="14"/>
      <c r="AD8" s="43"/>
      <c r="AE8" s="14"/>
    </row>
    <row r="9">
      <c r="A9" s="43">
        <v>1008.0</v>
      </c>
      <c r="B9" s="43" t="s">
        <v>643</v>
      </c>
      <c r="C9" s="63" t="str">
        <f>"每層提升5%爆擊抗性，可堆疊，最多"&amp;X9&amp;"層，持續"&amp;Y9&amp;"回合"</f>
        <v>每層提升5%爆擊抗性，可堆疊，最多5層，持續3回合</v>
      </c>
      <c r="D9" s="43" t="s">
        <v>573</v>
      </c>
      <c r="E9" s="14"/>
      <c r="F9" s="14"/>
      <c r="G9" s="14"/>
      <c r="H9" s="14"/>
      <c r="I9" s="14"/>
      <c r="J9" s="14"/>
      <c r="K9" s="14"/>
      <c r="L9" s="14"/>
      <c r="M9" s="14"/>
      <c r="N9" s="65">
        <v>0.05</v>
      </c>
      <c r="O9" s="14"/>
      <c r="P9" s="14"/>
      <c r="Q9" s="14"/>
      <c r="R9" s="14"/>
      <c r="S9" s="14"/>
      <c r="T9" s="14"/>
      <c r="U9" s="14"/>
      <c r="V9" s="57"/>
      <c r="W9" s="43" t="b">
        <v>1</v>
      </c>
      <c r="X9" s="43">
        <v>5.0</v>
      </c>
      <c r="Y9" s="43">
        <v>3.0</v>
      </c>
      <c r="Z9" s="14"/>
      <c r="AA9" s="14"/>
      <c r="AB9" s="14"/>
      <c r="AC9" s="14"/>
      <c r="AD9" s="43"/>
      <c r="AE9" s="14"/>
    </row>
    <row r="10">
      <c r="A10" s="43">
        <v>1009.0</v>
      </c>
      <c r="B10" s="43" t="s">
        <v>653</v>
      </c>
      <c r="C10" s="63" t="str">
        <f>"每層提升5%爆傷抗性，可堆疊，最多"&amp;X10&amp;"層，持續"&amp;Y10&amp;"回合"</f>
        <v>每層提升5%爆傷抗性，可堆疊，最多5層，持續3回合</v>
      </c>
      <c r="D10" s="43" t="s">
        <v>573</v>
      </c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65">
        <v>0.05</v>
      </c>
      <c r="S10" s="14"/>
      <c r="T10" s="14"/>
      <c r="U10" s="14"/>
      <c r="V10" s="57"/>
      <c r="W10" s="43" t="b">
        <v>1</v>
      </c>
      <c r="X10" s="43">
        <v>5.0</v>
      </c>
      <c r="Y10" s="43">
        <v>3.0</v>
      </c>
      <c r="Z10" s="14"/>
      <c r="AA10" s="14"/>
      <c r="AB10" s="14"/>
      <c r="AC10" s="14"/>
      <c r="AD10" s="43"/>
      <c r="AE10" s="14"/>
    </row>
    <row r="11">
      <c r="A11" s="43">
        <v>1010.0</v>
      </c>
      <c r="B11" s="43" t="s">
        <v>661</v>
      </c>
      <c r="C11" s="63" t="str">
        <f>"每層提升5%技能倍率抗性，可堆疊，最多"&amp;X11&amp;"層，持續"&amp;Y11&amp;"回合"</f>
        <v>每層提升5%技能倍率抗性，可堆疊，最多5層，持續3回合</v>
      </c>
      <c r="D11" s="43" t="s">
        <v>573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65">
        <v>0.05</v>
      </c>
      <c r="U11" s="14"/>
      <c r="V11" s="57"/>
      <c r="W11" s="43" t="b">
        <v>1</v>
      </c>
      <c r="X11" s="43">
        <v>5.0</v>
      </c>
      <c r="Y11" s="43">
        <v>3.0</v>
      </c>
      <c r="Z11" s="14"/>
      <c r="AA11" s="14"/>
      <c r="AB11" s="14"/>
      <c r="AC11" s="14"/>
      <c r="AD11" s="43"/>
      <c r="AE11" s="14"/>
    </row>
    <row r="12">
      <c r="A12" s="43">
        <v>1011.0</v>
      </c>
      <c r="B12" s="43" t="s">
        <v>666</v>
      </c>
      <c r="C12" s="63" t="str">
        <f>"每層提升3%造成傷害，可堆疊，最多"&amp;X12&amp;"層，持續"&amp;Y12&amp;"回合"</f>
        <v>每層提升3%造成傷害，可堆疊，最多5層，持續3回合</v>
      </c>
      <c r="D12" s="43" t="s">
        <v>573</v>
      </c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65">
        <v>0.03</v>
      </c>
      <c r="V12" s="57"/>
      <c r="W12" s="43" t="b">
        <v>1</v>
      </c>
      <c r="X12" s="43">
        <v>5.0</v>
      </c>
      <c r="Y12" s="43">
        <v>3.0</v>
      </c>
      <c r="Z12" s="14"/>
      <c r="AA12" s="14"/>
      <c r="AB12" s="14"/>
      <c r="AC12" s="14"/>
      <c r="AD12" s="43"/>
      <c r="AE12" s="14"/>
    </row>
    <row r="13">
      <c r="A13" s="43">
        <v>1012.0</v>
      </c>
      <c r="B13" s="43" t="s">
        <v>675</v>
      </c>
      <c r="C13" s="63" t="str">
        <f>"每層提升3%減少受到傷害，可堆疊，最多"&amp;X13&amp;"層，持續"&amp;Y13&amp;"回合"</f>
        <v>每層提升3%減少受到傷害，可堆疊，最多5層，持續3回合</v>
      </c>
      <c r="D13" s="43" t="s">
        <v>573</v>
      </c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65">
        <v>0.03</v>
      </c>
      <c r="W13" s="43" t="b">
        <v>1</v>
      </c>
      <c r="X13" s="43">
        <v>5.0</v>
      </c>
      <c r="Y13" s="43">
        <v>3.0</v>
      </c>
      <c r="Z13" s="14"/>
      <c r="AA13" s="14"/>
      <c r="AB13" s="14"/>
      <c r="AC13" s="14"/>
      <c r="AD13" s="43"/>
      <c r="AE13" s="14"/>
    </row>
    <row r="14">
      <c r="A14" s="50"/>
      <c r="B14" s="51"/>
      <c r="V14" s="51"/>
      <c r="Y14" s="51"/>
    </row>
    <row r="15">
      <c r="A15" s="51"/>
      <c r="B15" s="51"/>
      <c r="V15" s="51"/>
      <c r="Y15" s="51"/>
    </row>
    <row r="16">
      <c r="A16" s="40" t="s">
        <v>288</v>
      </c>
      <c r="B16" s="40" t="s">
        <v>532</v>
      </c>
      <c r="C16" s="40" t="s">
        <v>534</v>
      </c>
      <c r="D16" s="40" t="s">
        <v>535</v>
      </c>
      <c r="E16" s="40" t="s">
        <v>537</v>
      </c>
      <c r="F16" s="40" t="s">
        <v>538</v>
      </c>
      <c r="G16" s="40" t="s">
        <v>540</v>
      </c>
      <c r="H16" s="40" t="s">
        <v>250</v>
      </c>
      <c r="I16" s="40" t="s">
        <v>252</v>
      </c>
      <c r="J16" s="40" t="s">
        <v>254</v>
      </c>
      <c r="K16" s="40" t="s">
        <v>256</v>
      </c>
      <c r="L16" s="40" t="s">
        <v>259</v>
      </c>
      <c r="M16" s="40" t="s">
        <v>73</v>
      </c>
      <c r="N16" s="40" t="s">
        <v>263</v>
      </c>
      <c r="O16" s="40" t="s">
        <v>265</v>
      </c>
      <c r="P16" s="40" t="s">
        <v>267</v>
      </c>
      <c r="Q16" s="40" t="s">
        <v>269</v>
      </c>
      <c r="R16" s="40" t="s">
        <v>270</v>
      </c>
      <c r="S16" s="40" t="s">
        <v>271</v>
      </c>
      <c r="T16" s="40" t="s">
        <v>272</v>
      </c>
      <c r="U16" s="40" t="s">
        <v>273</v>
      </c>
      <c r="V16" s="40" t="s">
        <v>274</v>
      </c>
      <c r="W16" s="40" t="s">
        <v>548</v>
      </c>
      <c r="X16" s="40" t="s">
        <v>549</v>
      </c>
      <c r="Y16" s="40" t="s">
        <v>550</v>
      </c>
      <c r="Z16" s="40" t="s">
        <v>552</v>
      </c>
      <c r="AA16" s="40" t="s">
        <v>554</v>
      </c>
      <c r="AB16" s="40" t="s">
        <v>555</v>
      </c>
      <c r="AC16" s="40" t="s">
        <v>558</v>
      </c>
      <c r="AD16" s="40" t="s">
        <v>559</v>
      </c>
      <c r="AE16" s="4" t="s">
        <v>560</v>
      </c>
    </row>
    <row r="17">
      <c r="A17" s="43">
        <v>2001.0</v>
      </c>
      <c r="B17" s="43" t="s">
        <v>739</v>
      </c>
      <c r="C17" s="63" t="str">
        <f>"每層降低5%攻擊，可堆疊，最多"&amp;X17&amp;"層，持續"&amp;Y17&amp;"回合"</f>
        <v>每層降低5%攻擊，可堆疊，最多5層，持續3回合</v>
      </c>
      <c r="D17" s="43" t="s">
        <v>640</v>
      </c>
      <c r="E17" s="65"/>
      <c r="F17" s="65"/>
      <c r="G17" s="65"/>
      <c r="H17" s="65">
        <v>-0.05</v>
      </c>
      <c r="I17" s="57"/>
      <c r="J17" s="57"/>
      <c r="K17" s="57"/>
      <c r="L17" s="57"/>
      <c r="M17" s="43"/>
      <c r="N17" s="43"/>
      <c r="O17" s="43"/>
      <c r="P17" s="43"/>
      <c r="Q17" s="43"/>
      <c r="R17" s="43"/>
      <c r="S17" s="43"/>
      <c r="T17" s="43"/>
      <c r="U17" s="43"/>
      <c r="V17" s="43"/>
      <c r="W17" s="43" t="b">
        <v>1</v>
      </c>
      <c r="X17" s="43">
        <v>5.0</v>
      </c>
      <c r="Y17" s="43">
        <v>3.0</v>
      </c>
      <c r="Z17" s="14"/>
      <c r="AA17" s="14"/>
      <c r="AB17" s="14"/>
      <c r="AC17" s="14"/>
      <c r="AD17" s="43"/>
      <c r="AE17" s="14"/>
    </row>
    <row r="18">
      <c r="A18" s="43">
        <v>2002.0</v>
      </c>
      <c r="B18" s="43" t="s">
        <v>752</v>
      </c>
      <c r="C18" s="63" t="str">
        <f>"每層降低5%防禦，可堆疊，最多"&amp;X18&amp;"層，持續"&amp;Y18&amp;"回合"</f>
        <v>每層降低5%防禦，可堆疊，最多5層，持續3回合</v>
      </c>
      <c r="D18" s="43" t="s">
        <v>640</v>
      </c>
      <c r="E18" s="57"/>
      <c r="F18" s="57"/>
      <c r="G18" s="57"/>
      <c r="H18" s="57"/>
      <c r="I18" s="57"/>
      <c r="J18" s="65">
        <v>-0.05</v>
      </c>
      <c r="K18" s="57"/>
      <c r="L18" s="57"/>
      <c r="M18" s="43"/>
      <c r="N18" s="43"/>
      <c r="O18" s="43"/>
      <c r="P18" s="43"/>
      <c r="Q18" s="43"/>
      <c r="R18" s="43"/>
      <c r="S18" s="43"/>
      <c r="T18" s="43"/>
      <c r="U18" s="43"/>
      <c r="V18" s="43"/>
      <c r="W18" s="43" t="b">
        <v>1</v>
      </c>
      <c r="X18" s="43">
        <v>5.0</v>
      </c>
      <c r="Y18" s="43">
        <v>3.0</v>
      </c>
      <c r="Z18" s="14"/>
      <c r="AA18" s="14"/>
      <c r="AB18" s="14"/>
      <c r="AC18" s="14"/>
      <c r="AD18" s="43"/>
      <c r="AE18" s="14"/>
    </row>
    <row r="19">
      <c r="A19" s="43">
        <v>2003.0</v>
      </c>
      <c r="B19" s="43" t="s">
        <v>761</v>
      </c>
      <c r="C19" s="63" t="str">
        <f>"每層降低5%魔攻，可堆疊，最多"&amp;X19&amp;"層，持續"&amp;Y19&amp;"回合"</f>
        <v>每層降低5%魔攻，可堆疊，最多5層，持續3回合</v>
      </c>
      <c r="D19" s="43" t="s">
        <v>640</v>
      </c>
      <c r="E19" s="57"/>
      <c r="F19" s="57"/>
      <c r="G19" s="57"/>
      <c r="H19" s="57"/>
      <c r="I19" s="65">
        <v>-0.05</v>
      </c>
      <c r="J19" s="57"/>
      <c r="K19" s="57"/>
      <c r="L19" s="57"/>
      <c r="M19" s="43"/>
      <c r="N19" s="43"/>
      <c r="O19" s="43"/>
      <c r="P19" s="43"/>
      <c r="Q19" s="43"/>
      <c r="R19" s="43"/>
      <c r="S19" s="43"/>
      <c r="T19" s="43"/>
      <c r="U19" s="43"/>
      <c r="V19" s="43"/>
      <c r="W19" s="43" t="b">
        <v>1</v>
      </c>
      <c r="X19" s="43">
        <v>5.0</v>
      </c>
      <c r="Y19" s="43">
        <v>3.0</v>
      </c>
      <c r="Z19" s="14"/>
      <c r="AA19" s="14"/>
      <c r="AB19" s="14"/>
      <c r="AC19" s="14"/>
      <c r="AD19" s="43"/>
      <c r="AE19" s="14"/>
    </row>
    <row r="20">
      <c r="A20" s="43">
        <v>2004.0</v>
      </c>
      <c r="B20" s="43" t="s">
        <v>767</v>
      </c>
      <c r="C20" s="63" t="str">
        <f>"每層降低5%魔防，可堆疊，最多"&amp;X20&amp;"層，持續"&amp;Y20&amp;"回合"</f>
        <v>每層降低5%魔防，可堆疊，最多5層，持續3回合</v>
      </c>
      <c r="D20" s="43" t="s">
        <v>640</v>
      </c>
      <c r="E20" s="57"/>
      <c r="F20" s="57"/>
      <c r="G20" s="57"/>
      <c r="H20" s="57"/>
      <c r="I20" s="57"/>
      <c r="J20" s="57"/>
      <c r="K20" s="65">
        <v>-0.05</v>
      </c>
      <c r="L20" s="57"/>
      <c r="M20" s="43"/>
      <c r="N20" s="43"/>
      <c r="O20" s="43"/>
      <c r="P20" s="43"/>
      <c r="Q20" s="43"/>
      <c r="R20" s="43"/>
      <c r="S20" s="43"/>
      <c r="T20" s="43"/>
      <c r="U20" s="43"/>
      <c r="V20" s="43"/>
      <c r="W20" s="43" t="b">
        <v>1</v>
      </c>
      <c r="X20" s="43">
        <v>5.0</v>
      </c>
      <c r="Y20" s="43">
        <v>3.0</v>
      </c>
      <c r="Z20" s="14"/>
      <c r="AA20" s="14"/>
      <c r="AB20" s="14"/>
      <c r="AC20" s="14"/>
      <c r="AD20" s="43"/>
      <c r="AE20" s="14"/>
    </row>
    <row r="21">
      <c r="A21" s="43">
        <v>2005.0</v>
      </c>
      <c r="B21" s="43" t="s">
        <v>775</v>
      </c>
      <c r="C21" s="63" t="str">
        <f>"每層降低5%爆擊率，可堆疊，最多"&amp;X21&amp;"層，持續"&amp;Y21&amp;"回合"</f>
        <v>每層降低5%爆擊率，可堆疊，最多5層，持續3回合</v>
      </c>
      <c r="D21" s="43" t="s">
        <v>640</v>
      </c>
      <c r="E21" s="57"/>
      <c r="F21" s="57"/>
      <c r="G21" s="57"/>
      <c r="H21" s="57"/>
      <c r="I21" s="57"/>
      <c r="J21" s="57"/>
      <c r="K21" s="57"/>
      <c r="L21" s="65">
        <v>-0.05</v>
      </c>
      <c r="M21" s="43"/>
      <c r="N21" s="43"/>
      <c r="O21" s="43"/>
      <c r="P21" s="43"/>
      <c r="Q21" s="43"/>
      <c r="R21" s="43"/>
      <c r="S21" s="43"/>
      <c r="T21" s="43"/>
      <c r="U21" s="43"/>
      <c r="V21" s="43"/>
      <c r="W21" s="43" t="b">
        <v>1</v>
      </c>
      <c r="X21" s="43">
        <v>5.0</v>
      </c>
      <c r="Y21" s="43">
        <v>3.0</v>
      </c>
      <c r="Z21" s="14"/>
      <c r="AA21" s="14"/>
      <c r="AB21" s="14"/>
      <c r="AC21" s="14"/>
      <c r="AD21" s="43"/>
      <c r="AE21" s="14"/>
    </row>
    <row r="22">
      <c r="A22" s="43">
        <v>2006.0</v>
      </c>
      <c r="B22" s="43" t="s">
        <v>784</v>
      </c>
      <c r="C22" s="63" t="str">
        <f>"每層降低5%爆擊傷害，可堆疊，最多"&amp;X22&amp;"層，持續"&amp;Y22&amp;"回合"</f>
        <v>每層降低5%爆擊傷害，可堆疊，最多5層，持續3回合</v>
      </c>
      <c r="D22" s="43" t="s">
        <v>640</v>
      </c>
      <c r="E22" s="57"/>
      <c r="F22" s="57"/>
      <c r="G22" s="57"/>
      <c r="H22" s="57"/>
      <c r="I22" s="57"/>
      <c r="J22" s="57"/>
      <c r="K22" s="57"/>
      <c r="L22" s="57"/>
      <c r="M22" s="14"/>
      <c r="N22" s="14"/>
      <c r="O22" s="14"/>
      <c r="P22" s="14"/>
      <c r="Q22" s="65">
        <v>-0.05</v>
      </c>
      <c r="R22" s="14"/>
      <c r="S22" s="14"/>
      <c r="T22" s="14"/>
      <c r="U22" s="14"/>
      <c r="V22" s="57"/>
      <c r="W22" s="43" t="b">
        <v>1</v>
      </c>
      <c r="X22" s="43">
        <v>5.0</v>
      </c>
      <c r="Y22" s="43">
        <v>3.0</v>
      </c>
      <c r="Z22" s="14"/>
      <c r="AA22" s="14"/>
      <c r="AB22" s="14"/>
      <c r="AC22" s="14"/>
      <c r="AD22" s="43"/>
      <c r="AE22" s="14"/>
    </row>
    <row r="23">
      <c r="A23" s="43">
        <v>2007.0</v>
      </c>
      <c r="B23" s="43" t="s">
        <v>785</v>
      </c>
      <c r="C23" s="63" t="str">
        <f>"每層降低5%技能傷害，可堆疊，最多"&amp;X23&amp;"層，持續"&amp;Y23&amp;"回合"</f>
        <v>每層降低5%技能傷害，可堆疊，最多5層，持續3回合</v>
      </c>
      <c r="D23" s="43" t="s">
        <v>640</v>
      </c>
      <c r="E23" s="57"/>
      <c r="F23" s="57"/>
      <c r="G23" s="57"/>
      <c r="H23" s="57"/>
      <c r="I23" s="57"/>
      <c r="J23" s="57"/>
      <c r="K23" s="57"/>
      <c r="L23" s="57"/>
      <c r="M23" s="14"/>
      <c r="N23" s="14"/>
      <c r="O23" s="14"/>
      <c r="P23" s="14"/>
      <c r="Q23" s="14"/>
      <c r="R23" s="14"/>
      <c r="S23" s="65">
        <v>-0.05</v>
      </c>
      <c r="T23" s="14"/>
      <c r="U23" s="14"/>
      <c r="V23" s="57"/>
      <c r="W23" s="43" t="b">
        <v>1</v>
      </c>
      <c r="X23" s="43">
        <v>5.0</v>
      </c>
      <c r="Y23" s="43">
        <v>3.0</v>
      </c>
      <c r="Z23" s="14"/>
      <c r="AA23" s="14"/>
      <c r="AB23" s="14"/>
      <c r="AC23" s="14"/>
      <c r="AD23" s="43"/>
      <c r="AE23" s="14"/>
    </row>
    <row r="24">
      <c r="A24" s="43">
        <v>2008.0</v>
      </c>
      <c r="B24" s="43" t="s">
        <v>787</v>
      </c>
      <c r="C24" s="63" t="str">
        <f>"每層降低5%爆擊抗性，可堆疊，最多"&amp;X24&amp;"層，持續"&amp;Y24&amp;"回合"</f>
        <v>每層降低5%爆擊抗性，可堆疊，最多5層，持續3回合</v>
      </c>
      <c r="D24" s="43" t="s">
        <v>640</v>
      </c>
      <c r="E24" s="57"/>
      <c r="F24" s="57"/>
      <c r="G24" s="57"/>
      <c r="H24" s="57"/>
      <c r="I24" s="57"/>
      <c r="J24" s="57"/>
      <c r="K24" s="57"/>
      <c r="L24" s="57"/>
      <c r="M24" s="14"/>
      <c r="N24" s="65">
        <v>-0.05</v>
      </c>
      <c r="O24" s="14"/>
      <c r="P24" s="14"/>
      <c r="Q24" s="14"/>
      <c r="R24" s="14"/>
      <c r="S24" s="14"/>
      <c r="T24" s="14"/>
      <c r="U24" s="14"/>
      <c r="V24" s="57"/>
      <c r="W24" s="43" t="b">
        <v>1</v>
      </c>
      <c r="X24" s="43">
        <v>5.0</v>
      </c>
      <c r="Y24" s="43">
        <v>3.0</v>
      </c>
      <c r="Z24" s="14"/>
      <c r="AA24" s="14"/>
      <c r="AB24" s="14"/>
      <c r="AC24" s="14"/>
      <c r="AD24" s="43"/>
      <c r="AE24" s="14"/>
    </row>
    <row r="25">
      <c r="A25" s="43">
        <v>2009.0</v>
      </c>
      <c r="B25" s="43" t="s">
        <v>799</v>
      </c>
      <c r="C25" s="63" t="str">
        <f>"每層降低5%爆傷抗性，可堆疊，最多"&amp;X25&amp;"層，持續"&amp;Y25&amp;"回合"</f>
        <v>每層降低5%爆傷抗性，可堆疊，最多5層，持續3回合</v>
      </c>
      <c r="D25" s="43" t="s">
        <v>640</v>
      </c>
      <c r="E25" s="57"/>
      <c r="F25" s="57"/>
      <c r="G25" s="57"/>
      <c r="H25" s="57"/>
      <c r="I25" s="57"/>
      <c r="J25" s="57"/>
      <c r="K25" s="57"/>
      <c r="L25" s="57"/>
      <c r="M25" s="14"/>
      <c r="N25" s="14"/>
      <c r="O25" s="14"/>
      <c r="P25" s="14"/>
      <c r="Q25" s="14"/>
      <c r="R25" s="65">
        <v>-0.05</v>
      </c>
      <c r="S25" s="14"/>
      <c r="T25" s="14"/>
      <c r="U25" s="14"/>
      <c r="V25" s="57"/>
      <c r="W25" s="43" t="b">
        <v>1</v>
      </c>
      <c r="X25" s="43">
        <v>5.0</v>
      </c>
      <c r="Y25" s="43">
        <v>3.0</v>
      </c>
      <c r="Z25" s="14"/>
      <c r="AA25" s="14"/>
      <c r="AB25" s="14"/>
      <c r="AC25" s="14"/>
      <c r="AD25" s="43"/>
      <c r="AE25" s="14"/>
    </row>
    <row r="26">
      <c r="A26" s="43">
        <v>2010.0</v>
      </c>
      <c r="B26" s="43" t="s">
        <v>810</v>
      </c>
      <c r="C26" s="63" t="str">
        <f>"每層降低5%技能傷害，可堆疊，最多"&amp;X26&amp;"層，持續"&amp;Y26&amp;"回合"</f>
        <v>每層降低5%技能傷害，可堆疊，最多5層，持續3回合</v>
      </c>
      <c r="D26" s="43" t="s">
        <v>640</v>
      </c>
      <c r="E26" s="57"/>
      <c r="F26" s="57"/>
      <c r="G26" s="57"/>
      <c r="H26" s="57"/>
      <c r="I26" s="57"/>
      <c r="J26" s="57"/>
      <c r="K26" s="57"/>
      <c r="L26" s="57"/>
      <c r="M26" s="14"/>
      <c r="N26" s="14"/>
      <c r="O26" s="14"/>
      <c r="P26" s="14"/>
      <c r="Q26" s="14"/>
      <c r="R26" s="14"/>
      <c r="S26" s="14"/>
      <c r="T26" s="65">
        <v>-0.05</v>
      </c>
      <c r="U26" s="14"/>
      <c r="V26" s="57"/>
      <c r="W26" s="43" t="b">
        <v>1</v>
      </c>
      <c r="X26" s="43">
        <v>5.0</v>
      </c>
      <c r="Y26" s="43">
        <v>3.0</v>
      </c>
      <c r="Z26" s="14"/>
      <c r="AA26" s="14"/>
      <c r="AB26" s="14"/>
      <c r="AC26" s="14"/>
      <c r="AD26" s="43"/>
      <c r="AE26" s="14"/>
    </row>
    <row r="27">
      <c r="A27" s="43">
        <v>2011.0</v>
      </c>
      <c r="B27" s="43" t="s">
        <v>841</v>
      </c>
      <c r="C27" s="63" t="str">
        <f>"每層降低3%造成傷害，可堆疊，最多"&amp;X27&amp;"層，持續"&amp;Y27&amp;"回合"</f>
        <v>每層降低3%造成傷害，可堆疊，最多5層，持續3回合</v>
      </c>
      <c r="D27" s="43" t="s">
        <v>640</v>
      </c>
      <c r="E27" s="57"/>
      <c r="F27" s="57"/>
      <c r="G27" s="57"/>
      <c r="H27" s="57"/>
      <c r="I27" s="57"/>
      <c r="J27" s="57"/>
      <c r="K27" s="57"/>
      <c r="L27" s="57"/>
      <c r="M27" s="14"/>
      <c r="N27" s="14"/>
      <c r="O27" s="14"/>
      <c r="P27" s="14"/>
      <c r="Q27" s="14"/>
      <c r="R27" s="14"/>
      <c r="S27" s="14"/>
      <c r="T27" s="14"/>
      <c r="U27" s="65">
        <v>-0.03</v>
      </c>
      <c r="V27" s="57"/>
      <c r="W27" s="43" t="b">
        <v>1</v>
      </c>
      <c r="X27" s="43">
        <v>5.0</v>
      </c>
      <c r="Y27" s="43">
        <v>3.0</v>
      </c>
      <c r="Z27" s="14"/>
      <c r="AA27" s="14"/>
      <c r="AB27" s="14"/>
      <c r="AC27" s="14"/>
      <c r="AD27" s="43"/>
      <c r="AE27" s="14"/>
    </row>
    <row r="28">
      <c r="A28" s="43">
        <v>2012.0</v>
      </c>
      <c r="B28" s="43" t="s">
        <v>845</v>
      </c>
      <c r="C28" s="63" t="str">
        <f>"每層增加3%受到傷害，可堆疊，最多"&amp;X28&amp;"層，持續"&amp;Y28&amp;"回合"</f>
        <v>每層增加3%受到傷害，可堆疊，最多5層，持續3回合</v>
      </c>
      <c r="D28" s="43" t="s">
        <v>640</v>
      </c>
      <c r="E28" s="57"/>
      <c r="F28" s="57"/>
      <c r="G28" s="57"/>
      <c r="H28" s="57"/>
      <c r="I28" s="57"/>
      <c r="J28" s="57"/>
      <c r="K28" s="57"/>
      <c r="L28" s="57"/>
      <c r="M28" s="14"/>
      <c r="N28" s="14"/>
      <c r="O28" s="14"/>
      <c r="P28" s="14"/>
      <c r="Q28" s="14"/>
      <c r="R28" s="14"/>
      <c r="S28" s="14"/>
      <c r="T28" s="14"/>
      <c r="U28" s="14"/>
      <c r="V28" s="65">
        <v>-0.03</v>
      </c>
      <c r="W28" s="43" t="b">
        <v>1</v>
      </c>
      <c r="X28" s="43">
        <v>5.0</v>
      </c>
      <c r="Y28" s="43">
        <v>3.0</v>
      </c>
      <c r="Z28" s="14"/>
      <c r="AA28" s="14"/>
      <c r="AB28" s="14"/>
      <c r="AC28" s="14"/>
      <c r="AD28" s="43"/>
      <c r="AE28" s="14"/>
    </row>
    <row r="29">
      <c r="A29" s="50"/>
      <c r="B29" s="50"/>
      <c r="C29" s="91"/>
      <c r="D29" s="51"/>
      <c r="E29" s="51"/>
      <c r="F29" s="51"/>
      <c r="G29" s="51"/>
      <c r="H29" s="51"/>
      <c r="I29" s="51"/>
      <c r="J29" s="51"/>
      <c r="K29" s="51"/>
      <c r="L29" s="92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AD29" s="51"/>
    </row>
    <row r="30">
      <c r="A30" s="40" t="s">
        <v>288</v>
      </c>
      <c r="B30" s="40" t="s">
        <v>532</v>
      </c>
      <c r="C30" s="40" t="s">
        <v>534</v>
      </c>
      <c r="D30" s="40" t="s">
        <v>535</v>
      </c>
      <c r="E30" s="40" t="s">
        <v>537</v>
      </c>
      <c r="F30" s="40" t="s">
        <v>538</v>
      </c>
      <c r="G30" s="40" t="s">
        <v>540</v>
      </c>
      <c r="H30" s="40" t="s">
        <v>250</v>
      </c>
      <c r="I30" s="40" t="s">
        <v>252</v>
      </c>
      <c r="J30" s="40" t="s">
        <v>254</v>
      </c>
      <c r="K30" s="40" t="s">
        <v>256</v>
      </c>
      <c r="L30" s="40" t="s">
        <v>259</v>
      </c>
      <c r="M30" s="40" t="s">
        <v>73</v>
      </c>
      <c r="N30" s="40" t="s">
        <v>263</v>
      </c>
      <c r="O30" s="40" t="s">
        <v>265</v>
      </c>
      <c r="P30" s="40" t="s">
        <v>267</v>
      </c>
      <c r="Q30" s="40" t="s">
        <v>269</v>
      </c>
      <c r="R30" s="40" t="s">
        <v>270</v>
      </c>
      <c r="S30" s="40" t="s">
        <v>271</v>
      </c>
      <c r="T30" s="40" t="s">
        <v>272</v>
      </c>
      <c r="U30" s="40" t="s">
        <v>273</v>
      </c>
      <c r="V30" s="40" t="s">
        <v>274</v>
      </c>
      <c r="W30" s="40" t="s">
        <v>548</v>
      </c>
      <c r="X30" s="40" t="s">
        <v>549</v>
      </c>
      <c r="Y30" s="40" t="s">
        <v>550</v>
      </c>
      <c r="Z30" s="40" t="s">
        <v>552</v>
      </c>
      <c r="AA30" s="40" t="s">
        <v>554</v>
      </c>
      <c r="AB30" s="40" t="s">
        <v>555</v>
      </c>
      <c r="AC30" s="40" t="s">
        <v>558</v>
      </c>
      <c r="AD30" s="40" t="s">
        <v>559</v>
      </c>
      <c r="AE30" s="4" t="s">
        <v>560</v>
      </c>
    </row>
    <row r="31">
      <c r="A31" s="43">
        <v>1996.0</v>
      </c>
      <c r="B31" s="43" t="s">
        <v>849</v>
      </c>
      <c r="C31" s="63" t="str">
        <f>"將所有受到的傷害50%改由發起護衛者承擔"&amp;"持續"&amp;Y31&amp;"回合"</f>
        <v>將所有受到的傷害50%改由發起護衛者承擔持續2回合</v>
      </c>
      <c r="D31" s="43" t="s">
        <v>573</v>
      </c>
      <c r="E31" s="57"/>
      <c r="F31" s="57"/>
      <c r="G31" s="57"/>
      <c r="H31" s="57"/>
      <c r="I31" s="57"/>
      <c r="J31" s="57"/>
      <c r="K31" s="57"/>
      <c r="L31" s="57"/>
      <c r="M31" s="43"/>
      <c r="N31" s="43"/>
      <c r="O31" s="43"/>
      <c r="P31" s="43"/>
      <c r="Q31" s="43"/>
      <c r="R31" s="43"/>
      <c r="S31" s="43"/>
      <c r="T31" s="43"/>
      <c r="U31" s="43"/>
      <c r="V31" s="43"/>
      <c r="W31" s="43" t="b">
        <v>0</v>
      </c>
      <c r="X31" s="43">
        <v>1.0</v>
      </c>
      <c r="Y31" s="43">
        <v>2.0</v>
      </c>
      <c r="Z31" s="14"/>
      <c r="AA31" s="14"/>
      <c r="AB31" s="14"/>
      <c r="AC31" s="14"/>
      <c r="AD31" s="43"/>
      <c r="AE31" s="14"/>
    </row>
    <row r="32">
      <c r="A32" s="43">
        <v>1997.0</v>
      </c>
      <c r="B32" s="43" t="s">
        <v>851</v>
      </c>
      <c r="C32" s="63" t="str">
        <f>"減少15%受到的傷害，並將受到傷害反射至攻擊者，"&amp;"持續"&amp;Y32&amp;"回合"</f>
        <v>減少15%受到的傷害，並將受到傷害反射至攻擊者，持續2回合</v>
      </c>
      <c r="D32" s="43" t="s">
        <v>573</v>
      </c>
      <c r="E32" s="57"/>
      <c r="F32" s="57"/>
      <c r="G32" s="57"/>
      <c r="H32" s="57"/>
      <c r="I32" s="57"/>
      <c r="J32" s="57"/>
      <c r="K32" s="57"/>
      <c r="L32" s="57"/>
      <c r="M32" s="43"/>
      <c r="N32" s="43"/>
      <c r="O32" s="43"/>
      <c r="P32" s="43">
        <v>0.15</v>
      </c>
      <c r="Q32" s="43"/>
      <c r="R32" s="43"/>
      <c r="S32" s="43"/>
      <c r="T32" s="43"/>
      <c r="U32" s="43"/>
      <c r="V32" s="43"/>
      <c r="W32" s="43" t="b">
        <v>0</v>
      </c>
      <c r="X32" s="43">
        <v>1.0</v>
      </c>
      <c r="Y32" s="43">
        <v>2.0</v>
      </c>
      <c r="Z32" s="14"/>
      <c r="AA32" s="14"/>
      <c r="AB32" s="14"/>
      <c r="AC32" s="14"/>
      <c r="AD32" s="43"/>
      <c r="AE32" s="14"/>
    </row>
    <row r="33">
      <c r="A33" s="43">
        <v>1998.0</v>
      </c>
      <c r="B33" s="43" t="s">
        <v>853</v>
      </c>
      <c r="C33" s="63" t="str">
        <f>"將所有受到的傷害改由發起護衛者承擔，"&amp;"持續"&amp;Y33&amp;"回合"</f>
        <v>將所有受到的傷害改由發起護衛者承擔，持續1回合</v>
      </c>
      <c r="D33" s="43" t="s">
        <v>573</v>
      </c>
      <c r="E33" s="57"/>
      <c r="F33" s="57"/>
      <c r="G33" s="57"/>
      <c r="H33" s="57"/>
      <c r="I33" s="57"/>
      <c r="J33" s="57"/>
      <c r="K33" s="57"/>
      <c r="L33" s="57"/>
      <c r="M33" s="43"/>
      <c r="N33" s="43"/>
      <c r="O33" s="43"/>
      <c r="P33" s="43"/>
      <c r="Q33" s="43"/>
      <c r="R33" s="43"/>
      <c r="S33" s="43"/>
      <c r="T33" s="43"/>
      <c r="U33" s="43"/>
      <c r="V33" s="43"/>
      <c r="W33" s="43" t="b">
        <v>0</v>
      </c>
      <c r="X33" s="43">
        <v>1.0</v>
      </c>
      <c r="Y33" s="43">
        <v>1.0</v>
      </c>
      <c r="Z33" s="14"/>
      <c r="AA33" s="14"/>
      <c r="AB33" s="14"/>
      <c r="AC33" s="14"/>
      <c r="AD33" s="43"/>
      <c r="AE33" s="14"/>
    </row>
    <row r="34">
      <c r="A34" s="43">
        <v>1999.0</v>
      </c>
      <c r="B34" s="43" t="s">
        <v>854</v>
      </c>
      <c r="C34" s="63" t="str">
        <f>"優先抵擋傷害的護盾HP，"&amp;"持續"&amp;Y34&amp;"回合"</f>
        <v>優先抵擋傷害的護盾HP，持續3回合</v>
      </c>
      <c r="D34" s="43" t="s">
        <v>573</v>
      </c>
      <c r="E34" s="57"/>
      <c r="F34" s="57"/>
      <c r="G34" s="57"/>
      <c r="H34" s="57"/>
      <c r="I34" s="57"/>
      <c r="J34" s="57"/>
      <c r="K34" s="57"/>
      <c r="L34" s="57"/>
      <c r="M34" s="43"/>
      <c r="N34" s="43"/>
      <c r="O34" s="43"/>
      <c r="P34" s="43"/>
      <c r="Q34" s="43"/>
      <c r="R34" s="43"/>
      <c r="S34" s="43"/>
      <c r="T34" s="43"/>
      <c r="U34" s="43"/>
      <c r="V34" s="43"/>
      <c r="W34" s="43" t="b">
        <v>0</v>
      </c>
      <c r="X34" s="43">
        <v>1.0</v>
      </c>
      <c r="Y34" s="43">
        <v>3.0</v>
      </c>
      <c r="Z34" s="14"/>
      <c r="AA34" s="14"/>
      <c r="AB34" s="14"/>
      <c r="AC34" s="14"/>
      <c r="AD34" s="43"/>
      <c r="AE34" s="14"/>
    </row>
    <row r="35">
      <c r="A35" s="51"/>
      <c r="B35" s="51"/>
      <c r="V35" s="51"/>
      <c r="Y35" s="51"/>
    </row>
    <row r="36">
      <c r="A36" s="40" t="s">
        <v>288</v>
      </c>
      <c r="B36" s="40" t="s">
        <v>532</v>
      </c>
      <c r="C36" s="40" t="s">
        <v>534</v>
      </c>
      <c r="D36" s="40" t="s">
        <v>535</v>
      </c>
      <c r="E36" s="40" t="s">
        <v>537</v>
      </c>
      <c r="F36" s="40" t="s">
        <v>538</v>
      </c>
      <c r="G36" s="40" t="s">
        <v>540</v>
      </c>
      <c r="H36" s="40" t="s">
        <v>250</v>
      </c>
      <c r="I36" s="40" t="s">
        <v>252</v>
      </c>
      <c r="J36" s="40" t="s">
        <v>254</v>
      </c>
      <c r="K36" s="40" t="s">
        <v>256</v>
      </c>
      <c r="L36" s="40" t="s">
        <v>259</v>
      </c>
      <c r="M36" s="40" t="s">
        <v>73</v>
      </c>
      <c r="N36" s="40" t="s">
        <v>263</v>
      </c>
      <c r="O36" s="40" t="s">
        <v>265</v>
      </c>
      <c r="P36" s="40" t="s">
        <v>267</v>
      </c>
      <c r="Q36" s="40" t="s">
        <v>269</v>
      </c>
      <c r="R36" s="40" t="s">
        <v>270</v>
      </c>
      <c r="S36" s="40" t="s">
        <v>271</v>
      </c>
      <c r="T36" s="40" t="s">
        <v>272</v>
      </c>
      <c r="U36" s="40" t="s">
        <v>273</v>
      </c>
      <c r="V36" s="40" t="s">
        <v>274</v>
      </c>
      <c r="W36" s="40" t="s">
        <v>548</v>
      </c>
      <c r="X36" s="40" t="s">
        <v>549</v>
      </c>
      <c r="Y36" s="40" t="s">
        <v>550</v>
      </c>
      <c r="Z36" s="40" t="s">
        <v>552</v>
      </c>
      <c r="AA36" s="40" t="s">
        <v>554</v>
      </c>
      <c r="AB36" s="40" t="s">
        <v>555</v>
      </c>
      <c r="AC36" s="40" t="s">
        <v>558</v>
      </c>
      <c r="AD36" s="40" t="s">
        <v>559</v>
      </c>
      <c r="AE36" s="4" t="s">
        <v>560</v>
      </c>
    </row>
    <row r="37">
      <c r="A37" s="43">
        <v>3001.0</v>
      </c>
      <c r="B37" s="43" t="s">
        <v>861</v>
      </c>
      <c r="C37" s="63" t="str">
        <f>"每回合恢復40%施術者魔法攻擊的HP恢復，"&amp;"持續"&amp;Y37&amp;"回合"</f>
        <v>每回合恢復40%施術者魔法攻擊的HP恢復，持續3回合</v>
      </c>
      <c r="D37" s="43" t="s">
        <v>573</v>
      </c>
      <c r="E37" s="57"/>
      <c r="F37" s="57"/>
      <c r="G37" s="57"/>
      <c r="H37" s="57"/>
      <c r="I37" s="43">
        <v>0.4</v>
      </c>
      <c r="J37" s="57"/>
      <c r="K37" s="57"/>
      <c r="L37" s="57"/>
      <c r="M37" s="57"/>
      <c r="N37" s="57"/>
      <c r="O37" s="57"/>
      <c r="P37" s="57"/>
      <c r="Q37" s="43"/>
      <c r="R37" s="43"/>
      <c r="S37" s="43"/>
      <c r="T37" s="43"/>
      <c r="U37" s="43"/>
      <c r="V37" s="43"/>
      <c r="W37" s="43" t="b">
        <v>0</v>
      </c>
      <c r="X37" s="43">
        <v>1.0</v>
      </c>
      <c r="Y37" s="43">
        <v>3.0</v>
      </c>
      <c r="Z37" s="14"/>
      <c r="AA37" s="14"/>
      <c r="AB37" s="14"/>
      <c r="AC37" s="14"/>
      <c r="AD37" s="43"/>
      <c r="AE37" s="14"/>
    </row>
    <row r="38">
      <c r="A38" s="43">
        <v>3002.0</v>
      </c>
      <c r="B38" s="43" t="s">
        <v>864</v>
      </c>
      <c r="C38" s="63" t="str">
        <f>"每回合恢復2%施術者魔法攻擊力的MP恢復，"&amp;"持續"&amp;Y38&amp;"回合"</f>
        <v>每回合恢復2%施術者魔法攻擊力的MP恢復，持續2回合</v>
      </c>
      <c r="D38" s="43" t="s">
        <v>573</v>
      </c>
      <c r="E38" s="57"/>
      <c r="F38" s="57"/>
      <c r="G38" s="57"/>
      <c r="H38" s="57"/>
      <c r="I38" s="43">
        <v>0.02</v>
      </c>
      <c r="J38" s="57"/>
      <c r="K38" s="57"/>
      <c r="L38" s="57"/>
      <c r="M38" s="57"/>
      <c r="N38" s="57"/>
      <c r="O38" s="57"/>
      <c r="P38" s="57"/>
      <c r="Q38" s="43"/>
      <c r="R38" s="43"/>
      <c r="S38" s="43"/>
      <c r="T38" s="43"/>
      <c r="U38" s="43"/>
      <c r="V38" s="43"/>
      <c r="W38" s="43" t="b">
        <v>0</v>
      </c>
      <c r="X38" s="43">
        <v>1.0</v>
      </c>
      <c r="Y38" s="43">
        <v>2.0</v>
      </c>
      <c r="Z38" s="14"/>
      <c r="AA38" s="14"/>
      <c r="AB38" s="14"/>
      <c r="AC38" s="14"/>
      <c r="AD38" s="43"/>
      <c r="AE38" s="14"/>
    </row>
    <row r="39">
      <c r="A39" s="43">
        <v>3003.0</v>
      </c>
      <c r="B39" s="43" t="s">
        <v>866</v>
      </c>
      <c r="C39" s="63" t="str">
        <f>"回合結束時立即增加10%行動值，"&amp;"持續"&amp;Y39&amp;"回合"</f>
        <v>回合結束時立即增加10%行動值，持續2回合</v>
      </c>
      <c r="D39" s="43" t="s">
        <v>573</v>
      </c>
      <c r="E39" s="57"/>
      <c r="F39" s="57"/>
      <c r="G39" s="57"/>
      <c r="H39" s="57"/>
      <c r="I39" s="57"/>
      <c r="J39" s="57"/>
      <c r="K39" s="57"/>
      <c r="L39" s="57"/>
      <c r="M39" s="43"/>
      <c r="N39" s="43"/>
      <c r="O39" s="43">
        <v>0.1</v>
      </c>
      <c r="P39" s="57"/>
      <c r="Q39" s="43"/>
      <c r="R39" s="43"/>
      <c r="S39" s="43"/>
      <c r="T39" s="43"/>
      <c r="U39" s="43"/>
      <c r="V39" s="43"/>
      <c r="W39" s="43" t="b">
        <v>0</v>
      </c>
      <c r="X39" s="43">
        <v>1.0</v>
      </c>
      <c r="Y39" s="43">
        <v>2.0</v>
      </c>
      <c r="Z39" s="14"/>
      <c r="AA39" s="14"/>
      <c r="AB39" s="14"/>
      <c r="AC39" s="14"/>
      <c r="AD39" s="43"/>
      <c r="AE39" s="14"/>
    </row>
    <row r="40">
      <c r="A40" s="43">
        <v>3004.0</v>
      </c>
      <c r="B40" s="43" t="s">
        <v>868</v>
      </c>
      <c r="C40" s="27" t="s">
        <v>870</v>
      </c>
      <c r="D40" s="43" t="s">
        <v>573</v>
      </c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43">
        <v>0.2</v>
      </c>
      <c r="W40" s="43" t="b">
        <v>0</v>
      </c>
      <c r="X40" s="43">
        <v>1.0</v>
      </c>
      <c r="Y40" s="43">
        <v>2.0</v>
      </c>
      <c r="Z40" s="14"/>
      <c r="AA40" s="14"/>
      <c r="AB40" s="14"/>
      <c r="AC40" s="14"/>
      <c r="AD40" s="43"/>
      <c r="AE40" s="14"/>
    </row>
    <row r="41">
      <c r="A41" s="43">
        <v>3005.0</v>
      </c>
      <c r="B41" s="43" t="s">
        <v>872</v>
      </c>
      <c r="C41" s="4" t="s">
        <v>873</v>
      </c>
      <c r="D41" s="43" t="s">
        <v>573</v>
      </c>
      <c r="E41" s="14"/>
      <c r="F41" s="14"/>
      <c r="G41" s="14"/>
      <c r="H41" s="14"/>
      <c r="I41" s="14"/>
      <c r="J41" s="4">
        <v>-0.3</v>
      </c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57"/>
      <c r="W41" s="43" t="b">
        <v>0</v>
      </c>
      <c r="X41" s="43">
        <v>1.0</v>
      </c>
      <c r="Y41" s="43">
        <v>2.0</v>
      </c>
      <c r="Z41" s="14"/>
      <c r="AA41" s="14"/>
      <c r="AB41" s="14"/>
      <c r="AC41" s="14"/>
      <c r="AD41" s="43"/>
      <c r="AE41" s="14"/>
    </row>
    <row r="42">
      <c r="A42" s="43">
        <v>3006.0</v>
      </c>
      <c r="B42" s="43" t="s">
        <v>875</v>
      </c>
      <c r="C42" s="4" t="s">
        <v>876</v>
      </c>
      <c r="D42" s="43" t="s">
        <v>573</v>
      </c>
      <c r="E42" s="14"/>
      <c r="F42" s="14"/>
      <c r="G42" s="14"/>
      <c r="H42" s="14"/>
      <c r="I42" s="14"/>
      <c r="J42" s="14"/>
      <c r="K42" s="4">
        <v>-0.3</v>
      </c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57"/>
      <c r="W42" s="43" t="b">
        <v>0</v>
      </c>
      <c r="X42" s="43">
        <v>1.0</v>
      </c>
      <c r="Y42" s="43">
        <v>2.0</v>
      </c>
      <c r="Z42" s="14"/>
      <c r="AA42" s="14"/>
      <c r="AB42" s="14"/>
      <c r="AC42" s="14"/>
      <c r="AD42" s="43"/>
      <c r="AE42" s="14"/>
    </row>
    <row r="43">
      <c r="A43" s="43">
        <v>3007.0</v>
      </c>
      <c r="B43" s="43" t="s">
        <v>878</v>
      </c>
      <c r="C43" s="4" t="s">
        <v>880</v>
      </c>
      <c r="D43" s="43" t="s">
        <v>573</v>
      </c>
      <c r="E43" s="14"/>
      <c r="F43" s="14"/>
      <c r="G43" s="14"/>
      <c r="H43" s="14"/>
      <c r="I43" s="14"/>
      <c r="J43" s="14"/>
      <c r="K43" s="14"/>
      <c r="L43" s="4">
        <v>0.3</v>
      </c>
      <c r="M43" s="14"/>
      <c r="N43" s="14"/>
      <c r="O43" s="14"/>
      <c r="P43" s="14"/>
      <c r="Q43" s="14"/>
      <c r="R43" s="14"/>
      <c r="S43" s="14"/>
      <c r="T43" s="14"/>
      <c r="U43" s="14"/>
      <c r="V43" s="57"/>
      <c r="W43" s="43" t="b">
        <v>0</v>
      </c>
      <c r="X43" s="43">
        <v>1.0</v>
      </c>
      <c r="Y43" s="43">
        <v>2.0</v>
      </c>
      <c r="Z43" s="14"/>
      <c r="AA43" s="14"/>
      <c r="AB43" s="14"/>
      <c r="AC43" s="14"/>
      <c r="AD43" s="43"/>
      <c r="AE43" s="14"/>
    </row>
    <row r="44">
      <c r="A44" s="43">
        <v>3008.0</v>
      </c>
      <c r="B44" s="43" t="s">
        <v>881</v>
      </c>
      <c r="C44" s="4" t="s">
        <v>883</v>
      </c>
      <c r="D44" s="43" t="s">
        <v>573</v>
      </c>
      <c r="E44" s="14"/>
      <c r="F44" s="14"/>
      <c r="G44" s="14"/>
      <c r="H44" s="14"/>
      <c r="I44" s="4">
        <v>0.3</v>
      </c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57"/>
      <c r="W44" s="43" t="b">
        <v>0</v>
      </c>
      <c r="X44" s="43">
        <v>1.0</v>
      </c>
      <c r="Y44" s="43">
        <v>2.0</v>
      </c>
      <c r="Z44" s="14"/>
      <c r="AA44" s="14"/>
      <c r="AB44" s="14"/>
      <c r="AC44" s="14"/>
      <c r="AD44" s="43"/>
      <c r="AE44" s="14"/>
    </row>
    <row r="45">
      <c r="A45" s="43">
        <v>3009.0</v>
      </c>
      <c r="B45" s="43" t="s">
        <v>884</v>
      </c>
      <c r="C45" s="4" t="s">
        <v>886</v>
      </c>
      <c r="D45" s="43" t="s">
        <v>573</v>
      </c>
      <c r="E45" s="14"/>
      <c r="F45" s="14"/>
      <c r="G45" s="14"/>
      <c r="H45" s="14"/>
      <c r="I45" s="4">
        <v>0.5</v>
      </c>
      <c r="J45" s="14"/>
      <c r="K45" s="14"/>
      <c r="L45" s="14"/>
      <c r="M45" s="14"/>
      <c r="N45" s="14"/>
      <c r="O45" s="14"/>
      <c r="P45" s="14"/>
      <c r="Q45" s="14"/>
      <c r="R45" s="14"/>
      <c r="S45" s="4">
        <v>0.1</v>
      </c>
      <c r="T45" s="14"/>
      <c r="U45" s="14"/>
      <c r="V45" s="57"/>
      <c r="W45" s="43" t="b">
        <v>0</v>
      </c>
      <c r="X45" s="43">
        <v>1.0</v>
      </c>
      <c r="Y45" s="43">
        <v>2.0</v>
      </c>
      <c r="Z45" s="14"/>
      <c r="AA45" s="14"/>
      <c r="AB45" s="14"/>
      <c r="AC45" s="14"/>
      <c r="AD45" s="43"/>
      <c r="AE45" s="14"/>
    </row>
    <row r="46">
      <c r="A46" s="43">
        <v>3010.0</v>
      </c>
      <c r="B46" s="43" t="s">
        <v>888</v>
      </c>
      <c r="C46" s="4" t="s">
        <v>889</v>
      </c>
      <c r="D46" s="43" t="s">
        <v>573</v>
      </c>
      <c r="E46" s="14"/>
      <c r="F46" s="14"/>
      <c r="G46" s="14"/>
      <c r="H46" s="14"/>
      <c r="I46" s="14"/>
      <c r="J46" s="14"/>
      <c r="K46" s="14"/>
      <c r="L46" s="4">
        <v>0.5</v>
      </c>
      <c r="M46" s="14"/>
      <c r="N46" s="14"/>
      <c r="O46" s="14"/>
      <c r="P46" s="14"/>
      <c r="Q46" s="14"/>
      <c r="R46" s="14"/>
      <c r="S46" s="14"/>
      <c r="T46" s="14"/>
      <c r="U46" s="14"/>
      <c r="V46" s="57"/>
      <c r="W46" s="43" t="b">
        <v>0</v>
      </c>
      <c r="X46" s="43">
        <v>1.0</v>
      </c>
      <c r="Y46" s="43">
        <v>2.0</v>
      </c>
      <c r="Z46" s="14"/>
      <c r="AA46" s="14"/>
      <c r="AB46" s="14"/>
      <c r="AC46" s="14"/>
      <c r="AD46" s="43"/>
      <c r="AE46" s="14"/>
    </row>
    <row r="47">
      <c r="A47" s="43">
        <v>3011.0</v>
      </c>
      <c r="B47" s="43" t="s">
        <v>891</v>
      </c>
      <c r="C47" s="4" t="s">
        <v>892</v>
      </c>
      <c r="D47" s="43" t="s">
        <v>573</v>
      </c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4">
        <v>0.5</v>
      </c>
      <c r="R47" s="14"/>
      <c r="S47" s="14"/>
      <c r="T47" s="14"/>
      <c r="U47" s="14"/>
      <c r="V47" s="57"/>
      <c r="W47" s="43" t="b">
        <v>0</v>
      </c>
      <c r="X47" s="43">
        <v>1.0</v>
      </c>
      <c r="Y47" s="43">
        <v>2.0</v>
      </c>
      <c r="Z47" s="14"/>
      <c r="AA47" s="14"/>
      <c r="AB47" s="14"/>
      <c r="AC47" s="14"/>
      <c r="AD47" s="43"/>
      <c r="AE47" s="14"/>
    </row>
    <row r="48">
      <c r="A48" s="43">
        <v>3012.0</v>
      </c>
      <c r="B48" s="43" t="s">
        <v>893</v>
      </c>
      <c r="C48" s="4" t="s">
        <v>895</v>
      </c>
      <c r="D48" s="43" t="s">
        <v>573</v>
      </c>
      <c r="E48" s="14"/>
      <c r="F48" s="14"/>
      <c r="G48" s="14"/>
      <c r="H48" s="14"/>
      <c r="I48" s="14"/>
      <c r="J48" s="14"/>
      <c r="K48" s="14"/>
      <c r="L48" s="4">
        <v>0.3</v>
      </c>
      <c r="M48" s="14"/>
      <c r="N48" s="14"/>
      <c r="O48" s="14"/>
      <c r="P48" s="14"/>
      <c r="Q48" s="4">
        <v>0.4</v>
      </c>
      <c r="R48" s="14"/>
      <c r="S48" s="14"/>
      <c r="T48" s="14"/>
      <c r="U48" s="14"/>
      <c r="V48" s="57"/>
      <c r="W48" s="43" t="b">
        <v>0</v>
      </c>
      <c r="X48" s="43">
        <v>1.0</v>
      </c>
      <c r="Y48" s="43">
        <v>2.0</v>
      </c>
      <c r="Z48" s="14"/>
      <c r="AA48" s="14"/>
      <c r="AB48" s="14"/>
      <c r="AC48" s="14"/>
      <c r="AD48" s="43"/>
      <c r="AE48" s="14"/>
    </row>
    <row r="49">
      <c r="A49" s="43">
        <v>3013.0</v>
      </c>
      <c r="B49" s="43" t="s">
        <v>896</v>
      </c>
      <c r="C49" s="27" t="s">
        <v>897</v>
      </c>
      <c r="D49" s="43" t="s">
        <v>573</v>
      </c>
      <c r="E49" s="14"/>
      <c r="F49" s="14"/>
      <c r="G49" s="14"/>
      <c r="H49" s="4">
        <v>0.5</v>
      </c>
      <c r="I49" s="4">
        <v>0.5</v>
      </c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57"/>
      <c r="W49" s="43" t="b">
        <v>0</v>
      </c>
      <c r="X49" s="43">
        <v>1.0</v>
      </c>
      <c r="Y49" s="43">
        <v>1.0</v>
      </c>
      <c r="Z49" s="14"/>
      <c r="AA49" s="14"/>
      <c r="AB49" s="14"/>
      <c r="AC49" s="14"/>
      <c r="AD49" s="43"/>
      <c r="AE49" s="14"/>
    </row>
    <row r="50">
      <c r="A50" s="43">
        <v>3014.0</v>
      </c>
      <c r="B50" s="43" t="s">
        <v>900</v>
      </c>
      <c r="C50" s="27" t="s">
        <v>901</v>
      </c>
      <c r="D50" s="43" t="s">
        <v>573</v>
      </c>
      <c r="E50" s="14"/>
      <c r="F50" s="14"/>
      <c r="G50" s="14"/>
      <c r="H50" s="14"/>
      <c r="I50" s="14"/>
      <c r="J50" s="14"/>
      <c r="K50" s="14"/>
      <c r="L50" s="4">
        <v>0.1</v>
      </c>
      <c r="M50" s="14"/>
      <c r="N50" s="14"/>
      <c r="O50" s="14"/>
      <c r="P50" s="14"/>
      <c r="Q50" s="14"/>
      <c r="R50" s="14"/>
      <c r="S50" s="14"/>
      <c r="T50" s="14"/>
      <c r="U50" s="14"/>
      <c r="V50" s="57"/>
      <c r="W50" s="43" t="b">
        <v>0</v>
      </c>
      <c r="X50" s="43">
        <v>1.0</v>
      </c>
      <c r="Y50" s="43">
        <v>2.0</v>
      </c>
      <c r="Z50" s="14"/>
      <c r="AA50" s="14"/>
      <c r="AB50" s="14"/>
      <c r="AC50" s="14"/>
      <c r="AD50" s="43"/>
      <c r="AE50" s="14"/>
    </row>
    <row r="51">
      <c r="A51" s="43">
        <v>3015.0</v>
      </c>
      <c r="B51" s="43" t="s">
        <v>903</v>
      </c>
      <c r="C51" s="27" t="s">
        <v>904</v>
      </c>
      <c r="D51" s="43" t="s">
        <v>573</v>
      </c>
      <c r="E51" s="14"/>
      <c r="F51" s="14"/>
      <c r="G51" s="14"/>
      <c r="H51" s="14"/>
      <c r="I51" s="14"/>
      <c r="J51" s="14"/>
      <c r="K51" s="14"/>
      <c r="L51" s="4"/>
      <c r="M51" s="14"/>
      <c r="N51" s="14"/>
      <c r="O51" s="14"/>
      <c r="P51" s="14"/>
      <c r="Q51" s="14"/>
      <c r="R51" s="14"/>
      <c r="S51" s="14"/>
      <c r="T51" s="4">
        <v>-0.5</v>
      </c>
      <c r="U51" s="14"/>
      <c r="V51" s="57"/>
      <c r="W51" s="43" t="b">
        <v>0</v>
      </c>
      <c r="X51" s="43">
        <v>1.0</v>
      </c>
      <c r="Y51" s="43">
        <v>1.0</v>
      </c>
      <c r="Z51" s="14"/>
      <c r="AA51" s="14"/>
      <c r="AB51" s="14"/>
      <c r="AC51" s="14"/>
      <c r="AD51" s="43"/>
      <c r="AE51" s="14"/>
    </row>
    <row r="52">
      <c r="A52" s="43">
        <v>3016.0</v>
      </c>
      <c r="B52" s="43" t="s">
        <v>906</v>
      </c>
      <c r="C52" s="27" t="s">
        <v>907</v>
      </c>
      <c r="D52" s="43" t="s">
        <v>573</v>
      </c>
      <c r="E52" s="14"/>
      <c r="F52" s="14"/>
      <c r="G52" s="14"/>
      <c r="H52" s="14"/>
      <c r="I52" s="14"/>
      <c r="J52" s="14"/>
      <c r="K52" s="14"/>
      <c r="L52" s="4">
        <v>1.0</v>
      </c>
      <c r="M52" s="14"/>
      <c r="N52" s="14"/>
      <c r="O52" s="14"/>
      <c r="P52" s="14"/>
      <c r="Q52" s="14"/>
      <c r="R52" s="14"/>
      <c r="S52" s="14"/>
      <c r="T52" s="14"/>
      <c r="U52" s="14"/>
      <c r="V52" s="57"/>
      <c r="W52" s="43" t="b">
        <v>0</v>
      </c>
      <c r="X52" s="43">
        <v>1.0</v>
      </c>
      <c r="Y52" s="43">
        <v>1.0</v>
      </c>
      <c r="Z52" s="14"/>
      <c r="AA52" s="14"/>
      <c r="AB52" s="14"/>
      <c r="AC52" s="14"/>
      <c r="AD52" s="43"/>
      <c r="AE52" s="14"/>
    </row>
    <row r="53">
      <c r="A53" s="43">
        <v>3017.0</v>
      </c>
      <c r="B53" s="43" t="s">
        <v>908</v>
      </c>
      <c r="C53" s="27" t="s">
        <v>909</v>
      </c>
      <c r="D53" s="43" t="s">
        <v>573</v>
      </c>
      <c r="E53" s="14"/>
      <c r="F53" s="14"/>
      <c r="G53" s="14"/>
      <c r="H53" s="14"/>
      <c r="I53" s="14"/>
      <c r="J53" s="14"/>
      <c r="K53" s="14"/>
      <c r="L53" s="4"/>
      <c r="M53" s="14"/>
      <c r="N53" s="14"/>
      <c r="O53" s="14"/>
      <c r="P53" s="14"/>
      <c r="Q53" s="14"/>
      <c r="R53" s="4">
        <v>0.5</v>
      </c>
      <c r="S53" s="14"/>
      <c r="T53" s="14"/>
      <c r="U53" s="14"/>
      <c r="V53" s="43">
        <v>0.1</v>
      </c>
      <c r="W53" s="43" t="b">
        <v>0</v>
      </c>
      <c r="X53" s="43">
        <v>1.0</v>
      </c>
      <c r="Y53" s="43">
        <v>2.0</v>
      </c>
      <c r="Z53" s="14"/>
      <c r="AA53" s="14"/>
      <c r="AB53" s="14"/>
      <c r="AC53" s="14"/>
      <c r="AD53" s="43"/>
      <c r="AE53" s="14"/>
    </row>
    <row r="54">
      <c r="A54" s="43">
        <v>3018.0</v>
      </c>
      <c r="B54" s="43" t="s">
        <v>913</v>
      </c>
      <c r="C54" s="4" t="s">
        <v>914</v>
      </c>
      <c r="D54" s="43" t="s">
        <v>573</v>
      </c>
      <c r="E54" s="14"/>
      <c r="F54" s="14"/>
      <c r="G54" s="14"/>
      <c r="H54" s="4">
        <v>0.8</v>
      </c>
      <c r="I54" s="4">
        <v>0.8</v>
      </c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57"/>
      <c r="W54" s="43" t="b">
        <v>0</v>
      </c>
      <c r="X54" s="43">
        <v>1.0</v>
      </c>
      <c r="Y54" s="43">
        <v>5.0</v>
      </c>
      <c r="Z54" s="14"/>
      <c r="AA54" s="14"/>
      <c r="AB54" s="14"/>
      <c r="AC54" s="14"/>
      <c r="AD54" s="43"/>
      <c r="AE54" s="14"/>
    </row>
    <row r="55" ht="16.5" customHeight="1">
      <c r="A55" s="43">
        <v>3019.0</v>
      </c>
      <c r="B55" s="43" t="s">
        <v>916</v>
      </c>
      <c r="C55" s="27" t="s">
        <v>917</v>
      </c>
      <c r="D55" s="43" t="s">
        <v>573</v>
      </c>
      <c r="E55" s="14"/>
      <c r="F55" s="14"/>
      <c r="G55" s="14"/>
      <c r="H55" s="14"/>
      <c r="I55" s="14"/>
      <c r="J55" s="14"/>
      <c r="K55" s="14"/>
      <c r="L55" s="4">
        <v>1.0</v>
      </c>
      <c r="M55" s="14"/>
      <c r="N55" s="14"/>
      <c r="O55" s="14"/>
      <c r="P55" s="14"/>
      <c r="Q55" s="14"/>
      <c r="R55" s="14"/>
      <c r="S55" s="14"/>
      <c r="T55" s="14"/>
      <c r="U55" s="14"/>
      <c r="V55" s="57"/>
      <c r="W55" s="43" t="b">
        <v>0</v>
      </c>
      <c r="X55" s="43">
        <v>1.0</v>
      </c>
      <c r="Y55" s="43">
        <v>3.0</v>
      </c>
      <c r="Z55" s="43"/>
      <c r="AA55" s="43"/>
      <c r="AB55" s="43"/>
      <c r="AC55" s="43"/>
      <c r="AD55" s="43"/>
      <c r="AE55" s="43"/>
    </row>
    <row r="56">
      <c r="A56" s="43">
        <v>3020.0</v>
      </c>
      <c r="B56" s="43" t="s">
        <v>219</v>
      </c>
      <c r="C56" s="27" t="s">
        <v>919</v>
      </c>
      <c r="D56" s="43" t="s">
        <v>573</v>
      </c>
      <c r="E56" s="14"/>
      <c r="F56" s="4">
        <v>56.0</v>
      </c>
      <c r="G56" s="14"/>
      <c r="H56" s="4">
        <v>0.3</v>
      </c>
      <c r="I56" s="14"/>
      <c r="J56" s="14"/>
      <c r="K56" s="14"/>
      <c r="L56" s="4">
        <v>0.2</v>
      </c>
      <c r="M56" s="14"/>
      <c r="N56" s="14"/>
      <c r="O56" s="14"/>
      <c r="P56" s="14"/>
      <c r="Q56" s="4">
        <v>0.5</v>
      </c>
      <c r="R56" s="14"/>
      <c r="S56" s="14"/>
      <c r="T56" s="14"/>
      <c r="U56" s="14"/>
      <c r="V56" s="57"/>
      <c r="W56" s="43" t="b">
        <v>0</v>
      </c>
      <c r="X56" s="43">
        <v>1.0</v>
      </c>
      <c r="Y56" s="43">
        <v>3.0</v>
      </c>
      <c r="Z56" s="43"/>
      <c r="AA56" s="43"/>
      <c r="AB56" s="43"/>
      <c r="AC56" s="43"/>
      <c r="AD56" s="43"/>
      <c r="AE56" s="43"/>
    </row>
    <row r="57">
      <c r="A57" s="51"/>
      <c r="B57" s="50"/>
      <c r="V57" s="51"/>
    </row>
    <row r="58">
      <c r="A58" s="40" t="s">
        <v>288</v>
      </c>
      <c r="B58" s="40" t="s">
        <v>532</v>
      </c>
      <c r="C58" s="40" t="s">
        <v>534</v>
      </c>
      <c r="D58" s="40" t="s">
        <v>535</v>
      </c>
      <c r="E58" s="40" t="s">
        <v>537</v>
      </c>
      <c r="F58" s="40" t="s">
        <v>538</v>
      </c>
      <c r="G58" s="40" t="s">
        <v>540</v>
      </c>
      <c r="H58" s="40" t="s">
        <v>250</v>
      </c>
      <c r="I58" s="40" t="s">
        <v>252</v>
      </c>
      <c r="J58" s="40" t="s">
        <v>254</v>
      </c>
      <c r="K58" s="40" t="s">
        <v>256</v>
      </c>
      <c r="L58" s="40" t="s">
        <v>259</v>
      </c>
      <c r="M58" s="40" t="s">
        <v>73</v>
      </c>
      <c r="N58" s="40" t="s">
        <v>263</v>
      </c>
      <c r="O58" s="40" t="s">
        <v>265</v>
      </c>
      <c r="P58" s="40" t="s">
        <v>267</v>
      </c>
      <c r="Q58" s="40" t="s">
        <v>269</v>
      </c>
      <c r="R58" s="40" t="s">
        <v>270</v>
      </c>
      <c r="S58" s="40" t="s">
        <v>271</v>
      </c>
      <c r="T58" s="40" t="s">
        <v>272</v>
      </c>
      <c r="U58" s="40" t="s">
        <v>273</v>
      </c>
      <c r="V58" s="40" t="s">
        <v>274</v>
      </c>
      <c r="W58" s="40" t="s">
        <v>548</v>
      </c>
      <c r="X58" s="40" t="s">
        <v>549</v>
      </c>
      <c r="Y58" s="40" t="s">
        <v>550</v>
      </c>
      <c r="Z58" s="40" t="s">
        <v>552</v>
      </c>
      <c r="AA58" s="40" t="s">
        <v>554</v>
      </c>
      <c r="AB58" s="40" t="s">
        <v>555</v>
      </c>
      <c r="AC58" s="40" t="s">
        <v>558</v>
      </c>
      <c r="AD58" s="40" t="s">
        <v>559</v>
      </c>
      <c r="AE58" s="4" t="s">
        <v>560</v>
      </c>
    </row>
    <row r="59">
      <c r="A59" s="43">
        <v>4001.0</v>
      </c>
      <c r="B59" s="43" t="s">
        <v>924</v>
      </c>
      <c r="C59" s="63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3" t="s">
        <v>640</v>
      </c>
      <c r="E59" s="57"/>
      <c r="F59" s="57"/>
      <c r="G59" s="57"/>
      <c r="H59" s="57"/>
      <c r="I59" s="43">
        <v>-0.05</v>
      </c>
      <c r="J59" s="57"/>
      <c r="K59" s="57"/>
      <c r="L59" s="57"/>
      <c r="M59" s="43"/>
      <c r="N59" s="43"/>
      <c r="O59" s="43"/>
      <c r="P59" s="57"/>
      <c r="Q59" s="43"/>
      <c r="R59" s="43"/>
      <c r="S59" s="43"/>
      <c r="T59" s="43"/>
      <c r="U59" s="43"/>
      <c r="V59" s="43"/>
      <c r="W59" s="43" t="b">
        <v>1</v>
      </c>
      <c r="X59" s="43">
        <v>20.0</v>
      </c>
      <c r="Y59" s="43">
        <v>3.0</v>
      </c>
      <c r="Z59" s="14"/>
      <c r="AA59" s="14"/>
      <c r="AB59" s="14"/>
      <c r="AC59" s="14"/>
      <c r="AD59" s="43"/>
      <c r="AE59" s="14"/>
    </row>
    <row r="60">
      <c r="A60" s="43">
        <v>4002.0</v>
      </c>
      <c r="B60" s="43" t="s">
        <v>927</v>
      </c>
      <c r="C60" s="63" t="str">
        <f t="shared" si="1"/>
        <v>每層於每回合給予施術者5%魔法攻擊的傷害，最多10層，持續2回合</v>
      </c>
      <c r="D60" s="43" t="s">
        <v>640</v>
      </c>
      <c r="E60" s="43"/>
      <c r="F60" s="43"/>
      <c r="G60" s="43"/>
      <c r="H60" s="43"/>
      <c r="I60" s="43">
        <v>-0.1</v>
      </c>
      <c r="J60" s="57"/>
      <c r="K60" s="57"/>
      <c r="L60" s="57"/>
      <c r="M60" s="43"/>
      <c r="N60" s="43"/>
      <c r="O60" s="43"/>
      <c r="P60" s="57"/>
      <c r="Q60" s="43"/>
      <c r="R60" s="43"/>
      <c r="S60" s="43"/>
      <c r="T60" s="43"/>
      <c r="U60" s="43"/>
      <c r="V60" s="43"/>
      <c r="W60" s="43" t="b">
        <v>1</v>
      </c>
      <c r="X60" s="43">
        <v>10.0</v>
      </c>
      <c r="Y60" s="43">
        <v>2.0</v>
      </c>
      <c r="Z60" s="14"/>
      <c r="AA60" s="14"/>
      <c r="AB60" s="14"/>
      <c r="AC60" s="14"/>
      <c r="AD60" s="43"/>
      <c r="AE60" s="14"/>
    </row>
    <row r="61">
      <c r="A61" s="43">
        <v>4003.0</v>
      </c>
      <c r="B61" s="43" t="s">
        <v>928</v>
      </c>
      <c r="C61" s="63" t="str">
        <f t="shared" si="1"/>
        <v>每層於每回合給予施術者5%魔法攻擊的傷害，最多10層，持續2回合</v>
      </c>
      <c r="D61" s="43" t="s">
        <v>640</v>
      </c>
      <c r="E61" s="43"/>
      <c r="F61" s="43"/>
      <c r="G61" s="43"/>
      <c r="H61" s="43">
        <v>-0.1</v>
      </c>
      <c r="I61" s="57"/>
      <c r="J61" s="57"/>
      <c r="K61" s="57"/>
      <c r="L61" s="57"/>
      <c r="M61" s="43"/>
      <c r="N61" s="43"/>
      <c r="O61" s="43"/>
      <c r="P61" s="57"/>
      <c r="Q61" s="43"/>
      <c r="R61" s="43"/>
      <c r="S61" s="43"/>
      <c r="T61" s="43"/>
      <c r="U61" s="43"/>
      <c r="V61" s="43"/>
      <c r="W61" s="43" t="b">
        <v>1</v>
      </c>
      <c r="X61" s="43">
        <v>10.0</v>
      </c>
      <c r="Y61" s="43">
        <v>2.0</v>
      </c>
      <c r="Z61" s="14"/>
      <c r="AA61" s="14"/>
      <c r="AB61" s="14"/>
      <c r="AC61" s="14"/>
      <c r="AD61" s="43"/>
      <c r="AE61" s="14"/>
    </row>
    <row r="62">
      <c r="A62" s="43">
        <v>4004.0</v>
      </c>
      <c r="B62" s="43" t="s">
        <v>930</v>
      </c>
      <c r="C62" s="63" t="str">
        <f t="shared" si="1"/>
        <v>每層於每回合給予施術者5%魔法攻擊的傷害，最多20層，持續3回合</v>
      </c>
      <c r="D62" s="43" t="s">
        <v>640</v>
      </c>
      <c r="E62" s="57"/>
      <c r="F62" s="57"/>
      <c r="G62" s="57"/>
      <c r="H62" s="43">
        <v>-0.05</v>
      </c>
      <c r="I62" s="57"/>
      <c r="J62" s="57"/>
      <c r="K62" s="57"/>
      <c r="L62" s="57"/>
      <c r="M62" s="57"/>
      <c r="N62" s="57"/>
      <c r="O62" s="57"/>
      <c r="P62" s="57"/>
      <c r="Q62" s="43"/>
      <c r="R62" s="43"/>
      <c r="S62" s="43"/>
      <c r="T62" s="43"/>
      <c r="U62" s="43"/>
      <c r="V62" s="43"/>
      <c r="W62" s="43" t="b">
        <v>1</v>
      </c>
      <c r="X62" s="43">
        <v>20.0</v>
      </c>
      <c r="Y62" s="43">
        <v>3.0</v>
      </c>
      <c r="Z62" s="14"/>
      <c r="AA62" s="14"/>
      <c r="AB62" s="14"/>
      <c r="AC62" s="14"/>
      <c r="AD62" s="43"/>
      <c r="AE62" s="14"/>
    </row>
    <row r="63">
      <c r="A63" s="43">
        <v>4005.0</v>
      </c>
      <c r="B63" s="43" t="s">
        <v>932</v>
      </c>
      <c r="C63" s="63" t="s">
        <v>933</v>
      </c>
      <c r="D63" s="43" t="s">
        <v>640</v>
      </c>
      <c r="E63" s="57"/>
      <c r="F63" s="57"/>
      <c r="G63" s="57"/>
      <c r="H63" s="43">
        <v>-0.05</v>
      </c>
      <c r="I63" s="57"/>
      <c r="J63" s="57"/>
      <c r="K63" s="57"/>
      <c r="L63" s="57"/>
      <c r="M63" s="57"/>
      <c r="N63" s="57"/>
      <c r="O63" s="57"/>
      <c r="P63" s="57"/>
      <c r="Q63" s="43"/>
      <c r="R63" s="43"/>
      <c r="S63" s="43"/>
      <c r="T63" s="43"/>
      <c r="U63" s="43"/>
      <c r="V63" s="43"/>
      <c r="W63" s="43" t="b">
        <v>1</v>
      </c>
      <c r="X63" s="43">
        <v>20.0</v>
      </c>
      <c r="Y63" s="43">
        <v>3.0</v>
      </c>
      <c r="Z63" s="14"/>
      <c r="AA63" s="14"/>
      <c r="AB63" s="14"/>
      <c r="AC63" s="14"/>
      <c r="AD63" s="43"/>
      <c r="AE63" s="14"/>
    </row>
    <row r="64">
      <c r="A64" s="51"/>
      <c r="B64" s="51"/>
      <c r="V64" s="51"/>
    </row>
    <row r="65">
      <c r="A65" s="40" t="s">
        <v>288</v>
      </c>
      <c r="B65" s="40" t="s">
        <v>532</v>
      </c>
      <c r="C65" s="40" t="s">
        <v>534</v>
      </c>
      <c r="D65" s="40" t="s">
        <v>535</v>
      </c>
      <c r="E65" s="40" t="s">
        <v>537</v>
      </c>
      <c r="F65" s="40" t="s">
        <v>538</v>
      </c>
      <c r="G65" s="40" t="s">
        <v>540</v>
      </c>
      <c r="H65" s="40" t="s">
        <v>250</v>
      </c>
      <c r="I65" s="40" t="s">
        <v>252</v>
      </c>
      <c r="J65" s="40" t="s">
        <v>254</v>
      </c>
      <c r="K65" s="40" t="s">
        <v>256</v>
      </c>
      <c r="L65" s="40" t="s">
        <v>259</v>
      </c>
      <c r="M65" s="40" t="s">
        <v>73</v>
      </c>
      <c r="N65" s="40" t="s">
        <v>263</v>
      </c>
      <c r="O65" s="40" t="s">
        <v>265</v>
      </c>
      <c r="P65" s="40" t="s">
        <v>267</v>
      </c>
      <c r="Q65" s="40" t="s">
        <v>269</v>
      </c>
      <c r="R65" s="40" t="s">
        <v>270</v>
      </c>
      <c r="S65" s="40" t="s">
        <v>271</v>
      </c>
      <c r="T65" s="40" t="s">
        <v>272</v>
      </c>
      <c r="U65" s="40" t="s">
        <v>273</v>
      </c>
      <c r="V65" s="40" t="s">
        <v>274</v>
      </c>
      <c r="W65" s="40" t="s">
        <v>548</v>
      </c>
      <c r="X65" s="40" t="s">
        <v>549</v>
      </c>
      <c r="Y65" s="40" t="s">
        <v>550</v>
      </c>
      <c r="Z65" s="40" t="s">
        <v>552</v>
      </c>
      <c r="AA65" s="40" t="s">
        <v>554</v>
      </c>
      <c r="AB65" s="40" t="s">
        <v>555</v>
      </c>
      <c r="AC65" s="40" t="s">
        <v>558</v>
      </c>
      <c r="AD65" s="40" t="s">
        <v>559</v>
      </c>
      <c r="AE65" s="4" t="s">
        <v>560</v>
      </c>
    </row>
    <row r="66">
      <c r="A66" s="43">
        <v>5001.0</v>
      </c>
      <c r="B66" s="43" t="s">
        <v>944</v>
      </c>
      <c r="C66" s="63" t="s">
        <v>945</v>
      </c>
      <c r="D66" s="43" t="s">
        <v>640</v>
      </c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43"/>
      <c r="R66" s="43"/>
      <c r="S66" s="43"/>
      <c r="T66" s="43"/>
      <c r="U66" s="43"/>
      <c r="V66" s="43"/>
      <c r="W66" s="43" t="b">
        <v>0</v>
      </c>
      <c r="X66" s="43">
        <v>1.0</v>
      </c>
      <c r="Y66" s="43">
        <v>1.0</v>
      </c>
      <c r="Z66" s="14"/>
      <c r="AA66" s="14"/>
      <c r="AB66" s="14"/>
      <c r="AC66" s="14"/>
      <c r="AD66" s="43"/>
      <c r="AE66" s="14"/>
    </row>
    <row r="67">
      <c r="A67" s="43">
        <v>5002.0</v>
      </c>
      <c r="B67" s="43" t="s">
        <v>947</v>
      </c>
      <c r="C67" s="63" t="s">
        <v>945</v>
      </c>
      <c r="D67" s="43" t="s">
        <v>640</v>
      </c>
      <c r="E67" s="14"/>
      <c r="F67" s="14"/>
      <c r="G67" s="14"/>
      <c r="H67" s="14"/>
      <c r="I67" s="14"/>
      <c r="J67" s="14"/>
      <c r="K67" s="14"/>
      <c r="L67" s="14"/>
      <c r="M67" s="4"/>
      <c r="N67" s="4"/>
      <c r="O67" s="4"/>
      <c r="P67" s="14"/>
      <c r="Q67" s="43"/>
      <c r="R67" s="43"/>
      <c r="S67" s="43"/>
      <c r="T67" s="43"/>
      <c r="U67" s="43"/>
      <c r="V67" s="43"/>
      <c r="W67" s="43" t="b">
        <v>0</v>
      </c>
      <c r="X67" s="43">
        <v>1.0</v>
      </c>
      <c r="Y67" s="43">
        <v>1.0</v>
      </c>
      <c r="Z67" s="14"/>
      <c r="AA67" s="14"/>
      <c r="AB67" s="14"/>
      <c r="AC67" s="14"/>
      <c r="AD67" s="43"/>
      <c r="AE67" s="14"/>
    </row>
    <row r="68">
      <c r="A68" s="43">
        <v>5003.0</v>
      </c>
      <c r="B68" s="43" t="s">
        <v>949</v>
      </c>
      <c r="C68" s="63" t="s">
        <v>945</v>
      </c>
      <c r="D68" s="43" t="s">
        <v>640</v>
      </c>
      <c r="E68" s="14"/>
      <c r="F68" s="14"/>
      <c r="G68" s="14"/>
      <c r="H68" s="14"/>
      <c r="I68" s="14"/>
      <c r="J68" s="14"/>
      <c r="K68" s="14"/>
      <c r="L68" s="14"/>
      <c r="M68" s="4"/>
      <c r="N68" s="4"/>
      <c r="O68" s="4"/>
      <c r="P68" s="14"/>
      <c r="Q68" s="43"/>
      <c r="R68" s="43"/>
      <c r="S68" s="43"/>
      <c r="T68" s="43"/>
      <c r="U68" s="43"/>
      <c r="V68" s="43"/>
      <c r="W68" s="43" t="b">
        <v>0</v>
      </c>
      <c r="X68" s="43">
        <v>1.0</v>
      </c>
      <c r="Y68" s="43">
        <v>1.0</v>
      </c>
      <c r="Z68" s="14"/>
      <c r="AA68" s="14"/>
      <c r="AB68" s="14"/>
      <c r="AC68" s="14"/>
      <c r="AD68" s="43"/>
      <c r="AE68" s="14"/>
    </row>
    <row r="69">
      <c r="A69" s="43">
        <v>5004.0</v>
      </c>
      <c r="B69" s="43" t="s">
        <v>950</v>
      </c>
      <c r="C69" s="63" t="s">
        <v>945</v>
      </c>
      <c r="D69" s="43" t="s">
        <v>640</v>
      </c>
      <c r="E69" s="14"/>
      <c r="F69" s="14"/>
      <c r="G69" s="14"/>
      <c r="H69" s="14"/>
      <c r="I69" s="14"/>
      <c r="J69" s="14"/>
      <c r="K69" s="14"/>
      <c r="L69" s="14"/>
      <c r="M69" s="43"/>
      <c r="N69" s="4"/>
      <c r="O69" s="4"/>
      <c r="P69" s="14"/>
      <c r="Q69" s="43"/>
      <c r="R69" s="43"/>
      <c r="S69" s="43"/>
      <c r="T69" s="43"/>
      <c r="U69" s="43"/>
      <c r="V69" s="43"/>
      <c r="W69" s="43" t="b">
        <v>0</v>
      </c>
      <c r="X69" s="43">
        <v>1.0</v>
      </c>
      <c r="Y69" s="43">
        <v>1.0</v>
      </c>
      <c r="Z69" s="14"/>
      <c r="AA69" s="14"/>
      <c r="AB69" s="14"/>
      <c r="AC69" s="14"/>
      <c r="AD69" s="43"/>
      <c r="AE69" s="14"/>
    </row>
    <row r="70">
      <c r="A70" s="43">
        <v>5005.0</v>
      </c>
      <c r="B70" s="43" t="s">
        <v>951</v>
      </c>
      <c r="C70" s="63" t="s">
        <v>952</v>
      </c>
      <c r="D70" s="43" t="s">
        <v>573</v>
      </c>
      <c r="E70" s="4">
        <v>5006.0</v>
      </c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43"/>
      <c r="R70" s="43"/>
      <c r="S70" s="43"/>
      <c r="T70" s="43"/>
      <c r="U70" s="43"/>
      <c r="V70" s="43"/>
      <c r="W70" s="43" t="b">
        <v>0</v>
      </c>
      <c r="X70" s="43">
        <v>1.0</v>
      </c>
      <c r="Y70" s="43">
        <v>1.0</v>
      </c>
      <c r="Z70" s="14"/>
      <c r="AA70" s="14"/>
      <c r="AB70" s="14"/>
      <c r="AC70" s="14"/>
      <c r="AD70" s="43"/>
      <c r="AE70" s="14"/>
    </row>
    <row r="71">
      <c r="A71" s="43">
        <v>5006.0</v>
      </c>
      <c r="B71" s="43" t="s">
        <v>953</v>
      </c>
      <c r="C71" s="4" t="s">
        <v>954</v>
      </c>
      <c r="D71" s="43" t="s">
        <v>573</v>
      </c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57"/>
      <c r="W71" s="43" t="b">
        <v>0</v>
      </c>
      <c r="X71" s="43">
        <v>1.0</v>
      </c>
      <c r="Y71" s="43">
        <v>1.0</v>
      </c>
      <c r="Z71" s="14"/>
      <c r="AA71" s="14"/>
      <c r="AB71" s="14"/>
      <c r="AC71" s="14"/>
      <c r="AD71" s="43"/>
      <c r="AE71" s="14"/>
    </row>
    <row r="72">
      <c r="A72" s="51"/>
      <c r="B72" s="51"/>
      <c r="V72" s="51"/>
    </row>
    <row r="73">
      <c r="A73" s="40" t="s">
        <v>288</v>
      </c>
      <c r="B73" s="40" t="s">
        <v>532</v>
      </c>
      <c r="C73" s="40" t="s">
        <v>534</v>
      </c>
      <c r="D73" s="40" t="s">
        <v>535</v>
      </c>
      <c r="E73" s="40" t="s">
        <v>537</v>
      </c>
      <c r="F73" s="40" t="s">
        <v>538</v>
      </c>
      <c r="G73" s="40" t="s">
        <v>540</v>
      </c>
      <c r="H73" s="40" t="s">
        <v>250</v>
      </c>
      <c r="I73" s="40" t="s">
        <v>252</v>
      </c>
      <c r="J73" s="40" t="s">
        <v>254</v>
      </c>
      <c r="K73" s="40" t="s">
        <v>256</v>
      </c>
      <c r="L73" s="40" t="s">
        <v>259</v>
      </c>
      <c r="M73" s="40" t="s">
        <v>73</v>
      </c>
      <c r="N73" s="40" t="s">
        <v>263</v>
      </c>
      <c r="O73" s="40" t="s">
        <v>265</v>
      </c>
      <c r="P73" s="40" t="s">
        <v>267</v>
      </c>
      <c r="Q73" s="40" t="s">
        <v>269</v>
      </c>
      <c r="R73" s="40" t="s">
        <v>270</v>
      </c>
      <c r="S73" s="40" t="s">
        <v>271</v>
      </c>
      <c r="T73" s="40" t="s">
        <v>272</v>
      </c>
      <c r="U73" s="40" t="s">
        <v>273</v>
      </c>
      <c r="V73" s="40" t="s">
        <v>274</v>
      </c>
      <c r="W73" s="40" t="s">
        <v>548</v>
      </c>
      <c r="X73" s="40" t="s">
        <v>549</v>
      </c>
      <c r="Y73" s="40" t="s">
        <v>550</v>
      </c>
      <c r="Z73" s="40" t="s">
        <v>552</v>
      </c>
      <c r="AA73" s="40" t="s">
        <v>554</v>
      </c>
      <c r="AB73" s="40" t="s">
        <v>555</v>
      </c>
      <c r="AC73" s="40" t="s">
        <v>558</v>
      </c>
      <c r="AD73" s="40" t="s">
        <v>559</v>
      </c>
      <c r="AE73" s="4" t="s">
        <v>560</v>
      </c>
    </row>
    <row r="74">
      <c r="A74" s="43">
        <v>6001.0</v>
      </c>
      <c r="B74" s="43" t="s">
        <v>956</v>
      </c>
      <c r="C74" s="4" t="s">
        <v>957</v>
      </c>
      <c r="D74" s="14"/>
      <c r="E74" s="14"/>
      <c r="F74" s="14"/>
      <c r="G74" s="14"/>
      <c r="H74" s="4">
        <v>0.1</v>
      </c>
      <c r="I74" s="4">
        <v>0.1</v>
      </c>
      <c r="J74" s="14"/>
      <c r="K74" s="14"/>
      <c r="L74" s="4">
        <v>0.15</v>
      </c>
      <c r="M74" s="43"/>
      <c r="N74" s="14"/>
      <c r="O74" s="14"/>
      <c r="P74" s="14"/>
      <c r="Q74" s="14"/>
      <c r="R74" s="14"/>
      <c r="S74" s="14"/>
      <c r="T74" s="14"/>
      <c r="U74" s="14"/>
      <c r="V74" s="57"/>
      <c r="W74" s="43" t="b">
        <v>0</v>
      </c>
      <c r="X74" s="43">
        <v>1.0</v>
      </c>
      <c r="Y74" s="43">
        <v>9999.0</v>
      </c>
      <c r="Z74" s="43"/>
      <c r="AA74" s="43"/>
      <c r="AB74" s="43"/>
      <c r="AC74" s="43">
        <v>1.0</v>
      </c>
      <c r="AD74" s="43" t="s">
        <v>959</v>
      </c>
      <c r="AE74" s="4">
        <v>2.0</v>
      </c>
    </row>
    <row r="75">
      <c r="A75" s="43">
        <v>6001.0</v>
      </c>
      <c r="B75" s="43" t="s">
        <v>961</v>
      </c>
      <c r="C75" s="4" t="s">
        <v>957</v>
      </c>
      <c r="D75" s="14"/>
      <c r="E75" s="14"/>
      <c r="F75" s="14"/>
      <c r="G75" s="14"/>
      <c r="H75" s="4">
        <v>0.1</v>
      </c>
      <c r="I75" s="4">
        <v>0.1</v>
      </c>
      <c r="J75" s="14"/>
      <c r="K75" s="14"/>
      <c r="L75" s="4">
        <v>0.15</v>
      </c>
      <c r="M75" s="14"/>
      <c r="N75" s="14"/>
      <c r="O75" s="14"/>
      <c r="P75" s="14"/>
      <c r="Q75" s="14"/>
      <c r="R75" s="14"/>
      <c r="S75" s="4"/>
      <c r="T75" s="14"/>
      <c r="U75" s="14"/>
      <c r="V75" s="57"/>
      <c r="W75" s="43" t="b">
        <v>0</v>
      </c>
      <c r="X75" s="43">
        <v>1.0</v>
      </c>
      <c r="Y75" s="43">
        <v>9999.0</v>
      </c>
      <c r="Z75" s="43"/>
      <c r="AA75" s="43"/>
      <c r="AB75" s="43"/>
      <c r="AC75" s="43">
        <v>1.0</v>
      </c>
      <c r="AD75" s="43" t="s">
        <v>959</v>
      </c>
      <c r="AE75" s="4">
        <v>3.0</v>
      </c>
    </row>
    <row r="76">
      <c r="A76" s="43">
        <v>6001.0</v>
      </c>
      <c r="B76" s="43" t="s">
        <v>962</v>
      </c>
      <c r="C76" s="4" t="s">
        <v>957</v>
      </c>
      <c r="D76" s="14"/>
      <c r="E76" s="14"/>
      <c r="F76" s="14"/>
      <c r="G76" s="14"/>
      <c r="H76" s="4">
        <v>0.1</v>
      </c>
      <c r="I76" s="4">
        <v>0.1</v>
      </c>
      <c r="J76" s="14"/>
      <c r="K76" s="14"/>
      <c r="L76" s="14"/>
      <c r="M76" s="14"/>
      <c r="N76" s="14"/>
      <c r="O76" s="4">
        <v>0.05</v>
      </c>
      <c r="P76" s="14"/>
      <c r="Q76" s="14"/>
      <c r="R76" s="14"/>
      <c r="S76" s="14"/>
      <c r="T76" s="14"/>
      <c r="U76" s="4"/>
      <c r="V76" s="57"/>
      <c r="W76" s="43" t="b">
        <v>0</v>
      </c>
      <c r="X76" s="43">
        <v>1.0</v>
      </c>
      <c r="Y76" s="43">
        <v>9999.0</v>
      </c>
      <c r="Z76" s="43"/>
      <c r="AA76" s="43"/>
      <c r="AB76" s="43"/>
      <c r="AC76" s="43">
        <v>1.0</v>
      </c>
      <c r="AD76" s="43" t="s">
        <v>959</v>
      </c>
      <c r="AE76" s="4">
        <v>6.0</v>
      </c>
    </row>
    <row r="77">
      <c r="A77" s="43">
        <v>6002.0</v>
      </c>
      <c r="B77" s="43" t="s">
        <v>964</v>
      </c>
      <c r="C77" s="4" t="s">
        <v>965</v>
      </c>
      <c r="D77" s="63"/>
      <c r="E77" s="63"/>
      <c r="F77" s="63"/>
      <c r="G77" s="14"/>
      <c r="H77" s="14"/>
      <c r="I77" s="14"/>
      <c r="J77" s="4">
        <v>0.15</v>
      </c>
      <c r="K77" s="14"/>
      <c r="L77" s="14"/>
      <c r="M77" s="43"/>
      <c r="N77" s="14"/>
      <c r="O77" s="4"/>
      <c r="P77" s="14"/>
      <c r="Q77" s="14"/>
      <c r="R77" s="14"/>
      <c r="S77" s="14"/>
      <c r="T77" s="14"/>
      <c r="U77" s="14"/>
      <c r="V77" s="57"/>
      <c r="W77" s="43" t="b">
        <v>0</v>
      </c>
      <c r="X77" s="43">
        <v>1.0</v>
      </c>
      <c r="Y77" s="43">
        <v>9999.0</v>
      </c>
      <c r="Z77" s="43"/>
      <c r="AA77" s="43"/>
      <c r="AB77" s="43"/>
      <c r="AC77" s="43">
        <v>1.0</v>
      </c>
      <c r="AD77" s="43" t="s">
        <v>966</v>
      </c>
      <c r="AE77" s="4">
        <v>2.0</v>
      </c>
    </row>
    <row r="78">
      <c r="A78" s="43">
        <v>6002.0</v>
      </c>
      <c r="B78" s="43" t="s">
        <v>967</v>
      </c>
      <c r="C78" s="4" t="s">
        <v>965</v>
      </c>
      <c r="D78" s="63"/>
      <c r="E78" s="63"/>
      <c r="F78" s="63"/>
      <c r="G78" s="14"/>
      <c r="H78" s="4">
        <v>0.2</v>
      </c>
      <c r="I78" s="14"/>
      <c r="J78" s="4">
        <v>0.15</v>
      </c>
      <c r="K78" s="14"/>
      <c r="L78" s="14"/>
      <c r="M78" s="14"/>
      <c r="N78" s="14"/>
      <c r="O78" s="14"/>
      <c r="P78" s="14"/>
      <c r="Q78" s="4"/>
      <c r="R78" s="14"/>
      <c r="S78" s="4"/>
      <c r="T78" s="14"/>
      <c r="U78" s="14"/>
      <c r="V78" s="57"/>
      <c r="W78" s="43" t="b">
        <v>0</v>
      </c>
      <c r="X78" s="43">
        <v>1.0</v>
      </c>
      <c r="Y78" s="43">
        <v>9999.0</v>
      </c>
      <c r="Z78" s="43"/>
      <c r="AA78" s="43"/>
      <c r="AB78" s="43"/>
      <c r="AC78" s="43">
        <v>1.0</v>
      </c>
      <c r="AD78" s="43" t="s">
        <v>966</v>
      </c>
      <c r="AE78" s="4">
        <v>3.0</v>
      </c>
    </row>
    <row r="79">
      <c r="A79" s="43">
        <v>6002.0</v>
      </c>
      <c r="B79" s="43" t="s">
        <v>970</v>
      </c>
      <c r="C79" s="4" t="s">
        <v>965</v>
      </c>
      <c r="D79" s="63"/>
      <c r="E79" s="63"/>
      <c r="F79" s="63"/>
      <c r="G79" s="14"/>
      <c r="H79" s="4">
        <v>0.2</v>
      </c>
      <c r="I79" s="14"/>
      <c r="J79" s="4">
        <v>0.15</v>
      </c>
      <c r="K79" s="14"/>
      <c r="L79" s="14"/>
      <c r="M79" s="14"/>
      <c r="N79" s="14"/>
      <c r="O79" s="14"/>
      <c r="P79" s="14"/>
      <c r="Q79" s="14"/>
      <c r="R79" s="4"/>
      <c r="S79" s="4">
        <v>0.1</v>
      </c>
      <c r="T79" s="14"/>
      <c r="U79" s="4"/>
      <c r="V79" s="57"/>
      <c r="W79" s="43" t="b">
        <v>0</v>
      </c>
      <c r="X79" s="43">
        <v>1.0</v>
      </c>
      <c r="Y79" s="43">
        <v>9999.0</v>
      </c>
      <c r="Z79" s="43"/>
      <c r="AA79" s="43"/>
      <c r="AB79" s="43"/>
      <c r="AC79" s="43">
        <v>1.0</v>
      </c>
      <c r="AD79" s="43" t="s">
        <v>966</v>
      </c>
      <c r="AE79" s="4">
        <v>6.0</v>
      </c>
    </row>
    <row r="80">
      <c r="A80" s="43">
        <v>6003.0</v>
      </c>
      <c r="B80" s="43" t="s">
        <v>972</v>
      </c>
      <c r="C80" s="4" t="s">
        <v>973</v>
      </c>
      <c r="D80" s="63"/>
      <c r="E80" s="63"/>
      <c r="F80" s="63"/>
      <c r="G80" s="14"/>
      <c r="H80" s="14"/>
      <c r="I80" s="14"/>
      <c r="J80" s="4">
        <v>0.2</v>
      </c>
      <c r="K80" s="14"/>
      <c r="L80" s="14"/>
      <c r="M80" s="14"/>
      <c r="N80" s="14"/>
      <c r="O80" s="14"/>
      <c r="P80" s="14"/>
      <c r="Q80" s="14"/>
      <c r="R80" s="4"/>
      <c r="S80" s="14"/>
      <c r="T80" s="14"/>
      <c r="U80" s="4"/>
      <c r="V80" s="57"/>
      <c r="W80" s="43" t="b">
        <v>0</v>
      </c>
      <c r="X80" s="43">
        <v>1.0</v>
      </c>
      <c r="Y80" s="43">
        <v>9999.0</v>
      </c>
      <c r="Z80" s="43"/>
      <c r="AA80" s="43"/>
      <c r="AB80" s="43"/>
      <c r="AC80" s="43">
        <v>1.0</v>
      </c>
      <c r="AD80" s="43" t="s">
        <v>974</v>
      </c>
      <c r="AE80" s="4">
        <v>2.0</v>
      </c>
    </row>
    <row r="81">
      <c r="A81" s="43">
        <v>6003.0</v>
      </c>
      <c r="B81" s="43" t="s">
        <v>975</v>
      </c>
      <c r="C81" s="4" t="s">
        <v>973</v>
      </c>
      <c r="D81" s="63"/>
      <c r="E81" s="63"/>
      <c r="F81" s="63"/>
      <c r="G81" s="14"/>
      <c r="H81" s="14"/>
      <c r="I81" s="14"/>
      <c r="J81" s="4">
        <v>0.2</v>
      </c>
      <c r="K81" s="4">
        <v>0.2</v>
      </c>
      <c r="L81" s="14"/>
      <c r="M81" s="14"/>
      <c r="N81" s="14"/>
      <c r="O81" s="14"/>
      <c r="P81" s="14"/>
      <c r="Q81" s="14"/>
      <c r="R81" s="4"/>
      <c r="S81" s="14"/>
      <c r="T81" s="14"/>
      <c r="U81" s="4"/>
      <c r="V81" s="57"/>
      <c r="W81" s="43" t="b">
        <v>0</v>
      </c>
      <c r="X81" s="43">
        <v>1.0</v>
      </c>
      <c r="Y81" s="43">
        <v>9999.0</v>
      </c>
      <c r="Z81" s="43"/>
      <c r="AA81" s="43"/>
      <c r="AB81" s="43"/>
      <c r="AC81" s="43">
        <v>1.0</v>
      </c>
      <c r="AD81" s="43" t="s">
        <v>974</v>
      </c>
      <c r="AE81" s="4">
        <v>3.0</v>
      </c>
    </row>
    <row r="82">
      <c r="A82" s="43">
        <v>6003.0</v>
      </c>
      <c r="B82" s="43" t="s">
        <v>976</v>
      </c>
      <c r="C82" s="4" t="s">
        <v>973</v>
      </c>
      <c r="D82" s="63"/>
      <c r="E82" s="63"/>
      <c r="F82" s="63"/>
      <c r="G82" s="14"/>
      <c r="H82" s="14"/>
      <c r="I82" s="14"/>
      <c r="J82" s="4">
        <v>0.2</v>
      </c>
      <c r="K82" s="4">
        <v>0.2</v>
      </c>
      <c r="L82" s="14"/>
      <c r="M82" s="14"/>
      <c r="N82" s="14"/>
      <c r="O82" s="14"/>
      <c r="P82" s="4">
        <v>0.15</v>
      </c>
      <c r="Q82" s="14"/>
      <c r="R82" s="4"/>
      <c r="S82" s="14"/>
      <c r="T82" s="14"/>
      <c r="U82" s="4"/>
      <c r="V82" s="57"/>
      <c r="W82" s="43" t="b">
        <v>0</v>
      </c>
      <c r="X82" s="43">
        <v>1.0</v>
      </c>
      <c r="Y82" s="43">
        <v>9999.0</v>
      </c>
      <c r="Z82" s="43"/>
      <c r="AA82" s="43"/>
      <c r="AB82" s="43"/>
      <c r="AC82" s="43">
        <v>1.0</v>
      </c>
      <c r="AD82" s="43" t="s">
        <v>974</v>
      </c>
      <c r="AE82" s="4">
        <v>6.0</v>
      </c>
    </row>
    <row r="83">
      <c r="A83" s="43">
        <v>6004.0</v>
      </c>
      <c r="B83" s="43" t="s">
        <v>978</v>
      </c>
      <c r="C83" s="4" t="s">
        <v>979</v>
      </c>
      <c r="D83" s="63"/>
      <c r="E83" s="63"/>
      <c r="F83" s="63"/>
      <c r="G83" s="14"/>
      <c r="H83" s="14"/>
      <c r="I83" s="14"/>
      <c r="J83" s="14"/>
      <c r="K83" s="4">
        <v>0.15</v>
      </c>
      <c r="L83" s="14"/>
      <c r="M83" s="14"/>
      <c r="N83" s="14"/>
      <c r="O83" s="14"/>
      <c r="P83" s="14"/>
      <c r="Q83" s="14"/>
      <c r="R83" s="4"/>
      <c r="S83" s="14"/>
      <c r="T83" s="14"/>
      <c r="U83" s="4"/>
      <c r="V83" s="57"/>
      <c r="W83" s="43" t="b">
        <v>0</v>
      </c>
      <c r="X83" s="43">
        <v>1.0</v>
      </c>
      <c r="Y83" s="43">
        <v>9999.0</v>
      </c>
      <c r="Z83" s="43"/>
      <c r="AA83" s="43"/>
      <c r="AB83" s="43"/>
      <c r="AC83" s="43">
        <v>1.0</v>
      </c>
      <c r="AD83" s="43" t="s">
        <v>981</v>
      </c>
      <c r="AE83" s="4">
        <v>2.0</v>
      </c>
    </row>
    <row r="84">
      <c r="A84" s="43">
        <v>6004.0</v>
      </c>
      <c r="B84" s="43" t="s">
        <v>982</v>
      </c>
      <c r="C84" s="4" t="s">
        <v>979</v>
      </c>
      <c r="D84" s="63"/>
      <c r="E84" s="63"/>
      <c r="F84" s="63"/>
      <c r="G84" s="14"/>
      <c r="H84" s="14"/>
      <c r="I84" s="4">
        <v>0.2</v>
      </c>
      <c r="J84" s="14"/>
      <c r="K84" s="4">
        <v>0.15</v>
      </c>
      <c r="L84" s="14"/>
      <c r="M84" s="14"/>
      <c r="N84" s="14"/>
      <c r="O84" s="14"/>
      <c r="P84" s="14"/>
      <c r="Q84" s="14"/>
      <c r="R84" s="4"/>
      <c r="S84" s="14"/>
      <c r="T84" s="14"/>
      <c r="U84" s="4"/>
      <c r="V84" s="57"/>
      <c r="W84" s="43" t="b">
        <v>0</v>
      </c>
      <c r="X84" s="43">
        <v>1.0</v>
      </c>
      <c r="Y84" s="43">
        <v>9999.0</v>
      </c>
      <c r="Z84" s="43"/>
      <c r="AA84" s="43"/>
      <c r="AB84" s="43"/>
      <c r="AC84" s="43">
        <v>1.0</v>
      </c>
      <c r="AD84" s="43" t="s">
        <v>981</v>
      </c>
      <c r="AE84" s="4">
        <v>3.0</v>
      </c>
    </row>
    <row r="85">
      <c r="A85" s="43">
        <v>6004.0</v>
      </c>
      <c r="B85" s="43" t="s">
        <v>985</v>
      </c>
      <c r="C85" s="4" t="s">
        <v>979</v>
      </c>
      <c r="D85" s="63"/>
      <c r="E85" s="63"/>
      <c r="F85" s="63"/>
      <c r="G85" s="14"/>
      <c r="H85" s="14"/>
      <c r="I85" s="4">
        <v>0.2</v>
      </c>
      <c r="J85" s="14"/>
      <c r="K85" s="4">
        <v>0.15</v>
      </c>
      <c r="L85" s="14"/>
      <c r="M85" s="14"/>
      <c r="N85" s="14"/>
      <c r="O85" s="14"/>
      <c r="P85" s="14"/>
      <c r="Q85" s="14"/>
      <c r="R85" s="4"/>
      <c r="S85" s="4">
        <v>0.1</v>
      </c>
      <c r="T85" s="14"/>
      <c r="U85" s="4"/>
      <c r="V85" s="57"/>
      <c r="W85" s="43" t="b">
        <v>0</v>
      </c>
      <c r="X85" s="43">
        <v>1.0</v>
      </c>
      <c r="Y85" s="43">
        <v>9999.0</v>
      </c>
      <c r="Z85" s="43"/>
      <c r="AA85" s="43"/>
      <c r="AB85" s="43"/>
      <c r="AC85" s="43">
        <v>1.0</v>
      </c>
      <c r="AD85" s="43" t="s">
        <v>981</v>
      </c>
      <c r="AE85" s="4">
        <v>6.0</v>
      </c>
    </row>
    <row r="86">
      <c r="A86" s="43">
        <v>6005.0</v>
      </c>
      <c r="B86" s="43" t="s">
        <v>986</v>
      </c>
      <c r="C86" s="63" t="s">
        <v>987</v>
      </c>
      <c r="D86" s="63"/>
      <c r="E86" s="63"/>
      <c r="F86" s="63"/>
      <c r="G86" s="14"/>
      <c r="H86" s="14"/>
      <c r="I86" s="14"/>
      <c r="J86" s="14"/>
      <c r="K86" s="14"/>
      <c r="L86" s="4">
        <v>0.1</v>
      </c>
      <c r="M86" s="14"/>
      <c r="N86" s="14"/>
      <c r="O86" s="14"/>
      <c r="P86" s="14"/>
      <c r="Q86" s="14"/>
      <c r="R86" s="4"/>
      <c r="S86" s="14"/>
      <c r="T86" s="14"/>
      <c r="U86" s="4"/>
      <c r="V86" s="57"/>
      <c r="W86" s="43" t="b">
        <v>0</v>
      </c>
      <c r="X86" s="43">
        <v>1.0</v>
      </c>
      <c r="Y86" s="43">
        <v>9999.0</v>
      </c>
      <c r="Z86" s="43"/>
      <c r="AA86" s="43"/>
      <c r="AB86" s="43"/>
      <c r="AC86" s="43">
        <v>1.0</v>
      </c>
      <c r="AD86" s="43" t="s">
        <v>988</v>
      </c>
      <c r="AE86" s="4">
        <v>2.0</v>
      </c>
    </row>
    <row r="87">
      <c r="A87" s="43">
        <v>6005.0</v>
      </c>
      <c r="B87" s="43" t="s">
        <v>989</v>
      </c>
      <c r="C87" s="63" t="s">
        <v>987</v>
      </c>
      <c r="D87" s="63"/>
      <c r="E87" s="63"/>
      <c r="F87" s="63"/>
      <c r="G87" s="14"/>
      <c r="H87" s="14"/>
      <c r="I87" s="14"/>
      <c r="J87" s="14"/>
      <c r="K87" s="14"/>
      <c r="L87" s="4">
        <v>0.1</v>
      </c>
      <c r="M87" s="14"/>
      <c r="N87" s="14"/>
      <c r="O87" s="14"/>
      <c r="P87" s="14"/>
      <c r="Q87" s="14"/>
      <c r="R87" s="4"/>
      <c r="S87" s="4">
        <v>0.08</v>
      </c>
      <c r="T87" s="14"/>
      <c r="U87" s="4"/>
      <c r="V87" s="57"/>
      <c r="W87" s="43" t="b">
        <v>0</v>
      </c>
      <c r="X87" s="43">
        <v>1.0</v>
      </c>
      <c r="Y87" s="43">
        <v>9999.0</v>
      </c>
      <c r="Z87" s="43"/>
      <c r="AA87" s="43"/>
      <c r="AB87" s="43"/>
      <c r="AC87" s="43">
        <v>1.0</v>
      </c>
      <c r="AD87" s="43" t="s">
        <v>988</v>
      </c>
      <c r="AE87" s="4">
        <v>3.0</v>
      </c>
    </row>
    <row r="88">
      <c r="A88" s="43">
        <v>6005.0</v>
      </c>
      <c r="B88" s="43" t="s">
        <v>996</v>
      </c>
      <c r="C88" s="63" t="s">
        <v>987</v>
      </c>
      <c r="D88" s="63"/>
      <c r="E88" s="63"/>
      <c r="F88" s="63"/>
      <c r="G88" s="14"/>
      <c r="H88" s="14"/>
      <c r="I88" s="14"/>
      <c r="J88" s="14"/>
      <c r="K88" s="14"/>
      <c r="L88" s="4">
        <v>0.1</v>
      </c>
      <c r="M88" s="14"/>
      <c r="N88" s="14"/>
      <c r="O88" s="14"/>
      <c r="P88" s="14"/>
      <c r="Q88" s="4">
        <v>0.3</v>
      </c>
      <c r="R88" s="4"/>
      <c r="S88" s="4">
        <v>0.08</v>
      </c>
      <c r="T88" s="14"/>
      <c r="U88" s="4"/>
      <c r="V88" s="57"/>
      <c r="W88" s="43" t="b">
        <v>0</v>
      </c>
      <c r="X88" s="43">
        <v>1.0</v>
      </c>
      <c r="Y88" s="43">
        <v>9999.0</v>
      </c>
      <c r="Z88" s="43"/>
      <c r="AA88" s="43"/>
      <c r="AB88" s="43"/>
      <c r="AC88" s="43">
        <v>1.0</v>
      </c>
      <c r="AD88" s="43" t="s">
        <v>988</v>
      </c>
      <c r="AE88" s="4">
        <v>6.0</v>
      </c>
    </row>
    <row r="89">
      <c r="A89" s="43">
        <v>6006.0</v>
      </c>
      <c r="B89" s="43" t="s">
        <v>1013</v>
      </c>
      <c r="C89" s="63" t="s">
        <v>1016</v>
      </c>
      <c r="D89" s="63"/>
      <c r="E89" s="63"/>
      <c r="F89" s="63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4"/>
      <c r="S89" s="14"/>
      <c r="T89" s="14"/>
      <c r="U89" s="4"/>
      <c r="V89" s="43">
        <v>0.1</v>
      </c>
      <c r="W89" s="43" t="b">
        <v>0</v>
      </c>
      <c r="X89" s="43">
        <v>1.0</v>
      </c>
      <c r="Y89" s="43">
        <v>9999.0</v>
      </c>
      <c r="Z89" s="43"/>
      <c r="AA89" s="43"/>
      <c r="AB89" s="43"/>
      <c r="AC89" s="43">
        <v>1.0</v>
      </c>
      <c r="AD89" s="43" t="s">
        <v>1020</v>
      </c>
      <c r="AE89" s="4">
        <v>2.0</v>
      </c>
    </row>
    <row r="90">
      <c r="A90" s="43">
        <v>6006.0</v>
      </c>
      <c r="B90" s="43" t="s">
        <v>1022</v>
      </c>
      <c r="C90" s="63" t="s">
        <v>1016</v>
      </c>
      <c r="D90" s="63"/>
      <c r="E90" s="63"/>
      <c r="F90" s="63"/>
      <c r="G90" s="14"/>
      <c r="H90" s="14"/>
      <c r="I90" s="14"/>
      <c r="J90" s="14"/>
      <c r="K90" s="14"/>
      <c r="L90" s="14"/>
      <c r="M90" s="14"/>
      <c r="N90" s="4">
        <v>0.2</v>
      </c>
      <c r="O90" s="14"/>
      <c r="P90" s="14"/>
      <c r="Q90" s="14"/>
      <c r="R90" s="14"/>
      <c r="S90" s="14"/>
      <c r="T90" s="14"/>
      <c r="U90" s="4"/>
      <c r="V90" s="43">
        <v>0.1</v>
      </c>
      <c r="W90" s="43" t="b">
        <v>0</v>
      </c>
      <c r="X90" s="43">
        <v>1.0</v>
      </c>
      <c r="Y90" s="43">
        <v>9999.0</v>
      </c>
      <c r="Z90" s="43"/>
      <c r="AA90" s="43"/>
      <c r="AB90" s="43"/>
      <c r="AC90" s="43">
        <v>1.0</v>
      </c>
      <c r="AD90" s="43" t="s">
        <v>1020</v>
      </c>
      <c r="AE90" s="4">
        <v>3.0</v>
      </c>
    </row>
    <row r="91">
      <c r="A91" s="43">
        <v>6006.0</v>
      </c>
      <c r="B91" s="43" t="s">
        <v>1025</v>
      </c>
      <c r="C91" s="63" t="s">
        <v>1016</v>
      </c>
      <c r="D91" s="63"/>
      <c r="E91" s="63"/>
      <c r="F91" s="63"/>
      <c r="G91" s="14"/>
      <c r="H91" s="14"/>
      <c r="I91" s="14"/>
      <c r="J91" s="14"/>
      <c r="K91" s="14"/>
      <c r="L91" s="14"/>
      <c r="M91" s="14"/>
      <c r="N91" s="4">
        <v>0.2</v>
      </c>
      <c r="O91" s="14"/>
      <c r="P91" s="14"/>
      <c r="Q91" s="14"/>
      <c r="R91" s="4">
        <v>0.45</v>
      </c>
      <c r="S91" s="14"/>
      <c r="T91" s="14"/>
      <c r="U91" s="4"/>
      <c r="V91" s="43">
        <v>0.1</v>
      </c>
      <c r="W91" s="43" t="b">
        <v>0</v>
      </c>
      <c r="X91" s="43">
        <v>1.0</v>
      </c>
      <c r="Y91" s="43">
        <v>9999.0</v>
      </c>
      <c r="Z91" s="43"/>
      <c r="AA91" s="43"/>
      <c r="AB91" s="43"/>
      <c r="AC91" s="43">
        <v>1.0</v>
      </c>
      <c r="AD91" s="43" t="s">
        <v>1020</v>
      </c>
      <c r="AE91" s="4">
        <v>6.0</v>
      </c>
    </row>
    <row r="92">
      <c r="A92" s="43">
        <v>6007.0</v>
      </c>
      <c r="B92" s="43" t="s">
        <v>1028</v>
      </c>
      <c r="C92" s="4" t="s">
        <v>1029</v>
      </c>
      <c r="D92" s="43">
        <v>3018.0</v>
      </c>
      <c r="E92" s="63"/>
      <c r="F92" s="63"/>
      <c r="G92" s="14"/>
      <c r="H92" s="4">
        <v>0.8</v>
      </c>
      <c r="I92" s="4">
        <v>0.8</v>
      </c>
      <c r="J92" s="14"/>
      <c r="K92" s="14"/>
      <c r="L92" s="14"/>
      <c r="M92" s="14"/>
      <c r="N92" s="14"/>
      <c r="O92" s="14"/>
      <c r="P92" s="14"/>
      <c r="Q92" s="14"/>
      <c r="R92" s="4"/>
      <c r="S92" s="14"/>
      <c r="T92" s="14"/>
      <c r="U92" s="4"/>
      <c r="V92" s="57"/>
      <c r="W92" s="43" t="b">
        <v>0</v>
      </c>
      <c r="X92" s="43">
        <v>1.0</v>
      </c>
      <c r="Y92" s="43">
        <v>5.0</v>
      </c>
      <c r="Z92" s="43"/>
      <c r="AA92" s="43"/>
      <c r="AB92" s="43"/>
      <c r="AC92" s="43"/>
      <c r="AD92" s="43" t="s">
        <v>1032</v>
      </c>
      <c r="AE92" s="4">
        <v>6.0</v>
      </c>
    </row>
    <row r="93">
      <c r="A93" s="43">
        <v>6008.0</v>
      </c>
      <c r="B93" s="43" t="s">
        <v>1033</v>
      </c>
      <c r="C93" s="4" t="s">
        <v>1034</v>
      </c>
      <c r="D93" s="43">
        <v>3019.0</v>
      </c>
      <c r="E93" s="63"/>
      <c r="F93" s="63"/>
      <c r="G93" s="14"/>
      <c r="H93" s="14"/>
      <c r="I93" s="14"/>
      <c r="J93" s="14"/>
      <c r="K93" s="14"/>
      <c r="L93" s="4">
        <v>1.0</v>
      </c>
      <c r="M93" s="14"/>
      <c r="N93" s="14"/>
      <c r="O93" s="14"/>
      <c r="P93" s="14"/>
      <c r="Q93" s="14"/>
      <c r="R93" s="4"/>
      <c r="S93" s="14"/>
      <c r="T93" s="14"/>
      <c r="U93" s="4"/>
      <c r="V93" s="57"/>
      <c r="W93" s="43" t="b">
        <v>0</v>
      </c>
      <c r="X93" s="43">
        <v>1.0</v>
      </c>
      <c r="Y93" s="43">
        <v>3.0</v>
      </c>
      <c r="Z93" s="43"/>
      <c r="AA93" s="43"/>
      <c r="AB93" s="43"/>
      <c r="AC93" s="43"/>
      <c r="AD93" s="43" t="s">
        <v>1037</v>
      </c>
      <c r="AE93" s="4">
        <v>6.0</v>
      </c>
    </row>
    <row r="94">
      <c r="A94" s="43">
        <v>6009.0</v>
      </c>
      <c r="B94" s="43" t="s">
        <v>1039</v>
      </c>
      <c r="C94" s="63" t="s">
        <v>1041</v>
      </c>
      <c r="D94" s="63"/>
      <c r="E94" s="63"/>
      <c r="F94" s="63"/>
      <c r="G94" s="4">
        <v>2.0</v>
      </c>
      <c r="H94" s="4">
        <v>0.2</v>
      </c>
      <c r="I94" s="4">
        <v>0.2</v>
      </c>
      <c r="J94" s="14"/>
      <c r="K94" s="14"/>
      <c r="L94" s="14"/>
      <c r="M94" s="14"/>
      <c r="N94" s="14"/>
      <c r="O94" s="14"/>
      <c r="P94" s="14"/>
      <c r="Q94" s="14"/>
      <c r="R94" s="4"/>
      <c r="S94" s="14"/>
      <c r="T94" s="14"/>
      <c r="U94" s="4"/>
      <c r="V94" s="57"/>
      <c r="W94" s="43" t="b">
        <v>0</v>
      </c>
      <c r="X94" s="43">
        <v>1.0</v>
      </c>
      <c r="Y94" s="43">
        <v>9999.0</v>
      </c>
      <c r="Z94" s="43"/>
      <c r="AA94" s="43"/>
      <c r="AB94" s="43"/>
      <c r="AC94" s="43">
        <v>1.0</v>
      </c>
      <c r="AD94" s="43" t="s">
        <v>1043</v>
      </c>
      <c r="AE94" s="4">
        <v>3.0</v>
      </c>
    </row>
    <row r="95">
      <c r="A95" s="43">
        <v>6009.0</v>
      </c>
      <c r="B95" s="43" t="s">
        <v>1044</v>
      </c>
      <c r="C95" s="63" t="s">
        <v>1041</v>
      </c>
      <c r="D95" s="63"/>
      <c r="E95" s="63"/>
      <c r="F95" s="63"/>
      <c r="G95" s="4">
        <v>2.0</v>
      </c>
      <c r="H95" s="4">
        <v>0.2</v>
      </c>
      <c r="I95" s="4">
        <v>0.2</v>
      </c>
      <c r="J95" s="14"/>
      <c r="K95" s="14"/>
      <c r="L95" s="4">
        <v>0.05</v>
      </c>
      <c r="M95" s="14"/>
      <c r="N95" s="14"/>
      <c r="O95" s="4">
        <v>0.1</v>
      </c>
      <c r="P95" s="14"/>
      <c r="Q95" s="14"/>
      <c r="R95" s="4"/>
      <c r="S95" s="14"/>
      <c r="T95" s="14"/>
      <c r="U95" s="4"/>
      <c r="V95" s="57"/>
      <c r="W95" s="43" t="b">
        <v>0</v>
      </c>
      <c r="X95" s="43">
        <v>1.0</v>
      </c>
      <c r="Y95" s="43">
        <v>9999.0</v>
      </c>
      <c r="Z95" s="43"/>
      <c r="AA95" s="43"/>
      <c r="AB95" s="43"/>
      <c r="AC95" s="43">
        <v>1.0</v>
      </c>
      <c r="AD95" s="43" t="s">
        <v>1043</v>
      </c>
      <c r="AE95" s="4">
        <v>6.0</v>
      </c>
    </row>
    <row r="96">
      <c r="A96" s="43">
        <v>6010.0</v>
      </c>
      <c r="B96" s="43" t="s">
        <v>1051</v>
      </c>
      <c r="C96" s="63" t="s">
        <v>1052</v>
      </c>
      <c r="D96" s="63"/>
      <c r="E96" s="63"/>
      <c r="F96" s="63"/>
      <c r="G96" s="4">
        <v>1.0</v>
      </c>
      <c r="H96" s="4">
        <v>0.2</v>
      </c>
      <c r="I96" s="4">
        <v>0.2</v>
      </c>
      <c r="J96" s="14"/>
      <c r="K96" s="14"/>
      <c r="L96" s="14"/>
      <c r="M96" s="14"/>
      <c r="N96" s="14"/>
      <c r="O96" s="14"/>
      <c r="P96" s="14"/>
      <c r="Q96" s="14"/>
      <c r="R96" s="4"/>
      <c r="S96" s="14"/>
      <c r="T96" s="14"/>
      <c r="U96" s="4"/>
      <c r="V96" s="57"/>
      <c r="W96" s="43" t="b">
        <v>0</v>
      </c>
      <c r="X96" s="43">
        <v>1.0</v>
      </c>
      <c r="Y96" s="43">
        <v>9999.0</v>
      </c>
      <c r="Z96" s="43"/>
      <c r="AA96" s="43"/>
      <c r="AB96" s="43"/>
      <c r="AC96" s="43">
        <v>1.0</v>
      </c>
      <c r="AD96" s="43" t="s">
        <v>1057</v>
      </c>
      <c r="AE96" s="4">
        <v>3.0</v>
      </c>
    </row>
    <row r="97">
      <c r="A97" s="43">
        <v>6010.0</v>
      </c>
      <c r="B97" s="43" t="s">
        <v>1060</v>
      </c>
      <c r="C97" s="63" t="s">
        <v>1052</v>
      </c>
      <c r="D97" s="63"/>
      <c r="E97" s="63"/>
      <c r="F97" s="63"/>
      <c r="G97" s="4">
        <v>1.0</v>
      </c>
      <c r="H97" s="4">
        <v>0.2</v>
      </c>
      <c r="I97" s="4">
        <v>0.2</v>
      </c>
      <c r="J97" s="14"/>
      <c r="K97" s="14"/>
      <c r="L97" s="4">
        <v>0.05</v>
      </c>
      <c r="M97" s="14"/>
      <c r="N97" s="14"/>
      <c r="O97" s="4">
        <v>0.1</v>
      </c>
      <c r="P97" s="14"/>
      <c r="Q97" s="14"/>
      <c r="R97" s="4"/>
      <c r="S97" s="14"/>
      <c r="T97" s="14"/>
      <c r="U97" s="4"/>
      <c r="V97" s="57"/>
      <c r="W97" s="43" t="b">
        <v>0</v>
      </c>
      <c r="X97" s="43">
        <v>1.0</v>
      </c>
      <c r="Y97" s="43">
        <v>9999.0</v>
      </c>
      <c r="Z97" s="43"/>
      <c r="AA97" s="43"/>
      <c r="AB97" s="43"/>
      <c r="AC97" s="43">
        <v>1.0</v>
      </c>
      <c r="AD97" s="43" t="s">
        <v>1057</v>
      </c>
      <c r="AE97" s="4">
        <v>6.0</v>
      </c>
    </row>
    <row r="98">
      <c r="A98" s="43">
        <v>6011.0</v>
      </c>
      <c r="B98" s="43" t="s">
        <v>1069</v>
      </c>
      <c r="C98" s="63" t="s">
        <v>1070</v>
      </c>
      <c r="D98" s="63"/>
      <c r="E98" s="63"/>
      <c r="F98" s="63"/>
      <c r="G98" s="4">
        <v>3.0</v>
      </c>
      <c r="H98" s="4">
        <v>0.2</v>
      </c>
      <c r="I98" s="4">
        <v>0.2</v>
      </c>
      <c r="J98" s="14"/>
      <c r="K98" s="14"/>
      <c r="L98" s="14"/>
      <c r="M98" s="14"/>
      <c r="N98" s="14"/>
      <c r="O98" s="14"/>
      <c r="P98" s="14"/>
      <c r="Q98" s="14"/>
      <c r="R98" s="4"/>
      <c r="S98" s="14"/>
      <c r="T98" s="14"/>
      <c r="U98" s="4"/>
      <c r="V98" s="57"/>
      <c r="W98" s="43" t="b">
        <v>0</v>
      </c>
      <c r="X98" s="43">
        <v>1.0</v>
      </c>
      <c r="Y98" s="43">
        <v>9999.0</v>
      </c>
      <c r="Z98" s="43"/>
      <c r="AA98" s="43"/>
      <c r="AB98" s="43"/>
      <c r="AC98" s="43">
        <v>1.0</v>
      </c>
      <c r="AD98" s="43" t="s">
        <v>1071</v>
      </c>
      <c r="AE98" s="4">
        <v>3.0</v>
      </c>
    </row>
    <row r="99">
      <c r="A99" s="43">
        <v>6011.0</v>
      </c>
      <c r="B99" s="43" t="s">
        <v>1072</v>
      </c>
      <c r="C99" s="63" t="s">
        <v>1070</v>
      </c>
      <c r="D99" s="63"/>
      <c r="E99" s="63"/>
      <c r="F99" s="63"/>
      <c r="G99" s="4">
        <v>3.0</v>
      </c>
      <c r="H99" s="4">
        <v>0.2</v>
      </c>
      <c r="I99" s="4">
        <v>0.2</v>
      </c>
      <c r="J99" s="14"/>
      <c r="K99" s="14"/>
      <c r="L99" s="4">
        <v>0.05</v>
      </c>
      <c r="M99" s="14"/>
      <c r="N99" s="14"/>
      <c r="O99" s="4">
        <v>0.1</v>
      </c>
      <c r="P99" s="14"/>
      <c r="Q99" s="14"/>
      <c r="R99" s="4"/>
      <c r="S99" s="14"/>
      <c r="T99" s="14"/>
      <c r="U99" s="4"/>
      <c r="V99" s="57"/>
      <c r="W99" s="43" t="b">
        <v>0</v>
      </c>
      <c r="X99" s="43">
        <v>1.0</v>
      </c>
      <c r="Y99" s="43">
        <v>9999.0</v>
      </c>
      <c r="Z99" s="43"/>
      <c r="AA99" s="43"/>
      <c r="AB99" s="43"/>
      <c r="AC99" s="43">
        <v>1.0</v>
      </c>
      <c r="AD99" s="43" t="s">
        <v>1071</v>
      </c>
      <c r="AE99" s="4">
        <v>6.0</v>
      </c>
    </row>
    <row r="100">
      <c r="A100" s="50"/>
      <c r="D100" s="91"/>
      <c r="E100" s="91"/>
      <c r="F100" s="91"/>
      <c r="R100" s="2"/>
      <c r="U100" s="2"/>
      <c r="V100" s="51"/>
      <c r="W100" s="50"/>
      <c r="X100" s="50"/>
      <c r="Y100" s="50"/>
      <c r="Z100" s="50"/>
      <c r="AA100" s="50"/>
      <c r="AB100" s="50"/>
      <c r="AC100" s="50"/>
      <c r="AD100" s="91"/>
      <c r="AE100" s="2"/>
    </row>
    <row r="101">
      <c r="A101" s="50"/>
      <c r="D101" s="91"/>
      <c r="E101" s="91"/>
      <c r="F101" s="91"/>
      <c r="R101" s="2"/>
      <c r="U101" s="2"/>
      <c r="V101" s="51"/>
      <c r="W101" s="50"/>
      <c r="X101" s="50"/>
      <c r="Y101" s="50"/>
      <c r="Z101" s="50"/>
      <c r="AA101" s="50"/>
      <c r="AB101" s="50"/>
      <c r="AC101" s="50"/>
      <c r="AD101" s="91"/>
      <c r="AE101" s="2"/>
    </row>
    <row r="102">
      <c r="A102" s="50"/>
      <c r="D102" s="91"/>
      <c r="E102" s="91"/>
      <c r="F102" s="91"/>
      <c r="R102" s="2"/>
      <c r="U102" s="2"/>
      <c r="V102" s="51"/>
      <c r="W102" s="50"/>
      <c r="X102" s="50"/>
      <c r="Y102" s="50"/>
      <c r="Z102" s="50"/>
      <c r="AA102" s="50"/>
      <c r="AB102" s="50"/>
      <c r="AC102" s="50"/>
      <c r="AD102" s="91"/>
      <c r="AE102" s="2"/>
    </row>
    <row r="103">
      <c r="A103" s="50"/>
      <c r="D103" s="91"/>
      <c r="E103" s="91"/>
      <c r="F103" s="91"/>
      <c r="R103" s="2"/>
      <c r="U103" s="2"/>
      <c r="V103" s="51"/>
      <c r="W103" s="50"/>
      <c r="X103" s="50"/>
      <c r="Y103" s="50"/>
      <c r="Z103" s="50"/>
      <c r="AA103" s="50"/>
      <c r="AB103" s="50"/>
      <c r="AC103" s="50"/>
      <c r="AD103" s="91"/>
      <c r="AE103" s="2"/>
    </row>
    <row r="104">
      <c r="A104" s="50"/>
      <c r="D104" s="91"/>
      <c r="E104" s="91"/>
      <c r="F104" s="91"/>
      <c r="R104" s="2"/>
      <c r="U104" s="2"/>
      <c r="V104" s="51"/>
      <c r="W104" s="50"/>
      <c r="X104" s="50"/>
      <c r="Y104" s="50"/>
      <c r="Z104" s="50"/>
      <c r="AA104" s="50"/>
      <c r="AB104" s="50"/>
      <c r="AC104" s="50"/>
      <c r="AD104" s="91"/>
      <c r="AE104" s="2"/>
    </row>
    <row r="105">
      <c r="A105" s="50"/>
      <c r="D105" s="91"/>
      <c r="E105" s="91"/>
      <c r="F105" s="91"/>
      <c r="R105" s="2"/>
      <c r="U105" s="2"/>
      <c r="V105" s="51"/>
      <c r="W105" s="50"/>
      <c r="X105" s="50"/>
      <c r="Y105" s="50"/>
      <c r="Z105" s="50"/>
      <c r="AA105" s="50"/>
      <c r="AB105" s="50"/>
      <c r="AC105" s="50"/>
      <c r="AD105" s="91"/>
      <c r="AE105" s="2"/>
    </row>
    <row r="106">
      <c r="A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</row>
    <row r="107">
      <c r="A107" s="40" t="s">
        <v>288</v>
      </c>
      <c r="B107" s="40" t="s">
        <v>532</v>
      </c>
      <c r="C107" s="40" t="s">
        <v>534</v>
      </c>
      <c r="D107" s="40" t="s">
        <v>535</v>
      </c>
      <c r="E107" s="40" t="s">
        <v>537</v>
      </c>
      <c r="F107" s="40" t="s">
        <v>538</v>
      </c>
      <c r="G107" s="40" t="s">
        <v>540</v>
      </c>
      <c r="H107" s="40" t="s">
        <v>250</v>
      </c>
      <c r="I107" s="40" t="s">
        <v>252</v>
      </c>
      <c r="J107" s="40" t="s">
        <v>254</v>
      </c>
      <c r="K107" s="40" t="s">
        <v>256</v>
      </c>
      <c r="L107" s="40" t="s">
        <v>259</v>
      </c>
      <c r="M107" s="40" t="s">
        <v>73</v>
      </c>
      <c r="N107" s="40" t="s">
        <v>263</v>
      </c>
      <c r="O107" s="40" t="s">
        <v>265</v>
      </c>
      <c r="P107" s="40" t="s">
        <v>267</v>
      </c>
      <c r="Q107" s="40" t="s">
        <v>269</v>
      </c>
      <c r="R107" s="40" t="s">
        <v>270</v>
      </c>
      <c r="S107" s="40" t="s">
        <v>271</v>
      </c>
      <c r="T107" s="40" t="s">
        <v>272</v>
      </c>
      <c r="U107" s="40" t="s">
        <v>273</v>
      </c>
      <c r="V107" s="40" t="s">
        <v>274</v>
      </c>
      <c r="W107" s="40" t="s">
        <v>548</v>
      </c>
      <c r="X107" s="40" t="s">
        <v>549</v>
      </c>
      <c r="Y107" s="40" t="s">
        <v>550</v>
      </c>
      <c r="Z107" s="40"/>
      <c r="AA107" s="40"/>
      <c r="AB107" s="40"/>
      <c r="AC107" s="40" t="s">
        <v>558</v>
      </c>
      <c r="AD107" s="40" t="s">
        <v>559</v>
      </c>
      <c r="AE107" s="4" t="s">
        <v>560</v>
      </c>
    </row>
    <row r="108">
      <c r="A108" s="43">
        <v>7001.0</v>
      </c>
      <c r="B108" s="43" t="s">
        <v>1093</v>
      </c>
      <c r="C108" s="4" t="str">
        <f t="shared" ref="C108:C117" si="2">"戰鬥開始時裝備者的攻擊增加"&amp;H108*100&amp;"%"</f>
        <v>戰鬥開始時裝備者的攻擊增加2%</v>
      </c>
      <c r="D108" s="4"/>
      <c r="E108" s="4"/>
      <c r="F108" s="4"/>
      <c r="G108" s="4"/>
      <c r="H108" s="4">
        <v>0.02</v>
      </c>
      <c r="I108" s="14"/>
      <c r="J108" s="14"/>
      <c r="K108" s="14"/>
      <c r="L108" s="14"/>
      <c r="M108" s="14"/>
      <c r="N108" s="14"/>
      <c r="O108" s="14"/>
      <c r="P108" s="14"/>
      <c r="Q108" s="43"/>
      <c r="R108" s="43"/>
      <c r="S108" s="43"/>
      <c r="T108" s="43"/>
      <c r="U108" s="43"/>
      <c r="V108" s="43"/>
      <c r="W108" s="43" t="b">
        <v>0</v>
      </c>
      <c r="X108" s="43">
        <v>1.0</v>
      </c>
      <c r="Y108" s="43">
        <v>9999.0</v>
      </c>
      <c r="Z108" s="43"/>
      <c r="AA108" s="43"/>
      <c r="AB108" s="43"/>
      <c r="AC108" s="43">
        <v>1.0</v>
      </c>
      <c r="AD108" s="4"/>
      <c r="AE108" s="14"/>
    </row>
    <row r="109">
      <c r="A109" s="43">
        <v>7002.0</v>
      </c>
      <c r="B109" s="43" t="s">
        <v>1101</v>
      </c>
      <c r="C109" s="4" t="str">
        <f t="shared" si="2"/>
        <v>戰鬥開始時裝備者的攻擊增加3%</v>
      </c>
      <c r="D109" s="4"/>
      <c r="E109" s="4"/>
      <c r="F109" s="4"/>
      <c r="G109" s="4"/>
      <c r="H109" s="4">
        <f t="shared" ref="H109:H113" si="3">H108+0.01</f>
        <v>0.03</v>
      </c>
      <c r="I109" s="14"/>
      <c r="J109" s="14"/>
      <c r="K109" s="14"/>
      <c r="L109" s="14"/>
      <c r="M109" s="14"/>
      <c r="N109" s="14"/>
      <c r="O109" s="14"/>
      <c r="P109" s="14"/>
      <c r="Q109" s="43"/>
      <c r="R109" s="43"/>
      <c r="S109" s="43"/>
      <c r="T109" s="43"/>
      <c r="U109" s="43"/>
      <c r="V109" s="43"/>
      <c r="W109" s="43" t="b">
        <v>0</v>
      </c>
      <c r="X109" s="43">
        <v>1.0</v>
      </c>
      <c r="Y109" s="43">
        <v>9999.0</v>
      </c>
      <c r="Z109" s="43"/>
      <c r="AA109" s="43"/>
      <c r="AB109" s="43"/>
      <c r="AC109" s="43">
        <v>1.0</v>
      </c>
      <c r="AD109" s="4"/>
      <c r="AE109" s="14"/>
    </row>
    <row r="110">
      <c r="A110" s="43">
        <v>7003.0</v>
      </c>
      <c r="B110" s="43" t="s">
        <v>1107</v>
      </c>
      <c r="C110" s="4" t="str">
        <f t="shared" si="2"/>
        <v>戰鬥開始時裝備者的攻擊增加4%</v>
      </c>
      <c r="D110" s="4"/>
      <c r="E110" s="4"/>
      <c r="F110" s="4"/>
      <c r="G110" s="4"/>
      <c r="H110" s="4">
        <f t="shared" si="3"/>
        <v>0.04</v>
      </c>
      <c r="I110" s="14"/>
      <c r="J110" s="14"/>
      <c r="K110" s="14"/>
      <c r="L110" s="14"/>
      <c r="M110" s="14"/>
      <c r="N110" s="14"/>
      <c r="O110" s="14"/>
      <c r="P110" s="14"/>
      <c r="Q110" s="43"/>
      <c r="R110" s="43"/>
      <c r="S110" s="43"/>
      <c r="T110" s="43"/>
      <c r="U110" s="43"/>
      <c r="V110" s="43"/>
      <c r="W110" s="43" t="b">
        <v>0</v>
      </c>
      <c r="X110" s="43">
        <v>1.0</v>
      </c>
      <c r="Y110" s="43">
        <v>9999.0</v>
      </c>
      <c r="Z110" s="43"/>
      <c r="AA110" s="43"/>
      <c r="AB110" s="43"/>
      <c r="AC110" s="43">
        <v>1.0</v>
      </c>
      <c r="AD110" s="4"/>
      <c r="AE110" s="14"/>
    </row>
    <row r="111">
      <c r="A111" s="43">
        <v>7004.0</v>
      </c>
      <c r="B111" s="43" t="s">
        <v>1112</v>
      </c>
      <c r="C111" s="4" t="str">
        <f t="shared" si="2"/>
        <v>戰鬥開始時裝備者的攻擊增加5%</v>
      </c>
      <c r="D111" s="4"/>
      <c r="E111" s="4"/>
      <c r="F111" s="4"/>
      <c r="G111" s="4"/>
      <c r="H111" s="4">
        <f t="shared" si="3"/>
        <v>0.05</v>
      </c>
      <c r="I111" s="14"/>
      <c r="J111" s="14"/>
      <c r="K111" s="14"/>
      <c r="L111" s="14"/>
      <c r="M111" s="14"/>
      <c r="N111" s="14"/>
      <c r="O111" s="14"/>
      <c r="P111" s="14"/>
      <c r="Q111" s="43"/>
      <c r="R111" s="43"/>
      <c r="S111" s="43"/>
      <c r="T111" s="43"/>
      <c r="U111" s="43"/>
      <c r="V111" s="43"/>
      <c r="W111" s="43" t="b">
        <v>0</v>
      </c>
      <c r="X111" s="43">
        <v>1.0</v>
      </c>
      <c r="Y111" s="43">
        <v>9999.0</v>
      </c>
      <c r="Z111" s="43"/>
      <c r="AA111" s="43"/>
      <c r="AB111" s="43"/>
      <c r="AC111" s="43">
        <v>1.0</v>
      </c>
      <c r="AD111" s="4"/>
      <c r="AE111" s="14"/>
    </row>
    <row r="112">
      <c r="A112" s="43">
        <v>7005.0</v>
      </c>
      <c r="B112" s="43" t="s">
        <v>1116</v>
      </c>
      <c r="C112" s="4" t="str">
        <f t="shared" si="2"/>
        <v>戰鬥開始時裝備者的攻擊增加6%</v>
      </c>
      <c r="D112" s="4"/>
      <c r="E112" s="4"/>
      <c r="F112" s="4"/>
      <c r="G112" s="4"/>
      <c r="H112" s="4">
        <f t="shared" si="3"/>
        <v>0.06</v>
      </c>
      <c r="I112" s="14"/>
      <c r="J112" s="14"/>
      <c r="K112" s="14"/>
      <c r="L112" s="14"/>
      <c r="M112" s="14"/>
      <c r="N112" s="14"/>
      <c r="O112" s="14"/>
      <c r="P112" s="14"/>
      <c r="Q112" s="43"/>
      <c r="R112" s="43"/>
      <c r="S112" s="43"/>
      <c r="T112" s="43"/>
      <c r="U112" s="43"/>
      <c r="V112" s="43"/>
      <c r="W112" s="43" t="b">
        <v>0</v>
      </c>
      <c r="X112" s="43">
        <v>1.0</v>
      </c>
      <c r="Y112" s="43">
        <v>9999.0</v>
      </c>
      <c r="Z112" s="43"/>
      <c r="AA112" s="43"/>
      <c r="AB112" s="43"/>
      <c r="AC112" s="43">
        <v>1.0</v>
      </c>
      <c r="AD112" s="4"/>
      <c r="AE112" s="14"/>
    </row>
    <row r="113">
      <c r="A113" s="43">
        <v>7006.0</v>
      </c>
      <c r="B113" s="43" t="s">
        <v>1120</v>
      </c>
      <c r="C113" s="4" t="str">
        <f t="shared" si="2"/>
        <v>戰鬥開始時裝備者的攻擊增加7%</v>
      </c>
      <c r="D113" s="4"/>
      <c r="E113" s="4"/>
      <c r="F113" s="4"/>
      <c r="G113" s="4"/>
      <c r="H113" s="4">
        <f t="shared" si="3"/>
        <v>0.07</v>
      </c>
      <c r="I113" s="14"/>
      <c r="J113" s="14"/>
      <c r="K113" s="14"/>
      <c r="L113" s="14"/>
      <c r="M113" s="14"/>
      <c r="N113" s="14"/>
      <c r="O113" s="14"/>
      <c r="P113" s="14"/>
      <c r="Q113" s="43"/>
      <c r="R113" s="43"/>
      <c r="S113" s="43"/>
      <c r="T113" s="43"/>
      <c r="U113" s="43"/>
      <c r="V113" s="43"/>
      <c r="W113" s="43" t="b">
        <v>0</v>
      </c>
      <c r="X113" s="43">
        <v>1.0</v>
      </c>
      <c r="Y113" s="43">
        <v>9999.0</v>
      </c>
      <c r="Z113" s="43"/>
      <c r="AA113" s="43"/>
      <c r="AB113" s="43"/>
      <c r="AC113" s="43">
        <v>1.0</v>
      </c>
      <c r="AD113" s="4"/>
      <c r="AE113" s="14"/>
    </row>
    <row r="114">
      <c r="A114" s="43">
        <v>7007.0</v>
      </c>
      <c r="B114" s="43" t="s">
        <v>1124</v>
      </c>
      <c r="C114" s="4" t="str">
        <f t="shared" si="2"/>
        <v>戰鬥開始時裝備者的攻擊增加9.%</v>
      </c>
      <c r="D114" s="4"/>
      <c r="E114" s="4"/>
      <c r="F114" s="4"/>
      <c r="G114" s="4"/>
      <c r="H114" s="4">
        <f t="shared" ref="H114:H117" si="4">H113+0.02</f>
        <v>0.09</v>
      </c>
      <c r="I114" s="14"/>
      <c r="J114" s="14"/>
      <c r="K114" s="14"/>
      <c r="L114" s="14"/>
      <c r="M114" s="14"/>
      <c r="N114" s="14"/>
      <c r="O114" s="14"/>
      <c r="P114" s="14"/>
      <c r="Q114" s="43"/>
      <c r="R114" s="43"/>
      <c r="S114" s="43"/>
      <c r="T114" s="43"/>
      <c r="U114" s="43"/>
      <c r="V114" s="43"/>
      <c r="W114" s="43" t="b">
        <v>0</v>
      </c>
      <c r="X114" s="43">
        <v>1.0</v>
      </c>
      <c r="Y114" s="43">
        <v>9999.0</v>
      </c>
      <c r="Z114" s="43"/>
      <c r="AA114" s="43"/>
      <c r="AB114" s="43"/>
      <c r="AC114" s="43">
        <v>1.0</v>
      </c>
      <c r="AD114" s="4"/>
      <c r="AE114" s="14"/>
    </row>
    <row r="115">
      <c r="A115" s="43">
        <v>7008.0</v>
      </c>
      <c r="B115" s="43" t="s">
        <v>1129</v>
      </c>
      <c r="C115" s="4" t="str">
        <f t="shared" si="2"/>
        <v>戰鬥開始時裝備者的攻擊增加11.%</v>
      </c>
      <c r="D115" s="4"/>
      <c r="E115" s="4"/>
      <c r="F115" s="4"/>
      <c r="G115" s="4"/>
      <c r="H115" s="4">
        <f t="shared" si="4"/>
        <v>0.11</v>
      </c>
      <c r="I115" s="14"/>
      <c r="J115" s="14"/>
      <c r="K115" s="14"/>
      <c r="L115" s="14"/>
      <c r="M115" s="14"/>
      <c r="N115" s="14"/>
      <c r="O115" s="14"/>
      <c r="P115" s="14"/>
      <c r="Q115" s="43"/>
      <c r="R115" s="43"/>
      <c r="S115" s="43"/>
      <c r="T115" s="43"/>
      <c r="U115" s="43"/>
      <c r="V115" s="43"/>
      <c r="W115" s="43" t="b">
        <v>0</v>
      </c>
      <c r="X115" s="43">
        <v>1.0</v>
      </c>
      <c r="Y115" s="43">
        <v>9999.0</v>
      </c>
      <c r="Z115" s="43"/>
      <c r="AA115" s="43"/>
      <c r="AB115" s="43"/>
      <c r="AC115" s="43">
        <v>1.0</v>
      </c>
      <c r="AD115" s="4"/>
      <c r="AE115" s="14"/>
    </row>
    <row r="116">
      <c r="A116" s="43">
        <v>7009.0</v>
      </c>
      <c r="B116" s="43" t="s">
        <v>1133</v>
      </c>
      <c r="C116" s="4" t="str">
        <f t="shared" si="2"/>
        <v>戰鬥開始時裝備者的攻擊增加13%</v>
      </c>
      <c r="D116" s="4"/>
      <c r="E116" s="4"/>
      <c r="F116" s="4"/>
      <c r="G116" s="4"/>
      <c r="H116" s="4">
        <f t="shared" si="4"/>
        <v>0.13</v>
      </c>
      <c r="I116" s="14"/>
      <c r="J116" s="14"/>
      <c r="K116" s="14"/>
      <c r="L116" s="14"/>
      <c r="M116" s="14"/>
      <c r="N116" s="14"/>
      <c r="O116" s="14"/>
      <c r="P116" s="14"/>
      <c r="Q116" s="43"/>
      <c r="R116" s="43"/>
      <c r="S116" s="43"/>
      <c r="T116" s="43"/>
      <c r="U116" s="43"/>
      <c r="V116" s="43"/>
      <c r="W116" s="43" t="b">
        <v>0</v>
      </c>
      <c r="X116" s="43">
        <v>1.0</v>
      </c>
      <c r="Y116" s="43">
        <v>9999.0</v>
      </c>
      <c r="Z116" s="43"/>
      <c r="AA116" s="43"/>
      <c r="AB116" s="43"/>
      <c r="AC116" s="43">
        <v>1.0</v>
      </c>
      <c r="AD116" s="4"/>
      <c r="AE116" s="14"/>
    </row>
    <row r="117">
      <c r="A117" s="43">
        <v>7010.0</v>
      </c>
      <c r="B117" s="43" t="s">
        <v>1135</v>
      </c>
      <c r="C117" s="4" t="str">
        <f t="shared" si="2"/>
        <v>戰鬥開始時裝備者的攻擊增加15%</v>
      </c>
      <c r="D117" s="4"/>
      <c r="E117" s="4"/>
      <c r="F117" s="4"/>
      <c r="G117" s="4"/>
      <c r="H117" s="4">
        <f t="shared" si="4"/>
        <v>0.15</v>
      </c>
      <c r="I117" s="14"/>
      <c r="J117" s="14"/>
      <c r="K117" s="14"/>
      <c r="L117" s="14"/>
      <c r="M117" s="14"/>
      <c r="N117" s="14"/>
      <c r="O117" s="14"/>
      <c r="P117" s="14"/>
      <c r="Q117" s="43"/>
      <c r="R117" s="43"/>
      <c r="S117" s="43"/>
      <c r="T117" s="43"/>
      <c r="U117" s="43"/>
      <c r="V117" s="43"/>
      <c r="W117" s="43" t="b">
        <v>0</v>
      </c>
      <c r="X117" s="43">
        <v>1.0</v>
      </c>
      <c r="Y117" s="43">
        <v>9999.0</v>
      </c>
      <c r="Z117" s="43"/>
      <c r="AA117" s="43"/>
      <c r="AB117" s="43"/>
      <c r="AC117" s="43">
        <v>1.0</v>
      </c>
      <c r="AD117" s="4"/>
      <c r="AE117" s="14"/>
    </row>
    <row r="118">
      <c r="A118" s="43">
        <v>7011.0</v>
      </c>
      <c r="B118" s="43" t="s">
        <v>1140</v>
      </c>
      <c r="C118" s="4" t="str">
        <f t="shared" ref="C118:C127" si="5">"戰鬥開始時裝備者的魔攻增加"&amp;I118*100&amp;"%"</f>
        <v>戰鬥開始時裝備者的魔攻增加2%</v>
      </c>
      <c r="D118" s="14"/>
      <c r="E118" s="14"/>
      <c r="F118" s="14"/>
      <c r="G118" s="14"/>
      <c r="H118" s="14"/>
      <c r="I118" s="4">
        <v>0.02</v>
      </c>
      <c r="J118" s="14"/>
      <c r="K118" s="14"/>
      <c r="L118" s="14"/>
      <c r="M118" s="14"/>
      <c r="N118" s="14"/>
      <c r="O118" s="14"/>
      <c r="P118" s="14"/>
      <c r="Q118" s="43"/>
      <c r="R118" s="43"/>
      <c r="S118" s="43"/>
      <c r="T118" s="43"/>
      <c r="U118" s="43"/>
      <c r="V118" s="43"/>
      <c r="W118" s="43" t="b">
        <v>0</v>
      </c>
      <c r="X118" s="43">
        <v>1.0</v>
      </c>
      <c r="Y118" s="43">
        <v>9999.0</v>
      </c>
      <c r="Z118" s="43"/>
      <c r="AA118" s="43"/>
      <c r="AB118" s="43"/>
      <c r="AC118" s="43">
        <v>1.0</v>
      </c>
      <c r="AD118" s="14"/>
      <c r="AE118" s="14"/>
    </row>
    <row r="119">
      <c r="A119" s="43">
        <v>7012.0</v>
      </c>
      <c r="B119" s="43" t="s">
        <v>1146</v>
      </c>
      <c r="C119" s="4" t="str">
        <f t="shared" si="5"/>
        <v>戰鬥開始時裝備者的魔攻增加3%</v>
      </c>
      <c r="D119" s="14"/>
      <c r="E119" s="14"/>
      <c r="F119" s="14"/>
      <c r="G119" s="14"/>
      <c r="H119" s="14"/>
      <c r="I119" s="4">
        <f t="shared" ref="I119:I123" si="6">I118+0.01</f>
        <v>0.03</v>
      </c>
      <c r="J119" s="14"/>
      <c r="K119" s="14"/>
      <c r="L119" s="14"/>
      <c r="M119" s="14"/>
      <c r="N119" s="14"/>
      <c r="O119" s="14"/>
      <c r="P119" s="14"/>
      <c r="Q119" s="43"/>
      <c r="R119" s="43"/>
      <c r="S119" s="43"/>
      <c r="T119" s="43"/>
      <c r="U119" s="43"/>
      <c r="V119" s="43"/>
      <c r="W119" s="43" t="b">
        <v>0</v>
      </c>
      <c r="X119" s="43">
        <v>1.0</v>
      </c>
      <c r="Y119" s="43">
        <v>9999.0</v>
      </c>
      <c r="Z119" s="43"/>
      <c r="AA119" s="43"/>
      <c r="AB119" s="43"/>
      <c r="AC119" s="43">
        <v>1.0</v>
      </c>
      <c r="AD119" s="14"/>
      <c r="AE119" s="14"/>
    </row>
    <row r="120">
      <c r="A120" s="43">
        <v>7013.0</v>
      </c>
      <c r="B120" s="43" t="s">
        <v>1151</v>
      </c>
      <c r="C120" s="4" t="str">
        <f t="shared" si="5"/>
        <v>戰鬥開始時裝備者的魔攻增加4%</v>
      </c>
      <c r="D120" s="14"/>
      <c r="E120" s="14"/>
      <c r="F120" s="14"/>
      <c r="G120" s="14"/>
      <c r="H120" s="14"/>
      <c r="I120" s="4">
        <f t="shared" si="6"/>
        <v>0.04</v>
      </c>
      <c r="J120" s="14"/>
      <c r="K120" s="14"/>
      <c r="L120" s="14"/>
      <c r="M120" s="14"/>
      <c r="N120" s="14"/>
      <c r="O120" s="14"/>
      <c r="P120" s="14"/>
      <c r="Q120" s="43"/>
      <c r="R120" s="43"/>
      <c r="S120" s="43"/>
      <c r="T120" s="43"/>
      <c r="U120" s="43"/>
      <c r="V120" s="43"/>
      <c r="W120" s="43" t="b">
        <v>0</v>
      </c>
      <c r="X120" s="43">
        <v>1.0</v>
      </c>
      <c r="Y120" s="43">
        <v>9999.0</v>
      </c>
      <c r="Z120" s="43"/>
      <c r="AA120" s="43"/>
      <c r="AB120" s="43"/>
      <c r="AC120" s="43">
        <v>1.0</v>
      </c>
      <c r="AD120" s="14"/>
      <c r="AE120" s="14"/>
    </row>
    <row r="121">
      <c r="A121" s="43">
        <v>7014.0</v>
      </c>
      <c r="B121" s="43" t="s">
        <v>1154</v>
      </c>
      <c r="C121" s="4" t="str">
        <f t="shared" si="5"/>
        <v>戰鬥開始時裝備者的魔攻增加5%</v>
      </c>
      <c r="D121" s="14"/>
      <c r="E121" s="14"/>
      <c r="F121" s="14"/>
      <c r="G121" s="14"/>
      <c r="H121" s="14"/>
      <c r="I121" s="4">
        <f t="shared" si="6"/>
        <v>0.05</v>
      </c>
      <c r="J121" s="14"/>
      <c r="K121" s="14"/>
      <c r="L121" s="14"/>
      <c r="M121" s="14"/>
      <c r="N121" s="14"/>
      <c r="O121" s="14"/>
      <c r="P121" s="14"/>
      <c r="Q121" s="43"/>
      <c r="R121" s="43"/>
      <c r="S121" s="43"/>
      <c r="T121" s="43"/>
      <c r="U121" s="43"/>
      <c r="V121" s="43"/>
      <c r="W121" s="43" t="b">
        <v>0</v>
      </c>
      <c r="X121" s="43">
        <v>1.0</v>
      </c>
      <c r="Y121" s="43">
        <v>9999.0</v>
      </c>
      <c r="Z121" s="43"/>
      <c r="AA121" s="43"/>
      <c r="AB121" s="43"/>
      <c r="AC121" s="43">
        <v>1.0</v>
      </c>
      <c r="AD121" s="14"/>
      <c r="AE121" s="14"/>
    </row>
    <row r="122">
      <c r="A122" s="43">
        <v>7015.0</v>
      </c>
      <c r="B122" s="43" t="s">
        <v>1158</v>
      </c>
      <c r="C122" s="4" t="str">
        <f t="shared" si="5"/>
        <v>戰鬥開始時裝備者的魔攻增加6%</v>
      </c>
      <c r="D122" s="14"/>
      <c r="E122" s="14"/>
      <c r="F122" s="14"/>
      <c r="G122" s="14"/>
      <c r="H122" s="14"/>
      <c r="I122" s="4">
        <f t="shared" si="6"/>
        <v>0.06</v>
      </c>
      <c r="J122" s="14"/>
      <c r="K122" s="14"/>
      <c r="L122" s="14"/>
      <c r="M122" s="14"/>
      <c r="N122" s="14"/>
      <c r="O122" s="14"/>
      <c r="P122" s="14"/>
      <c r="Q122" s="43"/>
      <c r="R122" s="43"/>
      <c r="S122" s="43"/>
      <c r="T122" s="43"/>
      <c r="U122" s="43"/>
      <c r="V122" s="43"/>
      <c r="W122" s="43" t="b">
        <v>0</v>
      </c>
      <c r="X122" s="43">
        <v>1.0</v>
      </c>
      <c r="Y122" s="43">
        <v>9999.0</v>
      </c>
      <c r="Z122" s="43"/>
      <c r="AA122" s="43"/>
      <c r="AB122" s="43"/>
      <c r="AC122" s="43">
        <v>1.0</v>
      </c>
      <c r="AD122" s="14"/>
      <c r="AE122" s="14"/>
    </row>
    <row r="123">
      <c r="A123" s="43">
        <v>7016.0</v>
      </c>
      <c r="B123" s="43" t="s">
        <v>1159</v>
      </c>
      <c r="C123" s="4" t="str">
        <f t="shared" si="5"/>
        <v>戰鬥開始時裝備者的魔攻增加7%</v>
      </c>
      <c r="D123" s="14"/>
      <c r="E123" s="14"/>
      <c r="F123" s="14"/>
      <c r="G123" s="14"/>
      <c r="H123" s="14"/>
      <c r="I123" s="4">
        <f t="shared" si="6"/>
        <v>0.07</v>
      </c>
      <c r="J123" s="14"/>
      <c r="K123" s="14"/>
      <c r="L123" s="14"/>
      <c r="M123" s="14"/>
      <c r="N123" s="14"/>
      <c r="O123" s="14"/>
      <c r="P123" s="14"/>
      <c r="Q123" s="43"/>
      <c r="R123" s="43"/>
      <c r="S123" s="43"/>
      <c r="T123" s="43"/>
      <c r="U123" s="43"/>
      <c r="V123" s="43"/>
      <c r="W123" s="43" t="b">
        <v>0</v>
      </c>
      <c r="X123" s="43">
        <v>1.0</v>
      </c>
      <c r="Y123" s="43">
        <v>9999.0</v>
      </c>
      <c r="Z123" s="43"/>
      <c r="AA123" s="43"/>
      <c r="AB123" s="43"/>
      <c r="AC123" s="43">
        <v>1.0</v>
      </c>
      <c r="AD123" s="14"/>
      <c r="AE123" s="14"/>
    </row>
    <row r="124">
      <c r="A124" s="43">
        <v>7017.0</v>
      </c>
      <c r="B124" s="43" t="s">
        <v>1164</v>
      </c>
      <c r="C124" s="4" t="str">
        <f t="shared" si="5"/>
        <v>戰鬥開始時裝備者的魔攻增加9.%</v>
      </c>
      <c r="D124" s="14"/>
      <c r="E124" s="14"/>
      <c r="F124" s="14"/>
      <c r="G124" s="14"/>
      <c r="H124" s="14"/>
      <c r="I124" s="4">
        <f t="shared" ref="I124:I127" si="7">I123+0.02</f>
        <v>0.09</v>
      </c>
      <c r="J124" s="14"/>
      <c r="K124" s="14"/>
      <c r="L124" s="14"/>
      <c r="M124" s="14"/>
      <c r="N124" s="14"/>
      <c r="O124" s="14"/>
      <c r="P124" s="14"/>
      <c r="Q124" s="43"/>
      <c r="R124" s="43"/>
      <c r="S124" s="43"/>
      <c r="T124" s="43"/>
      <c r="U124" s="43"/>
      <c r="V124" s="43"/>
      <c r="W124" s="43" t="b">
        <v>0</v>
      </c>
      <c r="X124" s="43">
        <v>1.0</v>
      </c>
      <c r="Y124" s="43">
        <v>9999.0</v>
      </c>
      <c r="Z124" s="43"/>
      <c r="AA124" s="43"/>
      <c r="AB124" s="43"/>
      <c r="AC124" s="43">
        <v>1.0</v>
      </c>
      <c r="AD124" s="14"/>
      <c r="AE124" s="14"/>
    </row>
    <row r="125">
      <c r="A125" s="43">
        <v>7018.0</v>
      </c>
      <c r="B125" s="43" t="s">
        <v>1168</v>
      </c>
      <c r="C125" s="4" t="str">
        <f t="shared" si="5"/>
        <v>戰鬥開始時裝備者的魔攻增加11.%</v>
      </c>
      <c r="D125" s="14"/>
      <c r="E125" s="14"/>
      <c r="F125" s="14"/>
      <c r="G125" s="14"/>
      <c r="H125" s="14"/>
      <c r="I125" s="4">
        <f t="shared" si="7"/>
        <v>0.11</v>
      </c>
      <c r="J125" s="14"/>
      <c r="K125" s="14"/>
      <c r="L125" s="14"/>
      <c r="M125" s="14"/>
      <c r="N125" s="14"/>
      <c r="O125" s="14"/>
      <c r="P125" s="14"/>
      <c r="Q125" s="43"/>
      <c r="R125" s="43"/>
      <c r="S125" s="43"/>
      <c r="T125" s="43"/>
      <c r="U125" s="43"/>
      <c r="V125" s="43"/>
      <c r="W125" s="43" t="b">
        <v>0</v>
      </c>
      <c r="X125" s="43">
        <v>1.0</v>
      </c>
      <c r="Y125" s="43">
        <v>9999.0</v>
      </c>
      <c r="Z125" s="43"/>
      <c r="AA125" s="43"/>
      <c r="AB125" s="43"/>
      <c r="AC125" s="43">
        <v>1.0</v>
      </c>
      <c r="AD125" s="14"/>
      <c r="AE125" s="14"/>
    </row>
    <row r="126">
      <c r="A126" s="43">
        <v>7019.0</v>
      </c>
      <c r="B126" s="43" t="s">
        <v>1170</v>
      </c>
      <c r="C126" s="4" t="str">
        <f t="shared" si="5"/>
        <v>戰鬥開始時裝備者的魔攻增加13%</v>
      </c>
      <c r="D126" s="14"/>
      <c r="E126" s="14"/>
      <c r="F126" s="14"/>
      <c r="G126" s="14"/>
      <c r="H126" s="14"/>
      <c r="I126" s="4">
        <f t="shared" si="7"/>
        <v>0.13</v>
      </c>
      <c r="J126" s="14"/>
      <c r="K126" s="14"/>
      <c r="L126" s="14"/>
      <c r="M126" s="14"/>
      <c r="N126" s="14"/>
      <c r="O126" s="14"/>
      <c r="P126" s="14"/>
      <c r="Q126" s="43"/>
      <c r="R126" s="43"/>
      <c r="S126" s="43"/>
      <c r="T126" s="43"/>
      <c r="U126" s="43"/>
      <c r="V126" s="43"/>
      <c r="W126" s="43" t="b">
        <v>0</v>
      </c>
      <c r="X126" s="43">
        <v>1.0</v>
      </c>
      <c r="Y126" s="43">
        <v>9999.0</v>
      </c>
      <c r="Z126" s="43"/>
      <c r="AA126" s="43"/>
      <c r="AB126" s="43"/>
      <c r="AC126" s="43">
        <v>1.0</v>
      </c>
      <c r="AD126" s="14"/>
      <c r="AE126" s="14"/>
    </row>
    <row r="127">
      <c r="A127" s="43">
        <v>7020.0</v>
      </c>
      <c r="B127" s="43" t="s">
        <v>1173</v>
      </c>
      <c r="C127" s="4" t="str">
        <f t="shared" si="5"/>
        <v>戰鬥開始時裝備者的魔攻增加15%</v>
      </c>
      <c r="D127" s="14"/>
      <c r="E127" s="14"/>
      <c r="F127" s="14"/>
      <c r="G127" s="14"/>
      <c r="H127" s="14"/>
      <c r="I127" s="4">
        <f t="shared" si="7"/>
        <v>0.15</v>
      </c>
      <c r="J127" s="14"/>
      <c r="K127" s="14"/>
      <c r="L127" s="14"/>
      <c r="M127" s="14"/>
      <c r="N127" s="14"/>
      <c r="O127" s="14"/>
      <c r="P127" s="14"/>
      <c r="Q127" s="43"/>
      <c r="R127" s="43"/>
      <c r="S127" s="43"/>
      <c r="T127" s="43"/>
      <c r="U127" s="43"/>
      <c r="V127" s="43"/>
      <c r="W127" s="43" t="b">
        <v>0</v>
      </c>
      <c r="X127" s="43">
        <v>1.0</v>
      </c>
      <c r="Y127" s="43">
        <v>9999.0</v>
      </c>
      <c r="Z127" s="43"/>
      <c r="AA127" s="43"/>
      <c r="AB127" s="43"/>
      <c r="AC127" s="43">
        <v>1.0</v>
      </c>
      <c r="AD127" s="14"/>
      <c r="AE127" s="14"/>
    </row>
    <row r="128">
      <c r="A128" s="43">
        <v>7021.0</v>
      </c>
      <c r="B128" s="43" t="s">
        <v>1174</v>
      </c>
      <c r="C128" s="4" t="str">
        <f t="shared" ref="C128:C137" si="8">"戰鬥開始時裝備者的魔防增加"&amp;K128*100&amp;"%"</f>
        <v>戰鬥開始時裝備者的魔防增加2%</v>
      </c>
      <c r="D128" s="14"/>
      <c r="E128" s="14"/>
      <c r="F128" s="14"/>
      <c r="G128" s="14"/>
      <c r="H128" s="14"/>
      <c r="I128" s="14"/>
      <c r="J128" s="4"/>
      <c r="K128" s="4">
        <v>0.02</v>
      </c>
      <c r="L128" s="14"/>
      <c r="M128" s="14"/>
      <c r="N128" s="14"/>
      <c r="O128" s="14"/>
      <c r="P128" s="14"/>
      <c r="Q128" s="43"/>
      <c r="R128" s="43"/>
      <c r="S128" s="43"/>
      <c r="T128" s="43"/>
      <c r="U128" s="43"/>
      <c r="V128" s="43"/>
      <c r="W128" s="43" t="b">
        <v>0</v>
      </c>
      <c r="X128" s="43">
        <v>1.0</v>
      </c>
      <c r="Y128" s="43">
        <v>9999.0</v>
      </c>
      <c r="Z128" s="43"/>
      <c r="AA128" s="43"/>
      <c r="AB128" s="43"/>
      <c r="AC128" s="43">
        <v>1.0</v>
      </c>
      <c r="AD128" s="14"/>
      <c r="AE128" s="14"/>
    </row>
    <row r="129">
      <c r="A129" s="43">
        <v>7022.0</v>
      </c>
      <c r="B129" s="43" t="s">
        <v>1178</v>
      </c>
      <c r="C129" s="4" t="str">
        <f t="shared" si="8"/>
        <v>戰鬥開始時裝備者的魔防增加3%</v>
      </c>
      <c r="D129" s="14"/>
      <c r="E129" s="14"/>
      <c r="F129" s="14"/>
      <c r="G129" s="14"/>
      <c r="H129" s="14"/>
      <c r="I129" s="14"/>
      <c r="J129" s="4"/>
      <c r="K129" s="4">
        <f t="shared" ref="K129:K133" si="9">K128+0.01</f>
        <v>0.03</v>
      </c>
      <c r="L129" s="14"/>
      <c r="M129" s="14"/>
      <c r="N129" s="14"/>
      <c r="O129" s="14"/>
      <c r="P129" s="14"/>
      <c r="Q129" s="43"/>
      <c r="R129" s="43"/>
      <c r="S129" s="43"/>
      <c r="T129" s="43"/>
      <c r="U129" s="43"/>
      <c r="V129" s="43"/>
      <c r="W129" s="43" t="b">
        <v>0</v>
      </c>
      <c r="X129" s="43">
        <v>1.0</v>
      </c>
      <c r="Y129" s="43">
        <v>9999.0</v>
      </c>
      <c r="Z129" s="43"/>
      <c r="AA129" s="43"/>
      <c r="AB129" s="43"/>
      <c r="AC129" s="43">
        <v>1.0</v>
      </c>
      <c r="AD129" s="14"/>
      <c r="AE129" s="14"/>
    </row>
    <row r="130">
      <c r="A130" s="43">
        <v>7023.0</v>
      </c>
      <c r="B130" s="43" t="s">
        <v>1184</v>
      </c>
      <c r="C130" s="4" t="str">
        <f t="shared" si="8"/>
        <v>戰鬥開始時裝備者的魔防增加4%</v>
      </c>
      <c r="D130" s="14"/>
      <c r="E130" s="14"/>
      <c r="F130" s="14"/>
      <c r="G130" s="14"/>
      <c r="H130" s="14"/>
      <c r="I130" s="14"/>
      <c r="J130" s="4"/>
      <c r="K130" s="4">
        <f t="shared" si="9"/>
        <v>0.04</v>
      </c>
      <c r="L130" s="14"/>
      <c r="M130" s="14"/>
      <c r="N130" s="14"/>
      <c r="O130" s="14"/>
      <c r="P130" s="14"/>
      <c r="Q130" s="43"/>
      <c r="R130" s="43"/>
      <c r="S130" s="43"/>
      <c r="T130" s="43"/>
      <c r="U130" s="43"/>
      <c r="V130" s="43"/>
      <c r="W130" s="43" t="b">
        <v>0</v>
      </c>
      <c r="X130" s="43">
        <v>1.0</v>
      </c>
      <c r="Y130" s="43">
        <v>9999.0</v>
      </c>
      <c r="Z130" s="43"/>
      <c r="AA130" s="43"/>
      <c r="AB130" s="43"/>
      <c r="AC130" s="43">
        <v>1.0</v>
      </c>
      <c r="AD130" s="14"/>
      <c r="AE130" s="14"/>
    </row>
    <row r="131">
      <c r="A131" s="43">
        <v>7024.0</v>
      </c>
      <c r="B131" s="43" t="s">
        <v>1186</v>
      </c>
      <c r="C131" s="4" t="str">
        <f t="shared" si="8"/>
        <v>戰鬥開始時裝備者的魔防增加5%</v>
      </c>
      <c r="D131" s="14"/>
      <c r="E131" s="14"/>
      <c r="F131" s="14"/>
      <c r="G131" s="14"/>
      <c r="H131" s="14"/>
      <c r="I131" s="14"/>
      <c r="J131" s="4"/>
      <c r="K131" s="4">
        <f t="shared" si="9"/>
        <v>0.05</v>
      </c>
      <c r="L131" s="14"/>
      <c r="M131" s="14"/>
      <c r="N131" s="14"/>
      <c r="O131" s="14"/>
      <c r="P131" s="14"/>
      <c r="Q131" s="43"/>
      <c r="R131" s="43"/>
      <c r="S131" s="43"/>
      <c r="T131" s="43"/>
      <c r="U131" s="43"/>
      <c r="V131" s="43"/>
      <c r="W131" s="43" t="b">
        <v>0</v>
      </c>
      <c r="X131" s="43">
        <v>1.0</v>
      </c>
      <c r="Y131" s="43">
        <v>9999.0</v>
      </c>
      <c r="Z131" s="43"/>
      <c r="AA131" s="43"/>
      <c r="AB131" s="43"/>
      <c r="AC131" s="43">
        <v>1.0</v>
      </c>
      <c r="AD131" s="14"/>
      <c r="AE131" s="14"/>
    </row>
    <row r="132">
      <c r="A132" s="43">
        <v>7025.0</v>
      </c>
      <c r="B132" s="43" t="s">
        <v>1189</v>
      </c>
      <c r="C132" s="4" t="str">
        <f t="shared" si="8"/>
        <v>戰鬥開始時裝備者的魔防增加6%</v>
      </c>
      <c r="D132" s="14"/>
      <c r="E132" s="14"/>
      <c r="F132" s="14"/>
      <c r="G132" s="14"/>
      <c r="H132" s="14"/>
      <c r="I132" s="14"/>
      <c r="J132" s="4"/>
      <c r="K132" s="4">
        <f t="shared" si="9"/>
        <v>0.06</v>
      </c>
      <c r="L132" s="14"/>
      <c r="M132" s="14"/>
      <c r="N132" s="14"/>
      <c r="O132" s="14"/>
      <c r="P132" s="14"/>
      <c r="Q132" s="43"/>
      <c r="R132" s="43"/>
      <c r="S132" s="43"/>
      <c r="T132" s="43"/>
      <c r="U132" s="43"/>
      <c r="V132" s="43"/>
      <c r="W132" s="43" t="b">
        <v>0</v>
      </c>
      <c r="X132" s="43">
        <v>1.0</v>
      </c>
      <c r="Y132" s="43">
        <v>9999.0</v>
      </c>
      <c r="Z132" s="43"/>
      <c r="AA132" s="43"/>
      <c r="AB132" s="43"/>
      <c r="AC132" s="43">
        <v>1.0</v>
      </c>
      <c r="AD132" s="14"/>
      <c r="AE132" s="14"/>
    </row>
    <row r="133">
      <c r="A133" s="43">
        <v>7026.0</v>
      </c>
      <c r="B133" s="43" t="s">
        <v>1192</v>
      </c>
      <c r="C133" s="4" t="str">
        <f t="shared" si="8"/>
        <v>戰鬥開始時裝備者的魔防增加7%</v>
      </c>
      <c r="D133" s="14"/>
      <c r="E133" s="14"/>
      <c r="F133" s="14"/>
      <c r="G133" s="14"/>
      <c r="H133" s="14"/>
      <c r="I133" s="14"/>
      <c r="J133" s="4"/>
      <c r="K133" s="4">
        <f t="shared" si="9"/>
        <v>0.07</v>
      </c>
      <c r="L133" s="14"/>
      <c r="M133" s="14"/>
      <c r="N133" s="14"/>
      <c r="O133" s="14"/>
      <c r="P133" s="14"/>
      <c r="Q133" s="43"/>
      <c r="R133" s="43"/>
      <c r="S133" s="43"/>
      <c r="T133" s="43"/>
      <c r="U133" s="43"/>
      <c r="V133" s="43"/>
      <c r="W133" s="43" t="b">
        <v>0</v>
      </c>
      <c r="X133" s="43">
        <v>1.0</v>
      </c>
      <c r="Y133" s="43">
        <v>9999.0</v>
      </c>
      <c r="Z133" s="43"/>
      <c r="AA133" s="43"/>
      <c r="AB133" s="43"/>
      <c r="AC133" s="43">
        <v>1.0</v>
      </c>
      <c r="AD133" s="14"/>
      <c r="AE133" s="14"/>
    </row>
    <row r="134">
      <c r="A134" s="43">
        <v>7027.0</v>
      </c>
      <c r="B134" s="43" t="s">
        <v>1193</v>
      </c>
      <c r="C134" s="4" t="str">
        <f t="shared" si="8"/>
        <v>戰鬥開始時裝備者的魔防增加9.%</v>
      </c>
      <c r="D134" s="14"/>
      <c r="E134" s="14"/>
      <c r="F134" s="14"/>
      <c r="G134" s="14"/>
      <c r="H134" s="14"/>
      <c r="I134" s="14"/>
      <c r="J134" s="4"/>
      <c r="K134" s="4">
        <f t="shared" ref="K134:K137" si="10">K133+0.02</f>
        <v>0.09</v>
      </c>
      <c r="L134" s="14"/>
      <c r="M134" s="14"/>
      <c r="N134" s="14"/>
      <c r="O134" s="14"/>
      <c r="P134" s="14"/>
      <c r="Q134" s="43"/>
      <c r="R134" s="43"/>
      <c r="S134" s="43"/>
      <c r="T134" s="43"/>
      <c r="U134" s="43"/>
      <c r="V134" s="43"/>
      <c r="W134" s="43" t="b">
        <v>0</v>
      </c>
      <c r="X134" s="43">
        <v>1.0</v>
      </c>
      <c r="Y134" s="43">
        <v>9999.0</v>
      </c>
      <c r="Z134" s="43"/>
      <c r="AA134" s="43"/>
      <c r="AB134" s="43"/>
      <c r="AC134" s="43">
        <v>1.0</v>
      </c>
      <c r="AD134" s="14"/>
      <c r="AE134" s="14"/>
    </row>
    <row r="135">
      <c r="A135" s="43">
        <v>7028.0</v>
      </c>
      <c r="B135" s="43" t="s">
        <v>1198</v>
      </c>
      <c r="C135" s="4" t="str">
        <f t="shared" si="8"/>
        <v>戰鬥開始時裝備者的魔防增加11.%</v>
      </c>
      <c r="D135" s="14"/>
      <c r="E135" s="14"/>
      <c r="F135" s="14"/>
      <c r="G135" s="14"/>
      <c r="H135" s="14"/>
      <c r="I135" s="14"/>
      <c r="J135" s="4"/>
      <c r="K135" s="4">
        <f t="shared" si="10"/>
        <v>0.11</v>
      </c>
      <c r="L135" s="14"/>
      <c r="M135" s="14"/>
      <c r="N135" s="14"/>
      <c r="O135" s="14"/>
      <c r="P135" s="14"/>
      <c r="Q135" s="43"/>
      <c r="R135" s="43"/>
      <c r="S135" s="43"/>
      <c r="T135" s="43"/>
      <c r="U135" s="43"/>
      <c r="V135" s="43"/>
      <c r="W135" s="43" t="b">
        <v>0</v>
      </c>
      <c r="X135" s="43">
        <v>1.0</v>
      </c>
      <c r="Y135" s="43">
        <v>9999.0</v>
      </c>
      <c r="Z135" s="43"/>
      <c r="AA135" s="43"/>
      <c r="AB135" s="43"/>
      <c r="AC135" s="43">
        <v>1.0</v>
      </c>
      <c r="AD135" s="14"/>
      <c r="AE135" s="14"/>
    </row>
    <row r="136">
      <c r="A136" s="43">
        <v>7029.0</v>
      </c>
      <c r="B136" s="43" t="s">
        <v>1201</v>
      </c>
      <c r="C136" s="4" t="str">
        <f t="shared" si="8"/>
        <v>戰鬥開始時裝備者的魔防增加13%</v>
      </c>
      <c r="D136" s="14"/>
      <c r="E136" s="14"/>
      <c r="F136" s="14"/>
      <c r="G136" s="14"/>
      <c r="H136" s="14"/>
      <c r="I136" s="14"/>
      <c r="J136" s="4"/>
      <c r="K136" s="4">
        <f t="shared" si="10"/>
        <v>0.13</v>
      </c>
      <c r="L136" s="14"/>
      <c r="M136" s="14"/>
      <c r="N136" s="14"/>
      <c r="O136" s="14"/>
      <c r="P136" s="14"/>
      <c r="Q136" s="43"/>
      <c r="R136" s="43"/>
      <c r="S136" s="43"/>
      <c r="T136" s="43"/>
      <c r="U136" s="43"/>
      <c r="V136" s="43"/>
      <c r="W136" s="43" t="b">
        <v>0</v>
      </c>
      <c r="X136" s="43">
        <v>1.0</v>
      </c>
      <c r="Y136" s="43">
        <v>9999.0</v>
      </c>
      <c r="Z136" s="43"/>
      <c r="AA136" s="43"/>
      <c r="AB136" s="43"/>
      <c r="AC136" s="43">
        <v>1.0</v>
      </c>
      <c r="AD136" s="14"/>
      <c r="AE136" s="14"/>
    </row>
    <row r="137">
      <c r="A137" s="43">
        <v>7030.0</v>
      </c>
      <c r="B137" s="43" t="s">
        <v>1203</v>
      </c>
      <c r="C137" s="4" t="str">
        <f t="shared" si="8"/>
        <v>戰鬥開始時裝備者的魔防增加15%</v>
      </c>
      <c r="D137" s="14"/>
      <c r="E137" s="14"/>
      <c r="F137" s="14"/>
      <c r="G137" s="14"/>
      <c r="H137" s="14"/>
      <c r="I137" s="14"/>
      <c r="J137" s="4"/>
      <c r="K137" s="4">
        <f t="shared" si="10"/>
        <v>0.15</v>
      </c>
      <c r="L137" s="14"/>
      <c r="M137" s="14"/>
      <c r="N137" s="14"/>
      <c r="O137" s="14"/>
      <c r="P137" s="14"/>
      <c r="Q137" s="43"/>
      <c r="R137" s="43"/>
      <c r="S137" s="43"/>
      <c r="T137" s="43"/>
      <c r="U137" s="43"/>
      <c r="V137" s="43"/>
      <c r="W137" s="43" t="b">
        <v>0</v>
      </c>
      <c r="X137" s="43">
        <v>1.0</v>
      </c>
      <c r="Y137" s="43">
        <v>9999.0</v>
      </c>
      <c r="Z137" s="43"/>
      <c r="AA137" s="43"/>
      <c r="AB137" s="43"/>
      <c r="AC137" s="43">
        <v>1.0</v>
      </c>
      <c r="AD137" s="14"/>
      <c r="AE137" s="14"/>
    </row>
    <row r="138">
      <c r="A138" s="43">
        <v>7031.0</v>
      </c>
      <c r="B138" s="43" t="s">
        <v>1204</v>
      </c>
      <c r="C138" s="4" t="str">
        <f t="shared" ref="C138:C147" si="11">"戰鬥開始時裝備者的物防增加"&amp;J138*100&amp;"%"</f>
        <v>戰鬥開始時裝備者的物防增加2%</v>
      </c>
      <c r="D138" s="14"/>
      <c r="E138" s="14"/>
      <c r="F138" s="14"/>
      <c r="G138" s="14"/>
      <c r="H138" s="14"/>
      <c r="I138" s="14"/>
      <c r="J138" s="4">
        <v>0.02</v>
      </c>
      <c r="K138" s="4"/>
      <c r="L138" s="14"/>
      <c r="M138" s="14"/>
      <c r="N138" s="14"/>
      <c r="O138" s="14"/>
      <c r="P138" s="14"/>
      <c r="Q138" s="43"/>
      <c r="R138" s="43"/>
      <c r="S138" s="43"/>
      <c r="T138" s="43"/>
      <c r="U138" s="43"/>
      <c r="V138" s="43"/>
      <c r="W138" s="43" t="b">
        <v>0</v>
      </c>
      <c r="X138" s="43">
        <v>1.0</v>
      </c>
      <c r="Y138" s="43">
        <v>9999.0</v>
      </c>
      <c r="Z138" s="43"/>
      <c r="AA138" s="43"/>
      <c r="AB138" s="43"/>
      <c r="AC138" s="43">
        <v>1.0</v>
      </c>
      <c r="AD138" s="14"/>
      <c r="AE138" s="14"/>
    </row>
    <row r="139">
      <c r="A139" s="43">
        <v>7032.0</v>
      </c>
      <c r="B139" s="43" t="s">
        <v>1207</v>
      </c>
      <c r="C139" s="4" t="str">
        <f t="shared" si="11"/>
        <v>戰鬥開始時裝備者的物防增加3%</v>
      </c>
      <c r="D139" s="14"/>
      <c r="E139" s="14"/>
      <c r="F139" s="14"/>
      <c r="G139" s="14"/>
      <c r="H139" s="14"/>
      <c r="I139" s="14"/>
      <c r="J139" s="4">
        <f t="shared" ref="J139:J143" si="12">J138+0.01</f>
        <v>0.03</v>
      </c>
      <c r="K139" s="4"/>
      <c r="L139" s="14"/>
      <c r="M139" s="14"/>
      <c r="N139" s="14"/>
      <c r="O139" s="14"/>
      <c r="P139" s="14"/>
      <c r="Q139" s="43"/>
      <c r="R139" s="43"/>
      <c r="S139" s="43"/>
      <c r="T139" s="43"/>
      <c r="U139" s="43"/>
      <c r="V139" s="43"/>
      <c r="W139" s="43" t="b">
        <v>0</v>
      </c>
      <c r="X139" s="43">
        <v>1.0</v>
      </c>
      <c r="Y139" s="43">
        <v>9999.0</v>
      </c>
      <c r="Z139" s="43"/>
      <c r="AA139" s="43"/>
      <c r="AB139" s="43"/>
      <c r="AC139" s="43">
        <v>1.0</v>
      </c>
      <c r="AD139" s="14"/>
      <c r="AE139" s="14"/>
    </row>
    <row r="140">
      <c r="A140" s="43">
        <v>7033.0</v>
      </c>
      <c r="B140" s="43" t="s">
        <v>1211</v>
      </c>
      <c r="C140" s="4" t="str">
        <f t="shared" si="11"/>
        <v>戰鬥開始時裝備者的物防增加4%</v>
      </c>
      <c r="D140" s="14"/>
      <c r="E140" s="14"/>
      <c r="F140" s="14"/>
      <c r="G140" s="14"/>
      <c r="H140" s="14"/>
      <c r="I140" s="14"/>
      <c r="J140" s="4">
        <f t="shared" si="12"/>
        <v>0.04</v>
      </c>
      <c r="K140" s="4"/>
      <c r="L140" s="14"/>
      <c r="M140" s="14"/>
      <c r="N140" s="14"/>
      <c r="O140" s="14"/>
      <c r="P140" s="14"/>
      <c r="Q140" s="43"/>
      <c r="R140" s="43"/>
      <c r="S140" s="43"/>
      <c r="T140" s="43"/>
      <c r="U140" s="43"/>
      <c r="V140" s="43"/>
      <c r="W140" s="43" t="b">
        <v>0</v>
      </c>
      <c r="X140" s="43">
        <v>1.0</v>
      </c>
      <c r="Y140" s="43">
        <v>9999.0</v>
      </c>
      <c r="Z140" s="43"/>
      <c r="AA140" s="43"/>
      <c r="AB140" s="43"/>
      <c r="AC140" s="43">
        <v>1.0</v>
      </c>
      <c r="AD140" s="14"/>
      <c r="AE140" s="14"/>
    </row>
    <row r="141">
      <c r="A141" s="43">
        <v>7034.0</v>
      </c>
      <c r="B141" s="43" t="s">
        <v>1212</v>
      </c>
      <c r="C141" s="4" t="str">
        <f t="shared" si="11"/>
        <v>戰鬥開始時裝備者的物防增加5%</v>
      </c>
      <c r="D141" s="14"/>
      <c r="E141" s="14"/>
      <c r="F141" s="14"/>
      <c r="G141" s="14"/>
      <c r="H141" s="14"/>
      <c r="I141" s="14"/>
      <c r="J141" s="4">
        <f t="shared" si="12"/>
        <v>0.05</v>
      </c>
      <c r="K141" s="4"/>
      <c r="L141" s="14"/>
      <c r="M141" s="14"/>
      <c r="N141" s="14"/>
      <c r="O141" s="14"/>
      <c r="P141" s="14"/>
      <c r="Q141" s="43"/>
      <c r="R141" s="43"/>
      <c r="S141" s="43"/>
      <c r="T141" s="43"/>
      <c r="U141" s="43"/>
      <c r="V141" s="43"/>
      <c r="W141" s="43" t="b">
        <v>0</v>
      </c>
      <c r="X141" s="43">
        <v>1.0</v>
      </c>
      <c r="Y141" s="43">
        <v>9999.0</v>
      </c>
      <c r="Z141" s="43"/>
      <c r="AA141" s="43"/>
      <c r="AB141" s="43"/>
      <c r="AC141" s="43">
        <v>1.0</v>
      </c>
      <c r="AD141" s="14"/>
      <c r="AE141" s="14"/>
    </row>
    <row r="142">
      <c r="A142" s="43">
        <v>7035.0</v>
      </c>
      <c r="B142" s="43" t="s">
        <v>1214</v>
      </c>
      <c r="C142" s="4" t="str">
        <f t="shared" si="11"/>
        <v>戰鬥開始時裝備者的物防增加6%</v>
      </c>
      <c r="D142" s="14"/>
      <c r="E142" s="14"/>
      <c r="F142" s="14"/>
      <c r="G142" s="14"/>
      <c r="H142" s="14"/>
      <c r="I142" s="14"/>
      <c r="J142" s="4">
        <f t="shared" si="12"/>
        <v>0.06</v>
      </c>
      <c r="K142" s="4"/>
      <c r="L142" s="14"/>
      <c r="M142" s="14"/>
      <c r="N142" s="14"/>
      <c r="O142" s="14"/>
      <c r="P142" s="14"/>
      <c r="Q142" s="43"/>
      <c r="R142" s="43"/>
      <c r="S142" s="43"/>
      <c r="T142" s="43"/>
      <c r="U142" s="43"/>
      <c r="V142" s="43"/>
      <c r="W142" s="43" t="b">
        <v>0</v>
      </c>
      <c r="X142" s="43">
        <v>1.0</v>
      </c>
      <c r="Y142" s="43">
        <v>9999.0</v>
      </c>
      <c r="Z142" s="43"/>
      <c r="AA142" s="43"/>
      <c r="AB142" s="43"/>
      <c r="AC142" s="43">
        <v>1.0</v>
      </c>
      <c r="AD142" s="14"/>
      <c r="AE142" s="14"/>
    </row>
    <row r="143">
      <c r="A143" s="43">
        <v>7036.0</v>
      </c>
      <c r="B143" s="43" t="s">
        <v>1217</v>
      </c>
      <c r="C143" s="4" t="str">
        <f t="shared" si="11"/>
        <v>戰鬥開始時裝備者的物防增加7%</v>
      </c>
      <c r="D143" s="14"/>
      <c r="E143" s="14"/>
      <c r="F143" s="14"/>
      <c r="G143" s="14"/>
      <c r="H143" s="14"/>
      <c r="I143" s="14"/>
      <c r="J143" s="4">
        <f t="shared" si="12"/>
        <v>0.07</v>
      </c>
      <c r="K143" s="4"/>
      <c r="L143" s="14"/>
      <c r="M143" s="14"/>
      <c r="N143" s="14"/>
      <c r="O143" s="14"/>
      <c r="P143" s="14"/>
      <c r="Q143" s="43"/>
      <c r="R143" s="43"/>
      <c r="S143" s="43"/>
      <c r="T143" s="43"/>
      <c r="U143" s="43"/>
      <c r="V143" s="43"/>
      <c r="W143" s="43" t="b">
        <v>0</v>
      </c>
      <c r="X143" s="43">
        <v>1.0</v>
      </c>
      <c r="Y143" s="43">
        <v>9999.0</v>
      </c>
      <c r="Z143" s="43"/>
      <c r="AA143" s="43"/>
      <c r="AB143" s="43"/>
      <c r="AC143" s="43">
        <v>1.0</v>
      </c>
      <c r="AD143" s="14"/>
      <c r="AE143" s="14"/>
    </row>
    <row r="144">
      <c r="A144" s="43">
        <v>7037.0</v>
      </c>
      <c r="B144" s="43" t="s">
        <v>1220</v>
      </c>
      <c r="C144" s="4" t="str">
        <f t="shared" si="11"/>
        <v>戰鬥開始時裝備者的物防增加9.%</v>
      </c>
      <c r="D144" s="14"/>
      <c r="E144" s="14"/>
      <c r="F144" s="14"/>
      <c r="G144" s="14"/>
      <c r="H144" s="14"/>
      <c r="I144" s="14"/>
      <c r="J144" s="4">
        <f t="shared" ref="J144:J147" si="13">J143+0.02</f>
        <v>0.09</v>
      </c>
      <c r="K144" s="4"/>
      <c r="L144" s="14"/>
      <c r="M144" s="14"/>
      <c r="N144" s="14"/>
      <c r="O144" s="14"/>
      <c r="P144" s="14"/>
      <c r="Q144" s="43"/>
      <c r="R144" s="43"/>
      <c r="S144" s="43"/>
      <c r="T144" s="43"/>
      <c r="U144" s="43"/>
      <c r="V144" s="43"/>
      <c r="W144" s="43" t="b">
        <v>0</v>
      </c>
      <c r="X144" s="43">
        <v>1.0</v>
      </c>
      <c r="Y144" s="43">
        <v>9999.0</v>
      </c>
      <c r="Z144" s="43"/>
      <c r="AA144" s="43"/>
      <c r="AB144" s="43"/>
      <c r="AC144" s="43">
        <v>1.0</v>
      </c>
      <c r="AD144" s="14"/>
      <c r="AE144" s="14"/>
    </row>
    <row r="145">
      <c r="A145" s="43">
        <v>7038.0</v>
      </c>
      <c r="B145" s="43" t="s">
        <v>1222</v>
      </c>
      <c r="C145" s="4" t="str">
        <f t="shared" si="11"/>
        <v>戰鬥開始時裝備者的物防增加11.%</v>
      </c>
      <c r="D145" s="14"/>
      <c r="E145" s="14"/>
      <c r="F145" s="14"/>
      <c r="G145" s="14"/>
      <c r="H145" s="14"/>
      <c r="I145" s="14"/>
      <c r="J145" s="4">
        <f t="shared" si="13"/>
        <v>0.11</v>
      </c>
      <c r="K145" s="4"/>
      <c r="L145" s="14"/>
      <c r="M145" s="14"/>
      <c r="N145" s="14"/>
      <c r="O145" s="14"/>
      <c r="P145" s="14"/>
      <c r="Q145" s="43"/>
      <c r="R145" s="43"/>
      <c r="S145" s="43"/>
      <c r="T145" s="43"/>
      <c r="U145" s="43"/>
      <c r="V145" s="43"/>
      <c r="W145" s="43" t="b">
        <v>0</v>
      </c>
      <c r="X145" s="43">
        <v>1.0</v>
      </c>
      <c r="Y145" s="43">
        <v>9999.0</v>
      </c>
      <c r="Z145" s="43"/>
      <c r="AA145" s="43"/>
      <c r="AB145" s="43"/>
      <c r="AC145" s="43">
        <v>1.0</v>
      </c>
      <c r="AD145" s="14"/>
      <c r="AE145" s="14"/>
    </row>
    <row r="146">
      <c r="A146" s="43">
        <v>7039.0</v>
      </c>
      <c r="B146" s="43" t="s">
        <v>1223</v>
      </c>
      <c r="C146" s="4" t="str">
        <f t="shared" si="11"/>
        <v>戰鬥開始時裝備者的物防增加13%</v>
      </c>
      <c r="D146" s="14"/>
      <c r="E146" s="14"/>
      <c r="F146" s="14"/>
      <c r="G146" s="14"/>
      <c r="H146" s="14"/>
      <c r="I146" s="14"/>
      <c r="J146" s="4">
        <f t="shared" si="13"/>
        <v>0.13</v>
      </c>
      <c r="K146" s="4"/>
      <c r="L146" s="14"/>
      <c r="M146" s="14"/>
      <c r="N146" s="14"/>
      <c r="O146" s="14"/>
      <c r="P146" s="14"/>
      <c r="Q146" s="43"/>
      <c r="R146" s="43"/>
      <c r="S146" s="43"/>
      <c r="T146" s="43"/>
      <c r="U146" s="43"/>
      <c r="V146" s="43"/>
      <c r="W146" s="43" t="b">
        <v>0</v>
      </c>
      <c r="X146" s="43">
        <v>1.0</v>
      </c>
      <c r="Y146" s="43">
        <v>9999.0</v>
      </c>
      <c r="Z146" s="43"/>
      <c r="AA146" s="43"/>
      <c r="AB146" s="43"/>
      <c r="AC146" s="43">
        <v>1.0</v>
      </c>
      <c r="AD146" s="14"/>
      <c r="AE146" s="14"/>
    </row>
    <row r="147">
      <c r="A147" s="43">
        <v>7040.0</v>
      </c>
      <c r="B147" s="43" t="s">
        <v>1225</v>
      </c>
      <c r="C147" s="4" t="str">
        <f t="shared" si="11"/>
        <v>戰鬥開始時裝備者的物防增加15%</v>
      </c>
      <c r="D147" s="14"/>
      <c r="E147" s="14"/>
      <c r="F147" s="14"/>
      <c r="G147" s="14"/>
      <c r="H147" s="14"/>
      <c r="I147" s="14"/>
      <c r="J147" s="4">
        <f t="shared" si="13"/>
        <v>0.15</v>
      </c>
      <c r="K147" s="4"/>
      <c r="L147" s="14"/>
      <c r="M147" s="14"/>
      <c r="N147" s="14"/>
      <c r="O147" s="14"/>
      <c r="P147" s="14"/>
      <c r="Q147" s="43"/>
      <c r="R147" s="43"/>
      <c r="S147" s="43"/>
      <c r="T147" s="43"/>
      <c r="U147" s="43"/>
      <c r="V147" s="43"/>
      <c r="W147" s="43" t="b">
        <v>0</v>
      </c>
      <c r="X147" s="43">
        <v>1.0</v>
      </c>
      <c r="Y147" s="43">
        <v>9999.0</v>
      </c>
      <c r="Z147" s="43"/>
      <c r="AA147" s="43"/>
      <c r="AB147" s="43"/>
      <c r="AC147" s="43">
        <v>1.0</v>
      </c>
      <c r="AD147" s="14"/>
      <c r="AE147" s="14"/>
    </row>
    <row r="148">
      <c r="A148" s="43">
        <v>7041.0</v>
      </c>
      <c r="B148" s="43" t="s">
        <v>1228</v>
      </c>
      <c r="C148" s="4" t="str">
        <f t="shared" ref="C148:C157" si="14">"戰鬥開始時裝備者的技能傷害增加"&amp;S148*100&amp;"%"</f>
        <v>戰鬥開始時裝備者的技能傷害增加5%</v>
      </c>
      <c r="D148" s="14"/>
      <c r="E148" s="14"/>
      <c r="F148" s="14"/>
      <c r="G148" s="14"/>
      <c r="H148" s="14"/>
      <c r="I148" s="14"/>
      <c r="J148" s="4"/>
      <c r="K148" s="4"/>
      <c r="L148" s="14"/>
      <c r="M148" s="14"/>
      <c r="N148" s="14"/>
      <c r="O148" s="14"/>
      <c r="P148" s="14"/>
      <c r="Q148" s="43"/>
      <c r="R148" s="43"/>
      <c r="S148" s="4">
        <v>0.05</v>
      </c>
      <c r="T148" s="43"/>
      <c r="U148" s="43"/>
      <c r="V148" s="43"/>
      <c r="W148" s="43" t="b">
        <v>0</v>
      </c>
      <c r="X148" s="43">
        <v>1.0</v>
      </c>
      <c r="Y148" s="43">
        <v>9999.0</v>
      </c>
      <c r="Z148" s="43"/>
      <c r="AA148" s="43"/>
      <c r="AB148" s="43"/>
      <c r="AC148" s="43">
        <v>1.0</v>
      </c>
      <c r="AD148" s="14"/>
      <c r="AE148" s="14"/>
    </row>
    <row r="149">
      <c r="A149" s="43">
        <v>7042.0</v>
      </c>
      <c r="B149" s="43" t="s">
        <v>1232</v>
      </c>
      <c r="C149" s="4" t="str">
        <f t="shared" si="14"/>
        <v>戰鬥開始時裝備者的技能傷害增加7.5%</v>
      </c>
      <c r="D149" s="14"/>
      <c r="E149" s="14"/>
      <c r="F149" s="14"/>
      <c r="G149" s="14"/>
      <c r="H149" s="14"/>
      <c r="I149" s="14"/>
      <c r="J149" s="4"/>
      <c r="K149" s="4"/>
      <c r="L149" s="14"/>
      <c r="M149" s="14"/>
      <c r="N149" s="14"/>
      <c r="O149" s="14"/>
      <c r="P149" s="14"/>
      <c r="Q149" s="43"/>
      <c r="R149" s="43"/>
      <c r="S149" s="4">
        <f t="shared" ref="S149:S151" si="15">S148+0.025</f>
        <v>0.075</v>
      </c>
      <c r="T149" s="43"/>
      <c r="U149" s="43"/>
      <c r="V149" s="43"/>
      <c r="W149" s="43" t="b">
        <v>0</v>
      </c>
      <c r="X149" s="43">
        <v>1.0</v>
      </c>
      <c r="Y149" s="43">
        <v>9999.0</v>
      </c>
      <c r="Z149" s="43"/>
      <c r="AA149" s="43"/>
      <c r="AB149" s="43"/>
      <c r="AC149" s="43">
        <v>1.0</v>
      </c>
      <c r="AD149" s="14"/>
      <c r="AE149" s="14"/>
    </row>
    <row r="150">
      <c r="A150" s="43">
        <v>7043.0</v>
      </c>
      <c r="B150" s="43" t="s">
        <v>1233</v>
      </c>
      <c r="C150" s="4" t="str">
        <f t="shared" si="14"/>
        <v>戰鬥開始時裝備者的技能傷害增加10%</v>
      </c>
      <c r="D150" s="14"/>
      <c r="E150" s="14"/>
      <c r="F150" s="14"/>
      <c r="G150" s="14"/>
      <c r="H150" s="14"/>
      <c r="I150" s="14"/>
      <c r="J150" s="4"/>
      <c r="K150" s="4"/>
      <c r="L150" s="14"/>
      <c r="M150" s="14"/>
      <c r="N150" s="14"/>
      <c r="O150" s="14"/>
      <c r="P150" s="14"/>
      <c r="Q150" s="43"/>
      <c r="R150" s="43"/>
      <c r="S150" s="4">
        <f t="shared" si="15"/>
        <v>0.1</v>
      </c>
      <c r="T150" s="43"/>
      <c r="U150" s="43"/>
      <c r="V150" s="43"/>
      <c r="W150" s="43" t="b">
        <v>0</v>
      </c>
      <c r="X150" s="43">
        <v>1.0</v>
      </c>
      <c r="Y150" s="43">
        <v>9999.0</v>
      </c>
      <c r="Z150" s="43"/>
      <c r="AA150" s="43"/>
      <c r="AB150" s="43"/>
      <c r="AC150" s="43">
        <v>1.0</v>
      </c>
      <c r="AD150" s="14"/>
      <c r="AE150" s="14"/>
    </row>
    <row r="151">
      <c r="A151" s="43">
        <v>7044.0</v>
      </c>
      <c r="B151" s="43" t="s">
        <v>1237</v>
      </c>
      <c r="C151" s="4" t="str">
        <f t="shared" si="14"/>
        <v>戰鬥開始時裝備者的技能傷害增加12.5%</v>
      </c>
      <c r="D151" s="14"/>
      <c r="E151" s="14"/>
      <c r="F151" s="14"/>
      <c r="G151" s="14"/>
      <c r="H151" s="14"/>
      <c r="I151" s="14"/>
      <c r="J151" s="4"/>
      <c r="K151" s="4"/>
      <c r="L151" s="14"/>
      <c r="M151" s="14"/>
      <c r="N151" s="14"/>
      <c r="O151" s="14"/>
      <c r="P151" s="14"/>
      <c r="Q151" s="43"/>
      <c r="R151" s="43"/>
      <c r="S151" s="4">
        <f t="shared" si="15"/>
        <v>0.125</v>
      </c>
      <c r="T151" s="43"/>
      <c r="U151" s="43"/>
      <c r="V151" s="43"/>
      <c r="W151" s="43" t="b">
        <v>0</v>
      </c>
      <c r="X151" s="43">
        <v>1.0</v>
      </c>
      <c r="Y151" s="43">
        <v>9999.0</v>
      </c>
      <c r="Z151" s="43"/>
      <c r="AA151" s="43"/>
      <c r="AB151" s="43"/>
      <c r="AC151" s="43">
        <v>1.0</v>
      </c>
      <c r="AD151" s="14"/>
      <c r="AE151" s="14"/>
    </row>
    <row r="152">
      <c r="A152" s="43">
        <v>7045.0</v>
      </c>
      <c r="B152" s="43" t="s">
        <v>1239</v>
      </c>
      <c r="C152" s="4" t="str">
        <f t="shared" si="14"/>
        <v>戰鬥開始時裝備者的技能傷害增加17.5%</v>
      </c>
      <c r="D152" s="14"/>
      <c r="E152" s="14"/>
      <c r="F152" s="14"/>
      <c r="G152" s="14"/>
      <c r="H152" s="14"/>
      <c r="I152" s="14"/>
      <c r="J152" s="4"/>
      <c r="K152" s="4"/>
      <c r="L152" s="14"/>
      <c r="M152" s="14"/>
      <c r="N152" s="14"/>
      <c r="O152" s="14"/>
      <c r="P152" s="14"/>
      <c r="Q152" s="43"/>
      <c r="R152" s="43"/>
      <c r="S152" s="4">
        <f t="shared" ref="S152:S154" si="16">S151+0.05</f>
        <v>0.175</v>
      </c>
      <c r="T152" s="43"/>
      <c r="U152" s="43"/>
      <c r="V152" s="43"/>
      <c r="W152" s="43" t="b">
        <v>0</v>
      </c>
      <c r="X152" s="43">
        <v>1.0</v>
      </c>
      <c r="Y152" s="43">
        <v>9999.0</v>
      </c>
      <c r="Z152" s="43"/>
      <c r="AA152" s="43"/>
      <c r="AB152" s="43"/>
      <c r="AC152" s="43">
        <v>1.0</v>
      </c>
      <c r="AD152" s="14"/>
      <c r="AE152" s="14"/>
    </row>
    <row r="153">
      <c r="A153" s="43">
        <v>7046.0</v>
      </c>
      <c r="B153" s="43" t="s">
        <v>1243</v>
      </c>
      <c r="C153" s="4" t="str">
        <f t="shared" si="14"/>
        <v>戰鬥開始時裝備者的技能傷害增加22.5%</v>
      </c>
      <c r="D153" s="14"/>
      <c r="E153" s="14"/>
      <c r="F153" s="14"/>
      <c r="G153" s="14"/>
      <c r="H153" s="14"/>
      <c r="I153" s="14"/>
      <c r="J153" s="4"/>
      <c r="K153" s="4"/>
      <c r="L153" s="14"/>
      <c r="M153" s="14"/>
      <c r="N153" s="14"/>
      <c r="O153" s="14"/>
      <c r="P153" s="14"/>
      <c r="Q153" s="43"/>
      <c r="R153" s="43"/>
      <c r="S153" s="4">
        <f t="shared" si="16"/>
        <v>0.225</v>
      </c>
      <c r="T153" s="43"/>
      <c r="U153" s="43"/>
      <c r="V153" s="43"/>
      <c r="W153" s="43" t="b">
        <v>0</v>
      </c>
      <c r="X153" s="43">
        <v>1.0</v>
      </c>
      <c r="Y153" s="43">
        <v>9999.0</v>
      </c>
      <c r="Z153" s="43"/>
      <c r="AA153" s="43"/>
      <c r="AB153" s="43"/>
      <c r="AC153" s="43">
        <v>1.0</v>
      </c>
      <c r="AD153" s="14"/>
      <c r="AE153" s="14"/>
    </row>
    <row r="154">
      <c r="A154" s="43">
        <v>7047.0</v>
      </c>
      <c r="B154" s="43" t="s">
        <v>1247</v>
      </c>
      <c r="C154" s="4" t="str">
        <f t="shared" si="14"/>
        <v>戰鬥開始時裝備者的技能傷害增加27.5%</v>
      </c>
      <c r="D154" s="14"/>
      <c r="E154" s="14"/>
      <c r="F154" s="14"/>
      <c r="G154" s="14"/>
      <c r="H154" s="14"/>
      <c r="I154" s="14"/>
      <c r="J154" s="4"/>
      <c r="K154" s="4"/>
      <c r="L154" s="14"/>
      <c r="M154" s="14"/>
      <c r="N154" s="14"/>
      <c r="O154" s="14"/>
      <c r="P154" s="14"/>
      <c r="Q154" s="43"/>
      <c r="R154" s="43"/>
      <c r="S154" s="4">
        <f t="shared" si="16"/>
        <v>0.275</v>
      </c>
      <c r="T154" s="43"/>
      <c r="U154" s="43"/>
      <c r="V154" s="43"/>
      <c r="W154" s="43" t="b">
        <v>0</v>
      </c>
      <c r="X154" s="43">
        <v>1.0</v>
      </c>
      <c r="Y154" s="43">
        <v>9999.0</v>
      </c>
      <c r="Z154" s="43"/>
      <c r="AA154" s="43"/>
      <c r="AB154" s="43"/>
      <c r="AC154" s="43">
        <v>1.0</v>
      </c>
      <c r="AD154" s="14"/>
      <c r="AE154" s="14"/>
    </row>
    <row r="155">
      <c r="A155" s="43">
        <v>7048.0</v>
      </c>
      <c r="B155" s="43" t="s">
        <v>1249</v>
      </c>
      <c r="C155" s="4" t="str">
        <f t="shared" si="14"/>
        <v>戰鬥開始時裝備者的技能傷害增加34.5%</v>
      </c>
      <c r="D155" s="14"/>
      <c r="E155" s="14"/>
      <c r="F155" s="14"/>
      <c r="G155" s="14"/>
      <c r="H155" s="14"/>
      <c r="I155" s="14"/>
      <c r="J155" s="4"/>
      <c r="K155" s="4"/>
      <c r="L155" s="14"/>
      <c r="M155" s="14"/>
      <c r="N155" s="14"/>
      <c r="O155" s="14"/>
      <c r="P155" s="14"/>
      <c r="Q155" s="43"/>
      <c r="R155" s="43"/>
      <c r="S155" s="4">
        <f t="shared" ref="S155:S157" si="17">S154+0.07</f>
        <v>0.345</v>
      </c>
      <c r="T155" s="43"/>
      <c r="U155" s="43"/>
      <c r="V155" s="43"/>
      <c r="W155" s="43" t="b">
        <v>0</v>
      </c>
      <c r="X155" s="43">
        <v>1.0</v>
      </c>
      <c r="Y155" s="43">
        <v>9999.0</v>
      </c>
      <c r="Z155" s="43"/>
      <c r="AA155" s="43"/>
      <c r="AB155" s="43"/>
      <c r="AC155" s="43">
        <v>1.0</v>
      </c>
      <c r="AD155" s="14"/>
      <c r="AE155" s="14"/>
    </row>
    <row r="156">
      <c r="A156" s="43">
        <v>7049.0</v>
      </c>
      <c r="B156" s="43" t="s">
        <v>1252</v>
      </c>
      <c r="C156" s="4" t="str">
        <f t="shared" si="14"/>
        <v>戰鬥開始時裝備者的技能傷害增加41.5%</v>
      </c>
      <c r="D156" s="14"/>
      <c r="E156" s="14"/>
      <c r="F156" s="14"/>
      <c r="G156" s="14"/>
      <c r="H156" s="14"/>
      <c r="I156" s="14"/>
      <c r="J156" s="4"/>
      <c r="K156" s="4"/>
      <c r="L156" s="14"/>
      <c r="M156" s="14"/>
      <c r="N156" s="14"/>
      <c r="O156" s="14"/>
      <c r="P156" s="14"/>
      <c r="Q156" s="43"/>
      <c r="R156" s="43"/>
      <c r="S156" s="4">
        <f t="shared" si="17"/>
        <v>0.415</v>
      </c>
      <c r="T156" s="43"/>
      <c r="U156" s="43"/>
      <c r="V156" s="43"/>
      <c r="W156" s="43" t="b">
        <v>0</v>
      </c>
      <c r="X156" s="43">
        <v>1.0</v>
      </c>
      <c r="Y156" s="43">
        <v>9999.0</v>
      </c>
      <c r="Z156" s="43"/>
      <c r="AA156" s="43"/>
      <c r="AB156" s="43"/>
      <c r="AC156" s="43">
        <v>1.0</v>
      </c>
      <c r="AD156" s="14"/>
      <c r="AE156" s="14"/>
    </row>
    <row r="157">
      <c r="A157" s="43">
        <v>7050.0</v>
      </c>
      <c r="B157" s="43" t="s">
        <v>1254</v>
      </c>
      <c r="C157" s="4" t="str">
        <f t="shared" si="14"/>
        <v>戰鬥開始時裝備者的技能傷害增加48.5%</v>
      </c>
      <c r="D157" s="14"/>
      <c r="E157" s="14"/>
      <c r="F157" s="14"/>
      <c r="G157" s="14"/>
      <c r="H157" s="14"/>
      <c r="I157" s="14"/>
      <c r="J157" s="4"/>
      <c r="K157" s="4"/>
      <c r="L157" s="14"/>
      <c r="M157" s="14"/>
      <c r="N157" s="14"/>
      <c r="O157" s="14"/>
      <c r="P157" s="14"/>
      <c r="Q157" s="43"/>
      <c r="R157" s="43"/>
      <c r="S157" s="4">
        <f t="shared" si="17"/>
        <v>0.485</v>
      </c>
      <c r="T157" s="43"/>
      <c r="U157" s="43"/>
      <c r="V157" s="43"/>
      <c r="W157" s="43" t="b">
        <v>0</v>
      </c>
      <c r="X157" s="43">
        <v>1.0</v>
      </c>
      <c r="Y157" s="43">
        <v>9999.0</v>
      </c>
      <c r="Z157" s="43"/>
      <c r="AA157" s="43"/>
      <c r="AB157" s="43"/>
      <c r="AC157" s="43">
        <v>1.0</v>
      </c>
      <c r="AD157" s="14"/>
      <c r="AE157" s="14"/>
    </row>
    <row r="158">
      <c r="A158" s="43">
        <v>7051.0</v>
      </c>
      <c r="B158" s="43" t="s">
        <v>1257</v>
      </c>
      <c r="C158" s="4" t="str">
        <f t="shared" ref="C158:C167" si="18">"戰鬥開始時裝備者的技能傷害抗性增加"&amp;T158*100&amp;"%"</f>
        <v>戰鬥開始時裝備者的技能傷害抗性增加8%</v>
      </c>
      <c r="D158" s="14"/>
      <c r="E158" s="14"/>
      <c r="F158" s="14"/>
      <c r="G158" s="14"/>
      <c r="H158" s="14"/>
      <c r="I158" s="14"/>
      <c r="J158" s="4"/>
      <c r="K158" s="4"/>
      <c r="L158" s="14"/>
      <c r="M158" s="14"/>
      <c r="N158" s="14"/>
      <c r="O158" s="14"/>
      <c r="P158" s="14"/>
      <c r="Q158" s="43"/>
      <c r="R158" s="43"/>
      <c r="S158" s="43"/>
      <c r="T158" s="4">
        <v>0.08</v>
      </c>
      <c r="U158" s="43"/>
      <c r="V158" s="43"/>
      <c r="W158" s="43" t="b">
        <v>0</v>
      </c>
      <c r="X158" s="43">
        <v>1.0</v>
      </c>
      <c r="Y158" s="43">
        <v>9999.0</v>
      </c>
      <c r="Z158" s="43"/>
      <c r="AA158" s="43"/>
      <c r="AB158" s="43"/>
      <c r="AC158" s="43">
        <v>1.0</v>
      </c>
      <c r="AD158" s="14"/>
      <c r="AE158" s="14"/>
    </row>
    <row r="159">
      <c r="A159" s="43">
        <v>7052.0</v>
      </c>
      <c r="B159" s="43" t="s">
        <v>1260</v>
      </c>
      <c r="C159" s="4" t="str">
        <f t="shared" si="18"/>
        <v>戰鬥開始時裝備者的技能傷害抗性增加11%</v>
      </c>
      <c r="D159" s="14"/>
      <c r="E159" s="14"/>
      <c r="F159" s="14"/>
      <c r="G159" s="14"/>
      <c r="H159" s="14"/>
      <c r="I159" s="14"/>
      <c r="J159" s="4"/>
      <c r="K159" s="4"/>
      <c r="L159" s="14"/>
      <c r="M159" s="14"/>
      <c r="N159" s="14"/>
      <c r="O159" s="14"/>
      <c r="P159" s="14"/>
      <c r="Q159" s="43"/>
      <c r="R159" s="43"/>
      <c r="S159" s="43"/>
      <c r="T159" s="4">
        <f t="shared" ref="T159:T162" si="19">T158+0.03</f>
        <v>0.11</v>
      </c>
      <c r="U159" s="43"/>
      <c r="V159" s="43"/>
      <c r="W159" s="43" t="b">
        <v>0</v>
      </c>
      <c r="X159" s="43">
        <v>1.0</v>
      </c>
      <c r="Y159" s="43">
        <v>9999.0</v>
      </c>
      <c r="Z159" s="43"/>
      <c r="AA159" s="43"/>
      <c r="AB159" s="43"/>
      <c r="AC159" s="43">
        <v>1.0</v>
      </c>
      <c r="AD159" s="14"/>
      <c r="AE159" s="14"/>
    </row>
    <row r="160">
      <c r="A160" s="43">
        <v>7053.0</v>
      </c>
      <c r="B160" s="43" t="s">
        <v>1263</v>
      </c>
      <c r="C160" s="4" t="str">
        <f t="shared" si="18"/>
        <v>戰鬥開始時裝備者的技能傷害抗性增加14.%</v>
      </c>
      <c r="D160" s="14"/>
      <c r="E160" s="14"/>
      <c r="F160" s="14"/>
      <c r="G160" s="14"/>
      <c r="H160" s="14"/>
      <c r="I160" s="14"/>
      <c r="J160" s="4"/>
      <c r="K160" s="4"/>
      <c r="L160" s="14"/>
      <c r="M160" s="14"/>
      <c r="N160" s="14"/>
      <c r="O160" s="14"/>
      <c r="P160" s="14"/>
      <c r="Q160" s="43"/>
      <c r="R160" s="43"/>
      <c r="S160" s="43"/>
      <c r="T160" s="4">
        <f t="shared" si="19"/>
        <v>0.14</v>
      </c>
      <c r="U160" s="43"/>
      <c r="V160" s="43"/>
      <c r="W160" s="43" t="b">
        <v>0</v>
      </c>
      <c r="X160" s="43">
        <v>1.0</v>
      </c>
      <c r="Y160" s="43">
        <v>9999.0</v>
      </c>
      <c r="Z160" s="43"/>
      <c r="AA160" s="43"/>
      <c r="AB160" s="43"/>
      <c r="AC160" s="43">
        <v>1.0</v>
      </c>
      <c r="AD160" s="14"/>
      <c r="AE160" s="14"/>
    </row>
    <row r="161">
      <c r="A161" s="43">
        <v>7054.0</v>
      </c>
      <c r="B161" s="43" t="s">
        <v>1265</v>
      </c>
      <c r="C161" s="4" t="str">
        <f t="shared" si="18"/>
        <v>戰鬥開始時裝備者的技能傷害抗性增加17%</v>
      </c>
      <c r="D161" s="14"/>
      <c r="E161" s="14"/>
      <c r="F161" s="14"/>
      <c r="G161" s="14"/>
      <c r="H161" s="14"/>
      <c r="I161" s="14"/>
      <c r="J161" s="4"/>
      <c r="K161" s="4"/>
      <c r="L161" s="14"/>
      <c r="M161" s="14"/>
      <c r="N161" s="14"/>
      <c r="O161" s="14"/>
      <c r="P161" s="14"/>
      <c r="Q161" s="43"/>
      <c r="R161" s="43"/>
      <c r="S161" s="43"/>
      <c r="T161" s="4">
        <f t="shared" si="19"/>
        <v>0.17</v>
      </c>
      <c r="U161" s="43"/>
      <c r="V161" s="43"/>
      <c r="W161" s="43" t="b">
        <v>0</v>
      </c>
      <c r="X161" s="43">
        <v>1.0</v>
      </c>
      <c r="Y161" s="43">
        <v>9999.0</v>
      </c>
      <c r="Z161" s="43"/>
      <c r="AA161" s="43"/>
      <c r="AB161" s="43"/>
      <c r="AC161" s="43">
        <v>1.0</v>
      </c>
      <c r="AD161" s="14"/>
      <c r="AE161" s="14"/>
    </row>
    <row r="162">
      <c r="A162" s="43">
        <v>7055.0</v>
      </c>
      <c r="B162" s="43" t="s">
        <v>1268</v>
      </c>
      <c r="C162" s="4" t="str">
        <f t="shared" si="18"/>
        <v>戰鬥開始時裝備者的技能傷害抗性增加20%</v>
      </c>
      <c r="D162" s="14"/>
      <c r="E162" s="14"/>
      <c r="F162" s="14"/>
      <c r="G162" s="14"/>
      <c r="H162" s="14"/>
      <c r="I162" s="14"/>
      <c r="J162" s="4"/>
      <c r="K162" s="4"/>
      <c r="L162" s="14"/>
      <c r="M162" s="14"/>
      <c r="N162" s="14"/>
      <c r="O162" s="14"/>
      <c r="P162" s="14"/>
      <c r="Q162" s="43"/>
      <c r="R162" s="43"/>
      <c r="S162" s="43"/>
      <c r="T162" s="4">
        <f t="shared" si="19"/>
        <v>0.2</v>
      </c>
      <c r="U162" s="43"/>
      <c r="V162" s="43"/>
      <c r="W162" s="43" t="b">
        <v>0</v>
      </c>
      <c r="X162" s="43">
        <v>1.0</v>
      </c>
      <c r="Y162" s="43">
        <v>9999.0</v>
      </c>
      <c r="Z162" s="43"/>
      <c r="AA162" s="43"/>
      <c r="AB162" s="43"/>
      <c r="AC162" s="43">
        <v>1.0</v>
      </c>
      <c r="AD162" s="14"/>
      <c r="AE162" s="14"/>
    </row>
    <row r="163">
      <c r="A163" s="43">
        <v>7056.0</v>
      </c>
      <c r="B163" s="43" t="s">
        <v>1271</v>
      </c>
      <c r="C163" s="4" t="str">
        <f t="shared" si="18"/>
        <v>戰鬥開始時裝備者的技能傷害抗性增加25%</v>
      </c>
      <c r="D163" s="14"/>
      <c r="E163" s="14"/>
      <c r="F163" s="14"/>
      <c r="G163" s="14"/>
      <c r="H163" s="14"/>
      <c r="I163" s="14"/>
      <c r="J163" s="4"/>
      <c r="K163" s="4"/>
      <c r="L163" s="14"/>
      <c r="M163" s="14"/>
      <c r="N163" s="14"/>
      <c r="O163" s="14"/>
      <c r="P163" s="14"/>
      <c r="Q163" s="43"/>
      <c r="R163" s="43"/>
      <c r="S163" s="43"/>
      <c r="T163" s="4">
        <f t="shared" ref="T163:T164" si="20">T162+0.05</f>
        <v>0.25</v>
      </c>
      <c r="U163" s="43"/>
      <c r="V163" s="43"/>
      <c r="W163" s="43" t="b">
        <v>0</v>
      </c>
      <c r="X163" s="43">
        <v>1.0</v>
      </c>
      <c r="Y163" s="43">
        <v>9999.0</v>
      </c>
      <c r="Z163" s="43"/>
      <c r="AA163" s="43"/>
      <c r="AB163" s="43"/>
      <c r="AC163" s="43">
        <v>1.0</v>
      </c>
      <c r="AD163" s="14"/>
      <c r="AE163" s="14"/>
    </row>
    <row r="164">
      <c r="A164" s="43">
        <v>7057.0</v>
      </c>
      <c r="B164" s="43" t="s">
        <v>1273</v>
      </c>
      <c r="C164" s="4" t="str">
        <f t="shared" si="18"/>
        <v>戰鬥開始時裝備者的技能傷害抗性增加30%</v>
      </c>
      <c r="D164" s="14"/>
      <c r="E164" s="14"/>
      <c r="F164" s="14"/>
      <c r="G164" s="14"/>
      <c r="H164" s="14"/>
      <c r="I164" s="14"/>
      <c r="J164" s="4"/>
      <c r="K164" s="4"/>
      <c r="L164" s="14"/>
      <c r="M164" s="14"/>
      <c r="N164" s="14"/>
      <c r="O164" s="14"/>
      <c r="P164" s="14"/>
      <c r="Q164" s="43"/>
      <c r="R164" s="43"/>
      <c r="S164" s="43"/>
      <c r="T164" s="4">
        <f t="shared" si="20"/>
        <v>0.3</v>
      </c>
      <c r="U164" s="43"/>
      <c r="V164" s="43"/>
      <c r="W164" s="43" t="b">
        <v>0</v>
      </c>
      <c r="X164" s="43">
        <v>1.0</v>
      </c>
      <c r="Y164" s="43">
        <v>9999.0</v>
      </c>
      <c r="Z164" s="43"/>
      <c r="AA164" s="43"/>
      <c r="AB164" s="43"/>
      <c r="AC164" s="43">
        <v>1.0</v>
      </c>
      <c r="AD164" s="14"/>
      <c r="AE164" s="14"/>
    </row>
    <row r="165">
      <c r="A165" s="43">
        <v>7058.0</v>
      </c>
      <c r="B165" s="43" t="s">
        <v>1275</v>
      </c>
      <c r="C165" s="4" t="str">
        <f t="shared" si="18"/>
        <v>戰鬥開始時裝備者的技能傷害抗性增加37%</v>
      </c>
      <c r="D165" s="14"/>
      <c r="E165" s="14"/>
      <c r="F165" s="14"/>
      <c r="G165" s="14"/>
      <c r="H165" s="14"/>
      <c r="I165" s="14"/>
      <c r="J165" s="4"/>
      <c r="K165" s="4"/>
      <c r="L165" s="14"/>
      <c r="M165" s="14"/>
      <c r="N165" s="14"/>
      <c r="O165" s="14"/>
      <c r="P165" s="14"/>
      <c r="Q165" s="43"/>
      <c r="R165" s="43"/>
      <c r="S165" s="43"/>
      <c r="T165" s="4">
        <f t="shared" ref="T165:T167" si="21">T164+0.07</f>
        <v>0.37</v>
      </c>
      <c r="U165" s="43"/>
      <c r="V165" s="43"/>
      <c r="W165" s="43" t="b">
        <v>0</v>
      </c>
      <c r="X165" s="43">
        <v>1.0</v>
      </c>
      <c r="Y165" s="43">
        <v>9999.0</v>
      </c>
      <c r="Z165" s="43"/>
      <c r="AA165" s="43"/>
      <c r="AB165" s="43"/>
      <c r="AC165" s="43">
        <v>1.0</v>
      </c>
      <c r="AD165" s="14"/>
      <c r="AE165" s="14"/>
    </row>
    <row r="166">
      <c r="A166" s="43">
        <v>7059.0</v>
      </c>
      <c r="B166" s="43" t="s">
        <v>1278</v>
      </c>
      <c r="C166" s="4" t="str">
        <f t="shared" si="18"/>
        <v>戰鬥開始時裝備者的技能傷害抗性增加44%</v>
      </c>
      <c r="D166" s="14"/>
      <c r="E166" s="14"/>
      <c r="F166" s="14"/>
      <c r="G166" s="14"/>
      <c r="H166" s="14"/>
      <c r="I166" s="14"/>
      <c r="J166" s="4"/>
      <c r="K166" s="4"/>
      <c r="L166" s="14"/>
      <c r="M166" s="14"/>
      <c r="N166" s="14"/>
      <c r="O166" s="14"/>
      <c r="P166" s="14"/>
      <c r="Q166" s="43"/>
      <c r="R166" s="43"/>
      <c r="S166" s="43"/>
      <c r="T166" s="4">
        <f t="shared" si="21"/>
        <v>0.44</v>
      </c>
      <c r="U166" s="43"/>
      <c r="V166" s="43"/>
      <c r="W166" s="43" t="b">
        <v>0</v>
      </c>
      <c r="X166" s="43">
        <v>1.0</v>
      </c>
      <c r="Y166" s="43">
        <v>9999.0</v>
      </c>
      <c r="Z166" s="43"/>
      <c r="AA166" s="43"/>
      <c r="AB166" s="43"/>
      <c r="AC166" s="43">
        <v>1.0</v>
      </c>
      <c r="AD166" s="14"/>
      <c r="AE166" s="14"/>
    </row>
    <row r="167">
      <c r="A167" s="43">
        <v>7060.0</v>
      </c>
      <c r="B167" s="43" t="s">
        <v>1281</v>
      </c>
      <c r="C167" s="4" t="str">
        <f t="shared" si="18"/>
        <v>戰鬥開始時裝備者的技能傷害抗性增加51%</v>
      </c>
      <c r="D167" s="14"/>
      <c r="E167" s="14"/>
      <c r="F167" s="14"/>
      <c r="G167" s="14"/>
      <c r="H167" s="14"/>
      <c r="I167" s="14"/>
      <c r="J167" s="4"/>
      <c r="K167" s="4"/>
      <c r="L167" s="14"/>
      <c r="M167" s="14"/>
      <c r="N167" s="14"/>
      <c r="O167" s="14"/>
      <c r="P167" s="14"/>
      <c r="Q167" s="43"/>
      <c r="R167" s="43"/>
      <c r="S167" s="43"/>
      <c r="T167" s="4">
        <f t="shared" si="21"/>
        <v>0.51</v>
      </c>
      <c r="U167" s="43"/>
      <c r="V167" s="43"/>
      <c r="W167" s="43" t="b">
        <v>0</v>
      </c>
      <c r="X167" s="43">
        <v>1.0</v>
      </c>
      <c r="Y167" s="43">
        <v>9999.0</v>
      </c>
      <c r="Z167" s="43"/>
      <c r="AA167" s="43"/>
      <c r="AB167" s="43"/>
      <c r="AC167" s="43">
        <v>1.0</v>
      </c>
      <c r="AD167" s="14"/>
      <c r="AE167" s="14"/>
    </row>
    <row r="168">
      <c r="A168" s="43">
        <v>7061.0</v>
      </c>
      <c r="B168" s="43" t="s">
        <v>1284</v>
      </c>
      <c r="C168" s="4" t="str">
        <f t="shared" ref="C168:C177" si="22">"戰鬥開始時裝備者的爆擊傷害增加"&amp;U168*100&amp;"%"</f>
        <v>戰鬥開始時裝備者的爆擊傷害增加5%</v>
      </c>
      <c r="D168" s="14"/>
      <c r="E168" s="14"/>
      <c r="F168" s="14"/>
      <c r="G168" s="14"/>
      <c r="H168" s="14"/>
      <c r="I168" s="14"/>
      <c r="J168" s="4"/>
      <c r="K168" s="4"/>
      <c r="L168" s="14"/>
      <c r="M168" s="14"/>
      <c r="N168" s="14"/>
      <c r="O168" s="14"/>
      <c r="P168" s="14"/>
      <c r="Q168" s="43"/>
      <c r="R168" s="43"/>
      <c r="S168" s="43"/>
      <c r="T168" s="4"/>
      <c r="U168" s="4">
        <v>0.05</v>
      </c>
      <c r="V168" s="43"/>
      <c r="W168" s="43" t="b">
        <v>0</v>
      </c>
      <c r="X168" s="43">
        <v>1.0</v>
      </c>
      <c r="Y168" s="43">
        <v>9999.0</v>
      </c>
      <c r="Z168" s="43"/>
      <c r="AA168" s="43"/>
      <c r="AB168" s="43"/>
      <c r="AC168" s="43">
        <v>1.0</v>
      </c>
      <c r="AD168" s="14"/>
      <c r="AE168" s="14"/>
    </row>
    <row r="169">
      <c r="A169" s="43">
        <v>7062.0</v>
      </c>
      <c r="B169" s="43" t="s">
        <v>1291</v>
      </c>
      <c r="C169" s="4" t="str">
        <f t="shared" si="22"/>
        <v>戰鬥開始時裝備者的爆擊傷害增加7.5%</v>
      </c>
      <c r="D169" s="14"/>
      <c r="E169" s="14"/>
      <c r="F169" s="14"/>
      <c r="G169" s="14"/>
      <c r="H169" s="14"/>
      <c r="I169" s="14"/>
      <c r="J169" s="4"/>
      <c r="K169" s="4"/>
      <c r="L169" s="14"/>
      <c r="M169" s="14"/>
      <c r="N169" s="14"/>
      <c r="O169" s="14"/>
      <c r="P169" s="14"/>
      <c r="Q169" s="43"/>
      <c r="R169" s="43"/>
      <c r="S169" s="43"/>
      <c r="T169" s="4"/>
      <c r="U169" s="4">
        <f t="shared" ref="U169:U171" si="23">U168+0.025</f>
        <v>0.075</v>
      </c>
      <c r="V169" s="43"/>
      <c r="W169" s="43" t="b">
        <v>0</v>
      </c>
      <c r="X169" s="43">
        <v>1.0</v>
      </c>
      <c r="Y169" s="43">
        <v>9999.0</v>
      </c>
      <c r="Z169" s="43"/>
      <c r="AA169" s="43"/>
      <c r="AB169" s="43"/>
      <c r="AC169" s="43">
        <v>1.0</v>
      </c>
      <c r="AD169" s="14"/>
      <c r="AE169" s="14"/>
    </row>
    <row r="170">
      <c r="A170" s="43">
        <v>7063.0</v>
      </c>
      <c r="B170" s="43" t="s">
        <v>1294</v>
      </c>
      <c r="C170" s="4" t="str">
        <f t="shared" si="22"/>
        <v>戰鬥開始時裝備者的爆擊傷害增加10%</v>
      </c>
      <c r="D170" s="14"/>
      <c r="E170" s="14"/>
      <c r="F170" s="14"/>
      <c r="G170" s="14"/>
      <c r="H170" s="14"/>
      <c r="I170" s="14"/>
      <c r="J170" s="4"/>
      <c r="K170" s="4"/>
      <c r="L170" s="14"/>
      <c r="M170" s="14"/>
      <c r="N170" s="14"/>
      <c r="O170" s="14"/>
      <c r="P170" s="14"/>
      <c r="Q170" s="43"/>
      <c r="R170" s="43"/>
      <c r="S170" s="43"/>
      <c r="T170" s="4"/>
      <c r="U170" s="4">
        <f t="shared" si="23"/>
        <v>0.1</v>
      </c>
      <c r="V170" s="43"/>
      <c r="W170" s="43" t="b">
        <v>0</v>
      </c>
      <c r="X170" s="43">
        <v>1.0</v>
      </c>
      <c r="Y170" s="43">
        <v>9999.0</v>
      </c>
      <c r="Z170" s="43"/>
      <c r="AA170" s="43"/>
      <c r="AB170" s="43"/>
      <c r="AC170" s="43">
        <v>1.0</v>
      </c>
      <c r="AD170" s="14"/>
      <c r="AE170" s="14"/>
    </row>
    <row r="171">
      <c r="A171" s="43">
        <v>7064.0</v>
      </c>
      <c r="B171" s="43" t="s">
        <v>1295</v>
      </c>
      <c r="C171" s="4" t="str">
        <f t="shared" si="22"/>
        <v>戰鬥開始時裝備者的爆擊傷害增加12.5%</v>
      </c>
      <c r="D171" s="14"/>
      <c r="E171" s="14"/>
      <c r="F171" s="14"/>
      <c r="G171" s="14"/>
      <c r="H171" s="14"/>
      <c r="I171" s="14"/>
      <c r="J171" s="4"/>
      <c r="K171" s="4"/>
      <c r="L171" s="14"/>
      <c r="M171" s="14"/>
      <c r="N171" s="14"/>
      <c r="O171" s="14"/>
      <c r="P171" s="14"/>
      <c r="Q171" s="43"/>
      <c r="R171" s="43"/>
      <c r="S171" s="43"/>
      <c r="T171" s="4"/>
      <c r="U171" s="4">
        <f t="shared" si="23"/>
        <v>0.125</v>
      </c>
      <c r="V171" s="43"/>
      <c r="W171" s="43" t="b">
        <v>0</v>
      </c>
      <c r="X171" s="43">
        <v>1.0</v>
      </c>
      <c r="Y171" s="43">
        <v>9999.0</v>
      </c>
      <c r="Z171" s="43"/>
      <c r="AA171" s="43"/>
      <c r="AB171" s="43"/>
      <c r="AC171" s="43">
        <v>1.0</v>
      </c>
      <c r="AD171" s="14"/>
      <c r="AE171" s="14"/>
    </row>
    <row r="172">
      <c r="A172" s="43">
        <v>7065.0</v>
      </c>
      <c r="B172" s="43" t="s">
        <v>1297</v>
      </c>
      <c r="C172" s="4" t="str">
        <f t="shared" si="22"/>
        <v>戰鬥開始時裝備者的爆擊傷害增加17.5%</v>
      </c>
      <c r="D172" s="14"/>
      <c r="E172" s="14"/>
      <c r="F172" s="14"/>
      <c r="G172" s="14"/>
      <c r="H172" s="14"/>
      <c r="I172" s="14"/>
      <c r="J172" s="4"/>
      <c r="K172" s="4"/>
      <c r="L172" s="14"/>
      <c r="M172" s="14"/>
      <c r="N172" s="14"/>
      <c r="O172" s="14"/>
      <c r="P172" s="14"/>
      <c r="Q172" s="43"/>
      <c r="R172" s="43"/>
      <c r="S172" s="43"/>
      <c r="T172" s="4"/>
      <c r="U172" s="4">
        <f t="shared" ref="U172:U174" si="24">U171+0.05</f>
        <v>0.175</v>
      </c>
      <c r="V172" s="43"/>
      <c r="W172" s="43" t="b">
        <v>0</v>
      </c>
      <c r="X172" s="43">
        <v>1.0</v>
      </c>
      <c r="Y172" s="43">
        <v>9999.0</v>
      </c>
      <c r="Z172" s="43"/>
      <c r="AA172" s="43"/>
      <c r="AB172" s="43"/>
      <c r="AC172" s="43">
        <v>1.0</v>
      </c>
      <c r="AD172" s="14"/>
      <c r="AE172" s="14"/>
    </row>
    <row r="173">
      <c r="A173" s="43">
        <v>7066.0</v>
      </c>
      <c r="B173" s="43" t="s">
        <v>1299</v>
      </c>
      <c r="C173" s="4" t="str">
        <f t="shared" si="22"/>
        <v>戰鬥開始時裝備者的爆擊傷害增加22.5%</v>
      </c>
      <c r="D173" s="14"/>
      <c r="E173" s="14"/>
      <c r="F173" s="14"/>
      <c r="G173" s="14"/>
      <c r="H173" s="14"/>
      <c r="I173" s="14"/>
      <c r="J173" s="4"/>
      <c r="K173" s="4"/>
      <c r="L173" s="14"/>
      <c r="M173" s="14"/>
      <c r="N173" s="14"/>
      <c r="O173" s="14"/>
      <c r="P173" s="14"/>
      <c r="Q173" s="43"/>
      <c r="R173" s="43"/>
      <c r="S173" s="43"/>
      <c r="T173" s="4"/>
      <c r="U173" s="4">
        <f t="shared" si="24"/>
        <v>0.225</v>
      </c>
      <c r="V173" s="43"/>
      <c r="W173" s="43" t="b">
        <v>0</v>
      </c>
      <c r="X173" s="43">
        <v>1.0</v>
      </c>
      <c r="Y173" s="43">
        <v>9999.0</v>
      </c>
      <c r="Z173" s="43"/>
      <c r="AA173" s="43"/>
      <c r="AB173" s="43"/>
      <c r="AC173" s="43">
        <v>1.0</v>
      </c>
      <c r="AD173" s="14"/>
      <c r="AE173" s="14"/>
    </row>
    <row r="174">
      <c r="A174" s="43">
        <v>7067.0</v>
      </c>
      <c r="B174" s="43" t="s">
        <v>1301</v>
      </c>
      <c r="C174" s="4" t="str">
        <f t="shared" si="22"/>
        <v>戰鬥開始時裝備者的爆擊傷害增加27.5%</v>
      </c>
      <c r="D174" s="14"/>
      <c r="E174" s="14"/>
      <c r="F174" s="14"/>
      <c r="G174" s="14"/>
      <c r="H174" s="14"/>
      <c r="I174" s="14"/>
      <c r="J174" s="4"/>
      <c r="K174" s="4"/>
      <c r="L174" s="14"/>
      <c r="M174" s="14"/>
      <c r="N174" s="14"/>
      <c r="O174" s="14"/>
      <c r="P174" s="14"/>
      <c r="Q174" s="43"/>
      <c r="R174" s="43"/>
      <c r="S174" s="43"/>
      <c r="T174" s="4"/>
      <c r="U174" s="4">
        <f t="shared" si="24"/>
        <v>0.275</v>
      </c>
      <c r="V174" s="43"/>
      <c r="W174" s="43" t="b">
        <v>0</v>
      </c>
      <c r="X174" s="43">
        <v>1.0</v>
      </c>
      <c r="Y174" s="43">
        <v>9999.0</v>
      </c>
      <c r="Z174" s="43"/>
      <c r="AA174" s="43"/>
      <c r="AB174" s="43"/>
      <c r="AC174" s="43">
        <v>1.0</v>
      </c>
      <c r="AD174" s="14"/>
      <c r="AE174" s="14"/>
    </row>
    <row r="175">
      <c r="A175" s="43">
        <v>7068.0</v>
      </c>
      <c r="B175" s="43" t="s">
        <v>1303</v>
      </c>
      <c r="C175" s="4" t="str">
        <f t="shared" si="22"/>
        <v>戰鬥開始時裝備者的爆擊傷害增加34.5%</v>
      </c>
      <c r="D175" s="14"/>
      <c r="E175" s="14"/>
      <c r="F175" s="14"/>
      <c r="G175" s="14"/>
      <c r="H175" s="14"/>
      <c r="I175" s="14"/>
      <c r="J175" s="4"/>
      <c r="K175" s="4"/>
      <c r="L175" s="14"/>
      <c r="M175" s="14"/>
      <c r="N175" s="14"/>
      <c r="O175" s="14"/>
      <c r="P175" s="14"/>
      <c r="Q175" s="43"/>
      <c r="R175" s="43"/>
      <c r="S175" s="43"/>
      <c r="T175" s="4"/>
      <c r="U175" s="4">
        <f t="shared" ref="U175:U177" si="25">U174+0.07</f>
        <v>0.345</v>
      </c>
      <c r="V175" s="43"/>
      <c r="W175" s="43" t="b">
        <v>0</v>
      </c>
      <c r="X175" s="43">
        <v>1.0</v>
      </c>
      <c r="Y175" s="43">
        <v>9999.0</v>
      </c>
      <c r="Z175" s="43"/>
      <c r="AA175" s="43"/>
      <c r="AB175" s="43"/>
      <c r="AC175" s="43">
        <v>1.0</v>
      </c>
      <c r="AD175" s="14"/>
      <c r="AE175" s="14"/>
    </row>
    <row r="176">
      <c r="A176" s="43">
        <v>7069.0</v>
      </c>
      <c r="B176" s="43" t="s">
        <v>1307</v>
      </c>
      <c r="C176" s="4" t="str">
        <f t="shared" si="22"/>
        <v>戰鬥開始時裝備者的爆擊傷害增加41.5%</v>
      </c>
      <c r="D176" s="14"/>
      <c r="E176" s="14"/>
      <c r="F176" s="14"/>
      <c r="G176" s="14"/>
      <c r="H176" s="14"/>
      <c r="I176" s="14"/>
      <c r="J176" s="4"/>
      <c r="K176" s="4"/>
      <c r="L176" s="14"/>
      <c r="M176" s="14"/>
      <c r="N176" s="14"/>
      <c r="O176" s="14"/>
      <c r="P176" s="14"/>
      <c r="Q176" s="43"/>
      <c r="R176" s="43"/>
      <c r="S176" s="43"/>
      <c r="T176" s="4"/>
      <c r="U176" s="4">
        <f t="shared" si="25"/>
        <v>0.415</v>
      </c>
      <c r="V176" s="43"/>
      <c r="W176" s="43" t="b">
        <v>0</v>
      </c>
      <c r="X176" s="43">
        <v>1.0</v>
      </c>
      <c r="Y176" s="43">
        <v>9999.0</v>
      </c>
      <c r="Z176" s="43"/>
      <c r="AA176" s="43"/>
      <c r="AB176" s="43"/>
      <c r="AC176" s="43">
        <v>1.0</v>
      </c>
      <c r="AD176" s="14"/>
      <c r="AE176" s="14"/>
    </row>
    <row r="177">
      <c r="A177" s="43">
        <v>7070.0</v>
      </c>
      <c r="B177" s="43" t="s">
        <v>1312</v>
      </c>
      <c r="C177" s="4" t="str">
        <f t="shared" si="22"/>
        <v>戰鬥開始時裝備者的爆擊傷害增加48.5%</v>
      </c>
      <c r="D177" s="14"/>
      <c r="E177" s="14"/>
      <c r="F177" s="14"/>
      <c r="G177" s="14"/>
      <c r="H177" s="14"/>
      <c r="I177" s="14"/>
      <c r="J177" s="4"/>
      <c r="K177" s="4"/>
      <c r="L177" s="14"/>
      <c r="M177" s="14"/>
      <c r="N177" s="14"/>
      <c r="O177" s="14"/>
      <c r="P177" s="14"/>
      <c r="Q177" s="43"/>
      <c r="R177" s="43"/>
      <c r="S177" s="43"/>
      <c r="T177" s="4"/>
      <c r="U177" s="4">
        <f t="shared" si="25"/>
        <v>0.485</v>
      </c>
      <c r="V177" s="43"/>
      <c r="W177" s="43" t="b">
        <v>0</v>
      </c>
      <c r="X177" s="43">
        <v>1.0</v>
      </c>
      <c r="Y177" s="43">
        <v>9999.0</v>
      </c>
      <c r="Z177" s="43"/>
      <c r="AA177" s="43"/>
      <c r="AB177" s="43"/>
      <c r="AC177" s="43">
        <v>1.0</v>
      </c>
      <c r="AD177" s="14"/>
      <c r="AE177" s="14"/>
    </row>
    <row r="178">
      <c r="A178" s="43">
        <v>7071.0</v>
      </c>
      <c r="B178" s="43" t="s">
        <v>1314</v>
      </c>
      <c r="C178" s="4" t="str">
        <f t="shared" ref="C178:C187" si="26">"戰鬥開始時裝備者的爆擊傷害抗性增加"&amp;V178*100&amp;"%"</f>
        <v>戰鬥開始時裝備者的爆擊傷害抗性增加8%</v>
      </c>
      <c r="D178" s="14"/>
      <c r="E178" s="14"/>
      <c r="F178" s="14"/>
      <c r="G178" s="14"/>
      <c r="H178" s="14"/>
      <c r="I178" s="14"/>
      <c r="J178" s="4"/>
      <c r="K178" s="4"/>
      <c r="L178" s="14"/>
      <c r="M178" s="14"/>
      <c r="N178" s="14"/>
      <c r="O178" s="14"/>
      <c r="P178" s="14"/>
      <c r="Q178" s="43"/>
      <c r="R178" s="43"/>
      <c r="S178" s="43"/>
      <c r="T178" s="4"/>
      <c r="U178" s="43"/>
      <c r="V178" s="4">
        <v>0.08</v>
      </c>
      <c r="W178" s="43" t="b">
        <v>0</v>
      </c>
      <c r="X178" s="43">
        <v>1.0</v>
      </c>
      <c r="Y178" s="43">
        <v>9999.0</v>
      </c>
      <c r="Z178" s="43"/>
      <c r="AA178" s="43"/>
      <c r="AB178" s="43"/>
      <c r="AC178" s="43">
        <v>1.0</v>
      </c>
      <c r="AD178" s="14"/>
      <c r="AE178" s="14"/>
    </row>
    <row r="179">
      <c r="A179" s="43">
        <v>7072.0</v>
      </c>
      <c r="B179" s="43" t="s">
        <v>1319</v>
      </c>
      <c r="C179" s="4" t="str">
        <f t="shared" si="26"/>
        <v>戰鬥開始時裝備者的爆擊傷害抗性增加11%</v>
      </c>
      <c r="D179" s="14"/>
      <c r="E179" s="14"/>
      <c r="F179" s="14"/>
      <c r="G179" s="14"/>
      <c r="H179" s="14"/>
      <c r="I179" s="14"/>
      <c r="J179" s="4"/>
      <c r="K179" s="4"/>
      <c r="L179" s="14"/>
      <c r="M179" s="14"/>
      <c r="N179" s="14"/>
      <c r="O179" s="14"/>
      <c r="P179" s="14"/>
      <c r="Q179" s="43"/>
      <c r="R179" s="43"/>
      <c r="S179" s="43"/>
      <c r="T179" s="4"/>
      <c r="U179" s="43"/>
      <c r="V179" s="4">
        <f t="shared" ref="V179:V182" si="27">V178+0.03</f>
        <v>0.11</v>
      </c>
      <c r="W179" s="43" t="b">
        <v>0</v>
      </c>
      <c r="X179" s="43">
        <v>1.0</v>
      </c>
      <c r="Y179" s="43">
        <v>9999.0</v>
      </c>
      <c r="Z179" s="43"/>
      <c r="AA179" s="43"/>
      <c r="AB179" s="43"/>
      <c r="AC179" s="43">
        <v>1.0</v>
      </c>
      <c r="AD179" s="14"/>
      <c r="AE179" s="14"/>
    </row>
    <row r="180">
      <c r="A180" s="43">
        <v>7073.0</v>
      </c>
      <c r="B180" s="43" t="s">
        <v>1323</v>
      </c>
      <c r="C180" s="4" t="str">
        <f t="shared" si="26"/>
        <v>戰鬥開始時裝備者的爆擊傷害抗性增加14.%</v>
      </c>
      <c r="D180" s="14"/>
      <c r="E180" s="14"/>
      <c r="F180" s="14"/>
      <c r="G180" s="14"/>
      <c r="H180" s="14"/>
      <c r="I180" s="14"/>
      <c r="J180" s="4"/>
      <c r="K180" s="4"/>
      <c r="L180" s="14"/>
      <c r="M180" s="14"/>
      <c r="N180" s="14"/>
      <c r="O180" s="14"/>
      <c r="P180" s="14"/>
      <c r="Q180" s="43"/>
      <c r="R180" s="43"/>
      <c r="S180" s="43"/>
      <c r="T180" s="4"/>
      <c r="U180" s="43"/>
      <c r="V180" s="4">
        <f t="shared" si="27"/>
        <v>0.14</v>
      </c>
      <c r="W180" s="43" t="b">
        <v>0</v>
      </c>
      <c r="X180" s="43">
        <v>1.0</v>
      </c>
      <c r="Y180" s="43">
        <v>9999.0</v>
      </c>
      <c r="Z180" s="43"/>
      <c r="AA180" s="43"/>
      <c r="AB180" s="43"/>
      <c r="AC180" s="43">
        <v>1.0</v>
      </c>
      <c r="AD180" s="14"/>
      <c r="AE180" s="14"/>
    </row>
    <row r="181">
      <c r="A181" s="43">
        <v>7074.0</v>
      </c>
      <c r="B181" s="43" t="s">
        <v>1326</v>
      </c>
      <c r="C181" s="4" t="str">
        <f t="shared" si="26"/>
        <v>戰鬥開始時裝備者的爆擊傷害抗性增加17%</v>
      </c>
      <c r="D181" s="14"/>
      <c r="E181" s="14"/>
      <c r="F181" s="14"/>
      <c r="G181" s="14"/>
      <c r="H181" s="14"/>
      <c r="I181" s="14"/>
      <c r="J181" s="4"/>
      <c r="K181" s="4"/>
      <c r="L181" s="14"/>
      <c r="M181" s="14"/>
      <c r="N181" s="14"/>
      <c r="O181" s="14"/>
      <c r="P181" s="14"/>
      <c r="Q181" s="43"/>
      <c r="R181" s="43"/>
      <c r="S181" s="43"/>
      <c r="T181" s="4"/>
      <c r="U181" s="43"/>
      <c r="V181" s="4">
        <f t="shared" si="27"/>
        <v>0.17</v>
      </c>
      <c r="W181" s="43" t="b">
        <v>0</v>
      </c>
      <c r="X181" s="43">
        <v>1.0</v>
      </c>
      <c r="Y181" s="43">
        <v>9999.0</v>
      </c>
      <c r="Z181" s="43"/>
      <c r="AA181" s="43"/>
      <c r="AB181" s="43"/>
      <c r="AC181" s="43">
        <v>1.0</v>
      </c>
      <c r="AD181" s="14"/>
      <c r="AE181" s="14"/>
    </row>
    <row r="182">
      <c r="A182" s="43">
        <v>7075.0</v>
      </c>
      <c r="B182" s="43" t="s">
        <v>1329</v>
      </c>
      <c r="C182" s="4" t="str">
        <f t="shared" si="26"/>
        <v>戰鬥開始時裝備者的爆擊傷害抗性增加20%</v>
      </c>
      <c r="D182" s="14"/>
      <c r="E182" s="14"/>
      <c r="F182" s="14"/>
      <c r="G182" s="14"/>
      <c r="H182" s="14"/>
      <c r="I182" s="14"/>
      <c r="J182" s="4"/>
      <c r="K182" s="4"/>
      <c r="L182" s="14"/>
      <c r="M182" s="14"/>
      <c r="N182" s="14"/>
      <c r="O182" s="14"/>
      <c r="P182" s="14"/>
      <c r="Q182" s="43"/>
      <c r="R182" s="43"/>
      <c r="S182" s="43"/>
      <c r="T182" s="4"/>
      <c r="U182" s="43"/>
      <c r="V182" s="4">
        <f t="shared" si="27"/>
        <v>0.2</v>
      </c>
      <c r="W182" s="43" t="b">
        <v>0</v>
      </c>
      <c r="X182" s="43">
        <v>1.0</v>
      </c>
      <c r="Y182" s="43">
        <v>9999.0</v>
      </c>
      <c r="Z182" s="43"/>
      <c r="AA182" s="43"/>
      <c r="AB182" s="43"/>
      <c r="AC182" s="43">
        <v>1.0</v>
      </c>
      <c r="AD182" s="14"/>
      <c r="AE182" s="14"/>
    </row>
    <row r="183">
      <c r="A183" s="43">
        <v>7076.0</v>
      </c>
      <c r="B183" s="43" t="s">
        <v>1332</v>
      </c>
      <c r="C183" s="4" t="str">
        <f t="shared" si="26"/>
        <v>戰鬥開始時裝備者的爆擊傷害抗性增加25%</v>
      </c>
      <c r="D183" s="14"/>
      <c r="E183" s="14"/>
      <c r="F183" s="14"/>
      <c r="G183" s="14"/>
      <c r="H183" s="14"/>
      <c r="I183" s="14"/>
      <c r="J183" s="4"/>
      <c r="K183" s="4"/>
      <c r="L183" s="14"/>
      <c r="M183" s="14"/>
      <c r="N183" s="14"/>
      <c r="O183" s="14"/>
      <c r="P183" s="14"/>
      <c r="Q183" s="43"/>
      <c r="R183" s="43"/>
      <c r="S183" s="43"/>
      <c r="T183" s="4"/>
      <c r="U183" s="43"/>
      <c r="V183" s="4">
        <f t="shared" ref="V183:V184" si="28">V182+0.05</f>
        <v>0.25</v>
      </c>
      <c r="W183" s="43" t="b">
        <v>0</v>
      </c>
      <c r="X183" s="43">
        <v>1.0</v>
      </c>
      <c r="Y183" s="43">
        <v>9999.0</v>
      </c>
      <c r="Z183" s="43"/>
      <c r="AA183" s="43"/>
      <c r="AB183" s="43"/>
      <c r="AC183" s="43">
        <v>1.0</v>
      </c>
      <c r="AD183" s="14"/>
      <c r="AE183" s="14"/>
    </row>
    <row r="184">
      <c r="A184" s="43">
        <v>7077.0</v>
      </c>
      <c r="B184" s="43" t="s">
        <v>1335</v>
      </c>
      <c r="C184" s="4" t="str">
        <f t="shared" si="26"/>
        <v>戰鬥開始時裝備者的爆擊傷害抗性增加30%</v>
      </c>
      <c r="D184" s="14"/>
      <c r="E184" s="14"/>
      <c r="F184" s="14"/>
      <c r="G184" s="14"/>
      <c r="H184" s="14"/>
      <c r="I184" s="14"/>
      <c r="J184" s="4"/>
      <c r="K184" s="4"/>
      <c r="L184" s="14"/>
      <c r="M184" s="14"/>
      <c r="N184" s="14"/>
      <c r="O184" s="14"/>
      <c r="P184" s="14"/>
      <c r="Q184" s="43"/>
      <c r="R184" s="43"/>
      <c r="S184" s="43"/>
      <c r="T184" s="4"/>
      <c r="U184" s="43"/>
      <c r="V184" s="4">
        <f t="shared" si="28"/>
        <v>0.3</v>
      </c>
      <c r="W184" s="43" t="b">
        <v>0</v>
      </c>
      <c r="X184" s="43">
        <v>1.0</v>
      </c>
      <c r="Y184" s="43">
        <v>9999.0</v>
      </c>
      <c r="Z184" s="43"/>
      <c r="AA184" s="43"/>
      <c r="AB184" s="43"/>
      <c r="AC184" s="43">
        <v>1.0</v>
      </c>
      <c r="AD184" s="14"/>
      <c r="AE184" s="14"/>
    </row>
    <row r="185">
      <c r="A185" s="43">
        <v>7078.0</v>
      </c>
      <c r="B185" s="43" t="s">
        <v>1337</v>
      </c>
      <c r="C185" s="4" t="str">
        <f t="shared" si="26"/>
        <v>戰鬥開始時裝備者的爆擊傷害抗性增加37%</v>
      </c>
      <c r="D185" s="14"/>
      <c r="E185" s="14"/>
      <c r="F185" s="14"/>
      <c r="G185" s="14"/>
      <c r="H185" s="14"/>
      <c r="I185" s="14"/>
      <c r="J185" s="4"/>
      <c r="K185" s="4"/>
      <c r="L185" s="14"/>
      <c r="M185" s="14"/>
      <c r="N185" s="14"/>
      <c r="O185" s="14"/>
      <c r="P185" s="14"/>
      <c r="Q185" s="43"/>
      <c r="R185" s="43"/>
      <c r="S185" s="43"/>
      <c r="T185" s="4"/>
      <c r="U185" s="43"/>
      <c r="V185" s="4">
        <f t="shared" ref="V185:V187" si="29">V184+0.07</f>
        <v>0.37</v>
      </c>
      <c r="W185" s="43" t="b">
        <v>0</v>
      </c>
      <c r="X185" s="43">
        <v>1.0</v>
      </c>
      <c r="Y185" s="43">
        <v>9999.0</v>
      </c>
      <c r="Z185" s="43"/>
      <c r="AA185" s="43"/>
      <c r="AB185" s="43"/>
      <c r="AC185" s="43">
        <v>1.0</v>
      </c>
      <c r="AD185" s="14"/>
      <c r="AE185" s="14"/>
    </row>
    <row r="186">
      <c r="A186" s="43">
        <v>7079.0</v>
      </c>
      <c r="B186" s="43" t="s">
        <v>1339</v>
      </c>
      <c r="C186" s="4" t="str">
        <f t="shared" si="26"/>
        <v>戰鬥開始時裝備者的爆擊傷害抗性增加44%</v>
      </c>
      <c r="D186" s="14"/>
      <c r="E186" s="14"/>
      <c r="F186" s="14"/>
      <c r="G186" s="14"/>
      <c r="H186" s="14"/>
      <c r="I186" s="14"/>
      <c r="J186" s="4"/>
      <c r="K186" s="4"/>
      <c r="L186" s="14"/>
      <c r="M186" s="14"/>
      <c r="N186" s="14"/>
      <c r="O186" s="14"/>
      <c r="P186" s="14"/>
      <c r="Q186" s="43"/>
      <c r="R186" s="43"/>
      <c r="S186" s="43"/>
      <c r="T186" s="4"/>
      <c r="U186" s="43"/>
      <c r="V186" s="4">
        <f t="shared" si="29"/>
        <v>0.44</v>
      </c>
      <c r="W186" s="43" t="b">
        <v>0</v>
      </c>
      <c r="X186" s="43">
        <v>1.0</v>
      </c>
      <c r="Y186" s="43">
        <v>9999.0</v>
      </c>
      <c r="Z186" s="43"/>
      <c r="AA186" s="43"/>
      <c r="AB186" s="43"/>
      <c r="AC186" s="43">
        <v>1.0</v>
      </c>
      <c r="AD186" s="14"/>
      <c r="AE186" s="14"/>
    </row>
    <row r="187">
      <c r="A187" s="43">
        <v>7080.0</v>
      </c>
      <c r="B187" s="43" t="s">
        <v>1341</v>
      </c>
      <c r="C187" s="4" t="str">
        <f t="shared" si="26"/>
        <v>戰鬥開始時裝備者的爆擊傷害抗性增加51%</v>
      </c>
      <c r="D187" s="14"/>
      <c r="E187" s="14"/>
      <c r="F187" s="14"/>
      <c r="G187" s="14"/>
      <c r="H187" s="14"/>
      <c r="I187" s="14"/>
      <c r="J187" s="4"/>
      <c r="K187" s="4"/>
      <c r="L187" s="14"/>
      <c r="M187" s="14"/>
      <c r="N187" s="14"/>
      <c r="O187" s="14"/>
      <c r="P187" s="14"/>
      <c r="Q187" s="43"/>
      <c r="R187" s="43"/>
      <c r="S187" s="43"/>
      <c r="T187" s="4"/>
      <c r="U187" s="43"/>
      <c r="V187" s="4">
        <f t="shared" si="29"/>
        <v>0.51</v>
      </c>
      <c r="W187" s="43" t="b">
        <v>0</v>
      </c>
      <c r="X187" s="43">
        <v>1.0</v>
      </c>
      <c r="Y187" s="43">
        <v>9999.0</v>
      </c>
      <c r="Z187" s="43"/>
      <c r="AA187" s="43"/>
      <c r="AB187" s="43"/>
      <c r="AC187" s="43">
        <v>1.0</v>
      </c>
      <c r="AD187" s="14"/>
      <c r="AE187" s="14"/>
    </row>
    <row r="188">
      <c r="A188" s="50"/>
      <c r="B188" s="50"/>
      <c r="C188" s="2"/>
      <c r="J188" s="2"/>
      <c r="K188" s="2"/>
      <c r="Q188" s="50"/>
      <c r="R188" s="50"/>
      <c r="S188" s="50"/>
      <c r="T188" s="2"/>
      <c r="U188" s="50"/>
      <c r="V188" s="50"/>
      <c r="W188" s="50"/>
      <c r="X188" s="50"/>
      <c r="Y188" s="50"/>
      <c r="Z188" s="50"/>
      <c r="AA188" s="50"/>
      <c r="AB188" s="50"/>
      <c r="AC188" s="50"/>
    </row>
    <row r="189">
      <c r="A189" s="51"/>
      <c r="B189" s="51"/>
      <c r="V189" s="51"/>
    </row>
    <row r="190">
      <c r="V190" s="51"/>
    </row>
    <row r="191">
      <c r="A191" s="40" t="s">
        <v>288</v>
      </c>
      <c r="B191" s="40" t="s">
        <v>532</v>
      </c>
      <c r="C191" s="40" t="s">
        <v>534</v>
      </c>
      <c r="D191" s="40" t="s">
        <v>535</v>
      </c>
      <c r="E191" s="40" t="s">
        <v>537</v>
      </c>
      <c r="F191" s="40" t="s">
        <v>538</v>
      </c>
      <c r="G191" s="40" t="s">
        <v>540</v>
      </c>
      <c r="H191" s="40" t="s">
        <v>250</v>
      </c>
      <c r="I191" s="40" t="s">
        <v>252</v>
      </c>
      <c r="J191" s="40" t="s">
        <v>254</v>
      </c>
      <c r="K191" s="40" t="s">
        <v>256</v>
      </c>
      <c r="L191" s="40" t="s">
        <v>259</v>
      </c>
      <c r="M191" s="40" t="s">
        <v>73</v>
      </c>
      <c r="N191" s="40" t="s">
        <v>263</v>
      </c>
      <c r="O191" s="40" t="s">
        <v>265</v>
      </c>
      <c r="P191" s="40" t="s">
        <v>267</v>
      </c>
      <c r="Q191" s="40" t="s">
        <v>269</v>
      </c>
      <c r="R191" s="40" t="s">
        <v>270</v>
      </c>
      <c r="S191" s="40" t="s">
        <v>271</v>
      </c>
      <c r="T191" s="40" t="s">
        <v>272</v>
      </c>
      <c r="U191" s="40" t="s">
        <v>273</v>
      </c>
      <c r="V191" s="40" t="s">
        <v>274</v>
      </c>
      <c r="W191" s="40" t="s">
        <v>548</v>
      </c>
      <c r="X191" s="40" t="s">
        <v>549</v>
      </c>
      <c r="Y191" s="40" t="s">
        <v>550</v>
      </c>
      <c r="Z191" s="40" t="s">
        <v>552</v>
      </c>
      <c r="AA191" s="40" t="s">
        <v>554</v>
      </c>
      <c r="AB191" s="40" t="s">
        <v>555</v>
      </c>
      <c r="AC191" s="40" t="s">
        <v>558</v>
      </c>
      <c r="AD191" s="40" t="s">
        <v>559</v>
      </c>
      <c r="AE191" s="4" t="s">
        <v>1349</v>
      </c>
    </row>
    <row r="192">
      <c r="A192" s="43">
        <v>8000.0</v>
      </c>
      <c r="B192" s="63"/>
      <c r="C192" s="63" t="s">
        <v>1350</v>
      </c>
      <c r="D192" s="14"/>
      <c r="E192" s="14"/>
      <c r="F192" s="14"/>
      <c r="G192" s="4"/>
      <c r="H192" s="13">
        <v>0.01</v>
      </c>
      <c r="I192" s="14"/>
      <c r="J192" s="14"/>
      <c r="K192" s="14"/>
      <c r="L192" s="14"/>
      <c r="M192" s="43"/>
      <c r="N192" s="14"/>
      <c r="O192" s="14"/>
      <c r="P192" s="14"/>
      <c r="Q192" s="14"/>
      <c r="R192" s="14"/>
      <c r="S192" s="14"/>
      <c r="T192" s="14"/>
      <c r="U192" s="14"/>
      <c r="V192" s="57"/>
      <c r="W192" s="43"/>
      <c r="X192" s="43"/>
      <c r="Y192" s="43"/>
      <c r="Z192" s="43"/>
      <c r="AA192" s="43"/>
      <c r="AB192" s="43"/>
      <c r="AC192" s="43">
        <v>1.0</v>
      </c>
      <c r="AD192" s="14"/>
      <c r="AE192" s="4"/>
    </row>
    <row r="193">
      <c r="A193" s="43">
        <v>8001.0</v>
      </c>
      <c r="B193" s="63"/>
      <c r="C193" s="63" t="s">
        <v>1350</v>
      </c>
      <c r="D193" s="14"/>
      <c r="E193" s="14"/>
      <c r="F193" s="14"/>
      <c r="G193" s="4"/>
      <c r="H193" s="13">
        <v>0.01</v>
      </c>
      <c r="I193" s="13"/>
      <c r="J193" s="14"/>
      <c r="K193" s="14"/>
      <c r="L193" s="14"/>
      <c r="M193" s="14"/>
      <c r="N193" s="14"/>
      <c r="O193" s="14"/>
      <c r="P193" s="14"/>
      <c r="Q193" s="14"/>
      <c r="R193" s="14"/>
      <c r="S193" s="4"/>
      <c r="T193" s="14"/>
      <c r="U193" s="14"/>
      <c r="V193" s="57"/>
      <c r="W193" s="43"/>
      <c r="X193" s="43"/>
      <c r="Y193" s="43"/>
      <c r="Z193" s="43"/>
      <c r="AA193" s="43"/>
      <c r="AB193" s="43"/>
      <c r="AC193" s="43">
        <v>1.0</v>
      </c>
      <c r="AD193" s="14"/>
      <c r="AE193" s="4"/>
    </row>
    <row r="194">
      <c r="A194" s="43">
        <v>8002.0</v>
      </c>
      <c r="B194" s="63"/>
      <c r="C194" s="63" t="s">
        <v>1350</v>
      </c>
      <c r="D194" s="14"/>
      <c r="E194" s="14"/>
      <c r="F194" s="14"/>
      <c r="G194" s="4"/>
      <c r="H194" s="13">
        <v>0.01</v>
      </c>
      <c r="I194" s="4"/>
      <c r="J194" s="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4"/>
      <c r="V194" s="57"/>
      <c r="W194" s="43"/>
      <c r="X194" s="43"/>
      <c r="Y194" s="43"/>
      <c r="Z194" s="43"/>
      <c r="AA194" s="43"/>
      <c r="AB194" s="43"/>
      <c r="AC194" s="43">
        <v>1.0</v>
      </c>
      <c r="AD194" s="14"/>
      <c r="AE194" s="4"/>
    </row>
    <row r="195">
      <c r="A195" s="43">
        <v>8003.0</v>
      </c>
      <c r="B195" s="63"/>
      <c r="C195" s="63" t="s">
        <v>1350</v>
      </c>
      <c r="D195" s="14"/>
      <c r="E195" s="14"/>
      <c r="F195" s="14"/>
      <c r="G195" s="4"/>
      <c r="H195" s="13">
        <v>0.01</v>
      </c>
      <c r="I195" s="4"/>
      <c r="J195" s="14"/>
      <c r="K195" s="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57"/>
      <c r="W195" s="43"/>
      <c r="X195" s="43"/>
      <c r="Y195" s="43"/>
      <c r="Z195" s="43"/>
      <c r="AA195" s="43"/>
      <c r="AB195" s="43"/>
      <c r="AC195" s="43">
        <v>1.0</v>
      </c>
      <c r="AD195" s="14"/>
      <c r="AE195" s="14"/>
    </row>
    <row r="196">
      <c r="A196" s="43">
        <v>8004.0</v>
      </c>
      <c r="B196" s="63"/>
      <c r="C196" s="63" t="s">
        <v>1350</v>
      </c>
      <c r="D196" s="14"/>
      <c r="E196" s="14"/>
      <c r="F196" s="14"/>
      <c r="G196" s="4"/>
      <c r="H196" s="13">
        <v>0.01</v>
      </c>
      <c r="I196" s="4"/>
      <c r="J196" s="14"/>
      <c r="K196" s="14"/>
      <c r="L196" s="4"/>
      <c r="M196" s="14"/>
      <c r="N196" s="14"/>
      <c r="O196" s="14"/>
      <c r="P196" s="14"/>
      <c r="Q196" s="14"/>
      <c r="R196" s="14"/>
      <c r="S196" s="14"/>
      <c r="T196" s="14"/>
      <c r="U196" s="14"/>
      <c r="V196" s="57"/>
      <c r="W196" s="43"/>
      <c r="X196" s="43"/>
      <c r="Y196" s="43"/>
      <c r="Z196" s="43"/>
      <c r="AA196" s="43"/>
      <c r="AB196" s="43"/>
      <c r="AC196" s="43">
        <v>1.0</v>
      </c>
      <c r="AD196" s="14"/>
      <c r="AE196" s="14"/>
    </row>
    <row r="197">
      <c r="A197" s="43">
        <v>8005.0</v>
      </c>
      <c r="B197" s="63"/>
      <c r="C197" s="63" t="s">
        <v>1350</v>
      </c>
      <c r="D197" s="14"/>
      <c r="E197" s="14"/>
      <c r="F197" s="14"/>
      <c r="G197" s="4"/>
      <c r="H197" s="13">
        <v>0.01</v>
      </c>
      <c r="I197" s="4"/>
      <c r="J197" s="14"/>
      <c r="K197" s="14"/>
      <c r="L197" s="14"/>
      <c r="M197" s="4"/>
      <c r="N197" s="14"/>
      <c r="O197" s="14"/>
      <c r="P197" s="14"/>
      <c r="Q197" s="14"/>
      <c r="R197" s="14"/>
      <c r="S197" s="14"/>
      <c r="T197" s="14"/>
      <c r="U197" s="14"/>
      <c r="V197" s="57"/>
      <c r="W197" s="43"/>
      <c r="X197" s="43"/>
      <c r="Y197" s="43"/>
      <c r="Z197" s="43"/>
      <c r="AA197" s="43"/>
      <c r="AB197" s="43"/>
      <c r="AC197" s="43">
        <v>1.0</v>
      </c>
      <c r="AD197" s="14"/>
      <c r="AE197" s="14"/>
    </row>
    <row r="198">
      <c r="A198" s="43">
        <v>8006.0</v>
      </c>
      <c r="B198" s="63"/>
      <c r="C198" s="63" t="s">
        <v>1350</v>
      </c>
      <c r="D198" s="14"/>
      <c r="E198" s="14"/>
      <c r="F198" s="14"/>
      <c r="G198" s="4"/>
      <c r="H198" s="13">
        <v>0.01</v>
      </c>
      <c r="I198" s="4"/>
      <c r="J198" s="14"/>
      <c r="K198" s="14"/>
      <c r="L198" s="14"/>
      <c r="M198" s="14"/>
      <c r="N198" s="4"/>
      <c r="O198" s="14"/>
      <c r="P198" s="14"/>
      <c r="Q198" s="14"/>
      <c r="R198" s="14"/>
      <c r="S198" s="14"/>
      <c r="T198" s="14"/>
      <c r="U198" s="14"/>
      <c r="V198" s="57"/>
      <c r="W198" s="43"/>
      <c r="X198" s="43"/>
      <c r="Y198" s="43"/>
      <c r="Z198" s="43"/>
      <c r="AA198" s="43"/>
      <c r="AB198" s="43"/>
      <c r="AC198" s="43">
        <v>1.0</v>
      </c>
      <c r="AD198" s="14"/>
      <c r="AE198" s="14"/>
    </row>
    <row r="199">
      <c r="A199" s="43">
        <v>8007.0</v>
      </c>
      <c r="B199" s="63"/>
      <c r="C199" s="63" t="s">
        <v>1350</v>
      </c>
      <c r="D199" s="14"/>
      <c r="E199" s="14"/>
      <c r="F199" s="14"/>
      <c r="G199" s="4"/>
      <c r="H199" s="13">
        <v>0.01</v>
      </c>
      <c r="I199" s="4"/>
      <c r="J199" s="14"/>
      <c r="K199" s="14"/>
      <c r="L199" s="14"/>
      <c r="M199" s="14"/>
      <c r="N199" s="14"/>
      <c r="O199" s="14"/>
      <c r="P199" s="4"/>
      <c r="Q199" s="14"/>
      <c r="R199" s="14"/>
      <c r="S199" s="14"/>
      <c r="T199" s="14"/>
      <c r="U199" s="14"/>
      <c r="V199" s="57"/>
      <c r="W199" s="43"/>
      <c r="X199" s="43"/>
      <c r="Y199" s="43"/>
      <c r="Z199" s="43"/>
      <c r="AA199" s="43"/>
      <c r="AB199" s="43"/>
      <c r="AC199" s="43">
        <v>1.0</v>
      </c>
      <c r="AD199" s="14"/>
      <c r="AE199" s="14"/>
    </row>
    <row r="200">
      <c r="A200" s="43">
        <v>8008.0</v>
      </c>
      <c r="B200" s="63"/>
      <c r="C200" s="63" t="s">
        <v>1350</v>
      </c>
      <c r="D200" s="14"/>
      <c r="E200" s="14"/>
      <c r="F200" s="14"/>
      <c r="G200" s="4"/>
      <c r="H200" s="13">
        <v>0.01</v>
      </c>
      <c r="I200" s="4"/>
      <c r="J200" s="14"/>
      <c r="K200" s="14"/>
      <c r="L200" s="14"/>
      <c r="M200" s="14"/>
      <c r="N200" s="14"/>
      <c r="O200" s="14"/>
      <c r="P200" s="14"/>
      <c r="Q200" s="4"/>
      <c r="R200" s="14"/>
      <c r="S200" s="14"/>
      <c r="T200" s="14"/>
      <c r="U200" s="14"/>
      <c r="V200" s="57"/>
      <c r="W200" s="43"/>
      <c r="X200" s="43"/>
      <c r="Y200" s="43"/>
      <c r="Z200" s="43"/>
      <c r="AA200" s="43"/>
      <c r="AB200" s="43"/>
      <c r="AC200" s="43">
        <v>1.0</v>
      </c>
      <c r="AD200" s="14"/>
      <c r="AE200" s="14"/>
    </row>
    <row r="201">
      <c r="A201" s="43">
        <v>8009.0</v>
      </c>
      <c r="B201" s="63"/>
      <c r="C201" s="63" t="s">
        <v>1350</v>
      </c>
      <c r="D201" s="14"/>
      <c r="E201" s="14"/>
      <c r="F201" s="14"/>
      <c r="G201" s="4"/>
      <c r="H201" s="13">
        <v>0.01</v>
      </c>
      <c r="I201" s="4"/>
      <c r="J201" s="14"/>
      <c r="K201" s="14"/>
      <c r="L201" s="14"/>
      <c r="M201" s="14"/>
      <c r="N201" s="14"/>
      <c r="O201" s="14"/>
      <c r="P201" s="14"/>
      <c r="Q201" s="14"/>
      <c r="R201" s="4"/>
      <c r="S201" s="14"/>
      <c r="T201" s="14"/>
      <c r="U201" s="14"/>
      <c r="V201" s="57"/>
      <c r="W201" s="43"/>
      <c r="X201" s="43"/>
      <c r="Y201" s="43"/>
      <c r="Z201" s="43"/>
      <c r="AA201" s="43"/>
      <c r="AB201" s="43"/>
      <c r="AC201" s="43">
        <v>1.0</v>
      </c>
      <c r="AD201" s="14"/>
      <c r="AE201" s="14"/>
    </row>
    <row r="202">
      <c r="A202" s="43">
        <v>8010.0</v>
      </c>
      <c r="B202" s="63"/>
      <c r="C202" s="63" t="s">
        <v>1350</v>
      </c>
      <c r="D202" s="14"/>
      <c r="E202" s="14"/>
      <c r="F202" s="14"/>
      <c r="G202" s="4"/>
      <c r="H202" s="13">
        <v>0.01</v>
      </c>
      <c r="I202" s="4"/>
      <c r="J202" s="14"/>
      <c r="K202" s="14"/>
      <c r="L202" s="14"/>
      <c r="M202" s="14"/>
      <c r="N202" s="14"/>
      <c r="O202" s="14"/>
      <c r="P202" s="14"/>
      <c r="Q202" s="14"/>
      <c r="R202" s="14"/>
      <c r="S202" s="4"/>
      <c r="T202" s="14"/>
      <c r="U202" s="14"/>
      <c r="V202" s="57"/>
      <c r="W202" s="43"/>
      <c r="X202" s="43"/>
      <c r="Y202" s="43"/>
      <c r="Z202" s="43"/>
      <c r="AA202" s="43"/>
      <c r="AB202" s="43"/>
      <c r="AC202" s="43">
        <v>1.0</v>
      </c>
      <c r="AD202" s="14"/>
      <c r="AE202" s="14"/>
    </row>
    <row r="203" ht="16.5" customHeight="1">
      <c r="A203" s="43">
        <v>8011.0</v>
      </c>
      <c r="B203" s="63"/>
      <c r="C203" s="63" t="s">
        <v>1350</v>
      </c>
      <c r="D203" s="14"/>
      <c r="E203" s="14"/>
      <c r="F203" s="14"/>
      <c r="G203" s="4"/>
      <c r="H203" s="13">
        <v>0.01</v>
      </c>
      <c r="I203" s="4"/>
      <c r="J203" s="14"/>
      <c r="K203" s="14"/>
      <c r="L203" s="14"/>
      <c r="M203" s="43"/>
      <c r="N203" s="14"/>
      <c r="O203" s="14"/>
      <c r="P203" s="14"/>
      <c r="Q203" s="14"/>
      <c r="R203" s="14"/>
      <c r="S203" s="14"/>
      <c r="T203" s="14"/>
      <c r="U203" s="14"/>
      <c r="V203" s="57"/>
      <c r="W203" s="43"/>
      <c r="X203" s="43"/>
      <c r="Y203" s="43"/>
      <c r="Z203" s="43"/>
      <c r="AA203" s="43"/>
      <c r="AB203" s="43"/>
      <c r="AC203" s="43">
        <v>1.0</v>
      </c>
      <c r="AD203" s="14"/>
      <c r="AE203" s="14"/>
    </row>
    <row r="204">
      <c r="A204" s="43">
        <v>8012.0</v>
      </c>
      <c r="B204" s="63"/>
      <c r="C204" s="63" t="s">
        <v>1350</v>
      </c>
      <c r="D204" s="14"/>
      <c r="E204" s="14"/>
      <c r="F204" s="14"/>
      <c r="G204" s="4"/>
      <c r="H204" s="13">
        <v>0.01</v>
      </c>
      <c r="I204" s="4"/>
      <c r="J204" s="14"/>
      <c r="K204" s="14"/>
      <c r="L204" s="14"/>
      <c r="M204" s="14"/>
      <c r="N204" s="14"/>
      <c r="O204" s="14"/>
      <c r="P204" s="14"/>
      <c r="Q204" s="14"/>
      <c r="R204" s="14"/>
      <c r="S204" s="4"/>
      <c r="T204" s="14"/>
      <c r="U204" s="14"/>
      <c r="V204" s="57"/>
      <c r="W204" s="43"/>
      <c r="X204" s="43"/>
      <c r="Y204" s="43"/>
      <c r="Z204" s="43"/>
      <c r="AA204" s="43"/>
      <c r="AB204" s="43"/>
      <c r="AC204" s="43">
        <v>1.0</v>
      </c>
      <c r="AD204" s="14"/>
      <c r="AE204" s="14"/>
    </row>
    <row r="205">
      <c r="A205" s="43">
        <v>8013.0</v>
      </c>
      <c r="B205" s="63"/>
      <c r="C205" s="63" t="s">
        <v>1350</v>
      </c>
      <c r="D205" s="14"/>
      <c r="E205" s="14"/>
      <c r="F205" s="14"/>
      <c r="G205" s="4"/>
      <c r="H205" s="13">
        <v>0.01</v>
      </c>
      <c r="I205" s="4"/>
      <c r="J205" s="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4"/>
      <c r="V205" s="57"/>
      <c r="W205" s="43"/>
      <c r="X205" s="43"/>
      <c r="Y205" s="43"/>
      <c r="Z205" s="43"/>
      <c r="AA205" s="43"/>
      <c r="AB205" s="43"/>
      <c r="AC205" s="43">
        <v>1.0</v>
      </c>
      <c r="AD205" s="14"/>
      <c r="AE205" s="14"/>
    </row>
    <row r="206">
      <c r="A206" s="43">
        <v>8014.0</v>
      </c>
      <c r="B206" s="63"/>
      <c r="C206" s="63" t="s">
        <v>1364</v>
      </c>
      <c r="D206" s="14"/>
      <c r="E206" s="14"/>
      <c r="F206" s="14"/>
      <c r="G206" s="4"/>
      <c r="H206" s="14"/>
      <c r="I206" s="14"/>
      <c r="J206" s="14"/>
      <c r="K206" s="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57"/>
      <c r="W206" s="43"/>
      <c r="X206" s="43"/>
      <c r="Y206" s="43"/>
      <c r="Z206" s="43"/>
      <c r="AA206" s="43"/>
      <c r="AB206" s="43"/>
      <c r="AC206" s="43">
        <v>1.0</v>
      </c>
      <c r="AD206" s="14"/>
      <c r="AE206" s="14"/>
    </row>
    <row r="207">
      <c r="A207" s="43">
        <v>8015.0</v>
      </c>
      <c r="B207" s="63"/>
      <c r="C207" s="63" t="s">
        <v>1350</v>
      </c>
      <c r="D207" s="14"/>
      <c r="E207" s="14"/>
      <c r="F207" s="14"/>
      <c r="G207" s="4"/>
      <c r="H207" s="13">
        <v>0.01</v>
      </c>
      <c r="I207" s="14"/>
      <c r="J207" s="14"/>
      <c r="K207" s="14"/>
      <c r="L207" s="4"/>
      <c r="M207" s="14"/>
      <c r="N207" s="14"/>
      <c r="O207" s="14"/>
      <c r="P207" s="14"/>
      <c r="Q207" s="14"/>
      <c r="R207" s="14"/>
      <c r="S207" s="14"/>
      <c r="T207" s="14"/>
      <c r="U207" s="14"/>
      <c r="V207" s="57"/>
      <c r="W207" s="43"/>
      <c r="X207" s="43"/>
      <c r="Y207" s="43"/>
      <c r="Z207" s="43"/>
      <c r="AA207" s="43"/>
      <c r="AB207" s="43"/>
      <c r="AC207" s="43">
        <v>1.0</v>
      </c>
      <c r="AD207" s="14"/>
      <c r="AE207" s="14"/>
    </row>
    <row r="208">
      <c r="A208" s="43">
        <v>8016.0</v>
      </c>
      <c r="B208" s="63"/>
      <c r="C208" s="63" t="s">
        <v>1350</v>
      </c>
      <c r="D208" s="14"/>
      <c r="E208" s="14"/>
      <c r="F208" s="14"/>
      <c r="G208" s="4"/>
      <c r="H208" s="13">
        <v>0.01</v>
      </c>
      <c r="I208" s="14"/>
      <c r="J208" s="14"/>
      <c r="K208" s="14"/>
      <c r="L208" s="14"/>
      <c r="M208" s="4"/>
      <c r="N208" s="14"/>
      <c r="O208" s="14"/>
      <c r="P208" s="14"/>
      <c r="Q208" s="14"/>
      <c r="R208" s="14"/>
      <c r="S208" s="14"/>
      <c r="T208" s="14"/>
      <c r="U208" s="14"/>
      <c r="V208" s="57"/>
      <c r="W208" s="43"/>
      <c r="X208" s="43"/>
      <c r="Y208" s="43"/>
      <c r="Z208" s="43"/>
      <c r="AA208" s="43"/>
      <c r="AB208" s="43"/>
      <c r="AC208" s="43">
        <v>1.0</v>
      </c>
      <c r="AD208" s="14"/>
      <c r="AE208" s="14"/>
    </row>
    <row r="209">
      <c r="A209" s="43">
        <v>8017.0</v>
      </c>
      <c r="B209" s="63"/>
      <c r="C209" s="63" t="s">
        <v>1350</v>
      </c>
      <c r="D209" s="14"/>
      <c r="E209" s="14"/>
      <c r="F209" s="14"/>
      <c r="G209" s="4"/>
      <c r="H209" s="13">
        <v>0.01</v>
      </c>
      <c r="I209" s="14"/>
      <c r="J209" s="14"/>
      <c r="K209" s="14"/>
      <c r="L209" s="14"/>
      <c r="M209" s="14"/>
      <c r="N209" s="4"/>
      <c r="O209" s="14"/>
      <c r="P209" s="14"/>
      <c r="Q209" s="14"/>
      <c r="R209" s="14"/>
      <c r="S209" s="14"/>
      <c r="T209" s="14"/>
      <c r="U209" s="14"/>
      <c r="V209" s="57"/>
      <c r="W209" s="43"/>
      <c r="X209" s="43"/>
      <c r="Y209" s="43"/>
      <c r="Z209" s="43"/>
      <c r="AA209" s="43"/>
      <c r="AB209" s="43"/>
      <c r="AC209" s="43">
        <v>1.0</v>
      </c>
      <c r="AD209" s="14"/>
      <c r="AE209" s="14"/>
    </row>
    <row r="210">
      <c r="A210" s="43">
        <v>8018.0</v>
      </c>
      <c r="B210" s="63"/>
      <c r="C210" s="63" t="s">
        <v>1350</v>
      </c>
      <c r="D210" s="14"/>
      <c r="E210" s="14"/>
      <c r="F210" s="14"/>
      <c r="G210" s="4"/>
      <c r="H210" s="13">
        <v>0.01</v>
      </c>
      <c r="I210" s="14"/>
      <c r="J210" s="14"/>
      <c r="K210" s="14"/>
      <c r="L210" s="14"/>
      <c r="M210" s="14"/>
      <c r="N210" s="14"/>
      <c r="O210" s="14"/>
      <c r="P210" s="4"/>
      <c r="Q210" s="14"/>
      <c r="R210" s="14"/>
      <c r="S210" s="14"/>
      <c r="T210" s="14"/>
      <c r="U210" s="14"/>
      <c r="V210" s="57"/>
      <c r="W210" s="43"/>
      <c r="X210" s="43"/>
      <c r="Y210" s="43"/>
      <c r="Z210" s="43"/>
      <c r="AA210" s="43"/>
      <c r="AB210" s="43"/>
      <c r="AC210" s="43">
        <v>1.0</v>
      </c>
      <c r="AD210" s="14"/>
      <c r="AE210" s="14"/>
    </row>
    <row r="211">
      <c r="A211" s="43">
        <v>8019.0</v>
      </c>
      <c r="B211" s="63"/>
      <c r="C211" s="63" t="s">
        <v>1350</v>
      </c>
      <c r="D211" s="14"/>
      <c r="E211" s="14"/>
      <c r="F211" s="14"/>
      <c r="G211" s="4"/>
      <c r="H211" s="13">
        <v>0.01</v>
      </c>
      <c r="I211" s="14"/>
      <c r="J211" s="14"/>
      <c r="K211" s="14"/>
      <c r="L211" s="14"/>
      <c r="M211" s="14"/>
      <c r="N211" s="14"/>
      <c r="O211" s="14"/>
      <c r="P211" s="14"/>
      <c r="Q211" s="4"/>
      <c r="R211" s="14"/>
      <c r="S211" s="14"/>
      <c r="T211" s="14"/>
      <c r="U211" s="14"/>
      <c r="V211" s="57"/>
      <c r="W211" s="43"/>
      <c r="X211" s="43"/>
      <c r="Y211" s="43"/>
      <c r="Z211" s="43"/>
      <c r="AA211" s="43"/>
      <c r="AB211" s="43"/>
      <c r="AC211" s="43">
        <v>1.0</v>
      </c>
      <c r="AD211" s="14"/>
      <c r="AE211" s="14"/>
    </row>
    <row r="212">
      <c r="A212" s="43">
        <v>8020.0</v>
      </c>
      <c r="B212" s="63"/>
      <c r="C212" s="63" t="s">
        <v>1350</v>
      </c>
      <c r="D212" s="14"/>
      <c r="E212" s="14"/>
      <c r="F212" s="14"/>
      <c r="G212" s="4"/>
      <c r="H212" s="13">
        <v>0.01</v>
      </c>
      <c r="I212" s="14"/>
      <c r="J212" s="14"/>
      <c r="K212" s="14"/>
      <c r="L212" s="14"/>
      <c r="M212" s="14"/>
      <c r="N212" s="14"/>
      <c r="O212" s="14"/>
      <c r="P212" s="14"/>
      <c r="Q212" s="14"/>
      <c r="R212" s="4"/>
      <c r="S212" s="14"/>
      <c r="T212" s="14"/>
      <c r="U212" s="14"/>
      <c r="V212" s="57"/>
      <c r="W212" s="43"/>
      <c r="X212" s="43"/>
      <c r="Y212" s="43"/>
      <c r="Z212" s="43"/>
      <c r="AA212" s="43"/>
      <c r="AB212" s="43"/>
      <c r="AC212" s="43">
        <v>1.0</v>
      </c>
      <c r="AD212" s="14"/>
      <c r="AE212" s="14"/>
    </row>
    <row r="213">
      <c r="A213" s="43">
        <v>8021.0</v>
      </c>
      <c r="B213" s="63"/>
      <c r="C213" s="63" t="s">
        <v>1350</v>
      </c>
      <c r="D213" s="14"/>
      <c r="E213" s="14"/>
      <c r="F213" s="14"/>
      <c r="G213" s="4"/>
      <c r="H213" s="13">
        <v>0.01</v>
      </c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4"/>
      <c r="T213" s="14"/>
      <c r="U213" s="14"/>
      <c r="V213" s="57"/>
      <c r="W213" s="43"/>
      <c r="X213" s="43"/>
      <c r="Y213" s="43"/>
      <c r="Z213" s="43"/>
      <c r="AA213" s="43"/>
      <c r="AB213" s="43"/>
      <c r="AC213" s="43">
        <v>1.0</v>
      </c>
      <c r="AD213" s="14"/>
      <c r="AE213" s="14"/>
    </row>
    <row r="214">
      <c r="A214" s="43">
        <v>8022.0</v>
      </c>
      <c r="B214" s="63"/>
      <c r="C214" s="63" t="s">
        <v>1350</v>
      </c>
      <c r="D214" s="14"/>
      <c r="E214" s="14"/>
      <c r="F214" s="14"/>
      <c r="G214" s="4"/>
      <c r="H214" s="13">
        <v>0.01</v>
      </c>
      <c r="I214" s="14"/>
      <c r="J214" s="14"/>
      <c r="K214" s="14"/>
      <c r="L214" s="14"/>
      <c r="M214" s="43"/>
      <c r="N214" s="14"/>
      <c r="O214" s="14"/>
      <c r="P214" s="14"/>
      <c r="Q214" s="14"/>
      <c r="R214" s="14"/>
      <c r="S214" s="14"/>
      <c r="T214" s="14"/>
      <c r="U214" s="14"/>
      <c r="V214" s="57"/>
      <c r="W214" s="43"/>
      <c r="X214" s="43"/>
      <c r="Y214" s="43"/>
      <c r="Z214" s="43"/>
      <c r="AA214" s="43"/>
      <c r="AB214" s="43"/>
      <c r="AC214" s="43">
        <v>1.0</v>
      </c>
      <c r="AD214" s="14"/>
      <c r="AE214" s="14"/>
    </row>
    <row r="215">
      <c r="A215" s="43">
        <v>8023.0</v>
      </c>
      <c r="B215" s="63"/>
      <c r="C215" s="63" t="s">
        <v>1350</v>
      </c>
      <c r="D215" s="14"/>
      <c r="E215" s="14"/>
      <c r="F215" s="14"/>
      <c r="G215" s="4"/>
      <c r="H215" s="13">
        <v>0.01</v>
      </c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4"/>
      <c r="T215" s="14"/>
      <c r="U215" s="14"/>
      <c r="V215" s="57"/>
      <c r="W215" s="43"/>
      <c r="X215" s="43"/>
      <c r="Y215" s="43"/>
      <c r="Z215" s="43"/>
      <c r="AA215" s="43"/>
      <c r="AB215" s="43"/>
      <c r="AC215" s="43">
        <v>1.0</v>
      </c>
      <c r="AD215" s="14"/>
      <c r="AE215" s="14"/>
    </row>
    <row r="216">
      <c r="A216" s="43">
        <v>8024.0</v>
      </c>
      <c r="B216" s="63"/>
      <c r="C216" s="63" t="s">
        <v>1350</v>
      </c>
      <c r="D216" s="14"/>
      <c r="E216" s="14"/>
      <c r="F216" s="14"/>
      <c r="G216" s="4"/>
      <c r="H216" s="13">
        <v>0.01</v>
      </c>
      <c r="I216" s="14"/>
      <c r="J216" s="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4"/>
      <c r="V216" s="57"/>
      <c r="W216" s="43"/>
      <c r="X216" s="43"/>
      <c r="Y216" s="43"/>
      <c r="Z216" s="43"/>
      <c r="AA216" s="43"/>
      <c r="AB216" s="43"/>
      <c r="AC216" s="43">
        <v>1.0</v>
      </c>
      <c r="AD216" s="14"/>
      <c r="AE216" s="14"/>
    </row>
    <row r="217">
      <c r="A217" s="43">
        <v>8025.0</v>
      </c>
      <c r="B217" s="63"/>
      <c r="C217" s="63" t="s">
        <v>1350</v>
      </c>
      <c r="D217" s="14"/>
      <c r="E217" s="14"/>
      <c r="F217" s="14"/>
      <c r="G217" s="4"/>
      <c r="H217" s="13">
        <v>0.01</v>
      </c>
      <c r="I217" s="14"/>
      <c r="J217" s="14"/>
      <c r="K217" s="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57"/>
      <c r="W217" s="43"/>
      <c r="X217" s="43"/>
      <c r="Y217" s="43"/>
      <c r="Z217" s="43"/>
      <c r="AA217" s="43"/>
      <c r="AB217" s="43"/>
      <c r="AC217" s="43">
        <v>1.0</v>
      </c>
      <c r="AD217" s="14"/>
      <c r="AE217" s="14"/>
    </row>
    <row r="218">
      <c r="A218" s="43">
        <v>8026.0</v>
      </c>
      <c r="B218" s="63"/>
      <c r="C218" s="63" t="s">
        <v>1350</v>
      </c>
      <c r="D218" s="14"/>
      <c r="E218" s="14"/>
      <c r="F218" s="14"/>
      <c r="G218" s="4"/>
      <c r="H218" s="13">
        <v>0.01</v>
      </c>
      <c r="I218" s="14"/>
      <c r="J218" s="14"/>
      <c r="K218" s="14"/>
      <c r="L218" s="4"/>
      <c r="M218" s="14"/>
      <c r="N218" s="14"/>
      <c r="O218" s="14"/>
      <c r="P218" s="14"/>
      <c r="Q218" s="14"/>
      <c r="R218" s="14"/>
      <c r="S218" s="14"/>
      <c r="T218" s="14"/>
      <c r="U218" s="14"/>
      <c r="V218" s="57"/>
      <c r="W218" s="43"/>
      <c r="X218" s="43"/>
      <c r="Y218" s="43"/>
      <c r="Z218" s="43"/>
      <c r="AA218" s="43"/>
      <c r="AB218" s="43"/>
      <c r="AC218" s="43">
        <v>1.0</v>
      </c>
      <c r="AD218" s="14"/>
      <c r="AE218" s="14"/>
    </row>
    <row r="219">
      <c r="A219" s="43">
        <v>8027.0</v>
      </c>
      <c r="B219" s="63"/>
      <c r="C219" s="63" t="s">
        <v>1350</v>
      </c>
      <c r="D219" s="14"/>
      <c r="E219" s="14"/>
      <c r="F219" s="14"/>
      <c r="G219" s="4"/>
      <c r="H219" s="13">
        <v>0.01</v>
      </c>
      <c r="I219" s="14"/>
      <c r="J219" s="14"/>
      <c r="K219" s="14"/>
      <c r="L219" s="14"/>
      <c r="M219" s="4"/>
      <c r="N219" s="14"/>
      <c r="O219" s="14"/>
      <c r="P219" s="14"/>
      <c r="Q219" s="14"/>
      <c r="R219" s="14"/>
      <c r="S219" s="14"/>
      <c r="T219" s="14"/>
      <c r="U219" s="14"/>
      <c r="V219" s="57"/>
      <c r="W219" s="43"/>
      <c r="X219" s="43"/>
      <c r="Y219" s="43"/>
      <c r="Z219" s="43"/>
      <c r="AA219" s="43"/>
      <c r="AB219" s="43"/>
      <c r="AC219" s="43">
        <v>1.0</v>
      </c>
      <c r="AD219" s="14"/>
      <c r="AE219" s="14"/>
    </row>
    <row r="220">
      <c r="A220" s="43">
        <v>8028.0</v>
      </c>
      <c r="B220" s="63"/>
      <c r="C220" s="63" t="s">
        <v>1350</v>
      </c>
      <c r="D220" s="14"/>
      <c r="E220" s="14"/>
      <c r="F220" s="14"/>
      <c r="G220" s="4"/>
      <c r="H220" s="13">
        <v>0.01</v>
      </c>
      <c r="I220" s="14"/>
      <c r="J220" s="14"/>
      <c r="K220" s="14"/>
      <c r="L220" s="14"/>
      <c r="M220" s="14"/>
      <c r="N220" s="4"/>
      <c r="O220" s="14"/>
      <c r="P220" s="14"/>
      <c r="Q220" s="14"/>
      <c r="R220" s="14"/>
      <c r="S220" s="14"/>
      <c r="T220" s="14"/>
      <c r="U220" s="14"/>
      <c r="V220" s="57"/>
      <c r="W220" s="43"/>
      <c r="X220" s="43"/>
      <c r="Y220" s="43"/>
      <c r="Z220" s="43"/>
      <c r="AA220" s="43"/>
      <c r="AB220" s="43"/>
      <c r="AC220" s="43">
        <v>1.0</v>
      </c>
      <c r="AD220" s="14"/>
      <c r="AE220" s="14"/>
    </row>
    <row r="221">
      <c r="A221" s="43">
        <v>8029.0</v>
      </c>
      <c r="B221" s="63"/>
      <c r="C221" s="63" t="s">
        <v>1392</v>
      </c>
      <c r="D221" s="14"/>
      <c r="E221" s="14"/>
      <c r="F221" s="14"/>
      <c r="G221" s="4"/>
      <c r="H221" s="14"/>
      <c r="I221" s="14"/>
      <c r="J221" s="14"/>
      <c r="K221" s="14"/>
      <c r="L221" s="14"/>
      <c r="M221" s="14"/>
      <c r="N221" s="14"/>
      <c r="O221" s="14"/>
      <c r="P221" s="4"/>
      <c r="Q221" s="14"/>
      <c r="R221" s="14"/>
      <c r="S221" s="14"/>
      <c r="T221" s="14"/>
      <c r="U221" s="14"/>
      <c r="V221" s="57"/>
      <c r="W221" s="43"/>
      <c r="X221" s="43"/>
      <c r="Y221" s="43"/>
      <c r="Z221" s="43"/>
      <c r="AA221" s="43"/>
      <c r="AB221" s="43"/>
      <c r="AC221" s="43">
        <v>1.0</v>
      </c>
      <c r="AD221" s="14"/>
      <c r="AE221" s="14"/>
    </row>
    <row r="222">
      <c r="A222" s="43">
        <v>8030.0</v>
      </c>
      <c r="B222" s="63"/>
      <c r="C222" s="63" t="s">
        <v>1350</v>
      </c>
      <c r="D222" s="14"/>
      <c r="E222" s="14"/>
      <c r="F222" s="14"/>
      <c r="G222" s="4"/>
      <c r="H222" s="13">
        <v>0.01</v>
      </c>
      <c r="I222" s="14"/>
      <c r="J222" s="14"/>
      <c r="K222" s="14"/>
      <c r="L222" s="14"/>
      <c r="M222" s="14"/>
      <c r="N222" s="14"/>
      <c r="O222" s="14"/>
      <c r="P222" s="14"/>
      <c r="Q222" s="4"/>
      <c r="R222" s="14"/>
      <c r="S222" s="14"/>
      <c r="T222" s="14"/>
      <c r="U222" s="14"/>
      <c r="V222" s="57"/>
      <c r="W222" s="43"/>
      <c r="X222" s="43"/>
      <c r="Y222" s="43"/>
      <c r="Z222" s="43"/>
      <c r="AA222" s="43"/>
      <c r="AB222" s="43"/>
      <c r="AC222" s="43">
        <v>1.0</v>
      </c>
      <c r="AD222" s="14"/>
      <c r="AE222" s="14"/>
    </row>
    <row r="223">
      <c r="A223" s="43">
        <v>8031.0</v>
      </c>
      <c r="B223" s="63"/>
      <c r="C223" s="63" t="s">
        <v>1350</v>
      </c>
      <c r="D223" s="14"/>
      <c r="E223" s="14"/>
      <c r="F223" s="14"/>
      <c r="G223" s="4"/>
      <c r="H223" s="13">
        <v>0.01</v>
      </c>
      <c r="I223" s="4"/>
      <c r="J223" s="14"/>
      <c r="K223" s="14"/>
      <c r="L223" s="14"/>
      <c r="M223" s="14"/>
      <c r="N223" s="14"/>
      <c r="O223" s="14"/>
      <c r="P223" s="14"/>
      <c r="Q223" s="14"/>
      <c r="R223" s="4"/>
      <c r="S223" s="14"/>
      <c r="T223" s="14"/>
      <c r="U223" s="14"/>
      <c r="V223" s="57"/>
      <c r="W223" s="43"/>
      <c r="X223" s="43"/>
      <c r="Y223" s="43"/>
      <c r="Z223" s="43"/>
      <c r="AA223" s="43"/>
      <c r="AB223" s="43"/>
      <c r="AC223" s="43">
        <v>1.0</v>
      </c>
      <c r="AD223" s="14"/>
      <c r="AE223" s="14"/>
    </row>
    <row r="224">
      <c r="A224" s="43">
        <v>8032.0</v>
      </c>
      <c r="B224" s="63"/>
      <c r="C224" s="63" t="s">
        <v>1350</v>
      </c>
      <c r="D224" s="14"/>
      <c r="E224" s="14"/>
      <c r="F224" s="14"/>
      <c r="G224" s="4"/>
      <c r="H224" s="13">
        <v>0.01</v>
      </c>
      <c r="I224" s="4"/>
      <c r="J224" s="14"/>
      <c r="K224" s="14"/>
      <c r="L224" s="14"/>
      <c r="M224" s="14"/>
      <c r="N224" s="14"/>
      <c r="O224" s="14"/>
      <c r="P224" s="14"/>
      <c r="Q224" s="14"/>
      <c r="R224" s="14"/>
      <c r="S224" s="4"/>
      <c r="T224" s="14"/>
      <c r="U224" s="14"/>
      <c r="V224" s="57"/>
      <c r="W224" s="43"/>
      <c r="X224" s="43"/>
      <c r="Y224" s="43"/>
      <c r="Z224" s="43"/>
      <c r="AA224" s="43"/>
      <c r="AB224" s="43"/>
      <c r="AC224" s="43">
        <v>1.0</v>
      </c>
      <c r="AD224" s="14"/>
      <c r="AE224" s="14"/>
    </row>
    <row r="225">
      <c r="A225" s="43">
        <v>8033.0</v>
      </c>
      <c r="B225" s="63"/>
      <c r="C225" s="63" t="s">
        <v>1350</v>
      </c>
      <c r="D225" s="14"/>
      <c r="E225" s="14"/>
      <c r="F225" s="14"/>
      <c r="G225" s="4"/>
      <c r="H225" s="13">
        <v>0.01</v>
      </c>
      <c r="I225" s="4"/>
      <c r="J225" s="14"/>
      <c r="K225" s="14"/>
      <c r="L225" s="14"/>
      <c r="M225" s="14"/>
      <c r="N225" s="14"/>
      <c r="O225" s="14"/>
      <c r="P225" s="14"/>
      <c r="Q225" s="14"/>
      <c r="R225" s="14"/>
      <c r="S225" s="4"/>
      <c r="T225" s="14"/>
      <c r="U225" s="14"/>
      <c r="V225" s="57"/>
      <c r="W225" s="43"/>
      <c r="X225" s="43"/>
      <c r="Y225" s="43"/>
      <c r="Z225" s="43"/>
      <c r="AA225" s="43"/>
      <c r="AB225" s="43"/>
      <c r="AC225" s="43">
        <v>1.0</v>
      </c>
      <c r="AD225" s="14"/>
      <c r="AE225" s="14"/>
    </row>
    <row r="226">
      <c r="A226" s="43">
        <v>8034.0</v>
      </c>
      <c r="B226" s="63"/>
      <c r="C226" s="63" t="s">
        <v>1350</v>
      </c>
      <c r="D226" s="14"/>
      <c r="E226" s="14"/>
      <c r="F226" s="14"/>
      <c r="G226" s="4"/>
      <c r="H226" s="13">
        <v>0.01</v>
      </c>
      <c r="I226" s="4"/>
      <c r="J226" s="14"/>
      <c r="K226" s="14"/>
      <c r="L226" s="14"/>
      <c r="M226" s="14"/>
      <c r="N226" s="14"/>
      <c r="O226" s="14"/>
      <c r="P226" s="14"/>
      <c r="Q226" s="14"/>
      <c r="R226" s="14"/>
      <c r="S226" s="4"/>
      <c r="T226" s="14"/>
      <c r="U226" s="14"/>
      <c r="V226" s="57"/>
      <c r="W226" s="43"/>
      <c r="X226" s="43"/>
      <c r="Y226" s="43"/>
      <c r="Z226" s="43"/>
      <c r="AA226" s="43"/>
      <c r="AB226" s="43"/>
      <c r="AC226" s="43">
        <v>1.0</v>
      </c>
      <c r="AD226" s="14"/>
      <c r="AE226" s="14"/>
    </row>
    <row r="227">
      <c r="A227" s="43">
        <v>8035.0</v>
      </c>
      <c r="B227" s="63"/>
      <c r="C227" s="63" t="s">
        <v>1350</v>
      </c>
      <c r="D227" s="14"/>
      <c r="E227" s="14"/>
      <c r="F227" s="14"/>
      <c r="G227" s="4"/>
      <c r="H227" s="13">
        <v>0.01</v>
      </c>
      <c r="I227" s="4"/>
      <c r="J227" s="14"/>
      <c r="K227" s="14"/>
      <c r="L227" s="14"/>
      <c r="M227" s="14"/>
      <c r="N227" s="14"/>
      <c r="O227" s="14"/>
      <c r="P227" s="14"/>
      <c r="Q227" s="14"/>
      <c r="R227" s="14"/>
      <c r="S227" s="4"/>
      <c r="T227" s="14"/>
      <c r="U227" s="14"/>
      <c r="V227" s="57"/>
      <c r="W227" s="43"/>
      <c r="X227" s="43"/>
      <c r="Y227" s="43"/>
      <c r="Z227" s="43"/>
      <c r="AA227" s="43"/>
      <c r="AB227" s="43"/>
      <c r="AC227" s="43">
        <v>1.0</v>
      </c>
      <c r="AD227" s="14"/>
      <c r="AE227" s="14"/>
    </row>
    <row r="228">
      <c r="A228" s="43">
        <v>8036.0</v>
      </c>
      <c r="B228" s="63"/>
      <c r="C228" s="63" t="s">
        <v>1350</v>
      </c>
      <c r="D228" s="14"/>
      <c r="E228" s="14"/>
      <c r="F228" s="14"/>
      <c r="G228" s="4"/>
      <c r="H228" s="13">
        <v>0.01</v>
      </c>
      <c r="I228" s="4"/>
      <c r="J228" s="14"/>
      <c r="K228" s="14"/>
      <c r="L228" s="14"/>
      <c r="M228" s="14"/>
      <c r="N228" s="14"/>
      <c r="O228" s="14"/>
      <c r="P228" s="14"/>
      <c r="Q228" s="14"/>
      <c r="R228" s="14"/>
      <c r="S228" s="4"/>
      <c r="T228" s="14"/>
      <c r="U228" s="14"/>
      <c r="V228" s="57"/>
      <c r="W228" s="43"/>
      <c r="X228" s="43"/>
      <c r="Y228" s="43"/>
      <c r="Z228" s="43"/>
      <c r="AA228" s="43"/>
      <c r="AB228" s="43"/>
      <c r="AC228" s="43">
        <v>1.0</v>
      </c>
      <c r="AD228" s="14"/>
      <c r="AE228" s="14"/>
    </row>
    <row r="229">
      <c r="A229" s="43">
        <v>8037.0</v>
      </c>
      <c r="B229" s="63"/>
      <c r="C229" s="63" t="s">
        <v>1350</v>
      </c>
      <c r="D229" s="14"/>
      <c r="E229" s="14"/>
      <c r="F229" s="14"/>
      <c r="G229" s="4"/>
      <c r="H229" s="13">
        <v>0.01</v>
      </c>
      <c r="I229" s="4"/>
      <c r="J229" s="14"/>
      <c r="K229" s="14"/>
      <c r="L229" s="14"/>
      <c r="M229" s="14"/>
      <c r="N229" s="14"/>
      <c r="O229" s="14"/>
      <c r="P229" s="14"/>
      <c r="Q229" s="14"/>
      <c r="R229" s="14"/>
      <c r="S229" s="4"/>
      <c r="T229" s="14"/>
      <c r="U229" s="14"/>
      <c r="V229" s="57"/>
      <c r="W229" s="43"/>
      <c r="X229" s="43"/>
      <c r="Y229" s="43"/>
      <c r="Z229" s="43"/>
      <c r="AA229" s="43"/>
      <c r="AB229" s="43"/>
      <c r="AC229" s="43">
        <v>1.0</v>
      </c>
      <c r="AD229" s="14"/>
      <c r="AE229" s="14"/>
    </row>
    <row r="230">
      <c r="A230" s="43">
        <v>8038.0</v>
      </c>
      <c r="B230" s="63"/>
      <c r="C230" s="63" t="s">
        <v>1350</v>
      </c>
      <c r="D230" s="14"/>
      <c r="E230" s="14"/>
      <c r="F230" s="14"/>
      <c r="G230" s="4"/>
      <c r="H230" s="13">
        <v>0.01</v>
      </c>
      <c r="I230" s="4"/>
      <c r="J230" s="14"/>
      <c r="K230" s="14"/>
      <c r="L230" s="14"/>
      <c r="M230" s="14"/>
      <c r="N230" s="14"/>
      <c r="O230" s="14"/>
      <c r="P230" s="14"/>
      <c r="Q230" s="14"/>
      <c r="R230" s="14"/>
      <c r="S230" s="4"/>
      <c r="T230" s="14"/>
      <c r="U230" s="14"/>
      <c r="V230" s="57"/>
      <c r="W230" s="43"/>
      <c r="X230" s="43"/>
      <c r="Y230" s="43"/>
      <c r="Z230" s="43"/>
      <c r="AA230" s="43"/>
      <c r="AB230" s="43"/>
      <c r="AC230" s="43">
        <v>1.0</v>
      </c>
      <c r="AD230" s="14"/>
      <c r="AE230" s="14"/>
    </row>
    <row r="231">
      <c r="A231" s="43">
        <v>8039.0</v>
      </c>
      <c r="B231" s="63"/>
      <c r="C231" s="63" t="s">
        <v>1350</v>
      </c>
      <c r="D231" s="14"/>
      <c r="E231" s="14"/>
      <c r="F231" s="14"/>
      <c r="G231" s="4"/>
      <c r="H231" s="13">
        <v>0.01</v>
      </c>
      <c r="I231" s="4"/>
      <c r="J231" s="14"/>
      <c r="K231" s="14"/>
      <c r="L231" s="14"/>
      <c r="M231" s="14"/>
      <c r="N231" s="14"/>
      <c r="O231" s="14"/>
      <c r="P231" s="14"/>
      <c r="Q231" s="14"/>
      <c r="R231" s="14"/>
      <c r="S231" s="4"/>
      <c r="T231" s="14"/>
      <c r="U231" s="14"/>
      <c r="V231" s="57"/>
      <c r="W231" s="43"/>
      <c r="X231" s="43"/>
      <c r="Y231" s="43"/>
      <c r="Z231" s="43"/>
      <c r="AA231" s="43"/>
      <c r="AB231" s="43"/>
      <c r="AC231" s="43">
        <v>1.0</v>
      </c>
      <c r="AD231" s="14"/>
      <c r="AE231" s="14"/>
    </row>
    <row r="232">
      <c r="A232" s="43">
        <v>8040.0</v>
      </c>
      <c r="B232" s="63"/>
      <c r="C232" s="63" t="s">
        <v>1350</v>
      </c>
      <c r="D232" s="14"/>
      <c r="E232" s="14"/>
      <c r="F232" s="14"/>
      <c r="G232" s="4"/>
      <c r="H232" s="13">
        <v>0.01</v>
      </c>
      <c r="I232" s="4"/>
      <c r="J232" s="14"/>
      <c r="K232" s="14"/>
      <c r="L232" s="14"/>
      <c r="M232" s="14"/>
      <c r="N232" s="14"/>
      <c r="O232" s="14"/>
      <c r="P232" s="14"/>
      <c r="Q232" s="14"/>
      <c r="R232" s="14"/>
      <c r="S232" s="4"/>
      <c r="T232" s="14"/>
      <c r="U232" s="14"/>
      <c r="V232" s="57"/>
      <c r="W232" s="43"/>
      <c r="X232" s="43"/>
      <c r="Y232" s="43"/>
      <c r="Z232" s="43"/>
      <c r="AA232" s="43"/>
      <c r="AB232" s="43"/>
      <c r="AC232" s="43">
        <v>1.0</v>
      </c>
      <c r="AD232" s="14"/>
      <c r="AE232" s="14"/>
    </row>
    <row r="233">
      <c r="A233" s="43">
        <v>8041.0</v>
      </c>
      <c r="B233" s="63"/>
      <c r="C233" s="63" t="s">
        <v>1350</v>
      </c>
      <c r="D233" s="14"/>
      <c r="E233" s="14"/>
      <c r="F233" s="14"/>
      <c r="G233" s="4"/>
      <c r="H233" s="13">
        <v>0.01</v>
      </c>
      <c r="I233" s="4"/>
      <c r="J233" s="14"/>
      <c r="K233" s="14"/>
      <c r="L233" s="14"/>
      <c r="M233" s="14"/>
      <c r="N233" s="14"/>
      <c r="O233" s="14"/>
      <c r="P233" s="14"/>
      <c r="Q233" s="14"/>
      <c r="R233" s="14"/>
      <c r="S233" s="4"/>
      <c r="T233" s="14"/>
      <c r="U233" s="14"/>
      <c r="V233" s="57"/>
      <c r="W233" s="43"/>
      <c r="X233" s="43"/>
      <c r="Y233" s="43"/>
      <c r="Z233" s="43"/>
      <c r="AA233" s="43"/>
      <c r="AB233" s="43"/>
      <c r="AC233" s="43">
        <v>1.0</v>
      </c>
      <c r="AD233" s="14"/>
      <c r="AE233" s="14"/>
    </row>
    <row r="234">
      <c r="A234" s="43">
        <v>8042.0</v>
      </c>
      <c r="B234" s="63"/>
      <c r="C234" s="63" t="s">
        <v>1350</v>
      </c>
      <c r="D234" s="14"/>
      <c r="E234" s="14"/>
      <c r="F234" s="14"/>
      <c r="G234" s="4"/>
      <c r="H234" s="13">
        <v>0.01</v>
      </c>
      <c r="I234" s="4"/>
      <c r="J234" s="14"/>
      <c r="K234" s="14"/>
      <c r="L234" s="14"/>
      <c r="M234" s="14"/>
      <c r="N234" s="14"/>
      <c r="O234" s="14"/>
      <c r="P234" s="14"/>
      <c r="Q234" s="14"/>
      <c r="R234" s="14"/>
      <c r="S234" s="4"/>
      <c r="T234" s="14"/>
      <c r="U234" s="14"/>
      <c r="V234" s="57"/>
      <c r="W234" s="43"/>
      <c r="X234" s="43"/>
      <c r="Y234" s="43"/>
      <c r="Z234" s="43"/>
      <c r="AA234" s="43"/>
      <c r="AB234" s="43"/>
      <c r="AC234" s="43">
        <v>1.0</v>
      </c>
      <c r="AD234" s="14"/>
      <c r="AE234" s="14"/>
    </row>
    <row r="235">
      <c r="A235" s="43">
        <v>8043.0</v>
      </c>
      <c r="B235" s="63"/>
      <c r="C235" s="63" t="s">
        <v>1350</v>
      </c>
      <c r="D235" s="14"/>
      <c r="E235" s="14"/>
      <c r="F235" s="14"/>
      <c r="G235" s="4"/>
      <c r="H235" s="13">
        <v>0.01</v>
      </c>
      <c r="I235" s="4"/>
      <c r="J235" s="14"/>
      <c r="K235" s="14"/>
      <c r="L235" s="14"/>
      <c r="M235" s="14"/>
      <c r="N235" s="14"/>
      <c r="O235" s="14"/>
      <c r="P235" s="14"/>
      <c r="Q235" s="14"/>
      <c r="R235" s="14"/>
      <c r="S235" s="4"/>
      <c r="T235" s="14"/>
      <c r="U235" s="14"/>
      <c r="V235" s="57"/>
      <c r="W235" s="43"/>
      <c r="X235" s="43"/>
      <c r="Y235" s="43"/>
      <c r="Z235" s="43"/>
      <c r="AA235" s="43"/>
      <c r="AB235" s="43"/>
      <c r="AC235" s="43">
        <v>1.0</v>
      </c>
      <c r="AD235" s="14"/>
      <c r="AE235" s="14"/>
    </row>
    <row r="236">
      <c r="A236" s="43">
        <v>8044.0</v>
      </c>
      <c r="B236" s="63"/>
      <c r="C236" s="63" t="s">
        <v>1415</v>
      </c>
      <c r="D236" s="14"/>
      <c r="E236" s="14"/>
      <c r="F236" s="14"/>
      <c r="G236" s="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4"/>
      <c r="T236" s="14"/>
      <c r="U236" s="14"/>
      <c r="V236" s="57"/>
      <c r="W236" s="43"/>
      <c r="X236" s="43"/>
      <c r="Y236" s="43"/>
      <c r="Z236" s="43"/>
      <c r="AA236" s="43"/>
      <c r="AB236" s="43"/>
      <c r="AC236" s="43">
        <v>1.0</v>
      </c>
      <c r="AD236" s="14"/>
      <c r="AE236" s="14"/>
    </row>
    <row r="237">
      <c r="A237" s="43">
        <v>8045.0</v>
      </c>
      <c r="B237" s="63"/>
      <c r="C237" s="63" t="s">
        <v>1350</v>
      </c>
      <c r="D237" s="14"/>
      <c r="E237" s="14"/>
      <c r="F237" s="14"/>
      <c r="G237" s="4"/>
      <c r="H237" s="13">
        <v>0.01</v>
      </c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4"/>
      <c r="T237" s="14"/>
      <c r="U237" s="14"/>
      <c r="V237" s="57"/>
      <c r="W237" s="43"/>
      <c r="X237" s="43"/>
      <c r="Y237" s="43"/>
      <c r="Z237" s="43"/>
      <c r="AA237" s="43"/>
      <c r="AB237" s="43"/>
      <c r="AC237" s="43">
        <v>1.0</v>
      </c>
      <c r="AD237" s="14"/>
      <c r="AE237" s="14"/>
    </row>
    <row r="238">
      <c r="A238" s="43">
        <v>8046.0</v>
      </c>
      <c r="B238" s="63"/>
      <c r="C238" s="63" t="s">
        <v>1350</v>
      </c>
      <c r="D238" s="14"/>
      <c r="E238" s="14"/>
      <c r="F238" s="14"/>
      <c r="G238" s="4"/>
      <c r="H238" s="13">
        <v>0.01</v>
      </c>
      <c r="I238" s="4"/>
      <c r="J238" s="14"/>
      <c r="K238" s="14"/>
      <c r="L238" s="14"/>
      <c r="M238" s="14"/>
      <c r="N238" s="14"/>
      <c r="O238" s="14"/>
      <c r="P238" s="14"/>
      <c r="Q238" s="14"/>
      <c r="R238" s="14"/>
      <c r="S238" s="4"/>
      <c r="T238" s="14"/>
      <c r="U238" s="14"/>
      <c r="V238" s="57"/>
      <c r="W238" s="43"/>
      <c r="X238" s="43"/>
      <c r="Y238" s="43"/>
      <c r="Z238" s="43"/>
      <c r="AA238" s="43"/>
      <c r="AB238" s="43"/>
      <c r="AC238" s="43">
        <v>1.0</v>
      </c>
      <c r="AD238" s="14"/>
      <c r="AE238" s="14"/>
    </row>
    <row r="239">
      <c r="A239" s="43">
        <v>8047.0</v>
      </c>
      <c r="B239" s="63"/>
      <c r="C239" s="63" t="s">
        <v>1350</v>
      </c>
      <c r="D239" s="14"/>
      <c r="E239" s="14"/>
      <c r="F239" s="14"/>
      <c r="G239" s="4"/>
      <c r="H239" s="13">
        <v>0.01</v>
      </c>
      <c r="I239" s="4"/>
      <c r="J239" s="14"/>
      <c r="K239" s="14"/>
      <c r="L239" s="14"/>
      <c r="M239" s="14"/>
      <c r="N239" s="14"/>
      <c r="O239" s="14"/>
      <c r="P239" s="14"/>
      <c r="Q239" s="14"/>
      <c r="R239" s="14"/>
      <c r="S239" s="4"/>
      <c r="T239" s="14"/>
      <c r="U239" s="14"/>
      <c r="V239" s="57"/>
      <c r="W239" s="43"/>
      <c r="X239" s="43"/>
      <c r="Y239" s="43"/>
      <c r="Z239" s="43"/>
      <c r="AA239" s="43"/>
      <c r="AB239" s="43"/>
      <c r="AC239" s="43">
        <v>1.0</v>
      </c>
      <c r="AD239" s="14"/>
      <c r="AE239" s="14"/>
    </row>
    <row r="240">
      <c r="A240" s="43">
        <v>8048.0</v>
      </c>
      <c r="B240" s="63"/>
      <c r="C240" s="63" t="s">
        <v>1350</v>
      </c>
      <c r="D240" s="14"/>
      <c r="E240" s="14"/>
      <c r="F240" s="14"/>
      <c r="G240" s="4"/>
      <c r="H240" s="13">
        <v>0.01</v>
      </c>
      <c r="I240" s="4"/>
      <c r="J240" s="14"/>
      <c r="K240" s="14"/>
      <c r="L240" s="14"/>
      <c r="M240" s="14"/>
      <c r="N240" s="14"/>
      <c r="O240" s="14"/>
      <c r="P240" s="14"/>
      <c r="Q240" s="14"/>
      <c r="R240" s="14"/>
      <c r="S240" s="4"/>
      <c r="T240" s="14"/>
      <c r="U240" s="14"/>
      <c r="V240" s="57"/>
      <c r="W240" s="43"/>
      <c r="X240" s="43"/>
      <c r="Y240" s="43"/>
      <c r="Z240" s="43"/>
      <c r="AA240" s="43"/>
      <c r="AB240" s="43"/>
      <c r="AC240" s="43">
        <v>1.0</v>
      </c>
      <c r="AD240" s="14"/>
      <c r="AE240" s="14"/>
    </row>
    <row r="241">
      <c r="A241" s="43">
        <v>8049.0</v>
      </c>
      <c r="B241" s="63"/>
      <c r="C241" s="63" t="s">
        <v>1350</v>
      </c>
      <c r="D241" s="14"/>
      <c r="E241" s="14"/>
      <c r="F241" s="14"/>
      <c r="G241" s="4"/>
      <c r="H241" s="13">
        <v>0.01</v>
      </c>
      <c r="I241" s="4"/>
      <c r="J241" s="14"/>
      <c r="K241" s="14"/>
      <c r="L241" s="14"/>
      <c r="M241" s="14"/>
      <c r="N241" s="14"/>
      <c r="O241" s="14"/>
      <c r="P241" s="14"/>
      <c r="Q241" s="14"/>
      <c r="R241" s="14"/>
      <c r="S241" s="4"/>
      <c r="T241" s="14"/>
      <c r="U241" s="14"/>
      <c r="V241" s="57"/>
      <c r="W241" s="43"/>
      <c r="X241" s="43"/>
      <c r="Y241" s="43"/>
      <c r="Z241" s="43"/>
      <c r="AA241" s="43"/>
      <c r="AB241" s="43"/>
      <c r="AC241" s="43">
        <v>1.0</v>
      </c>
      <c r="AD241" s="14"/>
      <c r="AE241" s="14"/>
    </row>
    <row r="242">
      <c r="A242" s="43">
        <v>8050.0</v>
      </c>
      <c r="B242" s="63"/>
      <c r="C242" s="63" t="s">
        <v>1350</v>
      </c>
      <c r="D242" s="14"/>
      <c r="E242" s="14"/>
      <c r="F242" s="14"/>
      <c r="G242" s="4"/>
      <c r="H242" s="13">
        <v>0.01</v>
      </c>
      <c r="I242" s="4"/>
      <c r="J242" s="14"/>
      <c r="K242" s="14"/>
      <c r="L242" s="14"/>
      <c r="M242" s="14"/>
      <c r="N242" s="14"/>
      <c r="O242" s="14"/>
      <c r="P242" s="14"/>
      <c r="Q242" s="14"/>
      <c r="R242" s="14"/>
      <c r="S242" s="4"/>
      <c r="T242" s="14"/>
      <c r="U242" s="14"/>
      <c r="V242" s="57"/>
      <c r="W242" s="43"/>
      <c r="X242" s="43"/>
      <c r="Y242" s="43"/>
      <c r="Z242" s="43"/>
      <c r="AA242" s="43"/>
      <c r="AB242" s="43"/>
      <c r="AC242" s="43">
        <v>1.0</v>
      </c>
      <c r="AD242" s="14"/>
      <c r="AE242" s="14"/>
    </row>
    <row r="243">
      <c r="A243" s="43">
        <v>8051.0</v>
      </c>
      <c r="B243" s="63"/>
      <c r="C243" s="63" t="s">
        <v>1350</v>
      </c>
      <c r="D243" s="14"/>
      <c r="E243" s="14"/>
      <c r="F243" s="14"/>
      <c r="G243" s="4"/>
      <c r="H243" s="13">
        <v>0.01</v>
      </c>
      <c r="I243" s="4"/>
      <c r="J243" s="14"/>
      <c r="K243" s="14"/>
      <c r="L243" s="14"/>
      <c r="M243" s="14"/>
      <c r="N243" s="14"/>
      <c r="O243" s="14"/>
      <c r="P243" s="14"/>
      <c r="Q243" s="14"/>
      <c r="R243" s="14"/>
      <c r="S243" s="4"/>
      <c r="T243" s="14"/>
      <c r="U243" s="14"/>
      <c r="V243" s="57"/>
      <c r="W243" s="43"/>
      <c r="X243" s="43"/>
      <c r="Y243" s="43"/>
      <c r="Z243" s="43"/>
      <c r="AA243" s="43"/>
      <c r="AB243" s="43"/>
      <c r="AC243" s="43">
        <v>1.0</v>
      </c>
      <c r="AD243" s="14"/>
      <c r="AE243" s="14"/>
    </row>
    <row r="244">
      <c r="A244" s="43">
        <v>8052.0</v>
      </c>
      <c r="B244" s="63"/>
      <c r="C244" s="63" t="s">
        <v>1350</v>
      </c>
      <c r="D244" s="14"/>
      <c r="E244" s="14"/>
      <c r="F244" s="14"/>
      <c r="G244" s="4"/>
      <c r="H244" s="13">
        <v>0.01</v>
      </c>
      <c r="I244" s="4"/>
      <c r="J244" s="14"/>
      <c r="K244" s="14"/>
      <c r="L244" s="14"/>
      <c r="M244" s="14"/>
      <c r="N244" s="14"/>
      <c r="O244" s="14"/>
      <c r="P244" s="14"/>
      <c r="Q244" s="14"/>
      <c r="R244" s="14"/>
      <c r="S244" s="4"/>
      <c r="T244" s="14"/>
      <c r="U244" s="14"/>
      <c r="V244" s="57"/>
      <c r="W244" s="43"/>
      <c r="X244" s="43"/>
      <c r="Y244" s="43"/>
      <c r="Z244" s="43"/>
      <c r="AA244" s="43"/>
      <c r="AB244" s="43"/>
      <c r="AC244" s="43">
        <v>1.0</v>
      </c>
      <c r="AD244" s="14"/>
      <c r="AE244" s="14"/>
    </row>
    <row r="245">
      <c r="A245" s="43">
        <v>8053.0</v>
      </c>
      <c r="B245" s="63"/>
      <c r="C245" s="63" t="s">
        <v>1350</v>
      </c>
      <c r="D245" s="14"/>
      <c r="E245" s="14"/>
      <c r="F245" s="14"/>
      <c r="G245" s="4"/>
      <c r="H245" s="13">
        <v>0.01</v>
      </c>
      <c r="I245" s="4"/>
      <c r="J245" s="14"/>
      <c r="K245" s="14"/>
      <c r="L245" s="14"/>
      <c r="M245" s="14"/>
      <c r="N245" s="14"/>
      <c r="O245" s="14"/>
      <c r="P245" s="14"/>
      <c r="Q245" s="14"/>
      <c r="R245" s="14"/>
      <c r="S245" s="4"/>
      <c r="T245" s="14"/>
      <c r="U245" s="14"/>
      <c r="V245" s="57"/>
      <c r="W245" s="43"/>
      <c r="X245" s="43"/>
      <c r="Y245" s="43"/>
      <c r="Z245" s="43"/>
      <c r="AA245" s="43"/>
      <c r="AB245" s="43"/>
      <c r="AC245" s="43">
        <v>1.0</v>
      </c>
      <c r="AD245" s="14"/>
      <c r="AE245" s="14"/>
    </row>
    <row r="246">
      <c r="A246" s="43">
        <v>8054.0</v>
      </c>
      <c r="B246" s="63"/>
      <c r="C246" s="63" t="s">
        <v>1350</v>
      </c>
      <c r="D246" s="14"/>
      <c r="E246" s="14"/>
      <c r="F246" s="14"/>
      <c r="G246" s="4"/>
      <c r="H246" s="13">
        <v>0.01</v>
      </c>
      <c r="I246" s="4"/>
      <c r="J246" s="14"/>
      <c r="K246" s="14"/>
      <c r="L246" s="14"/>
      <c r="M246" s="14"/>
      <c r="N246" s="14"/>
      <c r="O246" s="14"/>
      <c r="P246" s="14"/>
      <c r="Q246" s="14"/>
      <c r="R246" s="14"/>
      <c r="S246" s="4"/>
      <c r="T246" s="14"/>
      <c r="U246" s="14"/>
      <c r="V246" s="57"/>
      <c r="W246" s="43"/>
      <c r="X246" s="43"/>
      <c r="Y246" s="43"/>
      <c r="Z246" s="43"/>
      <c r="AA246" s="43"/>
      <c r="AB246" s="43"/>
      <c r="AC246" s="43">
        <v>1.0</v>
      </c>
      <c r="AD246" s="14"/>
      <c r="AE246" s="14"/>
    </row>
    <row r="247">
      <c r="A247" s="43">
        <v>8055.0</v>
      </c>
      <c r="B247" s="63"/>
      <c r="C247" s="63" t="s">
        <v>1350</v>
      </c>
      <c r="D247" s="14"/>
      <c r="E247" s="14"/>
      <c r="F247" s="14"/>
      <c r="G247" s="4"/>
      <c r="H247" s="13">
        <v>0.01</v>
      </c>
      <c r="I247" s="4"/>
      <c r="J247" s="14"/>
      <c r="K247" s="14"/>
      <c r="L247" s="14"/>
      <c r="M247" s="14"/>
      <c r="N247" s="14"/>
      <c r="O247" s="14"/>
      <c r="P247" s="14"/>
      <c r="Q247" s="14"/>
      <c r="R247" s="14"/>
      <c r="S247" s="4"/>
      <c r="T247" s="14"/>
      <c r="U247" s="14"/>
      <c r="V247" s="57"/>
      <c r="W247" s="43"/>
      <c r="X247" s="43"/>
      <c r="Y247" s="43"/>
      <c r="Z247" s="43"/>
      <c r="AA247" s="43"/>
      <c r="AB247" s="43"/>
      <c r="AC247" s="43">
        <v>1.0</v>
      </c>
      <c r="AD247" s="14"/>
      <c r="AE247" s="14"/>
    </row>
    <row r="248">
      <c r="A248" s="43">
        <v>8056.0</v>
      </c>
      <c r="B248" s="63"/>
      <c r="C248" s="63" t="s">
        <v>1350</v>
      </c>
      <c r="D248" s="14"/>
      <c r="E248" s="14"/>
      <c r="F248" s="14"/>
      <c r="G248" s="4"/>
      <c r="H248" s="13">
        <v>0.01</v>
      </c>
      <c r="I248" s="4"/>
      <c r="J248" s="14"/>
      <c r="K248" s="14"/>
      <c r="L248" s="14"/>
      <c r="M248" s="14"/>
      <c r="N248" s="14"/>
      <c r="O248" s="14"/>
      <c r="P248" s="14"/>
      <c r="Q248" s="14"/>
      <c r="R248" s="14"/>
      <c r="S248" s="4"/>
      <c r="T248" s="14"/>
      <c r="U248" s="14"/>
      <c r="V248" s="57"/>
      <c r="W248" s="43"/>
      <c r="X248" s="43"/>
      <c r="Y248" s="43"/>
      <c r="Z248" s="43"/>
      <c r="AA248" s="43"/>
      <c r="AB248" s="43"/>
      <c r="AC248" s="43">
        <v>1.0</v>
      </c>
      <c r="AD248" s="14"/>
      <c r="AE248" s="14"/>
    </row>
    <row r="249">
      <c r="A249" s="43">
        <v>8057.0</v>
      </c>
      <c r="B249" s="63"/>
      <c r="C249" s="63" t="s">
        <v>1350</v>
      </c>
      <c r="D249" s="14"/>
      <c r="E249" s="14"/>
      <c r="F249" s="14"/>
      <c r="G249" s="4"/>
      <c r="H249" s="13">
        <v>0.01</v>
      </c>
      <c r="I249" s="4"/>
      <c r="J249" s="14"/>
      <c r="K249" s="14"/>
      <c r="L249" s="14"/>
      <c r="M249" s="14"/>
      <c r="N249" s="14"/>
      <c r="O249" s="14"/>
      <c r="P249" s="14"/>
      <c r="Q249" s="14"/>
      <c r="R249" s="14"/>
      <c r="S249" s="4"/>
      <c r="T249" s="14"/>
      <c r="U249" s="14"/>
      <c r="V249" s="57"/>
      <c r="W249" s="43"/>
      <c r="X249" s="43"/>
      <c r="Y249" s="43"/>
      <c r="Z249" s="43"/>
      <c r="AA249" s="43"/>
      <c r="AB249" s="43"/>
      <c r="AC249" s="43">
        <v>1.0</v>
      </c>
      <c r="AD249" s="14"/>
      <c r="AE249" s="14"/>
    </row>
    <row r="250">
      <c r="A250" s="43">
        <v>8058.0</v>
      </c>
      <c r="B250" s="63"/>
      <c r="C250" s="63" t="s">
        <v>1350</v>
      </c>
      <c r="D250" s="14"/>
      <c r="E250" s="14"/>
      <c r="F250" s="14"/>
      <c r="G250" s="4"/>
      <c r="H250" s="13">
        <v>0.01</v>
      </c>
      <c r="I250" s="4"/>
      <c r="J250" s="14"/>
      <c r="K250" s="14"/>
      <c r="L250" s="14"/>
      <c r="M250" s="14"/>
      <c r="N250" s="14"/>
      <c r="O250" s="14"/>
      <c r="P250" s="14"/>
      <c r="Q250" s="14"/>
      <c r="R250" s="14"/>
      <c r="S250" s="4"/>
      <c r="T250" s="14"/>
      <c r="U250" s="14"/>
      <c r="V250" s="57"/>
      <c r="W250" s="43"/>
      <c r="X250" s="43"/>
      <c r="Y250" s="43"/>
      <c r="Z250" s="43"/>
      <c r="AA250" s="43"/>
      <c r="AB250" s="43"/>
      <c r="AC250" s="43">
        <v>1.0</v>
      </c>
      <c r="AD250" s="14"/>
      <c r="AE250" s="14"/>
    </row>
    <row r="251">
      <c r="A251" s="43">
        <v>8059.0</v>
      </c>
      <c r="B251" s="63"/>
      <c r="C251" s="63" t="s">
        <v>1436</v>
      </c>
      <c r="D251" s="14"/>
      <c r="E251" s="14"/>
      <c r="F251" s="14"/>
      <c r="G251" s="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4"/>
      <c r="T251" s="14"/>
      <c r="U251" s="14"/>
      <c r="V251" s="57"/>
      <c r="W251" s="43"/>
      <c r="X251" s="43"/>
      <c r="Y251" s="43"/>
      <c r="Z251" s="43"/>
      <c r="AA251" s="43"/>
      <c r="AB251" s="43"/>
      <c r="AC251" s="43">
        <v>1.0</v>
      </c>
      <c r="AD251" s="14"/>
      <c r="AE251" s="14"/>
    </row>
    <row r="252">
      <c r="A252" s="43">
        <v>8060.0</v>
      </c>
      <c r="B252" s="63"/>
      <c r="C252" s="63" t="s">
        <v>1438</v>
      </c>
      <c r="D252" s="14"/>
      <c r="E252" s="14"/>
      <c r="F252" s="14"/>
      <c r="G252" s="4"/>
      <c r="H252" s="4"/>
      <c r="I252" s="13">
        <v>0.01</v>
      </c>
      <c r="J252" s="14"/>
      <c r="K252" s="14"/>
      <c r="L252" s="14"/>
      <c r="M252" s="14"/>
      <c r="N252" s="14"/>
      <c r="O252" s="14"/>
      <c r="P252" s="14"/>
      <c r="Q252" s="14"/>
      <c r="R252" s="14"/>
      <c r="S252" s="4"/>
      <c r="T252" s="14"/>
      <c r="U252" s="14"/>
      <c r="V252" s="57"/>
      <c r="W252" s="43"/>
      <c r="X252" s="43"/>
      <c r="Y252" s="43"/>
      <c r="Z252" s="43"/>
      <c r="AA252" s="43"/>
      <c r="AB252" s="43"/>
      <c r="AC252" s="43">
        <v>1.0</v>
      </c>
      <c r="AD252" s="14"/>
      <c r="AE252" s="14"/>
    </row>
    <row r="253">
      <c r="A253" s="43">
        <v>8061.0</v>
      </c>
      <c r="B253" s="63"/>
      <c r="C253" s="63" t="s">
        <v>1438</v>
      </c>
      <c r="D253" s="14"/>
      <c r="E253" s="14"/>
      <c r="F253" s="14"/>
      <c r="G253" s="4"/>
      <c r="H253" s="4"/>
      <c r="I253" s="13">
        <v>0.01</v>
      </c>
      <c r="J253" s="14"/>
      <c r="K253" s="14"/>
      <c r="L253" s="14"/>
      <c r="M253" s="14"/>
      <c r="N253" s="14"/>
      <c r="O253" s="14"/>
      <c r="P253" s="14"/>
      <c r="Q253" s="14"/>
      <c r="R253" s="14"/>
      <c r="S253" s="4"/>
      <c r="T253" s="14"/>
      <c r="U253" s="14"/>
      <c r="V253" s="57"/>
      <c r="W253" s="43"/>
      <c r="X253" s="43"/>
      <c r="Y253" s="43"/>
      <c r="Z253" s="43"/>
      <c r="AA253" s="43"/>
      <c r="AB253" s="43"/>
      <c r="AC253" s="43">
        <v>1.0</v>
      </c>
      <c r="AD253" s="14"/>
      <c r="AE253" s="14"/>
    </row>
    <row r="254">
      <c r="A254" s="43">
        <v>8062.0</v>
      </c>
      <c r="B254" s="63"/>
      <c r="C254" s="63" t="s">
        <v>1438</v>
      </c>
      <c r="D254" s="14"/>
      <c r="E254" s="14"/>
      <c r="F254" s="14"/>
      <c r="G254" s="4"/>
      <c r="H254" s="4"/>
      <c r="I254" s="13">
        <v>0.01</v>
      </c>
      <c r="J254" s="14"/>
      <c r="K254" s="14"/>
      <c r="L254" s="14"/>
      <c r="M254" s="14"/>
      <c r="N254" s="14"/>
      <c r="O254" s="14"/>
      <c r="P254" s="14"/>
      <c r="Q254" s="14"/>
      <c r="R254" s="14"/>
      <c r="S254" s="4"/>
      <c r="T254" s="14"/>
      <c r="U254" s="14"/>
      <c r="V254" s="57"/>
      <c r="W254" s="43"/>
      <c r="X254" s="43"/>
      <c r="Y254" s="43"/>
      <c r="Z254" s="43"/>
      <c r="AA254" s="43"/>
      <c r="AB254" s="43"/>
      <c r="AC254" s="43">
        <v>1.0</v>
      </c>
      <c r="AD254" s="14"/>
      <c r="AE254" s="14"/>
    </row>
    <row r="255">
      <c r="A255" s="43">
        <v>8063.0</v>
      </c>
      <c r="B255" s="63"/>
      <c r="C255" s="63" t="s">
        <v>1438</v>
      </c>
      <c r="D255" s="14"/>
      <c r="E255" s="14"/>
      <c r="F255" s="14"/>
      <c r="G255" s="4"/>
      <c r="H255" s="4"/>
      <c r="I255" s="13">
        <v>0.01</v>
      </c>
      <c r="J255" s="14"/>
      <c r="K255" s="14"/>
      <c r="L255" s="14"/>
      <c r="M255" s="14"/>
      <c r="N255" s="14"/>
      <c r="O255" s="14"/>
      <c r="P255" s="14"/>
      <c r="Q255" s="14"/>
      <c r="R255" s="14"/>
      <c r="S255" s="4"/>
      <c r="T255" s="14"/>
      <c r="U255" s="14"/>
      <c r="V255" s="57"/>
      <c r="W255" s="43"/>
      <c r="X255" s="43"/>
      <c r="Y255" s="43"/>
      <c r="Z255" s="43"/>
      <c r="AA255" s="43"/>
      <c r="AB255" s="43"/>
      <c r="AC255" s="43">
        <v>1.0</v>
      </c>
      <c r="AD255" s="14"/>
      <c r="AE255" s="14"/>
    </row>
    <row r="256">
      <c r="A256" s="43">
        <v>8064.0</v>
      </c>
      <c r="B256" s="63"/>
      <c r="C256" s="63" t="s">
        <v>1438</v>
      </c>
      <c r="D256" s="14"/>
      <c r="E256" s="14"/>
      <c r="F256" s="14"/>
      <c r="G256" s="4"/>
      <c r="H256" s="4"/>
      <c r="I256" s="13">
        <v>0.01</v>
      </c>
      <c r="J256" s="14"/>
      <c r="K256" s="14"/>
      <c r="L256" s="14"/>
      <c r="M256" s="14"/>
      <c r="N256" s="14"/>
      <c r="O256" s="14"/>
      <c r="P256" s="14"/>
      <c r="Q256" s="14"/>
      <c r="R256" s="14"/>
      <c r="S256" s="4"/>
      <c r="T256" s="14"/>
      <c r="U256" s="14"/>
      <c r="V256" s="57"/>
      <c r="W256" s="43"/>
      <c r="X256" s="43"/>
      <c r="Y256" s="43"/>
      <c r="Z256" s="43"/>
      <c r="AA256" s="43"/>
      <c r="AB256" s="43"/>
      <c r="AC256" s="43">
        <v>1.0</v>
      </c>
      <c r="AD256" s="14"/>
      <c r="AE256" s="14"/>
    </row>
    <row r="257">
      <c r="A257" s="43">
        <v>8065.0</v>
      </c>
      <c r="B257" s="63"/>
      <c r="C257" s="63" t="s">
        <v>1438</v>
      </c>
      <c r="D257" s="14"/>
      <c r="E257" s="14"/>
      <c r="F257" s="14"/>
      <c r="G257" s="4"/>
      <c r="H257" s="4"/>
      <c r="I257" s="13">
        <v>0.01</v>
      </c>
      <c r="J257" s="14"/>
      <c r="K257" s="14"/>
      <c r="L257" s="14"/>
      <c r="M257" s="14"/>
      <c r="N257" s="14"/>
      <c r="O257" s="14"/>
      <c r="P257" s="14"/>
      <c r="Q257" s="14"/>
      <c r="R257" s="14"/>
      <c r="S257" s="4"/>
      <c r="T257" s="14"/>
      <c r="U257" s="14"/>
      <c r="V257" s="57"/>
      <c r="W257" s="43"/>
      <c r="X257" s="43"/>
      <c r="Y257" s="43"/>
      <c r="Z257" s="43"/>
      <c r="AA257" s="43"/>
      <c r="AB257" s="43"/>
      <c r="AC257" s="43">
        <v>1.0</v>
      </c>
      <c r="AD257" s="14"/>
      <c r="AE257" s="14"/>
    </row>
    <row r="258">
      <c r="A258" s="43">
        <v>8066.0</v>
      </c>
      <c r="B258" s="63"/>
      <c r="C258" s="63" t="s">
        <v>1438</v>
      </c>
      <c r="D258" s="14"/>
      <c r="E258" s="14"/>
      <c r="F258" s="14"/>
      <c r="G258" s="14"/>
      <c r="H258" s="4"/>
      <c r="I258" s="13">
        <v>0.01</v>
      </c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57"/>
      <c r="W258" s="14"/>
      <c r="X258" s="14"/>
      <c r="Y258" s="14"/>
      <c r="Z258" s="14"/>
      <c r="AA258" s="14"/>
      <c r="AB258" s="14"/>
      <c r="AC258" s="43">
        <v>1.0</v>
      </c>
      <c r="AD258" s="14"/>
      <c r="AE258" s="14"/>
    </row>
    <row r="259">
      <c r="A259" s="43">
        <v>8067.0</v>
      </c>
      <c r="B259" s="63"/>
      <c r="C259" s="63" t="s">
        <v>1438</v>
      </c>
      <c r="D259" s="14"/>
      <c r="E259" s="14"/>
      <c r="F259" s="14"/>
      <c r="G259" s="14"/>
      <c r="H259" s="4"/>
      <c r="I259" s="13">
        <v>0.01</v>
      </c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57"/>
      <c r="W259" s="14"/>
      <c r="X259" s="14"/>
      <c r="Y259" s="14"/>
      <c r="Z259" s="14"/>
      <c r="AA259" s="14"/>
      <c r="AB259" s="14"/>
      <c r="AC259" s="43">
        <v>1.0</v>
      </c>
      <c r="AD259" s="14"/>
      <c r="AE259" s="14"/>
    </row>
    <row r="260">
      <c r="A260" s="43">
        <v>8068.0</v>
      </c>
      <c r="B260" s="63"/>
      <c r="C260" s="63" t="s">
        <v>1438</v>
      </c>
      <c r="D260" s="14"/>
      <c r="E260" s="14"/>
      <c r="F260" s="14"/>
      <c r="G260" s="14"/>
      <c r="H260" s="4"/>
      <c r="I260" s="13">
        <v>0.01</v>
      </c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57"/>
      <c r="W260" s="14"/>
      <c r="X260" s="14"/>
      <c r="Y260" s="14"/>
      <c r="Z260" s="14"/>
      <c r="AA260" s="14"/>
      <c r="AB260" s="14"/>
      <c r="AC260" s="43">
        <v>1.0</v>
      </c>
      <c r="AD260" s="14"/>
      <c r="AE260" s="14"/>
    </row>
    <row r="261">
      <c r="A261" s="43">
        <v>8069.0</v>
      </c>
      <c r="B261" s="63"/>
      <c r="C261" s="63" t="s">
        <v>1438</v>
      </c>
      <c r="D261" s="14"/>
      <c r="E261" s="14"/>
      <c r="F261" s="14"/>
      <c r="G261" s="14"/>
      <c r="H261" s="4"/>
      <c r="I261" s="13">
        <v>0.01</v>
      </c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57"/>
      <c r="W261" s="14"/>
      <c r="X261" s="14"/>
      <c r="Y261" s="14"/>
      <c r="Z261" s="14"/>
      <c r="AA261" s="14"/>
      <c r="AB261" s="14"/>
      <c r="AC261" s="43">
        <v>1.0</v>
      </c>
      <c r="AD261" s="14"/>
      <c r="AE261" s="14"/>
    </row>
    <row r="262">
      <c r="A262" s="43">
        <v>8070.0</v>
      </c>
      <c r="B262" s="63"/>
      <c r="C262" s="63" t="s">
        <v>1438</v>
      </c>
      <c r="D262" s="14"/>
      <c r="E262" s="14"/>
      <c r="F262" s="14"/>
      <c r="G262" s="14"/>
      <c r="H262" s="4"/>
      <c r="I262" s="13">
        <v>0.01</v>
      </c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57"/>
      <c r="W262" s="14"/>
      <c r="X262" s="14"/>
      <c r="Y262" s="14"/>
      <c r="Z262" s="14"/>
      <c r="AA262" s="14"/>
      <c r="AB262" s="14"/>
      <c r="AC262" s="43">
        <v>1.0</v>
      </c>
      <c r="AD262" s="14"/>
      <c r="AE262" s="14"/>
    </row>
    <row r="263">
      <c r="A263" s="43">
        <v>8071.0</v>
      </c>
      <c r="B263" s="63"/>
      <c r="C263" s="63" t="s">
        <v>1438</v>
      </c>
      <c r="D263" s="14"/>
      <c r="E263" s="14"/>
      <c r="F263" s="14"/>
      <c r="G263" s="14"/>
      <c r="H263" s="4"/>
      <c r="I263" s="13">
        <v>0.01</v>
      </c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57"/>
      <c r="W263" s="14"/>
      <c r="X263" s="14"/>
      <c r="Y263" s="14"/>
      <c r="Z263" s="14"/>
      <c r="AA263" s="14"/>
      <c r="AB263" s="14"/>
      <c r="AC263" s="43">
        <v>1.0</v>
      </c>
      <c r="AD263" s="14"/>
      <c r="AE263" s="14"/>
    </row>
    <row r="264">
      <c r="A264" s="43">
        <v>8072.0</v>
      </c>
      <c r="B264" s="63"/>
      <c r="C264" s="63" t="s">
        <v>1438</v>
      </c>
      <c r="D264" s="14"/>
      <c r="E264" s="14"/>
      <c r="F264" s="14"/>
      <c r="G264" s="14"/>
      <c r="H264" s="4"/>
      <c r="I264" s="13">
        <v>0.01</v>
      </c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57"/>
      <c r="W264" s="14"/>
      <c r="X264" s="14"/>
      <c r="Y264" s="14"/>
      <c r="Z264" s="14"/>
      <c r="AA264" s="14"/>
      <c r="AB264" s="14"/>
      <c r="AC264" s="43">
        <v>1.0</v>
      </c>
      <c r="AD264" s="14"/>
      <c r="AE264" s="14"/>
    </row>
    <row r="265">
      <c r="A265" s="43">
        <v>8073.0</v>
      </c>
      <c r="B265" s="63"/>
      <c r="C265" s="63" t="s">
        <v>1438</v>
      </c>
      <c r="D265" s="14"/>
      <c r="E265" s="14"/>
      <c r="F265" s="14"/>
      <c r="G265" s="14"/>
      <c r="H265" s="4"/>
      <c r="I265" s="13">
        <v>0.01</v>
      </c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57"/>
      <c r="W265" s="14"/>
      <c r="X265" s="14"/>
      <c r="Y265" s="14"/>
      <c r="Z265" s="14"/>
      <c r="AA265" s="14"/>
      <c r="AB265" s="14"/>
      <c r="AC265" s="43">
        <v>1.0</v>
      </c>
      <c r="AD265" s="14"/>
      <c r="AE265" s="14"/>
    </row>
    <row r="266">
      <c r="A266" s="43">
        <v>8074.0</v>
      </c>
      <c r="B266" s="63"/>
      <c r="C266" s="63" t="s">
        <v>1464</v>
      </c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57"/>
      <c r="W266" s="14"/>
      <c r="X266" s="14"/>
      <c r="Y266" s="14"/>
      <c r="Z266" s="14"/>
      <c r="AA266" s="14"/>
      <c r="AB266" s="14"/>
      <c r="AC266" s="43">
        <v>1.0</v>
      </c>
      <c r="AD266" s="14"/>
      <c r="AE266" s="14"/>
    </row>
    <row r="267">
      <c r="A267" s="43">
        <v>8075.0</v>
      </c>
      <c r="B267" s="63"/>
      <c r="C267" s="63" t="s">
        <v>1438</v>
      </c>
      <c r="D267" s="14"/>
      <c r="E267" s="14"/>
      <c r="F267" s="14"/>
      <c r="G267" s="4"/>
      <c r="H267" s="4"/>
      <c r="I267" s="13">
        <v>0.01</v>
      </c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57"/>
      <c r="W267" s="14"/>
      <c r="X267" s="14"/>
      <c r="Y267" s="14"/>
      <c r="Z267" s="14"/>
      <c r="AA267" s="14"/>
      <c r="AB267" s="14"/>
      <c r="AC267" s="43">
        <v>1.0</v>
      </c>
      <c r="AD267" s="14"/>
      <c r="AE267" s="14"/>
    </row>
    <row r="268">
      <c r="A268" s="43">
        <v>8076.0</v>
      </c>
      <c r="B268" s="63"/>
      <c r="C268" s="63" t="s">
        <v>1438</v>
      </c>
      <c r="D268" s="14"/>
      <c r="E268" s="14"/>
      <c r="F268" s="14"/>
      <c r="G268" s="4"/>
      <c r="H268" s="4"/>
      <c r="I268" s="13">
        <v>0.01</v>
      </c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57"/>
      <c r="W268" s="14"/>
      <c r="X268" s="14"/>
      <c r="Y268" s="14"/>
      <c r="Z268" s="14"/>
      <c r="AA268" s="14"/>
      <c r="AB268" s="14"/>
      <c r="AC268" s="43">
        <v>1.0</v>
      </c>
      <c r="AD268" s="14"/>
      <c r="AE268" s="14"/>
    </row>
    <row r="269">
      <c r="A269" s="43">
        <v>8077.0</v>
      </c>
      <c r="B269" s="63"/>
      <c r="C269" s="63" t="s">
        <v>1438</v>
      </c>
      <c r="D269" s="14"/>
      <c r="E269" s="14"/>
      <c r="F269" s="14"/>
      <c r="G269" s="4"/>
      <c r="H269" s="4"/>
      <c r="I269" s="13">
        <v>0.01</v>
      </c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57"/>
      <c r="W269" s="14"/>
      <c r="X269" s="14"/>
      <c r="Y269" s="14"/>
      <c r="Z269" s="14"/>
      <c r="AA269" s="14"/>
      <c r="AB269" s="14"/>
      <c r="AC269" s="43">
        <v>1.0</v>
      </c>
      <c r="AD269" s="14"/>
      <c r="AE269" s="14"/>
    </row>
    <row r="270">
      <c r="A270" s="43">
        <v>8078.0</v>
      </c>
      <c r="B270" s="63"/>
      <c r="C270" s="63" t="s">
        <v>1438</v>
      </c>
      <c r="D270" s="14"/>
      <c r="E270" s="14"/>
      <c r="F270" s="14"/>
      <c r="G270" s="4"/>
      <c r="H270" s="4"/>
      <c r="I270" s="13">
        <v>0.01</v>
      </c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57"/>
      <c r="W270" s="14"/>
      <c r="X270" s="14"/>
      <c r="Y270" s="14"/>
      <c r="Z270" s="14"/>
      <c r="AA270" s="14"/>
      <c r="AB270" s="14"/>
      <c r="AC270" s="43">
        <v>1.0</v>
      </c>
      <c r="AD270" s="14"/>
      <c r="AE270" s="14"/>
    </row>
    <row r="271">
      <c r="A271" s="43">
        <v>8079.0</v>
      </c>
      <c r="B271" s="63"/>
      <c r="C271" s="63" t="s">
        <v>1438</v>
      </c>
      <c r="D271" s="14"/>
      <c r="E271" s="14"/>
      <c r="F271" s="14"/>
      <c r="G271" s="4"/>
      <c r="H271" s="4"/>
      <c r="I271" s="13">
        <v>0.01</v>
      </c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57"/>
      <c r="W271" s="14"/>
      <c r="X271" s="14"/>
      <c r="Y271" s="14"/>
      <c r="Z271" s="14"/>
      <c r="AA271" s="14"/>
      <c r="AB271" s="14"/>
      <c r="AC271" s="43">
        <v>1.0</v>
      </c>
      <c r="AD271" s="14"/>
      <c r="AE271" s="14"/>
    </row>
    <row r="272">
      <c r="A272" s="43">
        <v>8080.0</v>
      </c>
      <c r="B272" s="63"/>
      <c r="C272" s="63" t="s">
        <v>1438</v>
      </c>
      <c r="D272" s="14"/>
      <c r="E272" s="14"/>
      <c r="F272" s="14"/>
      <c r="G272" s="4"/>
      <c r="H272" s="4"/>
      <c r="I272" s="13">
        <v>0.01</v>
      </c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57"/>
      <c r="W272" s="14"/>
      <c r="X272" s="14"/>
      <c r="Y272" s="14"/>
      <c r="Z272" s="14"/>
      <c r="AA272" s="14"/>
      <c r="AB272" s="14"/>
      <c r="AC272" s="43">
        <v>1.0</v>
      </c>
      <c r="AD272" s="14"/>
      <c r="AE272" s="14"/>
    </row>
    <row r="273">
      <c r="A273" s="43">
        <v>8081.0</v>
      </c>
      <c r="B273" s="63"/>
      <c r="C273" s="63" t="s">
        <v>1438</v>
      </c>
      <c r="D273" s="14"/>
      <c r="E273" s="14"/>
      <c r="F273" s="14"/>
      <c r="G273" s="14"/>
      <c r="H273" s="4"/>
      <c r="I273" s="13">
        <v>0.01</v>
      </c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57"/>
      <c r="W273" s="14"/>
      <c r="X273" s="14"/>
      <c r="Y273" s="14"/>
      <c r="Z273" s="14"/>
      <c r="AA273" s="14"/>
      <c r="AB273" s="14"/>
      <c r="AC273" s="43">
        <v>1.0</v>
      </c>
      <c r="AD273" s="14"/>
      <c r="AE273" s="14"/>
    </row>
    <row r="274">
      <c r="A274" s="43">
        <v>8082.0</v>
      </c>
      <c r="B274" s="63"/>
      <c r="C274" s="63" t="s">
        <v>1438</v>
      </c>
      <c r="D274" s="14"/>
      <c r="E274" s="14"/>
      <c r="F274" s="14"/>
      <c r="G274" s="14"/>
      <c r="H274" s="4"/>
      <c r="I274" s="13">
        <v>0.01</v>
      </c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57"/>
      <c r="W274" s="14"/>
      <c r="X274" s="14"/>
      <c r="Y274" s="14"/>
      <c r="Z274" s="14"/>
      <c r="AA274" s="14"/>
      <c r="AB274" s="14"/>
      <c r="AC274" s="43">
        <v>1.0</v>
      </c>
      <c r="AD274" s="14"/>
      <c r="AE274" s="14"/>
    </row>
    <row r="275">
      <c r="A275" s="43">
        <v>8083.0</v>
      </c>
      <c r="B275" s="63"/>
      <c r="C275" s="63" t="s">
        <v>1438</v>
      </c>
      <c r="D275" s="14"/>
      <c r="E275" s="14"/>
      <c r="F275" s="14"/>
      <c r="G275" s="14"/>
      <c r="H275" s="4"/>
      <c r="I275" s="13">
        <v>0.01</v>
      </c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57"/>
      <c r="W275" s="14"/>
      <c r="X275" s="14"/>
      <c r="Y275" s="14"/>
      <c r="Z275" s="14"/>
      <c r="AA275" s="14"/>
      <c r="AB275" s="14"/>
      <c r="AC275" s="43">
        <v>1.0</v>
      </c>
      <c r="AD275" s="14"/>
      <c r="AE275" s="14"/>
    </row>
    <row r="276">
      <c r="A276" s="43">
        <v>8084.0</v>
      </c>
      <c r="B276" s="63"/>
      <c r="C276" s="63" t="s">
        <v>1438</v>
      </c>
      <c r="D276" s="14"/>
      <c r="E276" s="14"/>
      <c r="F276" s="14"/>
      <c r="G276" s="14"/>
      <c r="H276" s="4"/>
      <c r="I276" s="13">
        <v>0.01</v>
      </c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57"/>
      <c r="W276" s="14"/>
      <c r="X276" s="14"/>
      <c r="Y276" s="14"/>
      <c r="Z276" s="14"/>
      <c r="AA276" s="14"/>
      <c r="AB276" s="14"/>
      <c r="AC276" s="43">
        <v>1.0</v>
      </c>
      <c r="AD276" s="14"/>
      <c r="AE276" s="14"/>
    </row>
    <row r="277">
      <c r="A277" s="43">
        <v>8085.0</v>
      </c>
      <c r="B277" s="63"/>
      <c r="C277" s="63" t="s">
        <v>1438</v>
      </c>
      <c r="D277" s="14"/>
      <c r="E277" s="14"/>
      <c r="F277" s="14"/>
      <c r="G277" s="14"/>
      <c r="H277" s="4"/>
      <c r="I277" s="13">
        <v>0.01</v>
      </c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57"/>
      <c r="W277" s="14"/>
      <c r="X277" s="14"/>
      <c r="Y277" s="14"/>
      <c r="Z277" s="14"/>
      <c r="AA277" s="14"/>
      <c r="AB277" s="14"/>
      <c r="AC277" s="43">
        <v>1.0</v>
      </c>
      <c r="AD277" s="14"/>
      <c r="AE277" s="14"/>
    </row>
    <row r="278">
      <c r="A278" s="43">
        <v>8086.0</v>
      </c>
      <c r="B278" s="63"/>
      <c r="C278" s="63" t="s">
        <v>1438</v>
      </c>
      <c r="D278" s="14"/>
      <c r="E278" s="14"/>
      <c r="F278" s="14"/>
      <c r="G278" s="14"/>
      <c r="H278" s="4"/>
      <c r="I278" s="13">
        <v>0.01</v>
      </c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57"/>
      <c r="W278" s="14"/>
      <c r="X278" s="14"/>
      <c r="Y278" s="14"/>
      <c r="Z278" s="14"/>
      <c r="AA278" s="14"/>
      <c r="AB278" s="14"/>
      <c r="AC278" s="43">
        <v>1.0</v>
      </c>
      <c r="AD278" s="14"/>
      <c r="AE278" s="14"/>
    </row>
    <row r="279">
      <c r="A279" s="43">
        <v>8087.0</v>
      </c>
      <c r="B279" s="63"/>
      <c r="C279" s="63" t="s">
        <v>1438</v>
      </c>
      <c r="D279" s="14"/>
      <c r="E279" s="14"/>
      <c r="F279" s="14"/>
      <c r="G279" s="14"/>
      <c r="H279" s="4"/>
      <c r="I279" s="13">
        <v>0.01</v>
      </c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57"/>
      <c r="W279" s="14"/>
      <c r="X279" s="14"/>
      <c r="Y279" s="14"/>
      <c r="Z279" s="14"/>
      <c r="AA279" s="14"/>
      <c r="AB279" s="14"/>
      <c r="AC279" s="43">
        <v>1.0</v>
      </c>
      <c r="AD279" s="14"/>
      <c r="AE279" s="14"/>
    </row>
    <row r="280">
      <c r="A280" s="43">
        <v>8088.0</v>
      </c>
      <c r="B280" s="63"/>
      <c r="C280" s="63" t="s">
        <v>1438</v>
      </c>
      <c r="D280" s="14"/>
      <c r="E280" s="14"/>
      <c r="F280" s="14"/>
      <c r="G280" s="14"/>
      <c r="H280" s="4"/>
      <c r="I280" s="13">
        <v>0.01</v>
      </c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57"/>
      <c r="W280" s="14"/>
      <c r="X280" s="14"/>
      <c r="Y280" s="14"/>
      <c r="Z280" s="14"/>
      <c r="AA280" s="14"/>
      <c r="AB280" s="14"/>
      <c r="AC280" s="43">
        <v>1.0</v>
      </c>
      <c r="AD280" s="14"/>
      <c r="AE280" s="14"/>
    </row>
    <row r="281">
      <c r="A281" s="43">
        <v>8089.0</v>
      </c>
      <c r="B281" s="63"/>
      <c r="C281" s="63" t="s">
        <v>1500</v>
      </c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57"/>
      <c r="W281" s="14"/>
      <c r="X281" s="14"/>
      <c r="Y281" s="14"/>
      <c r="Z281" s="14"/>
      <c r="AA281" s="14"/>
      <c r="AB281" s="14"/>
      <c r="AC281" s="43">
        <v>1.0</v>
      </c>
      <c r="AD281" s="14"/>
      <c r="AE281" s="14"/>
    </row>
    <row r="282">
      <c r="A282" s="51"/>
      <c r="B282" s="51"/>
      <c r="V282" s="51"/>
    </row>
    <row r="283">
      <c r="A283" s="51"/>
      <c r="B283" s="51"/>
      <c r="V283" s="51"/>
    </row>
    <row r="284">
      <c r="A284" s="51"/>
      <c r="B284" s="51"/>
      <c r="V284" s="51"/>
    </row>
    <row r="285">
      <c r="A285" s="51"/>
      <c r="B285" s="51"/>
      <c r="V285" s="51"/>
    </row>
    <row r="286">
      <c r="A286" s="51"/>
      <c r="B286" s="51"/>
      <c r="V286" s="51"/>
    </row>
    <row r="287">
      <c r="A287" s="51"/>
      <c r="B287" s="51"/>
      <c r="V287" s="51"/>
    </row>
    <row r="288">
      <c r="A288" s="51"/>
      <c r="B288" s="51"/>
      <c r="V288" s="51"/>
    </row>
    <row r="289">
      <c r="A289" s="51"/>
      <c r="B289" s="51"/>
      <c r="V289" s="51"/>
    </row>
    <row r="290">
      <c r="A290" s="51"/>
      <c r="B290" s="51"/>
      <c r="V290" s="51"/>
    </row>
    <row r="291">
      <c r="A291" s="51"/>
      <c r="B291" s="51"/>
      <c r="V291" s="51"/>
    </row>
    <row r="292">
      <c r="A292" s="51"/>
      <c r="B292" s="51"/>
      <c r="V292" s="51"/>
    </row>
    <row r="293">
      <c r="A293" s="40" t="s">
        <v>288</v>
      </c>
      <c r="B293" s="40" t="s">
        <v>532</v>
      </c>
      <c r="C293" s="40" t="s">
        <v>534</v>
      </c>
      <c r="D293" s="40" t="s">
        <v>535</v>
      </c>
      <c r="E293" s="40" t="s">
        <v>537</v>
      </c>
      <c r="F293" s="40" t="s">
        <v>538</v>
      </c>
      <c r="G293" s="40" t="s">
        <v>540</v>
      </c>
      <c r="H293" s="40" t="s">
        <v>250</v>
      </c>
      <c r="I293" s="40" t="s">
        <v>252</v>
      </c>
      <c r="J293" s="40" t="s">
        <v>254</v>
      </c>
      <c r="K293" s="40" t="s">
        <v>256</v>
      </c>
      <c r="L293" s="40" t="s">
        <v>259</v>
      </c>
      <c r="M293" s="40" t="s">
        <v>73</v>
      </c>
      <c r="N293" s="40" t="s">
        <v>263</v>
      </c>
      <c r="O293" s="40" t="s">
        <v>265</v>
      </c>
      <c r="P293" s="40" t="s">
        <v>267</v>
      </c>
      <c r="Q293" s="40" t="s">
        <v>269</v>
      </c>
      <c r="R293" s="40" t="s">
        <v>270</v>
      </c>
      <c r="S293" s="40" t="s">
        <v>271</v>
      </c>
      <c r="T293" s="40" t="s">
        <v>272</v>
      </c>
      <c r="U293" s="40" t="s">
        <v>273</v>
      </c>
      <c r="V293" s="40" t="s">
        <v>274</v>
      </c>
      <c r="W293" s="40" t="s">
        <v>548</v>
      </c>
      <c r="X293" s="40" t="s">
        <v>549</v>
      </c>
      <c r="Y293" s="40" t="s">
        <v>550</v>
      </c>
      <c r="Z293" s="40" t="s">
        <v>552</v>
      </c>
      <c r="AA293" s="40" t="s">
        <v>554</v>
      </c>
      <c r="AB293" s="40" t="s">
        <v>555</v>
      </c>
      <c r="AC293" s="40" t="s">
        <v>558</v>
      </c>
      <c r="AD293" s="40" t="s">
        <v>559</v>
      </c>
      <c r="AE293" s="4" t="s">
        <v>1349</v>
      </c>
    </row>
    <row r="294">
      <c r="A294" s="43">
        <v>9001.0</v>
      </c>
      <c r="B294" s="27" t="s">
        <v>1512</v>
      </c>
      <c r="C294" s="4" t="s">
        <v>1513</v>
      </c>
      <c r="D294" s="43" t="s">
        <v>573</v>
      </c>
      <c r="E294" s="14"/>
      <c r="F294" s="14"/>
      <c r="G294" s="14"/>
      <c r="H294" s="4">
        <v>0.1</v>
      </c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57"/>
      <c r="W294" s="43" t="b">
        <v>0</v>
      </c>
      <c r="X294" s="43">
        <v>1.0</v>
      </c>
      <c r="Y294" s="43">
        <v>3.0</v>
      </c>
      <c r="Z294" s="14"/>
      <c r="AA294" s="14"/>
      <c r="AB294" s="14"/>
      <c r="AC294" s="14"/>
      <c r="AD294" s="43"/>
      <c r="AE294" s="14"/>
    </row>
    <row r="295">
      <c r="A295" s="43">
        <v>9002.0</v>
      </c>
      <c r="B295" s="27" t="s">
        <v>1516</v>
      </c>
      <c r="C295" s="4" t="s">
        <v>1518</v>
      </c>
      <c r="D295" s="43" t="s">
        <v>573</v>
      </c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4">
        <v>0.05</v>
      </c>
      <c r="P295" s="14"/>
      <c r="Q295" s="14"/>
      <c r="R295" s="14"/>
      <c r="S295" s="14"/>
      <c r="T295" s="14"/>
      <c r="U295" s="14"/>
      <c r="V295" s="57"/>
      <c r="W295" s="43" t="b">
        <v>0</v>
      </c>
      <c r="X295" s="43">
        <v>1.0</v>
      </c>
      <c r="Y295" s="43">
        <v>3.0</v>
      </c>
      <c r="Z295" s="14"/>
      <c r="AA295" s="14"/>
      <c r="AB295" s="14"/>
      <c r="AC295" s="14"/>
      <c r="AD295" s="43"/>
      <c r="AE295" s="14"/>
    </row>
    <row r="296">
      <c r="A296" s="43">
        <v>9003.0</v>
      </c>
      <c r="B296" s="27" t="s">
        <v>1520</v>
      </c>
      <c r="C296" s="4" t="s">
        <v>1521</v>
      </c>
      <c r="D296" s="43" t="s">
        <v>640</v>
      </c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4">
        <v>-0.1</v>
      </c>
      <c r="P296" s="14"/>
      <c r="Q296" s="14"/>
      <c r="R296" s="14"/>
      <c r="S296" s="14"/>
      <c r="T296" s="14"/>
      <c r="U296" s="14"/>
      <c r="V296" s="57"/>
      <c r="W296" s="43" t="b">
        <v>0</v>
      </c>
      <c r="X296" s="43">
        <v>1.0</v>
      </c>
      <c r="Y296" s="43">
        <v>3.0</v>
      </c>
      <c r="Z296" s="14"/>
      <c r="AA296" s="14"/>
      <c r="AB296" s="14"/>
      <c r="AC296" s="14"/>
      <c r="AD296" s="43"/>
      <c r="AE296" s="14"/>
    </row>
    <row r="297">
      <c r="A297" s="43">
        <v>9004.0</v>
      </c>
      <c r="B297" s="27" t="s">
        <v>1523</v>
      </c>
      <c r="C297" s="4" t="s">
        <v>1524</v>
      </c>
      <c r="D297" s="43" t="s">
        <v>640</v>
      </c>
      <c r="E297" s="14"/>
      <c r="F297" s="14"/>
      <c r="G297" s="14"/>
      <c r="H297" s="17"/>
      <c r="I297" s="14"/>
      <c r="J297" s="14"/>
      <c r="K297" s="4">
        <v>-0.1</v>
      </c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57"/>
      <c r="W297" s="43" t="b">
        <v>0</v>
      </c>
      <c r="X297" s="43">
        <v>1.0</v>
      </c>
      <c r="Y297" s="43">
        <v>3.0</v>
      </c>
      <c r="Z297" s="14"/>
      <c r="AA297" s="14"/>
      <c r="AB297" s="14"/>
      <c r="AC297" s="14"/>
      <c r="AD297" s="43"/>
      <c r="AE297" s="14"/>
    </row>
    <row r="298">
      <c r="A298" s="43">
        <v>9005.0</v>
      </c>
      <c r="B298" s="27" t="s">
        <v>1527</v>
      </c>
      <c r="C298" s="4" t="s">
        <v>1528</v>
      </c>
      <c r="D298" s="43" t="s">
        <v>573</v>
      </c>
      <c r="E298" s="17"/>
      <c r="F298" s="14"/>
      <c r="G298" s="14"/>
      <c r="H298" s="14"/>
      <c r="I298" s="4">
        <v>0.1</v>
      </c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57"/>
      <c r="W298" s="43" t="b">
        <v>0</v>
      </c>
      <c r="X298" s="43">
        <v>1.0</v>
      </c>
      <c r="Y298" s="43">
        <v>3.0</v>
      </c>
      <c r="Z298" s="14"/>
      <c r="AA298" s="14"/>
      <c r="AB298" s="14"/>
      <c r="AC298" s="14"/>
      <c r="AD298" s="43"/>
      <c r="AE298" s="14"/>
    </row>
    <row r="299">
      <c r="A299" s="43">
        <v>9006.0</v>
      </c>
      <c r="B299" s="27" t="s">
        <v>1531</v>
      </c>
      <c r="C299" s="4" t="s">
        <v>1533</v>
      </c>
      <c r="D299" s="43" t="s">
        <v>573</v>
      </c>
      <c r="E299" s="17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43">
        <v>-0.1</v>
      </c>
      <c r="W299" s="43" t="b">
        <v>0</v>
      </c>
      <c r="X299" s="43">
        <v>1.0</v>
      </c>
      <c r="Y299" s="43">
        <v>3.0</v>
      </c>
      <c r="Z299" s="14"/>
      <c r="AA299" s="14"/>
      <c r="AB299" s="14"/>
      <c r="AC299" s="14"/>
      <c r="AD299" s="43"/>
      <c r="AE299" s="14"/>
    </row>
    <row r="300">
      <c r="A300" s="43">
        <v>9007.0</v>
      </c>
      <c r="B300" s="27" t="s">
        <v>1534</v>
      </c>
      <c r="C300" s="4" t="s">
        <v>1535</v>
      </c>
      <c r="D300" s="43" t="s">
        <v>640</v>
      </c>
      <c r="E300" s="14"/>
      <c r="F300" s="14"/>
      <c r="G300" s="14"/>
      <c r="H300" s="14"/>
      <c r="I300" s="14"/>
      <c r="J300" s="4">
        <v>-0.1</v>
      </c>
      <c r="K300" s="4">
        <v>-0.1</v>
      </c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57"/>
      <c r="W300" s="43" t="b">
        <v>0</v>
      </c>
      <c r="X300" s="43">
        <v>1.0</v>
      </c>
      <c r="Y300" s="43">
        <v>3.0</v>
      </c>
      <c r="Z300" s="14"/>
      <c r="AA300" s="14"/>
      <c r="AB300" s="14"/>
      <c r="AC300" s="14"/>
      <c r="AD300" s="43"/>
      <c r="AE300" s="14"/>
    </row>
    <row r="301">
      <c r="A301" s="43">
        <v>9008.0</v>
      </c>
      <c r="B301" s="27" t="s">
        <v>1538</v>
      </c>
      <c r="C301" s="4" t="s">
        <v>1539</v>
      </c>
      <c r="D301" s="43" t="s">
        <v>640</v>
      </c>
      <c r="E301" s="14"/>
      <c r="F301" s="14"/>
      <c r="G301" s="14"/>
      <c r="H301" s="4">
        <v>-0.1</v>
      </c>
      <c r="I301" s="4">
        <v>-0.1</v>
      </c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57"/>
      <c r="W301" s="43" t="b">
        <v>0</v>
      </c>
      <c r="X301" s="43">
        <v>1.0</v>
      </c>
      <c r="Y301" s="43">
        <v>3.0</v>
      </c>
      <c r="Z301" s="14"/>
      <c r="AA301" s="14"/>
      <c r="AB301" s="14"/>
      <c r="AC301" s="14"/>
      <c r="AD301" s="43"/>
      <c r="AE301" s="14"/>
    </row>
    <row r="302">
      <c r="A302" s="43">
        <v>9009.0</v>
      </c>
      <c r="B302" s="27" t="s">
        <v>1541</v>
      </c>
      <c r="C302" s="4" t="s">
        <v>1543</v>
      </c>
      <c r="D302" s="43" t="s">
        <v>573</v>
      </c>
      <c r="E302" s="14"/>
      <c r="F302" s="14"/>
      <c r="G302" s="14"/>
      <c r="H302" s="14"/>
      <c r="I302" s="14"/>
      <c r="J302" s="14"/>
      <c r="K302" s="14"/>
      <c r="L302" s="14"/>
      <c r="M302" s="4">
        <v>10.0</v>
      </c>
      <c r="N302" s="14"/>
      <c r="O302" s="14"/>
      <c r="P302" s="14"/>
      <c r="Q302" s="14"/>
      <c r="R302" s="14"/>
      <c r="S302" s="14"/>
      <c r="T302" s="14"/>
      <c r="U302" s="14"/>
      <c r="V302" s="57"/>
      <c r="W302" s="43" t="b">
        <v>0</v>
      </c>
      <c r="X302" s="43">
        <v>1.0</v>
      </c>
      <c r="Y302" s="43">
        <v>3.0</v>
      </c>
      <c r="Z302" s="14"/>
      <c r="AA302" s="14"/>
      <c r="AB302" s="14"/>
      <c r="AC302" s="14"/>
      <c r="AD302" s="43"/>
      <c r="AE302" s="14"/>
    </row>
    <row r="303">
      <c r="A303" s="43">
        <v>9010.0</v>
      </c>
      <c r="B303" s="27" t="s">
        <v>1544</v>
      </c>
      <c r="C303" s="4" t="s">
        <v>1545</v>
      </c>
      <c r="D303" s="43" t="s">
        <v>640</v>
      </c>
      <c r="E303" s="14"/>
      <c r="F303" s="14"/>
      <c r="G303" s="14"/>
      <c r="H303" s="14"/>
      <c r="I303" s="14"/>
      <c r="J303" s="14"/>
      <c r="K303" s="14"/>
      <c r="L303" s="14"/>
      <c r="M303" s="4">
        <v>-10.0</v>
      </c>
      <c r="N303" s="14"/>
      <c r="O303" s="14"/>
      <c r="P303" s="14"/>
      <c r="Q303" s="14"/>
      <c r="R303" s="14"/>
      <c r="S303" s="14"/>
      <c r="T303" s="14"/>
      <c r="U303" s="14"/>
      <c r="V303" s="57"/>
      <c r="W303" s="43" t="b">
        <v>0</v>
      </c>
      <c r="X303" s="43">
        <v>1.0</v>
      </c>
      <c r="Y303" s="43">
        <v>3.0</v>
      </c>
      <c r="Z303" s="14"/>
      <c r="AA303" s="14"/>
      <c r="AB303" s="14"/>
      <c r="AC303" s="14"/>
      <c r="AD303" s="43"/>
      <c r="AE303" s="14"/>
    </row>
    <row r="304">
      <c r="A304" s="43">
        <v>9011.0</v>
      </c>
      <c r="B304" s="27" t="s">
        <v>1548</v>
      </c>
      <c r="C304" s="4" t="s">
        <v>1549</v>
      </c>
      <c r="D304" s="43" t="s">
        <v>640</v>
      </c>
      <c r="E304" s="14"/>
      <c r="F304" s="14"/>
      <c r="G304" s="14"/>
      <c r="H304" s="14"/>
      <c r="I304" s="14"/>
      <c r="J304" s="14"/>
      <c r="K304" s="4">
        <v>-0.2</v>
      </c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57"/>
      <c r="W304" s="43" t="b">
        <v>0</v>
      </c>
      <c r="X304" s="43">
        <v>1.0</v>
      </c>
      <c r="Y304" s="43">
        <v>3.0</v>
      </c>
      <c r="Z304" s="14"/>
      <c r="AA304" s="14"/>
      <c r="AB304" s="14"/>
      <c r="AC304" s="14"/>
      <c r="AD304" s="43"/>
      <c r="AE304" s="14"/>
    </row>
    <row r="305">
      <c r="A305" s="43">
        <v>9012.0</v>
      </c>
      <c r="B305" s="27" t="s">
        <v>1550</v>
      </c>
      <c r="C305" s="4" t="s">
        <v>1551</v>
      </c>
      <c r="D305" s="43" t="s">
        <v>640</v>
      </c>
      <c r="E305" s="14"/>
      <c r="F305" s="14"/>
      <c r="G305" s="14"/>
      <c r="H305" s="4">
        <v>-0.2</v>
      </c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57"/>
      <c r="W305" s="43" t="b">
        <v>0</v>
      </c>
      <c r="X305" s="43">
        <v>1.0</v>
      </c>
      <c r="Y305" s="43">
        <v>3.0</v>
      </c>
      <c r="Z305" s="14"/>
      <c r="AA305" s="14"/>
      <c r="AB305" s="14"/>
      <c r="AC305" s="14"/>
      <c r="AD305" s="43"/>
      <c r="AE305" s="14"/>
    </row>
    <row r="306">
      <c r="A306" s="51"/>
      <c r="B306" s="51"/>
      <c r="V306" s="51"/>
    </row>
    <row r="307">
      <c r="A307" s="51"/>
      <c r="B307" s="51"/>
      <c r="V307" s="51"/>
    </row>
    <row r="308">
      <c r="A308" s="51"/>
      <c r="B308" s="51"/>
      <c r="V308" s="51"/>
    </row>
    <row r="309">
      <c r="A309" s="51"/>
      <c r="V309" s="51"/>
    </row>
    <row r="310">
      <c r="A310" s="51"/>
      <c r="V310" s="51"/>
    </row>
    <row r="311">
      <c r="A311" s="40" t="s">
        <v>288</v>
      </c>
      <c r="B311" s="40" t="s">
        <v>532</v>
      </c>
      <c r="C311" s="40" t="s">
        <v>534</v>
      </c>
      <c r="D311" s="40" t="s">
        <v>535</v>
      </c>
      <c r="E311" s="40" t="s">
        <v>537</v>
      </c>
      <c r="F311" s="40" t="s">
        <v>538</v>
      </c>
      <c r="G311" s="40" t="s">
        <v>540</v>
      </c>
      <c r="H311" s="40" t="s">
        <v>250</v>
      </c>
      <c r="I311" s="40" t="s">
        <v>252</v>
      </c>
      <c r="J311" s="40" t="s">
        <v>254</v>
      </c>
      <c r="K311" s="40" t="s">
        <v>256</v>
      </c>
      <c r="L311" s="40" t="s">
        <v>259</v>
      </c>
      <c r="M311" s="40" t="s">
        <v>73</v>
      </c>
      <c r="N311" s="40" t="s">
        <v>263</v>
      </c>
      <c r="O311" s="40" t="s">
        <v>265</v>
      </c>
      <c r="P311" s="40" t="s">
        <v>267</v>
      </c>
      <c r="Q311" s="40" t="s">
        <v>269</v>
      </c>
      <c r="R311" s="40" t="s">
        <v>270</v>
      </c>
      <c r="S311" s="40" t="s">
        <v>271</v>
      </c>
      <c r="T311" s="40" t="s">
        <v>272</v>
      </c>
      <c r="U311" s="40" t="s">
        <v>273</v>
      </c>
      <c r="V311" s="40" t="s">
        <v>274</v>
      </c>
      <c r="W311" s="40" t="s">
        <v>548</v>
      </c>
      <c r="X311" s="40" t="s">
        <v>549</v>
      </c>
      <c r="Y311" s="40" t="s">
        <v>550</v>
      </c>
      <c r="Z311" s="40" t="s">
        <v>552</v>
      </c>
      <c r="AA311" s="40" t="s">
        <v>554</v>
      </c>
      <c r="AB311" s="40" t="s">
        <v>555</v>
      </c>
      <c r="AC311" s="40" t="s">
        <v>558</v>
      </c>
      <c r="AD311" s="40" t="s">
        <v>559</v>
      </c>
      <c r="AE311" s="4" t="s">
        <v>1349</v>
      </c>
    </row>
    <row r="312">
      <c r="A312" s="4">
        <v>9900.0</v>
      </c>
      <c r="B312" s="4" t="s">
        <v>289</v>
      </c>
      <c r="C312" s="4" t="s">
        <v>1513</v>
      </c>
      <c r="D312" s="43" t="s">
        <v>573</v>
      </c>
      <c r="E312" s="14"/>
      <c r="F312" s="14"/>
      <c r="G312" s="14"/>
      <c r="H312" s="4">
        <v>0.1</v>
      </c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57"/>
      <c r="W312" s="43" t="b">
        <v>0</v>
      </c>
      <c r="X312" s="43">
        <v>1.0</v>
      </c>
      <c r="Y312" s="43">
        <v>3.0</v>
      </c>
      <c r="Z312" s="14"/>
      <c r="AA312" s="14"/>
      <c r="AB312" s="14"/>
      <c r="AC312" s="4">
        <v>1.0</v>
      </c>
      <c r="AD312" s="43"/>
      <c r="AE312" s="14"/>
    </row>
    <row r="313">
      <c r="A313" s="14">
        <f t="shared" ref="A313:A327" si="30">A312+1</f>
        <v>9901</v>
      </c>
      <c r="B313" s="4" t="s">
        <v>291</v>
      </c>
      <c r="C313" s="4" t="s">
        <v>1513</v>
      </c>
      <c r="D313" s="43" t="s">
        <v>573</v>
      </c>
      <c r="E313" s="14"/>
      <c r="F313" s="14"/>
      <c r="G313" s="14"/>
      <c r="H313" s="4">
        <v>0.1</v>
      </c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57"/>
      <c r="W313" s="43" t="b">
        <v>0</v>
      </c>
      <c r="X313" s="43">
        <v>1.0</v>
      </c>
      <c r="Y313" s="43">
        <v>3.0</v>
      </c>
      <c r="Z313" s="14"/>
      <c r="AA313" s="14"/>
      <c r="AB313" s="14"/>
      <c r="AC313" s="4">
        <v>1.0</v>
      </c>
      <c r="AD313" s="43"/>
      <c r="AE313" s="14"/>
    </row>
    <row r="314">
      <c r="A314" s="14">
        <f t="shared" si="30"/>
        <v>9902</v>
      </c>
      <c r="B314" s="4" t="s">
        <v>312</v>
      </c>
      <c r="C314" s="4" t="s">
        <v>1513</v>
      </c>
      <c r="D314" s="43" t="s">
        <v>573</v>
      </c>
      <c r="E314" s="14"/>
      <c r="F314" s="14"/>
      <c r="G314" s="14"/>
      <c r="H314" s="4">
        <v>0.1</v>
      </c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57"/>
      <c r="W314" s="43" t="b">
        <v>0</v>
      </c>
      <c r="X314" s="43">
        <v>1.0</v>
      </c>
      <c r="Y314" s="43">
        <v>3.0</v>
      </c>
      <c r="Z314" s="14"/>
      <c r="AA314" s="14"/>
      <c r="AB314" s="14"/>
      <c r="AC314" s="4">
        <v>1.0</v>
      </c>
      <c r="AD314" s="43"/>
      <c r="AE314" s="14"/>
    </row>
    <row r="315">
      <c r="A315" s="14">
        <f t="shared" si="30"/>
        <v>9903</v>
      </c>
      <c r="B315" s="4" t="s">
        <v>318</v>
      </c>
      <c r="C315" s="4" t="s">
        <v>1513</v>
      </c>
      <c r="D315" s="43" t="s">
        <v>573</v>
      </c>
      <c r="E315" s="14"/>
      <c r="F315" s="14"/>
      <c r="G315" s="14"/>
      <c r="H315" s="4">
        <v>0.1</v>
      </c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57"/>
      <c r="W315" s="43" t="b">
        <v>0</v>
      </c>
      <c r="X315" s="43">
        <v>1.0</v>
      </c>
      <c r="Y315" s="43">
        <v>3.0</v>
      </c>
      <c r="Z315" s="14"/>
      <c r="AA315" s="14"/>
      <c r="AB315" s="14"/>
      <c r="AC315" s="4">
        <v>1.0</v>
      </c>
      <c r="AD315" s="43"/>
      <c r="AE315" s="14"/>
    </row>
    <row r="316">
      <c r="A316" s="14">
        <f t="shared" si="30"/>
        <v>9904</v>
      </c>
      <c r="B316" s="4" t="s">
        <v>326</v>
      </c>
      <c r="C316" s="4" t="s">
        <v>1513</v>
      </c>
      <c r="D316" s="43" t="s">
        <v>573</v>
      </c>
      <c r="E316" s="14"/>
      <c r="F316" s="14"/>
      <c r="G316" s="14"/>
      <c r="H316" s="4">
        <v>0.1</v>
      </c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57"/>
      <c r="W316" s="43" t="b">
        <v>0</v>
      </c>
      <c r="X316" s="43">
        <v>1.0</v>
      </c>
      <c r="Y316" s="43">
        <v>3.0</v>
      </c>
      <c r="Z316" s="14"/>
      <c r="AA316" s="14"/>
      <c r="AB316" s="14"/>
      <c r="AC316" s="4">
        <v>1.0</v>
      </c>
      <c r="AD316" s="43"/>
      <c r="AE316" s="14"/>
    </row>
    <row r="317">
      <c r="A317" s="14">
        <f t="shared" si="30"/>
        <v>9905</v>
      </c>
      <c r="B317" s="4" t="s">
        <v>329</v>
      </c>
      <c r="C317" s="4" t="s">
        <v>1513</v>
      </c>
      <c r="D317" s="43" t="s">
        <v>573</v>
      </c>
      <c r="E317" s="14"/>
      <c r="F317" s="14"/>
      <c r="G317" s="14"/>
      <c r="H317" s="4">
        <v>0.1</v>
      </c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57"/>
      <c r="W317" s="43" t="b">
        <v>0</v>
      </c>
      <c r="X317" s="43">
        <v>1.0</v>
      </c>
      <c r="Y317" s="43">
        <v>3.0</v>
      </c>
      <c r="Z317" s="14"/>
      <c r="AA317" s="14"/>
      <c r="AB317" s="14"/>
      <c r="AC317" s="4">
        <v>1.0</v>
      </c>
      <c r="AD317" s="43"/>
      <c r="AE317" s="14"/>
    </row>
    <row r="318">
      <c r="A318" s="14">
        <f t="shared" si="30"/>
        <v>9906</v>
      </c>
      <c r="B318" s="4" t="s">
        <v>332</v>
      </c>
      <c r="C318" s="4" t="s">
        <v>1513</v>
      </c>
      <c r="D318" s="43" t="s">
        <v>573</v>
      </c>
      <c r="E318" s="14"/>
      <c r="F318" s="14"/>
      <c r="G318" s="14"/>
      <c r="H318" s="4">
        <v>0.1</v>
      </c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57"/>
      <c r="W318" s="43" t="b">
        <v>0</v>
      </c>
      <c r="X318" s="43">
        <v>1.0</v>
      </c>
      <c r="Y318" s="43">
        <v>3.0</v>
      </c>
      <c r="Z318" s="14"/>
      <c r="AA318" s="14"/>
      <c r="AB318" s="14"/>
      <c r="AC318" s="4">
        <v>1.0</v>
      </c>
      <c r="AD318" s="43"/>
      <c r="AE318" s="14"/>
    </row>
    <row r="319">
      <c r="A319" s="14">
        <f t="shared" si="30"/>
        <v>9907</v>
      </c>
      <c r="B319" s="4" t="s">
        <v>336</v>
      </c>
      <c r="C319" s="4" t="s">
        <v>1513</v>
      </c>
      <c r="D319" s="43" t="s">
        <v>573</v>
      </c>
      <c r="E319" s="14"/>
      <c r="F319" s="14"/>
      <c r="G319" s="14"/>
      <c r="H319" s="4">
        <v>0.1</v>
      </c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57"/>
      <c r="W319" s="43" t="b">
        <v>0</v>
      </c>
      <c r="X319" s="43">
        <v>1.0</v>
      </c>
      <c r="Y319" s="43">
        <v>3.0</v>
      </c>
      <c r="Z319" s="14"/>
      <c r="AA319" s="14"/>
      <c r="AB319" s="14"/>
      <c r="AC319" s="4">
        <v>1.0</v>
      </c>
      <c r="AD319" s="43"/>
      <c r="AE319" s="14"/>
    </row>
    <row r="320">
      <c r="A320" s="14">
        <f t="shared" si="30"/>
        <v>9908</v>
      </c>
      <c r="B320" s="4" t="s">
        <v>337</v>
      </c>
      <c r="C320" s="4" t="s">
        <v>1513</v>
      </c>
      <c r="D320" s="43" t="s">
        <v>573</v>
      </c>
      <c r="E320" s="14"/>
      <c r="F320" s="14"/>
      <c r="G320" s="14"/>
      <c r="H320" s="4">
        <v>0.1</v>
      </c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57"/>
      <c r="W320" s="43" t="b">
        <v>0</v>
      </c>
      <c r="X320" s="43">
        <v>1.0</v>
      </c>
      <c r="Y320" s="43">
        <v>3.0</v>
      </c>
      <c r="Z320" s="14"/>
      <c r="AA320" s="14"/>
      <c r="AB320" s="14"/>
      <c r="AC320" s="4">
        <v>1.0</v>
      </c>
      <c r="AD320" s="43"/>
      <c r="AE320" s="14"/>
    </row>
    <row r="321">
      <c r="A321" s="14">
        <f t="shared" si="30"/>
        <v>9909</v>
      </c>
      <c r="B321" s="4" t="s">
        <v>342</v>
      </c>
      <c r="C321" s="4" t="s">
        <v>1513</v>
      </c>
      <c r="D321" s="43" t="s">
        <v>573</v>
      </c>
      <c r="E321" s="14"/>
      <c r="F321" s="14"/>
      <c r="G321" s="14"/>
      <c r="H321" s="4">
        <v>0.1</v>
      </c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57"/>
      <c r="W321" s="43" t="b">
        <v>0</v>
      </c>
      <c r="X321" s="43">
        <v>1.0</v>
      </c>
      <c r="Y321" s="43">
        <v>3.0</v>
      </c>
      <c r="Z321" s="14"/>
      <c r="AA321" s="14"/>
      <c r="AB321" s="14"/>
      <c r="AC321" s="4">
        <v>1.0</v>
      </c>
      <c r="AD321" s="43"/>
      <c r="AE321" s="14"/>
    </row>
    <row r="322">
      <c r="A322" s="14">
        <f t="shared" si="30"/>
        <v>9910</v>
      </c>
      <c r="B322" s="4" t="s">
        <v>348</v>
      </c>
      <c r="C322" s="4" t="s">
        <v>1513</v>
      </c>
      <c r="D322" s="43" t="s">
        <v>573</v>
      </c>
      <c r="E322" s="14"/>
      <c r="F322" s="14"/>
      <c r="G322" s="14"/>
      <c r="H322" s="4">
        <v>0.1</v>
      </c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57"/>
      <c r="W322" s="43" t="b">
        <v>0</v>
      </c>
      <c r="X322" s="43">
        <v>1.0</v>
      </c>
      <c r="Y322" s="43">
        <v>3.0</v>
      </c>
      <c r="Z322" s="14"/>
      <c r="AA322" s="14"/>
      <c r="AB322" s="14"/>
      <c r="AC322" s="4">
        <v>1.0</v>
      </c>
      <c r="AD322" s="43"/>
      <c r="AE322" s="14"/>
    </row>
    <row r="323">
      <c r="A323" s="14">
        <f t="shared" si="30"/>
        <v>9911</v>
      </c>
      <c r="B323" s="4" t="s">
        <v>354</v>
      </c>
      <c r="C323" s="4" t="s">
        <v>1513</v>
      </c>
      <c r="D323" s="43" t="s">
        <v>573</v>
      </c>
      <c r="E323" s="14"/>
      <c r="F323" s="14"/>
      <c r="G323" s="14"/>
      <c r="H323" s="4">
        <v>0.1</v>
      </c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57"/>
      <c r="W323" s="43" t="b">
        <v>0</v>
      </c>
      <c r="X323" s="43">
        <v>1.0</v>
      </c>
      <c r="Y323" s="43">
        <v>3.0</v>
      </c>
      <c r="Z323" s="14"/>
      <c r="AA323" s="14"/>
      <c r="AB323" s="14"/>
      <c r="AC323" s="4">
        <v>1.0</v>
      </c>
      <c r="AD323" s="14"/>
      <c r="AE323" s="14"/>
    </row>
    <row r="324">
      <c r="A324" s="14">
        <f t="shared" si="30"/>
        <v>9912</v>
      </c>
      <c r="B324" s="4" t="s">
        <v>355</v>
      </c>
      <c r="C324" s="4" t="s">
        <v>1513</v>
      </c>
      <c r="D324" s="43" t="s">
        <v>573</v>
      </c>
      <c r="E324" s="14"/>
      <c r="F324" s="14"/>
      <c r="G324" s="14"/>
      <c r="H324" s="4">
        <v>0.1</v>
      </c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57"/>
      <c r="W324" s="43" t="b">
        <v>0</v>
      </c>
      <c r="X324" s="43">
        <v>1.0</v>
      </c>
      <c r="Y324" s="43">
        <v>3.0</v>
      </c>
      <c r="Z324" s="14"/>
      <c r="AA324" s="14"/>
      <c r="AB324" s="14"/>
      <c r="AC324" s="4">
        <v>1.0</v>
      </c>
      <c r="AD324" s="14"/>
      <c r="AE324" s="14"/>
    </row>
    <row r="325">
      <c r="A325" s="14">
        <f t="shared" si="30"/>
        <v>9913</v>
      </c>
      <c r="B325" s="4" t="s">
        <v>359</v>
      </c>
      <c r="C325" s="4" t="s">
        <v>1513</v>
      </c>
      <c r="D325" s="43" t="s">
        <v>573</v>
      </c>
      <c r="E325" s="14"/>
      <c r="F325" s="14"/>
      <c r="G325" s="14"/>
      <c r="H325" s="4">
        <v>0.1</v>
      </c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57"/>
      <c r="W325" s="43" t="b">
        <v>0</v>
      </c>
      <c r="X325" s="43">
        <v>1.0</v>
      </c>
      <c r="Y325" s="43">
        <v>3.0</v>
      </c>
      <c r="Z325" s="14"/>
      <c r="AA325" s="14"/>
      <c r="AB325" s="14"/>
      <c r="AC325" s="4">
        <v>1.0</v>
      </c>
      <c r="AD325" s="14"/>
      <c r="AE325" s="14"/>
    </row>
    <row r="326">
      <c r="A326" s="14">
        <f t="shared" si="30"/>
        <v>9914</v>
      </c>
      <c r="B326" s="4" t="s">
        <v>362</v>
      </c>
      <c r="C326" s="4" t="s">
        <v>1513</v>
      </c>
      <c r="D326" s="43" t="s">
        <v>573</v>
      </c>
      <c r="E326" s="14"/>
      <c r="F326" s="14"/>
      <c r="G326" s="14"/>
      <c r="H326" s="4">
        <v>0.1</v>
      </c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57"/>
      <c r="W326" s="43" t="b">
        <v>0</v>
      </c>
      <c r="X326" s="43">
        <v>1.0</v>
      </c>
      <c r="Y326" s="43">
        <v>3.0</v>
      </c>
      <c r="Z326" s="14"/>
      <c r="AA326" s="14"/>
      <c r="AB326" s="14"/>
      <c r="AC326" s="4">
        <v>1.0</v>
      </c>
      <c r="AD326" s="14"/>
      <c r="AE326" s="14"/>
    </row>
    <row r="327">
      <c r="A327" s="14">
        <f t="shared" si="30"/>
        <v>9915</v>
      </c>
      <c r="B327" s="4" t="s">
        <v>363</v>
      </c>
      <c r="C327" s="4" t="s">
        <v>1513</v>
      </c>
      <c r="D327" s="43" t="s">
        <v>573</v>
      </c>
      <c r="E327" s="14"/>
      <c r="F327" s="14"/>
      <c r="G327" s="14"/>
      <c r="H327" s="4">
        <v>0.1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57"/>
      <c r="W327" s="43" t="b">
        <v>0</v>
      </c>
      <c r="X327" s="43">
        <v>1.0</v>
      </c>
      <c r="Y327" s="43">
        <v>3.0</v>
      </c>
      <c r="Z327" s="14"/>
      <c r="AA327" s="14"/>
      <c r="AB327" s="14"/>
      <c r="AC327" s="4">
        <v>1.0</v>
      </c>
      <c r="AD327" s="14"/>
      <c r="AE327" s="14"/>
    </row>
    <row r="328">
      <c r="A328" s="51"/>
      <c r="B328" s="51"/>
      <c r="V328" s="51"/>
    </row>
    <row r="329">
      <c r="A329" s="51"/>
      <c r="B329" s="51"/>
      <c r="V329" s="51"/>
    </row>
    <row r="330">
      <c r="A330" s="51"/>
      <c r="B330" s="51"/>
      <c r="V330" s="51"/>
    </row>
    <row r="331">
      <c r="A331" s="51"/>
      <c r="B331" s="51"/>
      <c r="V331" s="51"/>
    </row>
    <row r="332">
      <c r="A332" s="51"/>
      <c r="B332" s="51"/>
      <c r="V332" s="51"/>
    </row>
    <row r="333">
      <c r="A333" s="51"/>
      <c r="B333" s="51"/>
      <c r="V333" s="51"/>
    </row>
    <row r="334">
      <c r="A334" s="51"/>
      <c r="B334" s="51"/>
      <c r="V334" s="51"/>
    </row>
    <row r="335">
      <c r="A335" s="51"/>
      <c r="B335" s="51"/>
      <c r="V335" s="51"/>
    </row>
    <row r="336">
      <c r="A336" s="51"/>
      <c r="B336" s="51"/>
      <c r="V336" s="51"/>
    </row>
    <row r="337">
      <c r="A337" s="51"/>
      <c r="B337" s="51"/>
      <c r="V337" s="51"/>
    </row>
    <row r="338">
      <c r="A338" s="51"/>
      <c r="B338" s="51"/>
      <c r="V338" s="51"/>
    </row>
    <row r="339">
      <c r="A339" s="51"/>
      <c r="B339" s="51"/>
      <c r="V339" s="51"/>
    </row>
    <row r="340">
      <c r="A340" s="51"/>
      <c r="B340" s="51"/>
      <c r="V340" s="51"/>
    </row>
    <row r="341">
      <c r="A341" s="51"/>
      <c r="B341" s="51"/>
      <c r="V341" s="51"/>
    </row>
    <row r="342">
      <c r="A342" s="51"/>
      <c r="B342" s="51"/>
      <c r="V342" s="51"/>
    </row>
    <row r="343">
      <c r="A343" s="51"/>
      <c r="B343" s="51"/>
      <c r="V343" s="51"/>
    </row>
    <row r="344">
      <c r="A344" s="51"/>
      <c r="B344" s="51"/>
      <c r="V344" s="51"/>
    </row>
    <row r="345">
      <c r="A345" s="51"/>
      <c r="B345" s="51"/>
      <c r="V345" s="51"/>
    </row>
    <row r="346">
      <c r="A346" s="51"/>
      <c r="B346" s="51"/>
      <c r="V346" s="51"/>
    </row>
    <row r="347">
      <c r="A347" s="51"/>
      <c r="B347" s="51"/>
      <c r="V347" s="51"/>
    </row>
    <row r="348">
      <c r="A348" s="51"/>
      <c r="B348" s="51"/>
      <c r="V348" s="51"/>
    </row>
    <row r="349">
      <c r="A349" s="51"/>
      <c r="B349" s="51"/>
      <c r="V349" s="51"/>
    </row>
    <row r="350">
      <c r="A350" s="51"/>
      <c r="B350" s="51"/>
      <c r="V350" s="51"/>
    </row>
    <row r="351">
      <c r="A351" s="51"/>
      <c r="B351" s="51"/>
      <c r="V351" s="51"/>
    </row>
    <row r="352">
      <c r="A352" s="51"/>
      <c r="B352" s="51"/>
      <c r="V352" s="51"/>
    </row>
    <row r="353">
      <c r="A353" s="51"/>
      <c r="B353" s="51"/>
      <c r="V353" s="51"/>
    </row>
    <row r="354">
      <c r="A354" s="51"/>
      <c r="B354" s="51"/>
      <c r="V354" s="51"/>
    </row>
    <row r="355">
      <c r="A355" s="51"/>
      <c r="B355" s="51"/>
      <c r="V355" s="51"/>
    </row>
    <row r="356">
      <c r="A356" s="51"/>
      <c r="B356" s="51"/>
      <c r="V356" s="51"/>
    </row>
    <row r="357">
      <c r="A357" s="51"/>
      <c r="B357" s="51"/>
      <c r="V357" s="51"/>
    </row>
    <row r="358">
      <c r="A358" s="51"/>
      <c r="B358" s="51"/>
      <c r="V358" s="51"/>
    </row>
    <row r="359">
      <c r="A359" s="51"/>
      <c r="B359" s="51"/>
      <c r="V359" s="51"/>
    </row>
    <row r="360">
      <c r="A360" s="51"/>
      <c r="B360" s="51"/>
      <c r="V360" s="51"/>
    </row>
    <row r="361">
      <c r="A361" s="51"/>
      <c r="B361" s="51"/>
      <c r="V361" s="51"/>
    </row>
    <row r="362">
      <c r="A362" s="51"/>
      <c r="B362" s="51"/>
      <c r="V362" s="51"/>
    </row>
    <row r="363">
      <c r="A363" s="51"/>
      <c r="B363" s="51"/>
      <c r="V363" s="51"/>
    </row>
    <row r="364">
      <c r="A364" s="51"/>
      <c r="B364" s="51"/>
      <c r="V364" s="51"/>
    </row>
    <row r="365">
      <c r="A365" s="51"/>
      <c r="B365" s="51"/>
      <c r="V365" s="51"/>
    </row>
    <row r="366">
      <c r="A366" s="51"/>
      <c r="B366" s="51"/>
      <c r="V366" s="51"/>
    </row>
    <row r="367">
      <c r="A367" s="51"/>
      <c r="B367" s="51"/>
      <c r="V367" s="51"/>
    </row>
    <row r="368">
      <c r="A368" s="51"/>
      <c r="B368" s="51"/>
      <c r="V368" s="51"/>
    </row>
    <row r="369">
      <c r="A369" s="51"/>
      <c r="B369" s="51"/>
      <c r="V369" s="51"/>
    </row>
    <row r="370">
      <c r="A370" s="51"/>
      <c r="B370" s="51"/>
      <c r="V370" s="51"/>
    </row>
    <row r="371">
      <c r="A371" s="51"/>
      <c r="B371" s="51"/>
      <c r="V371" s="51"/>
    </row>
    <row r="372">
      <c r="A372" s="51"/>
      <c r="B372" s="51"/>
      <c r="V372" s="51"/>
    </row>
    <row r="373">
      <c r="A373" s="51"/>
      <c r="B373" s="51"/>
      <c r="V373" s="51"/>
    </row>
    <row r="374">
      <c r="A374" s="51"/>
      <c r="B374" s="51"/>
      <c r="V374" s="51"/>
    </row>
    <row r="375">
      <c r="A375" s="51"/>
      <c r="B375" s="51"/>
      <c r="V375" s="51"/>
    </row>
    <row r="376">
      <c r="A376" s="51"/>
      <c r="B376" s="51"/>
      <c r="V376" s="51"/>
    </row>
    <row r="377">
      <c r="A377" s="51"/>
      <c r="B377" s="51"/>
      <c r="V377" s="51"/>
    </row>
    <row r="378">
      <c r="A378" s="51"/>
      <c r="B378" s="51"/>
      <c r="V378" s="51"/>
    </row>
    <row r="379">
      <c r="A379" s="51"/>
      <c r="B379" s="51"/>
      <c r="V379" s="51"/>
    </row>
    <row r="380">
      <c r="A380" s="51"/>
      <c r="B380" s="51"/>
      <c r="V380" s="51"/>
    </row>
    <row r="381">
      <c r="A381" s="51"/>
      <c r="B381" s="51"/>
      <c r="V381" s="51"/>
    </row>
    <row r="382">
      <c r="A382" s="51"/>
      <c r="B382" s="51"/>
      <c r="V382" s="51"/>
    </row>
    <row r="383">
      <c r="A383" s="51"/>
      <c r="B383" s="51"/>
      <c r="V383" s="51"/>
    </row>
    <row r="384">
      <c r="A384" s="51"/>
      <c r="B384" s="51"/>
      <c r="V384" s="51"/>
    </row>
    <row r="385">
      <c r="A385" s="51"/>
      <c r="B385" s="51"/>
      <c r="V385" s="51"/>
    </row>
    <row r="386">
      <c r="A386" s="51"/>
      <c r="B386" s="51"/>
      <c r="V386" s="51"/>
    </row>
    <row r="387">
      <c r="A387" s="51"/>
      <c r="B387" s="51"/>
      <c r="V387" s="51"/>
    </row>
    <row r="388">
      <c r="A388" s="51"/>
      <c r="B388" s="51"/>
      <c r="V388" s="51"/>
    </row>
    <row r="389">
      <c r="A389" s="51"/>
      <c r="B389" s="51"/>
      <c r="V389" s="51"/>
    </row>
    <row r="390">
      <c r="A390" s="51"/>
      <c r="B390" s="51"/>
      <c r="V390" s="51"/>
    </row>
    <row r="391">
      <c r="A391" s="51"/>
      <c r="B391" s="51"/>
      <c r="V391" s="51"/>
    </row>
    <row r="392">
      <c r="A392" s="51"/>
      <c r="B392" s="51"/>
      <c r="V392" s="51"/>
    </row>
    <row r="393">
      <c r="A393" s="51"/>
      <c r="B393" s="51"/>
      <c r="V393" s="51"/>
    </row>
    <row r="394">
      <c r="A394" s="51"/>
      <c r="B394" s="51"/>
      <c r="V394" s="51"/>
    </row>
    <row r="395">
      <c r="A395" s="51"/>
      <c r="B395" s="51"/>
      <c r="V395" s="51"/>
    </row>
    <row r="396">
      <c r="A396" s="51"/>
      <c r="B396" s="51"/>
      <c r="V396" s="51"/>
    </row>
    <row r="397">
      <c r="A397" s="51"/>
      <c r="B397" s="51"/>
      <c r="V397" s="51"/>
    </row>
    <row r="398">
      <c r="A398" s="51"/>
      <c r="B398" s="51"/>
      <c r="V398" s="51"/>
    </row>
    <row r="399">
      <c r="A399" s="51"/>
      <c r="B399" s="51"/>
      <c r="V399" s="51"/>
    </row>
    <row r="400">
      <c r="A400" s="51"/>
      <c r="B400" s="51"/>
      <c r="V400" s="51"/>
    </row>
    <row r="401">
      <c r="A401" s="51"/>
      <c r="B401" s="51"/>
      <c r="V401" s="51"/>
    </row>
    <row r="402">
      <c r="A402" s="51"/>
      <c r="B402" s="51"/>
      <c r="V402" s="51"/>
    </row>
    <row r="403">
      <c r="A403" s="51"/>
      <c r="B403" s="51"/>
      <c r="V403" s="51"/>
    </row>
    <row r="404">
      <c r="A404" s="51"/>
      <c r="B404" s="51"/>
      <c r="V404" s="51"/>
    </row>
    <row r="405">
      <c r="A405" s="51"/>
      <c r="B405" s="51"/>
      <c r="V405" s="51"/>
    </row>
    <row r="406">
      <c r="A406" s="51"/>
      <c r="B406" s="51"/>
      <c r="V406" s="51"/>
    </row>
    <row r="407">
      <c r="A407" s="51"/>
      <c r="B407" s="51"/>
      <c r="V407" s="51"/>
    </row>
    <row r="408">
      <c r="A408" s="51"/>
      <c r="B408" s="51"/>
      <c r="V408" s="51"/>
    </row>
    <row r="409">
      <c r="A409" s="51"/>
      <c r="B409" s="51"/>
      <c r="V409" s="51"/>
    </row>
    <row r="410">
      <c r="A410" s="51"/>
      <c r="B410" s="51"/>
      <c r="V410" s="51"/>
    </row>
    <row r="411">
      <c r="A411" s="51"/>
      <c r="B411" s="51"/>
      <c r="V411" s="51"/>
    </row>
    <row r="412">
      <c r="A412" s="51"/>
      <c r="B412" s="51"/>
      <c r="V412" s="51"/>
    </row>
    <row r="413">
      <c r="A413" s="51"/>
      <c r="B413" s="51"/>
      <c r="V413" s="51"/>
    </row>
    <row r="414">
      <c r="A414" s="51"/>
      <c r="B414" s="51"/>
      <c r="V414" s="51"/>
    </row>
    <row r="415">
      <c r="A415" s="51"/>
      <c r="B415" s="51"/>
      <c r="V415" s="51"/>
    </row>
    <row r="416">
      <c r="A416" s="51"/>
      <c r="B416" s="51"/>
      <c r="V416" s="51"/>
    </row>
    <row r="417">
      <c r="A417" s="51"/>
      <c r="B417" s="51"/>
      <c r="V417" s="51"/>
    </row>
    <row r="418">
      <c r="A418" s="51"/>
      <c r="B418" s="51"/>
      <c r="V418" s="51"/>
    </row>
    <row r="419">
      <c r="A419" s="51"/>
      <c r="B419" s="51"/>
      <c r="V419" s="51"/>
    </row>
    <row r="420">
      <c r="A420" s="51"/>
      <c r="B420" s="51"/>
      <c r="V420" s="51"/>
    </row>
    <row r="421">
      <c r="A421" s="51"/>
      <c r="B421" s="51"/>
      <c r="V421" s="51"/>
    </row>
    <row r="422">
      <c r="A422" s="51"/>
      <c r="B422" s="51"/>
      <c r="V422" s="51"/>
    </row>
    <row r="423">
      <c r="A423" s="51"/>
      <c r="B423" s="51"/>
      <c r="V423" s="51"/>
    </row>
    <row r="424">
      <c r="A424" s="51"/>
      <c r="B424" s="51"/>
      <c r="V424" s="51"/>
    </row>
    <row r="425">
      <c r="A425" s="51"/>
      <c r="B425" s="51"/>
      <c r="V425" s="51"/>
    </row>
    <row r="426">
      <c r="A426" s="51"/>
      <c r="B426" s="51"/>
      <c r="V426" s="51"/>
    </row>
    <row r="427">
      <c r="A427" s="51"/>
      <c r="B427" s="51"/>
      <c r="V427" s="51"/>
    </row>
    <row r="428">
      <c r="A428" s="51"/>
      <c r="B428" s="51"/>
      <c r="V428" s="51"/>
    </row>
    <row r="429">
      <c r="A429" s="51"/>
      <c r="B429" s="51"/>
      <c r="V429" s="51"/>
    </row>
    <row r="430">
      <c r="A430" s="51"/>
      <c r="B430" s="51"/>
      <c r="V430" s="51"/>
    </row>
    <row r="431">
      <c r="A431" s="51"/>
      <c r="B431" s="51"/>
      <c r="V431" s="51"/>
    </row>
    <row r="432">
      <c r="A432" s="51"/>
      <c r="B432" s="51"/>
      <c r="V432" s="51"/>
    </row>
    <row r="433">
      <c r="A433" s="51"/>
      <c r="B433" s="51"/>
      <c r="V433" s="51"/>
    </row>
    <row r="434">
      <c r="A434" s="51"/>
      <c r="B434" s="51"/>
      <c r="V434" s="51"/>
    </row>
    <row r="435">
      <c r="A435" s="51"/>
      <c r="B435" s="51"/>
      <c r="V435" s="51"/>
    </row>
    <row r="436">
      <c r="A436" s="51"/>
      <c r="B436" s="51"/>
      <c r="V436" s="51"/>
    </row>
    <row r="437">
      <c r="A437" s="51"/>
      <c r="B437" s="51"/>
      <c r="V437" s="51"/>
    </row>
    <row r="438">
      <c r="A438" s="51"/>
      <c r="B438" s="51"/>
      <c r="V438" s="51"/>
    </row>
    <row r="439">
      <c r="A439" s="51"/>
      <c r="B439" s="51"/>
      <c r="V439" s="51"/>
    </row>
    <row r="440">
      <c r="A440" s="51"/>
      <c r="B440" s="51"/>
      <c r="V440" s="51"/>
    </row>
    <row r="441">
      <c r="A441" s="51"/>
      <c r="B441" s="51"/>
      <c r="V441" s="51"/>
    </row>
    <row r="442">
      <c r="A442" s="51"/>
      <c r="B442" s="51"/>
      <c r="V442" s="51"/>
    </row>
    <row r="443">
      <c r="A443" s="51"/>
      <c r="B443" s="51"/>
      <c r="V443" s="51"/>
    </row>
    <row r="444">
      <c r="A444" s="51"/>
      <c r="B444" s="51"/>
      <c r="V444" s="51"/>
    </row>
    <row r="445">
      <c r="A445" s="51"/>
      <c r="B445" s="51"/>
      <c r="V445" s="51"/>
    </row>
    <row r="446">
      <c r="A446" s="51"/>
      <c r="B446" s="51"/>
      <c r="V446" s="51"/>
    </row>
    <row r="447">
      <c r="A447" s="51"/>
      <c r="B447" s="51"/>
      <c r="V447" s="51"/>
    </row>
    <row r="448">
      <c r="A448" s="51"/>
      <c r="B448" s="51"/>
      <c r="V448" s="51"/>
    </row>
    <row r="449">
      <c r="A449" s="51"/>
      <c r="B449" s="51"/>
      <c r="V449" s="51"/>
    </row>
    <row r="450">
      <c r="A450" s="51"/>
      <c r="B450" s="51"/>
      <c r="V450" s="51"/>
    </row>
    <row r="451">
      <c r="A451" s="51"/>
      <c r="B451" s="51"/>
      <c r="V451" s="51"/>
    </row>
    <row r="452">
      <c r="A452" s="51"/>
      <c r="B452" s="51"/>
      <c r="V452" s="51"/>
    </row>
    <row r="453">
      <c r="A453" s="51"/>
      <c r="B453" s="51"/>
      <c r="V453" s="51"/>
    </row>
    <row r="454">
      <c r="A454" s="51"/>
      <c r="B454" s="51"/>
      <c r="V454" s="51"/>
    </row>
    <row r="455">
      <c r="A455" s="51"/>
      <c r="B455" s="51"/>
      <c r="V455" s="51"/>
    </row>
    <row r="456">
      <c r="A456" s="51"/>
      <c r="B456" s="51"/>
      <c r="V456" s="51"/>
    </row>
    <row r="457">
      <c r="A457" s="51"/>
      <c r="B457" s="51"/>
      <c r="V457" s="51"/>
    </row>
    <row r="458">
      <c r="A458" s="51"/>
      <c r="B458" s="51"/>
      <c r="V458" s="51"/>
    </row>
    <row r="459">
      <c r="A459" s="51"/>
      <c r="B459" s="51"/>
      <c r="V459" s="51"/>
    </row>
    <row r="460">
      <c r="A460" s="51"/>
      <c r="B460" s="51"/>
      <c r="V460" s="51"/>
    </row>
    <row r="461">
      <c r="A461" s="51"/>
      <c r="B461" s="51"/>
      <c r="V461" s="51"/>
    </row>
    <row r="462">
      <c r="A462" s="51"/>
      <c r="B462" s="51"/>
      <c r="V462" s="51"/>
    </row>
    <row r="463">
      <c r="A463" s="51"/>
      <c r="B463" s="51"/>
      <c r="V463" s="51"/>
    </row>
    <row r="464">
      <c r="A464" s="51"/>
      <c r="B464" s="51"/>
      <c r="V464" s="51"/>
    </row>
    <row r="465">
      <c r="A465" s="51"/>
      <c r="B465" s="51"/>
      <c r="V465" s="51"/>
    </row>
    <row r="466">
      <c r="A466" s="51"/>
      <c r="B466" s="51"/>
      <c r="V466" s="51"/>
    </row>
    <row r="467">
      <c r="A467" s="51"/>
      <c r="B467" s="51"/>
      <c r="V467" s="51"/>
    </row>
    <row r="468">
      <c r="A468" s="51"/>
      <c r="B468" s="51"/>
      <c r="V468" s="51"/>
    </row>
    <row r="469">
      <c r="A469" s="51"/>
      <c r="B469" s="51"/>
      <c r="V469" s="51"/>
    </row>
    <row r="470">
      <c r="A470" s="51"/>
      <c r="B470" s="51"/>
      <c r="V470" s="51"/>
    </row>
    <row r="471">
      <c r="A471" s="51"/>
      <c r="B471" s="51"/>
      <c r="V471" s="51"/>
    </row>
    <row r="472">
      <c r="A472" s="51"/>
      <c r="B472" s="51"/>
      <c r="V472" s="51"/>
    </row>
    <row r="473">
      <c r="A473" s="51"/>
      <c r="B473" s="51"/>
      <c r="V473" s="51"/>
    </row>
    <row r="474">
      <c r="A474" s="51"/>
      <c r="B474" s="51"/>
      <c r="V474" s="51"/>
    </row>
    <row r="475">
      <c r="A475" s="51"/>
      <c r="B475" s="51"/>
      <c r="V475" s="51"/>
    </row>
    <row r="476">
      <c r="A476" s="51"/>
      <c r="B476" s="51"/>
      <c r="V476" s="51"/>
    </row>
    <row r="477">
      <c r="A477" s="51"/>
      <c r="B477" s="51"/>
      <c r="V477" s="51"/>
    </row>
    <row r="478">
      <c r="A478" s="51"/>
      <c r="B478" s="51"/>
      <c r="V478" s="51"/>
    </row>
    <row r="479">
      <c r="A479" s="51"/>
      <c r="B479" s="51"/>
      <c r="V479" s="51"/>
    </row>
    <row r="480">
      <c r="A480" s="51"/>
      <c r="B480" s="51"/>
      <c r="V480" s="51"/>
    </row>
    <row r="481">
      <c r="A481" s="51"/>
      <c r="B481" s="51"/>
      <c r="V481" s="51"/>
    </row>
    <row r="482">
      <c r="A482" s="51"/>
      <c r="B482" s="51"/>
      <c r="V482" s="51"/>
    </row>
    <row r="483">
      <c r="A483" s="51"/>
      <c r="B483" s="51"/>
      <c r="V483" s="51"/>
    </row>
    <row r="484">
      <c r="A484" s="51"/>
      <c r="B484" s="51"/>
      <c r="V484" s="51"/>
    </row>
    <row r="485">
      <c r="A485" s="51"/>
      <c r="B485" s="51"/>
      <c r="V485" s="51"/>
    </row>
    <row r="486">
      <c r="A486" s="51"/>
      <c r="B486" s="51"/>
      <c r="V486" s="51"/>
    </row>
    <row r="487">
      <c r="A487" s="51"/>
      <c r="B487" s="51"/>
      <c r="V487" s="51"/>
    </row>
    <row r="488">
      <c r="A488" s="51"/>
      <c r="B488" s="51"/>
      <c r="V488" s="51"/>
    </row>
    <row r="489">
      <c r="A489" s="51"/>
      <c r="B489" s="51"/>
      <c r="V489" s="51"/>
    </row>
    <row r="490">
      <c r="A490" s="51"/>
      <c r="B490" s="51"/>
      <c r="V490" s="51"/>
    </row>
    <row r="491">
      <c r="A491" s="51"/>
      <c r="B491" s="51"/>
      <c r="V491" s="51"/>
    </row>
    <row r="492">
      <c r="A492" s="51"/>
      <c r="B492" s="51"/>
      <c r="V492" s="51"/>
    </row>
    <row r="493">
      <c r="A493" s="51"/>
      <c r="B493" s="51"/>
      <c r="V493" s="51"/>
    </row>
    <row r="494">
      <c r="A494" s="51"/>
      <c r="B494" s="51"/>
      <c r="V494" s="51"/>
    </row>
    <row r="495">
      <c r="A495" s="51"/>
      <c r="B495" s="51"/>
      <c r="V495" s="51"/>
    </row>
    <row r="496">
      <c r="A496" s="51"/>
      <c r="B496" s="51"/>
      <c r="V496" s="51"/>
    </row>
    <row r="497">
      <c r="A497" s="51"/>
      <c r="B497" s="51"/>
      <c r="V497" s="51"/>
    </row>
    <row r="498">
      <c r="A498" s="51"/>
      <c r="B498" s="51"/>
      <c r="V498" s="51"/>
    </row>
    <row r="499">
      <c r="A499" s="51"/>
      <c r="B499" s="51"/>
      <c r="V499" s="51"/>
    </row>
    <row r="500">
      <c r="A500" s="51"/>
      <c r="B500" s="51"/>
      <c r="V500" s="51"/>
    </row>
    <row r="501">
      <c r="A501" s="51"/>
      <c r="B501" s="51"/>
      <c r="V501" s="51"/>
    </row>
    <row r="502">
      <c r="A502" s="51"/>
      <c r="B502" s="51"/>
      <c r="V502" s="51"/>
    </row>
    <row r="503">
      <c r="A503" s="51"/>
      <c r="B503" s="51"/>
      <c r="V503" s="51"/>
    </row>
    <row r="504">
      <c r="A504" s="51"/>
      <c r="B504" s="51"/>
      <c r="V504" s="51"/>
    </row>
    <row r="505">
      <c r="A505" s="51"/>
      <c r="B505" s="51"/>
      <c r="V505" s="51"/>
    </row>
    <row r="506">
      <c r="A506" s="51"/>
      <c r="B506" s="51"/>
      <c r="V506" s="51"/>
    </row>
    <row r="507">
      <c r="A507" s="51"/>
      <c r="B507" s="51"/>
      <c r="V507" s="51"/>
    </row>
    <row r="508">
      <c r="A508" s="51"/>
      <c r="B508" s="51"/>
      <c r="V508" s="51"/>
    </row>
    <row r="509">
      <c r="A509" s="51"/>
      <c r="B509" s="51"/>
      <c r="V509" s="51"/>
    </row>
    <row r="510">
      <c r="A510" s="51"/>
      <c r="B510" s="51"/>
      <c r="V510" s="51"/>
    </row>
    <row r="511">
      <c r="A511" s="51"/>
      <c r="B511" s="51"/>
      <c r="V511" s="51"/>
    </row>
    <row r="512">
      <c r="A512" s="51"/>
      <c r="B512" s="51"/>
      <c r="V512" s="51"/>
    </row>
    <row r="513">
      <c r="A513" s="51"/>
      <c r="B513" s="51"/>
      <c r="V513" s="51"/>
    </row>
    <row r="514">
      <c r="A514" s="51"/>
      <c r="B514" s="51"/>
      <c r="V514" s="51"/>
    </row>
    <row r="515">
      <c r="A515" s="51"/>
      <c r="B515" s="51"/>
      <c r="V515" s="51"/>
    </row>
    <row r="516">
      <c r="A516" s="51"/>
      <c r="B516" s="51"/>
      <c r="V516" s="51"/>
    </row>
    <row r="517">
      <c r="A517" s="51"/>
      <c r="B517" s="51"/>
      <c r="V517" s="51"/>
    </row>
    <row r="518">
      <c r="A518" s="51"/>
      <c r="B518" s="51"/>
      <c r="V518" s="51"/>
    </row>
    <row r="519">
      <c r="A519" s="51"/>
      <c r="B519" s="51"/>
      <c r="V519" s="51"/>
    </row>
    <row r="520">
      <c r="A520" s="51"/>
      <c r="B520" s="51"/>
      <c r="V520" s="51"/>
    </row>
    <row r="521">
      <c r="A521" s="51"/>
      <c r="B521" s="51"/>
      <c r="V521" s="51"/>
    </row>
    <row r="522">
      <c r="A522" s="51"/>
      <c r="B522" s="51"/>
      <c r="V522" s="51"/>
    </row>
    <row r="523">
      <c r="A523" s="51"/>
      <c r="B523" s="51"/>
      <c r="V523" s="51"/>
    </row>
    <row r="524">
      <c r="A524" s="51"/>
      <c r="B524" s="51"/>
      <c r="V524" s="51"/>
    </row>
    <row r="525">
      <c r="A525" s="51"/>
      <c r="B525" s="51"/>
      <c r="V525" s="51"/>
    </row>
    <row r="526">
      <c r="A526" s="51"/>
      <c r="B526" s="51"/>
      <c r="V526" s="51"/>
    </row>
    <row r="527">
      <c r="A527" s="51"/>
      <c r="B527" s="51"/>
      <c r="V527" s="51"/>
    </row>
    <row r="528">
      <c r="A528" s="51"/>
      <c r="B528" s="51"/>
      <c r="V528" s="51"/>
    </row>
    <row r="529">
      <c r="A529" s="51"/>
      <c r="B529" s="51"/>
      <c r="V529" s="51"/>
    </row>
    <row r="530">
      <c r="A530" s="51"/>
      <c r="B530" s="51"/>
      <c r="V530" s="51"/>
    </row>
    <row r="531">
      <c r="A531" s="51"/>
      <c r="B531" s="51"/>
      <c r="V531" s="51"/>
    </row>
    <row r="532">
      <c r="A532" s="51"/>
      <c r="B532" s="51"/>
      <c r="V532" s="51"/>
    </row>
    <row r="533">
      <c r="A533" s="51"/>
      <c r="B533" s="51"/>
      <c r="V533" s="51"/>
    </row>
    <row r="534">
      <c r="A534" s="51"/>
      <c r="B534" s="51"/>
      <c r="V534" s="51"/>
    </row>
    <row r="535">
      <c r="A535" s="51"/>
      <c r="B535" s="51"/>
      <c r="V535" s="51"/>
    </row>
    <row r="536">
      <c r="A536" s="51"/>
      <c r="B536" s="51"/>
      <c r="V536" s="51"/>
    </row>
    <row r="537">
      <c r="A537" s="51"/>
      <c r="B537" s="51"/>
      <c r="V537" s="51"/>
    </row>
    <row r="538">
      <c r="A538" s="51"/>
      <c r="B538" s="51"/>
      <c r="V538" s="51"/>
    </row>
    <row r="539">
      <c r="A539" s="51"/>
      <c r="B539" s="51"/>
      <c r="V539" s="51"/>
    </row>
    <row r="540">
      <c r="A540" s="51"/>
      <c r="B540" s="51"/>
      <c r="V540" s="51"/>
    </row>
    <row r="541">
      <c r="A541" s="51"/>
      <c r="B541" s="51"/>
      <c r="V541" s="51"/>
    </row>
    <row r="542">
      <c r="A542" s="51"/>
      <c r="B542" s="51"/>
      <c r="V542" s="51"/>
    </row>
    <row r="543">
      <c r="A543" s="51"/>
      <c r="B543" s="51"/>
      <c r="V543" s="51"/>
    </row>
    <row r="544">
      <c r="A544" s="51"/>
      <c r="B544" s="51"/>
      <c r="V544" s="51"/>
    </row>
    <row r="545">
      <c r="A545" s="51"/>
      <c r="B545" s="51"/>
      <c r="V545" s="51"/>
    </row>
    <row r="546">
      <c r="A546" s="51"/>
      <c r="B546" s="51"/>
      <c r="V546" s="51"/>
    </row>
    <row r="547">
      <c r="A547" s="51"/>
      <c r="B547" s="51"/>
      <c r="V547" s="51"/>
    </row>
    <row r="548">
      <c r="A548" s="51"/>
      <c r="B548" s="51"/>
      <c r="V548" s="51"/>
    </row>
    <row r="549">
      <c r="A549" s="51"/>
      <c r="B549" s="51"/>
      <c r="V549" s="51"/>
    </row>
    <row r="550">
      <c r="A550" s="51"/>
      <c r="B550" s="51"/>
      <c r="V550" s="51"/>
    </row>
    <row r="551">
      <c r="A551" s="51"/>
      <c r="B551" s="51"/>
      <c r="V551" s="51"/>
    </row>
    <row r="552">
      <c r="A552" s="51"/>
      <c r="B552" s="51"/>
      <c r="V552" s="51"/>
    </row>
    <row r="553">
      <c r="A553" s="51"/>
      <c r="B553" s="51"/>
      <c r="V553" s="51"/>
    </row>
    <row r="554">
      <c r="A554" s="51"/>
      <c r="B554" s="51"/>
      <c r="V554" s="51"/>
    </row>
    <row r="555">
      <c r="A555" s="51"/>
      <c r="B555" s="51"/>
      <c r="V555" s="51"/>
    </row>
    <row r="556">
      <c r="A556" s="51"/>
      <c r="B556" s="51"/>
      <c r="V556" s="51"/>
    </row>
    <row r="557">
      <c r="A557" s="51"/>
      <c r="B557" s="51"/>
      <c r="V557" s="51"/>
    </row>
    <row r="558">
      <c r="A558" s="51"/>
      <c r="B558" s="51"/>
      <c r="V558" s="51"/>
    </row>
    <row r="559">
      <c r="A559" s="51"/>
      <c r="B559" s="51"/>
      <c r="V559" s="51"/>
    </row>
    <row r="560">
      <c r="A560" s="51"/>
      <c r="B560" s="51"/>
      <c r="V560" s="51"/>
    </row>
    <row r="561">
      <c r="A561" s="51"/>
      <c r="B561" s="51"/>
      <c r="V561" s="51"/>
    </row>
    <row r="562">
      <c r="A562" s="51"/>
      <c r="B562" s="51"/>
      <c r="V562" s="51"/>
    </row>
    <row r="563">
      <c r="A563" s="51"/>
      <c r="B563" s="51"/>
      <c r="V563" s="51"/>
    </row>
    <row r="564">
      <c r="A564" s="51"/>
      <c r="B564" s="51"/>
      <c r="V564" s="51"/>
    </row>
    <row r="565">
      <c r="A565" s="51"/>
      <c r="B565" s="51"/>
      <c r="V565" s="51"/>
    </row>
    <row r="566">
      <c r="A566" s="51"/>
      <c r="B566" s="51"/>
      <c r="V566" s="51"/>
    </row>
    <row r="567">
      <c r="A567" s="51"/>
      <c r="B567" s="51"/>
      <c r="V567" s="51"/>
    </row>
    <row r="568">
      <c r="A568" s="51"/>
      <c r="B568" s="51"/>
      <c r="V568" s="51"/>
    </row>
    <row r="569">
      <c r="A569" s="51"/>
      <c r="B569" s="51"/>
      <c r="V569" s="51"/>
    </row>
    <row r="570">
      <c r="A570" s="51"/>
      <c r="B570" s="51"/>
      <c r="V570" s="51"/>
    </row>
    <row r="571">
      <c r="A571" s="51"/>
      <c r="B571" s="51"/>
      <c r="V571" s="51"/>
    </row>
    <row r="572">
      <c r="A572" s="51"/>
      <c r="B572" s="51"/>
      <c r="V572" s="51"/>
    </row>
    <row r="573">
      <c r="A573" s="51"/>
      <c r="B573" s="51"/>
      <c r="V573" s="51"/>
    </row>
    <row r="574">
      <c r="A574" s="51"/>
      <c r="B574" s="51"/>
      <c r="V574" s="51"/>
    </row>
    <row r="575">
      <c r="A575" s="51"/>
      <c r="B575" s="51"/>
      <c r="V575" s="51"/>
    </row>
    <row r="576">
      <c r="A576" s="51"/>
      <c r="B576" s="51"/>
      <c r="V576" s="51"/>
    </row>
    <row r="577">
      <c r="A577" s="51"/>
      <c r="B577" s="51"/>
      <c r="V577" s="51"/>
    </row>
    <row r="578">
      <c r="A578" s="51"/>
      <c r="B578" s="51"/>
      <c r="V578" s="51"/>
    </row>
    <row r="579">
      <c r="A579" s="51"/>
      <c r="B579" s="51"/>
      <c r="V579" s="51"/>
    </row>
    <row r="580">
      <c r="A580" s="51"/>
      <c r="B580" s="51"/>
      <c r="V580" s="51"/>
    </row>
    <row r="581">
      <c r="A581" s="51"/>
      <c r="B581" s="51"/>
      <c r="V581" s="51"/>
    </row>
    <row r="582">
      <c r="A582" s="51"/>
      <c r="B582" s="51"/>
      <c r="V582" s="51"/>
    </row>
    <row r="583">
      <c r="A583" s="51"/>
      <c r="B583" s="51"/>
      <c r="V583" s="51"/>
    </row>
    <row r="584">
      <c r="A584" s="51"/>
      <c r="B584" s="51"/>
      <c r="V584" s="51"/>
    </row>
    <row r="585">
      <c r="A585" s="51"/>
      <c r="B585" s="51"/>
      <c r="V585" s="51"/>
    </row>
    <row r="586">
      <c r="A586" s="51"/>
      <c r="B586" s="51"/>
      <c r="V586" s="51"/>
    </row>
    <row r="587">
      <c r="A587" s="51"/>
      <c r="B587" s="51"/>
      <c r="V587" s="51"/>
    </row>
    <row r="588">
      <c r="A588" s="51"/>
      <c r="B588" s="51"/>
      <c r="V588" s="51"/>
    </row>
    <row r="589">
      <c r="A589" s="51"/>
      <c r="B589" s="51"/>
      <c r="V589" s="51"/>
    </row>
    <row r="590">
      <c r="A590" s="51"/>
      <c r="B590" s="51"/>
      <c r="V590" s="51"/>
    </row>
    <row r="591">
      <c r="A591" s="51"/>
      <c r="B591" s="51"/>
      <c r="V591" s="51"/>
    </row>
    <row r="592">
      <c r="A592" s="51"/>
      <c r="B592" s="51"/>
      <c r="V592" s="51"/>
    </row>
    <row r="593">
      <c r="A593" s="51"/>
      <c r="B593" s="51"/>
      <c r="V593" s="51"/>
    </row>
    <row r="594">
      <c r="A594" s="51"/>
      <c r="B594" s="51"/>
      <c r="V594" s="51"/>
    </row>
    <row r="595">
      <c r="A595" s="51"/>
      <c r="B595" s="51"/>
      <c r="V595" s="51"/>
    </row>
    <row r="596">
      <c r="A596" s="51"/>
      <c r="B596" s="51"/>
      <c r="V596" s="51"/>
    </row>
    <row r="597">
      <c r="A597" s="51"/>
      <c r="B597" s="51"/>
      <c r="V597" s="51"/>
    </row>
    <row r="598">
      <c r="A598" s="51"/>
      <c r="B598" s="51"/>
      <c r="V598" s="51"/>
    </row>
    <row r="599">
      <c r="A599" s="51"/>
      <c r="B599" s="51"/>
      <c r="V599" s="51"/>
    </row>
    <row r="600">
      <c r="A600" s="51"/>
      <c r="B600" s="51"/>
      <c r="V600" s="51"/>
    </row>
    <row r="601">
      <c r="A601" s="51"/>
      <c r="B601" s="51"/>
      <c r="V601" s="51"/>
    </row>
    <row r="602">
      <c r="A602" s="51"/>
      <c r="B602" s="51"/>
      <c r="V602" s="51"/>
    </row>
    <row r="603">
      <c r="A603" s="51"/>
      <c r="B603" s="51"/>
      <c r="V603" s="51"/>
    </row>
    <row r="604">
      <c r="A604" s="51"/>
      <c r="B604" s="51"/>
      <c r="V604" s="51"/>
    </row>
    <row r="605">
      <c r="A605" s="51"/>
      <c r="B605" s="51"/>
      <c r="V605" s="51"/>
    </row>
    <row r="606">
      <c r="A606" s="51"/>
      <c r="B606" s="51"/>
      <c r="V606" s="51"/>
    </row>
    <row r="607">
      <c r="A607" s="51"/>
      <c r="B607" s="51"/>
      <c r="V607" s="51"/>
    </row>
    <row r="608">
      <c r="A608" s="51"/>
      <c r="B608" s="51"/>
      <c r="V608" s="51"/>
    </row>
    <row r="609">
      <c r="A609" s="51"/>
      <c r="B609" s="51"/>
      <c r="V609" s="51"/>
    </row>
    <row r="610">
      <c r="A610" s="51"/>
      <c r="B610" s="51"/>
      <c r="V610" s="51"/>
    </row>
    <row r="611">
      <c r="A611" s="51"/>
      <c r="B611" s="51"/>
      <c r="V611" s="51"/>
    </row>
    <row r="612">
      <c r="A612" s="51"/>
      <c r="B612" s="51"/>
      <c r="V612" s="51"/>
    </row>
    <row r="613">
      <c r="A613" s="51"/>
      <c r="B613" s="51"/>
      <c r="V613" s="51"/>
    </row>
    <row r="614">
      <c r="A614" s="51"/>
      <c r="B614" s="51"/>
      <c r="V614" s="51"/>
    </row>
    <row r="615">
      <c r="A615" s="51"/>
      <c r="B615" s="51"/>
      <c r="V615" s="51"/>
    </row>
    <row r="616">
      <c r="A616" s="51"/>
      <c r="B616" s="51"/>
      <c r="V616" s="51"/>
    </row>
    <row r="617">
      <c r="A617" s="51"/>
      <c r="B617" s="51"/>
      <c r="V617" s="51"/>
    </row>
    <row r="618">
      <c r="A618" s="51"/>
      <c r="B618" s="51"/>
      <c r="V618" s="51"/>
    </row>
    <row r="619">
      <c r="A619" s="51"/>
      <c r="B619" s="51"/>
      <c r="V619" s="51"/>
    </row>
    <row r="620">
      <c r="A620" s="51"/>
      <c r="B620" s="51"/>
      <c r="V620" s="51"/>
    </row>
    <row r="621">
      <c r="A621" s="51"/>
      <c r="B621" s="51"/>
      <c r="V621" s="51"/>
    </row>
    <row r="622">
      <c r="A622" s="51"/>
      <c r="B622" s="51"/>
      <c r="V622" s="51"/>
    </row>
    <row r="623">
      <c r="A623" s="51"/>
      <c r="B623" s="51"/>
      <c r="V623" s="51"/>
    </row>
    <row r="624">
      <c r="A624" s="51"/>
      <c r="B624" s="51"/>
      <c r="V624" s="51"/>
    </row>
    <row r="625">
      <c r="A625" s="51"/>
      <c r="B625" s="51"/>
      <c r="V625" s="51"/>
    </row>
    <row r="626">
      <c r="A626" s="51"/>
      <c r="B626" s="51"/>
      <c r="V626" s="51"/>
    </row>
    <row r="627">
      <c r="A627" s="51"/>
      <c r="B627" s="51"/>
      <c r="V627" s="51"/>
    </row>
    <row r="628">
      <c r="A628" s="51"/>
      <c r="B628" s="51"/>
      <c r="V628" s="51"/>
    </row>
    <row r="629">
      <c r="A629" s="51"/>
      <c r="B629" s="51"/>
      <c r="V629" s="51"/>
    </row>
    <row r="630">
      <c r="A630" s="51"/>
      <c r="B630" s="51"/>
      <c r="V630" s="51"/>
    </row>
    <row r="631">
      <c r="A631" s="51"/>
      <c r="B631" s="51"/>
      <c r="V631" s="51"/>
    </row>
    <row r="632">
      <c r="A632" s="51"/>
      <c r="B632" s="51"/>
      <c r="V632" s="51"/>
    </row>
    <row r="633">
      <c r="A633" s="51"/>
      <c r="B633" s="51"/>
      <c r="V633" s="51"/>
    </row>
    <row r="634">
      <c r="A634" s="51"/>
      <c r="B634" s="51"/>
      <c r="V634" s="51"/>
    </row>
    <row r="635">
      <c r="A635" s="51"/>
      <c r="B635" s="51"/>
      <c r="V635" s="51"/>
    </row>
    <row r="636">
      <c r="A636" s="51"/>
      <c r="B636" s="51"/>
      <c r="V636" s="51"/>
    </row>
    <row r="637">
      <c r="A637" s="51"/>
      <c r="B637" s="51"/>
      <c r="V637" s="51"/>
    </row>
    <row r="638">
      <c r="A638" s="51"/>
      <c r="B638" s="51"/>
      <c r="V638" s="51"/>
    </row>
    <row r="639">
      <c r="A639" s="51"/>
      <c r="B639" s="51"/>
      <c r="V639" s="51"/>
    </row>
    <row r="640">
      <c r="A640" s="51"/>
      <c r="B640" s="51"/>
      <c r="V640" s="51"/>
    </row>
    <row r="641">
      <c r="A641" s="51"/>
      <c r="B641" s="51"/>
      <c r="V641" s="51"/>
    </row>
    <row r="642">
      <c r="A642" s="51"/>
      <c r="B642" s="51"/>
      <c r="V642" s="51"/>
    </row>
    <row r="643">
      <c r="A643" s="51"/>
      <c r="B643" s="51"/>
      <c r="V643" s="51"/>
    </row>
    <row r="644">
      <c r="A644" s="51"/>
      <c r="B644" s="51"/>
      <c r="V644" s="51"/>
    </row>
    <row r="645">
      <c r="A645" s="51"/>
      <c r="B645" s="51"/>
      <c r="V645" s="51"/>
    </row>
    <row r="646">
      <c r="A646" s="51"/>
      <c r="B646" s="51"/>
      <c r="V646" s="51"/>
    </row>
    <row r="647">
      <c r="A647" s="51"/>
      <c r="B647" s="51"/>
      <c r="V647" s="51"/>
    </row>
    <row r="648">
      <c r="A648" s="51"/>
      <c r="B648" s="51"/>
      <c r="V648" s="51"/>
    </row>
    <row r="649">
      <c r="A649" s="51"/>
      <c r="B649" s="51"/>
      <c r="V649" s="51"/>
    </row>
    <row r="650">
      <c r="A650" s="51"/>
      <c r="B650" s="51"/>
      <c r="V650" s="51"/>
    </row>
    <row r="651">
      <c r="A651" s="51"/>
      <c r="B651" s="51"/>
      <c r="V651" s="51"/>
    </row>
    <row r="652">
      <c r="A652" s="51"/>
      <c r="B652" s="51"/>
      <c r="V652" s="51"/>
    </row>
    <row r="653">
      <c r="A653" s="51"/>
      <c r="B653" s="51"/>
      <c r="V653" s="51"/>
    </row>
    <row r="654">
      <c r="A654" s="51"/>
      <c r="B654" s="51"/>
      <c r="V654" s="51"/>
    </row>
    <row r="655">
      <c r="A655" s="51"/>
      <c r="B655" s="51"/>
      <c r="V655" s="51"/>
    </row>
    <row r="656">
      <c r="A656" s="51"/>
      <c r="B656" s="51"/>
      <c r="V656" s="51"/>
    </row>
    <row r="657">
      <c r="A657" s="51"/>
      <c r="B657" s="51"/>
      <c r="V657" s="51"/>
    </row>
    <row r="658">
      <c r="A658" s="51"/>
      <c r="B658" s="51"/>
      <c r="V658" s="51"/>
    </row>
    <row r="659">
      <c r="A659" s="51"/>
      <c r="B659" s="51"/>
      <c r="V659" s="51"/>
    </row>
    <row r="660">
      <c r="A660" s="51"/>
      <c r="B660" s="51"/>
      <c r="V660" s="51"/>
    </row>
    <row r="661">
      <c r="A661" s="51"/>
      <c r="B661" s="51"/>
      <c r="V661" s="51"/>
    </row>
    <row r="662">
      <c r="A662" s="51"/>
      <c r="B662" s="51"/>
      <c r="V662" s="51"/>
    </row>
    <row r="663">
      <c r="A663" s="51"/>
      <c r="B663" s="51"/>
      <c r="V663" s="51"/>
    </row>
    <row r="664">
      <c r="A664" s="51"/>
      <c r="B664" s="51"/>
      <c r="V664" s="51"/>
    </row>
    <row r="665">
      <c r="A665" s="51"/>
      <c r="B665" s="51"/>
      <c r="V665" s="51"/>
    </row>
    <row r="666">
      <c r="A666" s="51"/>
      <c r="B666" s="51"/>
      <c r="V666" s="51"/>
    </row>
    <row r="667">
      <c r="A667" s="51"/>
      <c r="B667" s="51"/>
      <c r="V667" s="51"/>
    </row>
    <row r="668">
      <c r="A668" s="51"/>
      <c r="B668" s="51"/>
      <c r="V668" s="51"/>
    </row>
    <row r="669">
      <c r="A669" s="51"/>
      <c r="B669" s="51"/>
      <c r="V669" s="51"/>
    </row>
    <row r="670">
      <c r="A670" s="51"/>
      <c r="B670" s="51"/>
      <c r="V670" s="51"/>
    </row>
    <row r="671">
      <c r="A671" s="51"/>
      <c r="B671" s="51"/>
      <c r="V671" s="51"/>
    </row>
    <row r="672">
      <c r="A672" s="51"/>
      <c r="B672" s="51"/>
      <c r="V672" s="51"/>
    </row>
    <row r="673">
      <c r="A673" s="51"/>
      <c r="B673" s="51"/>
      <c r="V673" s="51"/>
    </row>
    <row r="674">
      <c r="A674" s="51"/>
      <c r="B674" s="51"/>
      <c r="V674" s="51"/>
    </row>
    <row r="675">
      <c r="A675" s="51"/>
      <c r="B675" s="51"/>
      <c r="V675" s="51"/>
    </row>
    <row r="676">
      <c r="A676" s="51"/>
      <c r="B676" s="51"/>
      <c r="V676" s="51"/>
    </row>
    <row r="677">
      <c r="A677" s="51"/>
      <c r="B677" s="51"/>
      <c r="V677" s="51"/>
    </row>
    <row r="678">
      <c r="A678" s="51"/>
      <c r="B678" s="51"/>
      <c r="V678" s="51"/>
    </row>
    <row r="679">
      <c r="A679" s="51"/>
      <c r="B679" s="51"/>
      <c r="V679" s="51"/>
    </row>
    <row r="680">
      <c r="A680" s="51"/>
      <c r="B680" s="51"/>
      <c r="V680" s="51"/>
    </row>
    <row r="681">
      <c r="A681" s="51"/>
      <c r="B681" s="51"/>
      <c r="V681" s="51"/>
    </row>
    <row r="682">
      <c r="A682" s="51"/>
      <c r="B682" s="51"/>
      <c r="V682" s="51"/>
    </row>
    <row r="683">
      <c r="A683" s="51"/>
      <c r="B683" s="51"/>
      <c r="V683" s="51"/>
    </row>
    <row r="684">
      <c r="A684" s="51"/>
      <c r="B684" s="51"/>
      <c r="V684" s="51"/>
    </row>
    <row r="685">
      <c r="A685" s="51"/>
      <c r="B685" s="51"/>
      <c r="V685" s="51"/>
    </row>
    <row r="686">
      <c r="A686" s="51"/>
      <c r="B686" s="51"/>
      <c r="V686" s="51"/>
    </row>
    <row r="687">
      <c r="A687" s="51"/>
      <c r="B687" s="51"/>
      <c r="V687" s="51"/>
    </row>
    <row r="688">
      <c r="A688" s="51"/>
      <c r="B688" s="51"/>
      <c r="V688" s="51"/>
    </row>
    <row r="689">
      <c r="A689" s="51"/>
      <c r="B689" s="51"/>
      <c r="V689" s="51"/>
    </row>
    <row r="690">
      <c r="A690" s="51"/>
      <c r="B690" s="51"/>
      <c r="V690" s="51"/>
    </row>
    <row r="691">
      <c r="A691" s="51"/>
      <c r="B691" s="51"/>
      <c r="V691" s="51"/>
    </row>
    <row r="692">
      <c r="A692" s="51"/>
      <c r="B692" s="51"/>
      <c r="V692" s="51"/>
    </row>
    <row r="693">
      <c r="A693" s="51"/>
      <c r="B693" s="51"/>
      <c r="V693" s="51"/>
    </row>
    <row r="694">
      <c r="A694" s="51"/>
      <c r="B694" s="51"/>
      <c r="V694" s="51"/>
    </row>
    <row r="695">
      <c r="A695" s="51"/>
      <c r="B695" s="51"/>
      <c r="V695" s="51"/>
    </row>
    <row r="696">
      <c r="A696" s="51"/>
      <c r="B696" s="51"/>
      <c r="V696" s="51"/>
    </row>
    <row r="697">
      <c r="A697" s="51"/>
      <c r="B697" s="51"/>
      <c r="V697" s="51"/>
    </row>
    <row r="698">
      <c r="A698" s="51"/>
      <c r="B698" s="51"/>
      <c r="V698" s="51"/>
    </row>
    <row r="699">
      <c r="A699" s="51"/>
      <c r="B699" s="51"/>
      <c r="V699" s="51"/>
    </row>
    <row r="700">
      <c r="A700" s="51"/>
      <c r="B700" s="51"/>
      <c r="V700" s="51"/>
    </row>
    <row r="701">
      <c r="A701" s="51"/>
      <c r="B701" s="51"/>
      <c r="V701" s="51"/>
    </row>
    <row r="702">
      <c r="A702" s="51"/>
      <c r="B702" s="51"/>
      <c r="V702" s="51"/>
    </row>
    <row r="703">
      <c r="A703" s="51"/>
      <c r="B703" s="51"/>
      <c r="V703" s="51"/>
    </row>
    <row r="704">
      <c r="A704" s="51"/>
      <c r="B704" s="51"/>
      <c r="V704" s="51"/>
    </row>
    <row r="705">
      <c r="A705" s="51"/>
      <c r="B705" s="51"/>
      <c r="V705" s="51"/>
    </row>
    <row r="706">
      <c r="A706" s="51"/>
      <c r="B706" s="51"/>
      <c r="V706" s="51"/>
    </row>
    <row r="707">
      <c r="A707" s="51"/>
      <c r="B707" s="51"/>
      <c r="V707" s="51"/>
    </row>
    <row r="708">
      <c r="A708" s="51"/>
      <c r="B708" s="51"/>
      <c r="V708" s="51"/>
    </row>
    <row r="709">
      <c r="A709" s="51"/>
      <c r="B709" s="51"/>
      <c r="V709" s="51"/>
    </row>
    <row r="710">
      <c r="A710" s="51"/>
      <c r="B710" s="51"/>
      <c r="V710" s="51"/>
    </row>
    <row r="711">
      <c r="A711" s="51"/>
      <c r="B711" s="51"/>
      <c r="V711" s="51"/>
    </row>
    <row r="712">
      <c r="A712" s="51"/>
      <c r="B712" s="51"/>
      <c r="V712" s="51"/>
    </row>
    <row r="713">
      <c r="A713" s="51"/>
      <c r="B713" s="51"/>
      <c r="V713" s="51"/>
    </row>
    <row r="714">
      <c r="A714" s="51"/>
      <c r="B714" s="51"/>
      <c r="V714" s="51"/>
    </row>
    <row r="715">
      <c r="A715" s="51"/>
      <c r="B715" s="51"/>
      <c r="V715" s="51"/>
    </row>
    <row r="716">
      <c r="A716" s="51"/>
      <c r="B716" s="51"/>
      <c r="V716" s="51"/>
    </row>
    <row r="717">
      <c r="A717" s="51"/>
      <c r="B717" s="51"/>
      <c r="V717" s="51"/>
    </row>
    <row r="718">
      <c r="A718" s="51"/>
      <c r="B718" s="51"/>
      <c r="V718" s="51"/>
    </row>
    <row r="719">
      <c r="A719" s="51"/>
      <c r="B719" s="51"/>
      <c r="V719" s="51"/>
    </row>
    <row r="720">
      <c r="A720" s="51"/>
      <c r="B720" s="51"/>
      <c r="V720" s="51"/>
    </row>
    <row r="721">
      <c r="A721" s="51"/>
      <c r="B721" s="51"/>
      <c r="V721" s="51"/>
    </row>
    <row r="722">
      <c r="A722" s="51"/>
      <c r="B722" s="51"/>
      <c r="V722" s="51"/>
    </row>
    <row r="723">
      <c r="A723" s="51"/>
      <c r="B723" s="51"/>
      <c r="V723" s="51"/>
    </row>
    <row r="724">
      <c r="A724" s="51"/>
      <c r="B724" s="51"/>
      <c r="V724" s="51"/>
    </row>
    <row r="725">
      <c r="A725" s="51"/>
      <c r="B725" s="51"/>
      <c r="V725" s="51"/>
    </row>
    <row r="726">
      <c r="A726" s="51"/>
      <c r="B726" s="51"/>
      <c r="V726" s="51"/>
    </row>
    <row r="727">
      <c r="A727" s="51"/>
      <c r="B727" s="51"/>
      <c r="V727" s="51"/>
    </row>
    <row r="728">
      <c r="A728" s="51"/>
      <c r="B728" s="51"/>
      <c r="V728" s="51"/>
    </row>
    <row r="729">
      <c r="A729" s="51"/>
      <c r="B729" s="51"/>
      <c r="V729" s="51"/>
    </row>
    <row r="730">
      <c r="A730" s="51"/>
      <c r="B730" s="51"/>
      <c r="V730" s="51"/>
    </row>
    <row r="731">
      <c r="A731" s="51"/>
      <c r="B731" s="51"/>
      <c r="V731" s="51"/>
    </row>
    <row r="732">
      <c r="A732" s="51"/>
      <c r="B732" s="51"/>
      <c r="V732" s="51"/>
    </row>
    <row r="733">
      <c r="A733" s="51"/>
      <c r="B733" s="51"/>
      <c r="V733" s="51"/>
    </row>
    <row r="734">
      <c r="A734" s="51"/>
      <c r="B734" s="51"/>
      <c r="V734" s="51"/>
    </row>
    <row r="735">
      <c r="A735" s="51"/>
      <c r="B735" s="51"/>
      <c r="V735" s="51"/>
    </row>
    <row r="736">
      <c r="A736" s="51"/>
      <c r="B736" s="51"/>
      <c r="V736" s="51"/>
    </row>
    <row r="737">
      <c r="A737" s="51"/>
      <c r="B737" s="51"/>
      <c r="V737" s="51"/>
    </row>
    <row r="738">
      <c r="A738" s="51"/>
      <c r="B738" s="51"/>
      <c r="V738" s="51"/>
    </row>
    <row r="739">
      <c r="A739" s="51"/>
      <c r="B739" s="51"/>
      <c r="V739" s="51"/>
    </row>
    <row r="740">
      <c r="A740" s="51"/>
      <c r="B740" s="51"/>
      <c r="V740" s="51"/>
    </row>
    <row r="741">
      <c r="A741" s="51"/>
      <c r="B741" s="51"/>
      <c r="V741" s="51"/>
    </row>
    <row r="742">
      <c r="A742" s="51"/>
      <c r="B742" s="51"/>
      <c r="V742" s="51"/>
    </row>
    <row r="743">
      <c r="A743" s="51"/>
      <c r="B743" s="51"/>
      <c r="V743" s="51"/>
    </row>
    <row r="744">
      <c r="A744" s="51"/>
      <c r="B744" s="51"/>
      <c r="V744" s="51"/>
    </row>
    <row r="745">
      <c r="A745" s="51"/>
      <c r="B745" s="51"/>
      <c r="V745" s="51"/>
    </row>
    <row r="746">
      <c r="A746" s="51"/>
      <c r="B746" s="51"/>
      <c r="V746" s="51"/>
    </row>
    <row r="747">
      <c r="A747" s="51"/>
      <c r="B747" s="51"/>
      <c r="V747" s="51"/>
    </row>
    <row r="748">
      <c r="A748" s="51"/>
      <c r="B748" s="51"/>
      <c r="V748" s="51"/>
    </row>
    <row r="749">
      <c r="A749" s="51"/>
      <c r="B749" s="51"/>
      <c r="V749" s="51"/>
    </row>
    <row r="750">
      <c r="A750" s="51"/>
      <c r="B750" s="51"/>
      <c r="V750" s="51"/>
    </row>
    <row r="751">
      <c r="A751" s="51"/>
      <c r="B751" s="51"/>
      <c r="V751" s="51"/>
    </row>
    <row r="752">
      <c r="A752" s="51"/>
      <c r="B752" s="51"/>
      <c r="V752" s="51"/>
    </row>
    <row r="753">
      <c r="A753" s="51"/>
      <c r="B753" s="51"/>
      <c r="V753" s="51"/>
    </row>
    <row r="754">
      <c r="A754" s="51"/>
      <c r="B754" s="51"/>
      <c r="V754" s="51"/>
    </row>
    <row r="755">
      <c r="A755" s="51"/>
      <c r="B755" s="51"/>
      <c r="V755" s="51"/>
    </row>
    <row r="756">
      <c r="A756" s="51"/>
      <c r="B756" s="51"/>
      <c r="V756" s="51"/>
    </row>
    <row r="757">
      <c r="A757" s="51"/>
      <c r="B757" s="51"/>
      <c r="V757" s="51"/>
    </row>
    <row r="758">
      <c r="A758" s="51"/>
      <c r="B758" s="51"/>
      <c r="V758" s="51"/>
    </row>
    <row r="759">
      <c r="A759" s="51"/>
      <c r="B759" s="51"/>
      <c r="V759" s="51"/>
    </row>
    <row r="760">
      <c r="A760" s="51"/>
      <c r="B760" s="51"/>
      <c r="V760" s="51"/>
    </row>
    <row r="761">
      <c r="A761" s="51"/>
      <c r="B761" s="51"/>
      <c r="V761" s="51"/>
    </row>
    <row r="762">
      <c r="A762" s="51"/>
      <c r="B762" s="51"/>
      <c r="V762" s="51"/>
    </row>
    <row r="763">
      <c r="A763" s="51"/>
      <c r="B763" s="51"/>
      <c r="V763" s="51"/>
    </row>
    <row r="764">
      <c r="A764" s="51"/>
      <c r="B764" s="51"/>
      <c r="V764" s="51"/>
    </row>
    <row r="765">
      <c r="A765" s="51"/>
      <c r="B765" s="51"/>
      <c r="V765" s="51"/>
    </row>
    <row r="766">
      <c r="A766" s="51"/>
      <c r="B766" s="51"/>
      <c r="V766" s="51"/>
    </row>
    <row r="767">
      <c r="A767" s="51"/>
      <c r="B767" s="51"/>
      <c r="V767" s="51"/>
    </row>
    <row r="768">
      <c r="A768" s="51"/>
      <c r="B768" s="51"/>
      <c r="V768" s="51"/>
    </row>
    <row r="769">
      <c r="A769" s="51"/>
      <c r="B769" s="51"/>
      <c r="V769" s="51"/>
    </row>
    <row r="770">
      <c r="A770" s="51"/>
      <c r="B770" s="51"/>
      <c r="V770" s="51"/>
    </row>
    <row r="771">
      <c r="A771" s="51"/>
      <c r="B771" s="51"/>
      <c r="V771" s="51"/>
    </row>
    <row r="772">
      <c r="A772" s="51"/>
      <c r="B772" s="51"/>
      <c r="V772" s="51"/>
    </row>
    <row r="773">
      <c r="A773" s="51"/>
      <c r="B773" s="51"/>
      <c r="V773" s="51"/>
    </row>
    <row r="774">
      <c r="A774" s="51"/>
      <c r="B774" s="51"/>
      <c r="V774" s="51"/>
    </row>
    <row r="775">
      <c r="A775" s="51"/>
      <c r="B775" s="51"/>
      <c r="V775" s="51"/>
    </row>
    <row r="776">
      <c r="A776" s="51"/>
      <c r="B776" s="51"/>
      <c r="V776" s="51"/>
    </row>
    <row r="777">
      <c r="A777" s="51"/>
      <c r="B777" s="51"/>
      <c r="V777" s="51"/>
    </row>
    <row r="778">
      <c r="A778" s="51"/>
      <c r="B778" s="51"/>
      <c r="V778" s="51"/>
    </row>
    <row r="779">
      <c r="A779" s="51"/>
      <c r="B779" s="51"/>
      <c r="V779" s="51"/>
    </row>
    <row r="780">
      <c r="A780" s="51"/>
      <c r="B780" s="51"/>
      <c r="V780" s="51"/>
    </row>
    <row r="781">
      <c r="A781" s="51"/>
      <c r="B781" s="51"/>
      <c r="V781" s="51"/>
    </row>
    <row r="782">
      <c r="A782" s="51"/>
      <c r="B782" s="51"/>
      <c r="V782" s="51"/>
    </row>
    <row r="783">
      <c r="A783" s="51"/>
      <c r="B783" s="51"/>
      <c r="V783" s="51"/>
    </row>
    <row r="784">
      <c r="A784" s="51"/>
      <c r="B784" s="51"/>
      <c r="V784" s="51"/>
    </row>
    <row r="785">
      <c r="A785" s="51"/>
      <c r="B785" s="51"/>
      <c r="V785" s="51"/>
    </row>
    <row r="786">
      <c r="A786" s="51"/>
      <c r="B786" s="51"/>
      <c r="V786" s="51"/>
    </row>
    <row r="787">
      <c r="A787" s="51"/>
      <c r="B787" s="51"/>
      <c r="V787" s="51"/>
    </row>
    <row r="788">
      <c r="A788" s="51"/>
      <c r="B788" s="51"/>
      <c r="V788" s="51"/>
    </row>
    <row r="789">
      <c r="A789" s="51"/>
      <c r="B789" s="51"/>
      <c r="V789" s="51"/>
    </row>
    <row r="790">
      <c r="A790" s="51"/>
      <c r="B790" s="51"/>
      <c r="V790" s="51"/>
    </row>
    <row r="791">
      <c r="A791" s="51"/>
      <c r="B791" s="51"/>
      <c r="V791" s="51"/>
    </row>
    <row r="792">
      <c r="A792" s="51"/>
      <c r="B792" s="51"/>
      <c r="V792" s="51"/>
    </row>
    <row r="793">
      <c r="A793" s="51"/>
      <c r="B793" s="51"/>
      <c r="V793" s="51"/>
    </row>
    <row r="794">
      <c r="A794" s="51"/>
      <c r="B794" s="51"/>
      <c r="V794" s="51"/>
    </row>
    <row r="795">
      <c r="A795" s="51"/>
      <c r="B795" s="51"/>
      <c r="V795" s="51"/>
    </row>
    <row r="796">
      <c r="A796" s="51"/>
      <c r="B796" s="51"/>
      <c r="V796" s="51"/>
    </row>
    <row r="797">
      <c r="A797" s="51"/>
      <c r="B797" s="51"/>
      <c r="V797" s="51"/>
    </row>
    <row r="798">
      <c r="A798" s="51"/>
      <c r="B798" s="51"/>
      <c r="V798" s="51"/>
    </row>
    <row r="799">
      <c r="A799" s="51"/>
      <c r="B799" s="51"/>
      <c r="V799" s="51"/>
    </row>
    <row r="800">
      <c r="A800" s="51"/>
      <c r="B800" s="51"/>
      <c r="V800" s="51"/>
    </row>
    <row r="801">
      <c r="A801" s="51"/>
      <c r="B801" s="51"/>
      <c r="V801" s="51"/>
    </row>
    <row r="802">
      <c r="A802" s="51"/>
      <c r="B802" s="51"/>
      <c r="V802" s="51"/>
    </row>
    <row r="803">
      <c r="A803" s="51"/>
      <c r="B803" s="51"/>
      <c r="V803" s="51"/>
    </row>
    <row r="804">
      <c r="A804" s="51"/>
      <c r="B804" s="51"/>
      <c r="V804" s="51"/>
    </row>
    <row r="805">
      <c r="A805" s="51"/>
      <c r="B805" s="51"/>
      <c r="V805" s="51"/>
    </row>
    <row r="806">
      <c r="A806" s="51"/>
      <c r="B806" s="51"/>
      <c r="V806" s="51"/>
    </row>
    <row r="807">
      <c r="A807" s="51"/>
      <c r="B807" s="51"/>
      <c r="V807" s="51"/>
    </row>
    <row r="808">
      <c r="A808" s="51"/>
      <c r="B808" s="51"/>
      <c r="V808" s="51"/>
    </row>
    <row r="809">
      <c r="A809" s="51"/>
      <c r="B809" s="51"/>
      <c r="V809" s="51"/>
    </row>
    <row r="810">
      <c r="A810" s="51"/>
      <c r="B810" s="51"/>
      <c r="V810" s="51"/>
    </row>
    <row r="811">
      <c r="A811" s="51"/>
      <c r="B811" s="51"/>
      <c r="V811" s="51"/>
    </row>
    <row r="812">
      <c r="A812" s="51"/>
      <c r="B812" s="51"/>
      <c r="V812" s="51"/>
    </row>
    <row r="813">
      <c r="A813" s="51"/>
      <c r="B813" s="51"/>
      <c r="V813" s="51"/>
    </row>
    <row r="814">
      <c r="A814" s="51"/>
      <c r="B814" s="51"/>
      <c r="V814" s="51"/>
    </row>
    <row r="815">
      <c r="A815" s="51"/>
      <c r="B815" s="51"/>
      <c r="V815" s="51"/>
    </row>
    <row r="816">
      <c r="A816" s="51"/>
      <c r="B816" s="51"/>
      <c r="V816" s="51"/>
    </row>
    <row r="817">
      <c r="A817" s="51"/>
      <c r="B817" s="51"/>
      <c r="V817" s="51"/>
    </row>
    <row r="818">
      <c r="A818" s="51"/>
      <c r="B818" s="51"/>
      <c r="V818" s="51"/>
    </row>
    <row r="819">
      <c r="A819" s="51"/>
      <c r="B819" s="51"/>
      <c r="V819" s="51"/>
    </row>
    <row r="820">
      <c r="A820" s="51"/>
      <c r="B820" s="51"/>
      <c r="V820" s="51"/>
    </row>
    <row r="821">
      <c r="A821" s="51"/>
      <c r="B821" s="51"/>
      <c r="V821" s="51"/>
    </row>
    <row r="822">
      <c r="A822" s="51"/>
      <c r="B822" s="51"/>
      <c r="V822" s="51"/>
    </row>
    <row r="823">
      <c r="A823" s="51"/>
      <c r="B823" s="51"/>
      <c r="V823" s="51"/>
    </row>
    <row r="824">
      <c r="A824" s="51"/>
      <c r="B824" s="51"/>
      <c r="V824" s="51"/>
    </row>
    <row r="825">
      <c r="A825" s="51"/>
      <c r="B825" s="51"/>
      <c r="V825" s="51"/>
    </row>
    <row r="826">
      <c r="A826" s="51"/>
      <c r="B826" s="51"/>
      <c r="V826" s="51"/>
    </row>
    <row r="827">
      <c r="A827" s="51"/>
      <c r="B827" s="51"/>
      <c r="V827" s="51"/>
    </row>
    <row r="828">
      <c r="A828" s="51"/>
      <c r="B828" s="51"/>
      <c r="V828" s="51"/>
    </row>
    <row r="829">
      <c r="A829" s="51"/>
      <c r="B829" s="51"/>
      <c r="V829" s="51"/>
    </row>
    <row r="830">
      <c r="A830" s="51"/>
      <c r="B830" s="51"/>
      <c r="V830" s="51"/>
    </row>
    <row r="831">
      <c r="A831" s="51"/>
      <c r="B831" s="51"/>
      <c r="V831" s="51"/>
    </row>
    <row r="832">
      <c r="A832" s="51"/>
      <c r="B832" s="51"/>
      <c r="V832" s="51"/>
    </row>
    <row r="833">
      <c r="A833" s="51"/>
      <c r="B833" s="51"/>
      <c r="V833" s="51"/>
    </row>
    <row r="834">
      <c r="A834" s="51"/>
      <c r="B834" s="51"/>
      <c r="V834" s="51"/>
    </row>
    <row r="835">
      <c r="A835" s="51"/>
      <c r="B835" s="51"/>
      <c r="V835" s="51"/>
    </row>
    <row r="836">
      <c r="A836" s="51"/>
      <c r="B836" s="51"/>
      <c r="V836" s="51"/>
    </row>
    <row r="837">
      <c r="A837" s="51"/>
      <c r="B837" s="51"/>
      <c r="V837" s="51"/>
    </row>
    <row r="838">
      <c r="A838" s="51"/>
      <c r="B838" s="51"/>
      <c r="V838" s="51"/>
    </row>
    <row r="839">
      <c r="A839" s="51"/>
      <c r="B839" s="51"/>
      <c r="V839" s="51"/>
    </row>
    <row r="840">
      <c r="A840" s="51"/>
      <c r="B840" s="51"/>
      <c r="V840" s="51"/>
    </row>
    <row r="841">
      <c r="A841" s="51"/>
      <c r="B841" s="51"/>
      <c r="V841" s="51"/>
    </row>
    <row r="842">
      <c r="A842" s="51"/>
      <c r="B842" s="51"/>
      <c r="V842" s="51"/>
    </row>
    <row r="843">
      <c r="A843" s="51"/>
      <c r="B843" s="51"/>
      <c r="V843" s="51"/>
    </row>
    <row r="844">
      <c r="A844" s="51"/>
      <c r="B844" s="51"/>
      <c r="V844" s="51"/>
    </row>
    <row r="845">
      <c r="A845" s="51"/>
      <c r="B845" s="51"/>
      <c r="V845" s="51"/>
    </row>
    <row r="846">
      <c r="A846" s="51"/>
      <c r="B846" s="51"/>
      <c r="V846" s="51"/>
    </row>
    <row r="847">
      <c r="A847" s="51"/>
      <c r="B847" s="51"/>
      <c r="V847" s="51"/>
    </row>
    <row r="848">
      <c r="A848" s="51"/>
      <c r="B848" s="51"/>
      <c r="V848" s="51"/>
    </row>
    <row r="849">
      <c r="A849" s="51"/>
      <c r="B849" s="51"/>
      <c r="V849" s="51"/>
    </row>
    <row r="850">
      <c r="A850" s="51"/>
      <c r="B850" s="51"/>
      <c r="V850" s="51"/>
    </row>
    <row r="851">
      <c r="A851" s="51"/>
      <c r="B851" s="51"/>
      <c r="V851" s="51"/>
    </row>
    <row r="852">
      <c r="A852" s="51"/>
      <c r="B852" s="51"/>
      <c r="V852" s="51"/>
    </row>
    <row r="853">
      <c r="A853" s="51"/>
      <c r="B853" s="51"/>
      <c r="V853" s="51"/>
    </row>
    <row r="854">
      <c r="A854" s="51"/>
      <c r="B854" s="51"/>
      <c r="V854" s="51"/>
    </row>
    <row r="855">
      <c r="A855" s="51"/>
      <c r="B855" s="51"/>
      <c r="V855" s="51"/>
    </row>
    <row r="856">
      <c r="A856" s="51"/>
      <c r="B856" s="51"/>
      <c r="V856" s="51"/>
    </row>
    <row r="857">
      <c r="A857" s="51"/>
      <c r="B857" s="51"/>
      <c r="V857" s="51"/>
    </row>
    <row r="858">
      <c r="A858" s="51"/>
      <c r="B858" s="51"/>
      <c r="V858" s="51"/>
    </row>
    <row r="859">
      <c r="A859" s="51"/>
      <c r="B859" s="51"/>
      <c r="V859" s="51"/>
    </row>
    <row r="860">
      <c r="A860" s="51"/>
      <c r="B860" s="51"/>
      <c r="V860" s="51"/>
    </row>
    <row r="861">
      <c r="A861" s="51"/>
      <c r="B861" s="51"/>
      <c r="V861" s="51"/>
    </row>
    <row r="862">
      <c r="A862" s="51"/>
      <c r="B862" s="51"/>
      <c r="V862" s="51"/>
    </row>
    <row r="863">
      <c r="A863" s="51"/>
      <c r="B863" s="51"/>
      <c r="V863" s="51"/>
    </row>
    <row r="864">
      <c r="A864" s="51"/>
      <c r="B864" s="51"/>
      <c r="V864" s="51"/>
    </row>
    <row r="865">
      <c r="A865" s="51"/>
      <c r="B865" s="51"/>
      <c r="V865" s="51"/>
    </row>
    <row r="866">
      <c r="A866" s="51"/>
      <c r="B866" s="51"/>
      <c r="V866" s="51"/>
    </row>
    <row r="867">
      <c r="A867" s="51"/>
      <c r="B867" s="51"/>
      <c r="V867" s="51"/>
    </row>
    <row r="868">
      <c r="A868" s="51"/>
      <c r="B868" s="51"/>
      <c r="V868" s="51"/>
    </row>
    <row r="869">
      <c r="A869" s="51"/>
      <c r="B869" s="51"/>
      <c r="V869" s="51"/>
    </row>
    <row r="870">
      <c r="A870" s="51"/>
      <c r="B870" s="51"/>
      <c r="V870" s="51"/>
    </row>
    <row r="871">
      <c r="A871" s="51"/>
      <c r="B871" s="51"/>
      <c r="V871" s="51"/>
    </row>
    <row r="872">
      <c r="A872" s="51"/>
      <c r="B872" s="51"/>
      <c r="V872" s="51"/>
    </row>
    <row r="873">
      <c r="A873" s="51"/>
      <c r="B873" s="51"/>
      <c r="V873" s="51"/>
    </row>
    <row r="874">
      <c r="A874" s="51"/>
      <c r="B874" s="51"/>
      <c r="V874" s="51"/>
    </row>
    <row r="875">
      <c r="A875" s="51"/>
      <c r="B875" s="51"/>
      <c r="V875" s="51"/>
    </row>
    <row r="876">
      <c r="A876" s="51"/>
      <c r="B876" s="51"/>
      <c r="V876" s="51"/>
    </row>
    <row r="877">
      <c r="A877" s="51"/>
      <c r="B877" s="51"/>
      <c r="V877" s="51"/>
    </row>
    <row r="878">
      <c r="A878" s="51"/>
      <c r="B878" s="51"/>
      <c r="V878" s="51"/>
    </row>
    <row r="879">
      <c r="A879" s="51"/>
      <c r="B879" s="51"/>
      <c r="V879" s="51"/>
    </row>
    <row r="880">
      <c r="A880" s="51"/>
      <c r="B880" s="51"/>
      <c r="V880" s="51"/>
    </row>
    <row r="881">
      <c r="A881" s="51"/>
      <c r="B881" s="51"/>
      <c r="V881" s="51"/>
    </row>
    <row r="882">
      <c r="A882" s="51"/>
      <c r="B882" s="51"/>
      <c r="V882" s="51"/>
    </row>
    <row r="883">
      <c r="A883" s="51"/>
      <c r="B883" s="51"/>
      <c r="V883" s="51"/>
    </row>
    <row r="884">
      <c r="A884" s="51"/>
      <c r="B884" s="51"/>
      <c r="V884" s="51"/>
    </row>
    <row r="885">
      <c r="A885" s="51"/>
      <c r="B885" s="51"/>
      <c r="V885" s="51"/>
    </row>
    <row r="886">
      <c r="A886" s="51"/>
      <c r="B886" s="51"/>
      <c r="V886" s="51"/>
    </row>
    <row r="887">
      <c r="A887" s="51"/>
      <c r="B887" s="51"/>
      <c r="V887" s="51"/>
    </row>
    <row r="888">
      <c r="A888" s="51"/>
      <c r="B888" s="51"/>
      <c r="V888" s="51"/>
    </row>
    <row r="889">
      <c r="A889" s="51"/>
      <c r="B889" s="51"/>
      <c r="V889" s="51"/>
    </row>
    <row r="890">
      <c r="A890" s="51"/>
      <c r="B890" s="51"/>
      <c r="V890" s="51"/>
    </row>
    <row r="891">
      <c r="A891" s="51"/>
      <c r="B891" s="51"/>
      <c r="V891" s="51"/>
    </row>
    <row r="892">
      <c r="A892" s="51"/>
      <c r="B892" s="51"/>
      <c r="V892" s="51"/>
    </row>
    <row r="893">
      <c r="A893" s="51"/>
      <c r="B893" s="51"/>
      <c r="V893" s="51"/>
    </row>
    <row r="894">
      <c r="A894" s="51"/>
      <c r="B894" s="51"/>
      <c r="V894" s="51"/>
    </row>
    <row r="895">
      <c r="A895" s="51"/>
      <c r="B895" s="51"/>
      <c r="V895" s="51"/>
    </row>
    <row r="896">
      <c r="A896" s="51"/>
      <c r="B896" s="51"/>
      <c r="V896" s="51"/>
    </row>
    <row r="897">
      <c r="A897" s="51"/>
      <c r="B897" s="51"/>
      <c r="V897" s="51"/>
    </row>
    <row r="898">
      <c r="A898" s="51"/>
      <c r="B898" s="51"/>
      <c r="V898" s="51"/>
    </row>
    <row r="899">
      <c r="A899" s="51"/>
      <c r="B899" s="51"/>
      <c r="V899" s="51"/>
    </row>
    <row r="900">
      <c r="A900" s="51"/>
      <c r="B900" s="51"/>
      <c r="V900" s="51"/>
    </row>
    <row r="901">
      <c r="A901" s="51"/>
      <c r="B901" s="51"/>
      <c r="V901" s="51"/>
    </row>
    <row r="902">
      <c r="A902" s="51"/>
      <c r="B902" s="51"/>
      <c r="V902" s="51"/>
    </row>
    <row r="903">
      <c r="A903" s="51"/>
      <c r="B903" s="51"/>
      <c r="V903" s="51"/>
    </row>
    <row r="904">
      <c r="A904" s="51"/>
      <c r="B904" s="51"/>
      <c r="V904" s="51"/>
    </row>
    <row r="905">
      <c r="A905" s="51"/>
      <c r="B905" s="51"/>
      <c r="V905" s="51"/>
    </row>
    <row r="906">
      <c r="A906" s="51"/>
      <c r="B906" s="51"/>
      <c r="V906" s="51"/>
    </row>
    <row r="907">
      <c r="A907" s="51"/>
      <c r="B907" s="51"/>
      <c r="V907" s="51"/>
    </row>
    <row r="908">
      <c r="A908" s="51"/>
      <c r="B908" s="51"/>
      <c r="V908" s="51"/>
    </row>
    <row r="909">
      <c r="A909" s="51"/>
      <c r="B909" s="51"/>
      <c r="V909" s="51"/>
    </row>
    <row r="910">
      <c r="A910" s="51"/>
      <c r="B910" s="51"/>
      <c r="V910" s="51"/>
    </row>
    <row r="911">
      <c r="A911" s="51"/>
      <c r="B911" s="51"/>
      <c r="V911" s="51"/>
    </row>
    <row r="912">
      <c r="A912" s="51"/>
      <c r="B912" s="51"/>
      <c r="V912" s="51"/>
    </row>
    <row r="913">
      <c r="A913" s="51"/>
      <c r="B913" s="51"/>
      <c r="V913" s="51"/>
    </row>
    <row r="914">
      <c r="A914" s="51"/>
      <c r="B914" s="51"/>
      <c r="V914" s="51"/>
    </row>
    <row r="915">
      <c r="A915" s="51"/>
      <c r="B915" s="51"/>
      <c r="V915" s="51"/>
    </row>
    <row r="916">
      <c r="A916" s="51"/>
      <c r="B916" s="51"/>
      <c r="V916" s="51"/>
    </row>
    <row r="917">
      <c r="A917" s="51"/>
      <c r="B917" s="51"/>
      <c r="V917" s="51"/>
    </row>
    <row r="918">
      <c r="A918" s="51"/>
      <c r="B918" s="51"/>
      <c r="V918" s="51"/>
    </row>
    <row r="919">
      <c r="A919" s="51"/>
      <c r="B919" s="51"/>
      <c r="V919" s="51"/>
    </row>
    <row r="920">
      <c r="A920" s="51"/>
      <c r="B920" s="51"/>
      <c r="V920" s="51"/>
    </row>
    <row r="921">
      <c r="A921" s="51"/>
      <c r="B921" s="51"/>
      <c r="V921" s="51"/>
    </row>
    <row r="922">
      <c r="A922" s="51"/>
      <c r="B922" s="51"/>
      <c r="V922" s="51"/>
    </row>
    <row r="923">
      <c r="A923" s="51"/>
      <c r="B923" s="51"/>
      <c r="V923" s="51"/>
    </row>
    <row r="924">
      <c r="A924" s="51"/>
      <c r="B924" s="51"/>
      <c r="V924" s="51"/>
    </row>
    <row r="925">
      <c r="A925" s="51"/>
      <c r="B925" s="51"/>
      <c r="V925" s="51"/>
    </row>
    <row r="926">
      <c r="A926" s="51"/>
      <c r="B926" s="51"/>
      <c r="V926" s="51"/>
    </row>
    <row r="927">
      <c r="A927" s="51"/>
      <c r="B927" s="51"/>
      <c r="V927" s="51"/>
    </row>
    <row r="928">
      <c r="A928" s="51"/>
      <c r="B928" s="51"/>
      <c r="V928" s="51"/>
    </row>
    <row r="929">
      <c r="A929" s="51"/>
      <c r="B929" s="51"/>
      <c r="V929" s="51"/>
    </row>
    <row r="930">
      <c r="A930" s="51"/>
      <c r="B930" s="51"/>
      <c r="V930" s="51"/>
    </row>
    <row r="931">
      <c r="A931" s="51"/>
      <c r="B931" s="51"/>
      <c r="V931" s="51"/>
    </row>
    <row r="932">
      <c r="A932" s="51"/>
      <c r="B932" s="51"/>
      <c r="V932" s="51"/>
    </row>
    <row r="933">
      <c r="A933" s="51"/>
      <c r="B933" s="51"/>
      <c r="V933" s="51"/>
    </row>
    <row r="934">
      <c r="A934" s="51"/>
      <c r="B934" s="51"/>
      <c r="V934" s="51"/>
    </row>
    <row r="935">
      <c r="A935" s="51"/>
      <c r="B935" s="51"/>
      <c r="V935" s="51"/>
    </row>
    <row r="936">
      <c r="A936" s="51"/>
      <c r="B936" s="51"/>
      <c r="V936" s="51"/>
    </row>
    <row r="937">
      <c r="A937" s="51"/>
      <c r="B937" s="51"/>
      <c r="V937" s="51"/>
    </row>
    <row r="938">
      <c r="A938" s="51"/>
      <c r="B938" s="51"/>
      <c r="V938" s="51"/>
    </row>
    <row r="939">
      <c r="A939" s="51"/>
      <c r="B939" s="51"/>
      <c r="V939" s="51"/>
    </row>
    <row r="940">
      <c r="A940" s="51"/>
      <c r="B940" s="51"/>
      <c r="V940" s="51"/>
    </row>
    <row r="941">
      <c r="A941" s="51"/>
      <c r="B941" s="51"/>
      <c r="V941" s="51"/>
    </row>
    <row r="942">
      <c r="A942" s="51"/>
      <c r="B942" s="51"/>
      <c r="V942" s="51"/>
    </row>
    <row r="943">
      <c r="A943" s="51"/>
      <c r="B943" s="51"/>
      <c r="V943" s="51"/>
    </row>
    <row r="944">
      <c r="A944" s="51"/>
      <c r="B944" s="51"/>
      <c r="V944" s="51"/>
    </row>
    <row r="945">
      <c r="A945" s="51"/>
      <c r="B945" s="51"/>
      <c r="V945" s="51"/>
    </row>
    <row r="946">
      <c r="A946" s="51"/>
      <c r="B946" s="51"/>
      <c r="V946" s="51"/>
    </row>
    <row r="947">
      <c r="A947" s="51"/>
      <c r="B947" s="51"/>
      <c r="V947" s="51"/>
    </row>
    <row r="948">
      <c r="A948" s="51"/>
      <c r="B948" s="51"/>
      <c r="V948" s="51"/>
    </row>
    <row r="949">
      <c r="A949" s="51"/>
      <c r="B949" s="51"/>
      <c r="V949" s="51"/>
    </row>
    <row r="950">
      <c r="A950" s="51"/>
      <c r="B950" s="51"/>
      <c r="V950" s="51"/>
    </row>
    <row r="951">
      <c r="A951" s="51"/>
      <c r="B951" s="51"/>
      <c r="V951" s="51"/>
    </row>
    <row r="952">
      <c r="A952" s="51"/>
      <c r="B952" s="51"/>
      <c r="V952" s="51"/>
    </row>
    <row r="953">
      <c r="A953" s="51"/>
      <c r="B953" s="51"/>
      <c r="V953" s="51"/>
    </row>
    <row r="954">
      <c r="A954" s="51"/>
      <c r="B954" s="51"/>
      <c r="V954" s="51"/>
    </row>
    <row r="955">
      <c r="A955" s="51"/>
      <c r="B955" s="51"/>
      <c r="V955" s="51"/>
    </row>
    <row r="956">
      <c r="A956" s="51"/>
      <c r="B956" s="51"/>
      <c r="V956" s="51"/>
    </row>
    <row r="957">
      <c r="A957" s="51"/>
      <c r="B957" s="51"/>
      <c r="V957" s="51"/>
    </row>
    <row r="958">
      <c r="A958" s="51"/>
      <c r="B958" s="51"/>
      <c r="V958" s="51"/>
    </row>
    <row r="959">
      <c r="A959" s="51"/>
      <c r="B959" s="51"/>
      <c r="V959" s="51"/>
    </row>
    <row r="960">
      <c r="A960" s="51"/>
      <c r="B960" s="51"/>
      <c r="V960" s="51"/>
    </row>
    <row r="961">
      <c r="A961" s="51"/>
      <c r="B961" s="51"/>
      <c r="V961" s="51"/>
    </row>
    <row r="962">
      <c r="A962" s="51"/>
      <c r="B962" s="51"/>
      <c r="V962" s="51"/>
    </row>
    <row r="963">
      <c r="A963" s="51"/>
      <c r="B963" s="51"/>
      <c r="V963" s="51"/>
    </row>
    <row r="964">
      <c r="A964" s="51"/>
      <c r="B964" s="51"/>
      <c r="V964" s="51"/>
    </row>
    <row r="965">
      <c r="A965" s="51"/>
      <c r="B965" s="51"/>
      <c r="V965" s="51"/>
    </row>
    <row r="966">
      <c r="A966" s="51"/>
      <c r="B966" s="51"/>
      <c r="V966" s="51"/>
    </row>
    <row r="967">
      <c r="A967" s="51"/>
      <c r="B967" s="51"/>
      <c r="V967" s="51"/>
    </row>
    <row r="968">
      <c r="A968" s="51"/>
      <c r="B968" s="51"/>
      <c r="V968" s="51"/>
    </row>
    <row r="969">
      <c r="A969" s="51"/>
      <c r="B969" s="51"/>
      <c r="V969" s="51"/>
    </row>
    <row r="970">
      <c r="A970" s="51"/>
      <c r="B970" s="51"/>
      <c r="V970" s="51"/>
    </row>
    <row r="971">
      <c r="A971" s="51"/>
      <c r="B971" s="51"/>
      <c r="V971" s="51"/>
    </row>
    <row r="972">
      <c r="A972" s="51"/>
      <c r="B972" s="51"/>
      <c r="V972" s="51"/>
    </row>
    <row r="973">
      <c r="A973" s="51"/>
      <c r="B973" s="51"/>
      <c r="V973" s="51"/>
    </row>
    <row r="974">
      <c r="A974" s="51"/>
      <c r="B974" s="51"/>
      <c r="V974" s="51"/>
    </row>
    <row r="975">
      <c r="A975" s="51"/>
      <c r="B975" s="51"/>
      <c r="V975" s="51"/>
    </row>
    <row r="976">
      <c r="A976" s="51"/>
      <c r="B976" s="51"/>
      <c r="V976" s="51"/>
    </row>
    <row r="977">
      <c r="A977" s="51"/>
      <c r="B977" s="51"/>
      <c r="V977" s="51"/>
    </row>
    <row r="978">
      <c r="A978" s="51"/>
      <c r="B978" s="51"/>
      <c r="V978" s="51"/>
    </row>
    <row r="979">
      <c r="A979" s="51"/>
      <c r="B979" s="51"/>
      <c r="V979" s="51"/>
    </row>
    <row r="980">
      <c r="A980" s="51"/>
      <c r="B980" s="51"/>
      <c r="V980" s="51"/>
    </row>
    <row r="981">
      <c r="A981" s="51"/>
      <c r="B981" s="51"/>
      <c r="V981" s="51"/>
    </row>
    <row r="982">
      <c r="A982" s="51"/>
      <c r="B982" s="51"/>
      <c r="V982" s="51"/>
    </row>
    <row r="983">
      <c r="A983" s="51"/>
      <c r="B983" s="51"/>
      <c r="V983" s="51"/>
    </row>
    <row r="984">
      <c r="A984" s="51"/>
      <c r="B984" s="51"/>
      <c r="V984" s="51"/>
    </row>
    <row r="985">
      <c r="A985" s="51"/>
      <c r="B985" s="51"/>
      <c r="V985" s="51"/>
    </row>
    <row r="986">
      <c r="A986" s="51"/>
      <c r="B986" s="51"/>
      <c r="V986" s="51"/>
    </row>
    <row r="987">
      <c r="A987" s="51"/>
      <c r="B987" s="51"/>
      <c r="V987" s="51"/>
    </row>
    <row r="988">
      <c r="A988" s="51"/>
      <c r="B988" s="51"/>
      <c r="V988" s="51"/>
    </row>
    <row r="989">
      <c r="A989" s="51"/>
      <c r="B989" s="51"/>
      <c r="V989" s="51"/>
    </row>
    <row r="990">
      <c r="A990" s="51"/>
      <c r="B990" s="51"/>
      <c r="V990" s="51"/>
    </row>
    <row r="991">
      <c r="A991" s="51"/>
      <c r="B991" s="51"/>
      <c r="V991" s="51"/>
    </row>
    <row r="992">
      <c r="A992" s="51"/>
      <c r="B992" s="51"/>
      <c r="V992" s="51"/>
    </row>
    <row r="993">
      <c r="A993" s="51"/>
      <c r="B993" s="51"/>
      <c r="V993" s="51"/>
    </row>
    <row r="994">
      <c r="A994" s="51"/>
      <c r="B994" s="51"/>
      <c r="V994" s="51"/>
    </row>
    <row r="995">
      <c r="A995" s="51"/>
      <c r="B995" s="51"/>
      <c r="V995" s="51"/>
    </row>
    <row r="996">
      <c r="A996" s="51"/>
      <c r="B996" s="51"/>
      <c r="V996" s="51"/>
    </row>
    <row r="997">
      <c r="A997" s="51"/>
      <c r="B997" s="51"/>
      <c r="V997" s="51"/>
    </row>
    <row r="998">
      <c r="A998" s="51"/>
      <c r="B998" s="51"/>
      <c r="V998" s="51"/>
    </row>
    <row r="999">
      <c r="A999" s="51"/>
      <c r="B999" s="51"/>
      <c r="V999" s="51"/>
    </row>
    <row r="1000">
      <c r="A1000" s="51"/>
      <c r="B1000" s="51"/>
      <c r="V1000" s="51"/>
    </row>
    <row r="1001">
      <c r="A1001" s="51"/>
      <c r="B1001" s="51"/>
      <c r="V1001" s="51"/>
    </row>
    <row r="1002">
      <c r="A1002" s="51"/>
      <c r="B1002" s="51"/>
      <c r="V1002" s="51"/>
    </row>
    <row r="1003">
      <c r="A1003" s="51"/>
      <c r="B1003" s="51"/>
      <c r="V1003" s="51"/>
    </row>
    <row r="1004">
      <c r="A1004" s="51"/>
      <c r="B1004" s="51"/>
      <c r="V1004" s="51"/>
    </row>
    <row r="1005">
      <c r="A1005" s="51"/>
      <c r="B1005" s="51"/>
      <c r="V1005" s="51"/>
    </row>
    <row r="1006">
      <c r="A1006" s="51"/>
      <c r="B1006" s="51"/>
      <c r="V1006" s="51"/>
    </row>
    <row r="1007">
      <c r="A1007" s="51"/>
      <c r="B1007" s="51"/>
      <c r="V1007" s="51"/>
    </row>
    <row r="1008">
      <c r="A1008" s="51"/>
      <c r="B1008" s="51"/>
      <c r="V1008" s="51"/>
    </row>
    <row r="1009">
      <c r="A1009" s="51"/>
      <c r="B1009" s="51"/>
      <c r="V1009" s="51"/>
    </row>
    <row r="1010">
      <c r="A1010" s="51"/>
      <c r="B1010" s="51"/>
      <c r="V1010" s="51"/>
    </row>
    <row r="1011">
      <c r="A1011" s="51"/>
      <c r="B1011" s="51"/>
      <c r="V1011" s="51"/>
    </row>
    <row r="1012">
      <c r="A1012" s="51"/>
      <c r="B1012" s="51"/>
      <c r="V1012" s="51"/>
    </row>
    <row r="1013">
      <c r="A1013" s="51"/>
      <c r="B1013" s="51"/>
      <c r="V1013" s="51"/>
    </row>
    <row r="1014">
      <c r="A1014" s="51"/>
      <c r="B1014" s="51"/>
      <c r="V1014" s="51"/>
    </row>
    <row r="1015">
      <c r="A1015" s="51"/>
      <c r="B1015" s="51"/>
      <c r="V1015" s="51"/>
    </row>
    <row r="1016">
      <c r="A1016" s="51"/>
      <c r="B1016" s="51"/>
      <c r="V1016" s="51"/>
    </row>
    <row r="1017">
      <c r="A1017" s="51"/>
      <c r="B1017" s="51"/>
      <c r="V1017" s="51"/>
    </row>
    <row r="1018">
      <c r="A1018" s="51"/>
      <c r="B1018" s="51"/>
      <c r="V1018" s="51"/>
    </row>
    <row r="1019">
      <c r="A1019" s="51"/>
      <c r="B1019" s="51"/>
      <c r="V1019" s="51"/>
    </row>
    <row r="1020">
      <c r="A1020" s="51"/>
      <c r="B1020" s="51"/>
      <c r="V1020" s="51"/>
    </row>
    <row r="1021">
      <c r="A1021" s="51"/>
      <c r="B1021" s="51"/>
      <c r="V1021" s="51"/>
    </row>
    <row r="1022">
      <c r="A1022" s="51"/>
      <c r="B1022" s="51"/>
      <c r="V1022" s="51"/>
    </row>
    <row r="1023">
      <c r="A1023" s="51"/>
      <c r="B1023" s="51"/>
      <c r="V1023" s="51"/>
    </row>
    <row r="1024">
      <c r="A1024" s="51"/>
      <c r="B1024" s="51"/>
      <c r="V1024" s="51"/>
    </row>
    <row r="1025">
      <c r="A1025" s="51"/>
      <c r="B1025" s="51"/>
      <c r="V1025" s="51"/>
    </row>
    <row r="1026">
      <c r="A1026" s="51"/>
      <c r="B1026" s="51"/>
      <c r="V1026" s="51"/>
    </row>
    <row r="1027">
      <c r="A1027" s="51"/>
      <c r="B1027" s="51"/>
      <c r="V1027" s="51"/>
    </row>
    <row r="1028">
      <c r="A1028" s="51"/>
      <c r="B1028" s="51"/>
      <c r="V1028" s="51"/>
    </row>
    <row r="1029">
      <c r="A1029" s="51"/>
      <c r="B1029" s="51"/>
      <c r="V1029" s="51"/>
    </row>
    <row r="1030">
      <c r="A1030" s="51"/>
      <c r="B1030" s="51"/>
      <c r="V1030" s="51"/>
    </row>
    <row r="1031">
      <c r="A1031" s="51"/>
      <c r="B1031" s="51"/>
      <c r="V1031" s="51"/>
    </row>
    <row r="1032">
      <c r="A1032" s="51"/>
      <c r="B1032" s="51"/>
      <c r="V1032" s="51"/>
    </row>
    <row r="1033">
      <c r="A1033" s="51"/>
      <c r="B1033" s="51"/>
      <c r="V1033" s="51"/>
    </row>
    <row r="1034">
      <c r="A1034" s="51"/>
      <c r="B1034" s="51"/>
      <c r="V1034" s="51"/>
    </row>
    <row r="1035">
      <c r="A1035" s="51"/>
      <c r="B1035" s="51"/>
      <c r="V1035" s="51"/>
    </row>
    <row r="1036">
      <c r="A1036" s="51"/>
      <c r="B1036" s="51"/>
      <c r="V1036" s="51"/>
    </row>
    <row r="1037">
      <c r="A1037" s="51"/>
      <c r="B1037" s="51"/>
      <c r="V1037" s="51"/>
    </row>
    <row r="1038">
      <c r="A1038" s="51"/>
      <c r="B1038" s="51"/>
      <c r="V1038" s="51"/>
    </row>
    <row r="1039">
      <c r="A1039" s="51"/>
      <c r="B1039" s="51"/>
      <c r="V1039" s="51"/>
    </row>
    <row r="1040">
      <c r="A1040" s="51"/>
      <c r="B1040" s="51"/>
      <c r="V1040" s="51"/>
    </row>
    <row r="1041">
      <c r="A1041" s="51"/>
      <c r="B1041" s="51"/>
      <c r="V1041" s="51"/>
    </row>
    <row r="1042">
      <c r="A1042" s="51"/>
      <c r="B1042" s="51"/>
      <c r="V1042" s="51"/>
    </row>
    <row r="1043">
      <c r="A1043" s="51"/>
      <c r="B1043" s="51"/>
      <c r="V1043" s="51"/>
    </row>
    <row r="1044">
      <c r="A1044" s="51"/>
      <c r="B1044" s="51"/>
      <c r="V1044" s="51"/>
    </row>
    <row r="1045">
      <c r="A1045" s="51"/>
      <c r="B1045" s="51"/>
      <c r="V1045" s="51"/>
    </row>
    <row r="1046">
      <c r="A1046" s="51"/>
      <c r="B1046" s="51"/>
      <c r="V1046" s="51"/>
    </row>
    <row r="1047">
      <c r="A1047" s="51"/>
      <c r="B1047" s="51"/>
      <c r="V1047" s="51"/>
    </row>
    <row r="1048">
      <c r="A1048" s="51"/>
      <c r="B1048" s="51"/>
      <c r="V1048" s="51"/>
    </row>
    <row r="1049">
      <c r="A1049" s="51"/>
      <c r="B1049" s="51"/>
      <c r="V1049" s="51"/>
    </row>
    <row r="1050">
      <c r="A1050" s="51"/>
      <c r="B1050" s="51"/>
      <c r="V1050" s="51"/>
    </row>
    <row r="1051">
      <c r="A1051" s="51"/>
      <c r="B1051" s="51"/>
      <c r="V1051" s="51"/>
    </row>
    <row r="1052">
      <c r="A1052" s="51"/>
      <c r="B1052" s="51"/>
      <c r="V1052" s="51"/>
    </row>
    <row r="1053">
      <c r="A1053" s="51"/>
      <c r="B1053" s="51"/>
      <c r="V1053" s="51"/>
    </row>
    <row r="1054">
      <c r="A1054" s="51"/>
      <c r="B1054" s="51"/>
      <c r="V1054" s="51"/>
    </row>
    <row r="1055">
      <c r="A1055" s="51"/>
      <c r="B1055" s="51"/>
      <c r="V1055" s="51"/>
    </row>
    <row r="1056">
      <c r="A1056" s="51"/>
      <c r="B1056" s="51"/>
      <c r="V1056" s="51"/>
    </row>
    <row r="1057">
      <c r="A1057" s="51"/>
      <c r="B1057" s="51"/>
      <c r="V1057" s="51"/>
    </row>
    <row r="1058">
      <c r="A1058" s="51"/>
      <c r="B1058" s="51"/>
      <c r="V1058" s="51"/>
    </row>
    <row r="1059">
      <c r="A1059" s="51"/>
      <c r="B1059" s="51"/>
      <c r="V1059" s="51"/>
    </row>
    <row r="1060">
      <c r="A1060" s="51"/>
      <c r="B1060" s="51"/>
      <c r="V1060" s="51"/>
    </row>
    <row r="1061">
      <c r="A1061" s="51"/>
      <c r="B1061" s="51"/>
      <c r="V1061" s="51"/>
    </row>
    <row r="1062">
      <c r="A1062" s="51"/>
      <c r="B1062" s="51"/>
      <c r="V1062" s="51"/>
    </row>
    <row r="1063">
      <c r="A1063" s="51"/>
      <c r="B1063" s="51"/>
      <c r="V1063" s="51"/>
    </row>
    <row r="1064">
      <c r="A1064" s="51"/>
      <c r="B1064" s="51"/>
      <c r="V1064" s="51"/>
    </row>
    <row r="1065">
      <c r="A1065" s="51"/>
      <c r="B1065" s="51"/>
      <c r="V1065" s="51"/>
    </row>
    <row r="1066">
      <c r="A1066" s="51"/>
      <c r="B1066" s="51"/>
      <c r="V1066" s="51"/>
    </row>
    <row r="1067">
      <c r="A1067" s="51"/>
      <c r="B1067" s="51"/>
      <c r="V1067" s="51"/>
    </row>
    <row r="1068">
      <c r="A1068" s="51"/>
      <c r="B1068" s="51"/>
      <c r="V1068" s="51"/>
    </row>
    <row r="1069">
      <c r="A1069" s="51"/>
      <c r="B1069" s="51"/>
      <c r="V1069" s="51"/>
    </row>
    <row r="1070">
      <c r="A1070" s="51"/>
      <c r="B1070" s="51"/>
      <c r="V1070" s="51"/>
    </row>
    <row r="1071">
      <c r="A1071" s="51"/>
      <c r="B1071" s="51"/>
      <c r="V1071" s="51"/>
    </row>
    <row r="1072">
      <c r="A1072" s="51"/>
      <c r="B1072" s="51"/>
      <c r="V1072" s="51"/>
    </row>
    <row r="1073">
      <c r="A1073" s="51"/>
      <c r="B1073" s="51"/>
      <c r="V1073" s="51"/>
    </row>
    <row r="1074">
      <c r="A1074" s="51"/>
      <c r="B1074" s="51"/>
      <c r="V1074" s="51"/>
    </row>
    <row r="1075">
      <c r="A1075" s="51"/>
      <c r="B1075" s="51"/>
      <c r="V1075" s="51"/>
    </row>
    <row r="1076">
      <c r="A1076" s="51"/>
      <c r="B1076" s="51"/>
      <c r="V1076" s="51"/>
    </row>
    <row r="1077">
      <c r="A1077" s="51"/>
      <c r="B1077" s="51"/>
      <c r="V1077" s="51"/>
    </row>
    <row r="1078">
      <c r="A1078" s="51"/>
      <c r="B1078" s="51"/>
      <c r="V1078" s="51"/>
    </row>
    <row r="1079">
      <c r="A1079" s="51"/>
      <c r="B1079" s="51"/>
      <c r="V1079" s="51"/>
    </row>
    <row r="1080">
      <c r="A1080" s="51"/>
      <c r="B1080" s="51"/>
      <c r="V1080" s="51"/>
    </row>
    <row r="1081">
      <c r="A1081" s="51"/>
      <c r="B1081" s="51"/>
      <c r="V1081" s="51"/>
    </row>
    <row r="1082">
      <c r="A1082" s="51"/>
      <c r="B1082" s="51"/>
      <c r="V1082" s="51"/>
    </row>
    <row r="1083">
      <c r="A1083" s="51"/>
      <c r="B1083" s="51"/>
      <c r="V1083" s="51"/>
    </row>
    <row r="1084">
      <c r="A1084" s="51"/>
      <c r="B1084" s="51"/>
      <c r="V1084" s="51"/>
    </row>
    <row r="1085">
      <c r="A1085" s="51"/>
      <c r="B1085" s="51"/>
      <c r="V1085" s="51"/>
    </row>
    <row r="1086">
      <c r="A1086" s="51"/>
      <c r="B1086" s="51"/>
      <c r="V1086" s="51"/>
    </row>
    <row r="1087">
      <c r="A1087" s="51"/>
      <c r="B1087" s="51"/>
      <c r="V1087" s="51"/>
    </row>
    <row r="1088">
      <c r="A1088" s="51"/>
      <c r="B1088" s="51"/>
      <c r="V1088" s="51"/>
    </row>
    <row r="1089">
      <c r="A1089" s="51"/>
      <c r="B1089" s="51"/>
      <c r="V1089" s="51"/>
    </row>
    <row r="1090">
      <c r="A1090" s="51"/>
      <c r="B1090" s="51"/>
      <c r="V1090" s="51"/>
    </row>
    <row r="1091">
      <c r="A1091" s="51"/>
      <c r="B1091" s="51"/>
      <c r="V1091" s="51"/>
    </row>
    <row r="1092">
      <c r="A1092" s="51"/>
      <c r="B1092" s="51"/>
      <c r="V1092" s="51"/>
    </row>
    <row r="1093">
      <c r="A1093" s="51"/>
      <c r="B1093" s="51"/>
      <c r="V1093" s="51"/>
    </row>
    <row r="1094">
      <c r="A1094" s="51"/>
      <c r="B1094" s="51"/>
      <c r="V1094" s="51"/>
    </row>
    <row r="1095">
      <c r="A1095" s="51"/>
      <c r="B1095" s="51"/>
      <c r="V1095" s="51"/>
    </row>
    <row r="1096">
      <c r="A1096" s="51"/>
      <c r="B1096" s="51"/>
      <c r="V1096" s="51"/>
    </row>
    <row r="1097">
      <c r="A1097" s="51"/>
      <c r="B1097" s="51"/>
      <c r="V1097" s="51"/>
    </row>
    <row r="1098">
      <c r="A1098" s="51"/>
      <c r="B1098" s="51"/>
      <c r="V1098" s="51"/>
    </row>
    <row r="1099">
      <c r="A1099" s="51"/>
      <c r="B1099" s="51"/>
      <c r="V1099" s="51"/>
    </row>
    <row r="1100">
      <c r="A1100" s="51"/>
      <c r="B1100" s="51"/>
      <c r="V1100" s="51"/>
    </row>
    <row r="1101">
      <c r="A1101" s="51"/>
      <c r="B1101" s="51"/>
      <c r="V1101" s="51"/>
    </row>
    <row r="1102">
      <c r="A1102" s="51"/>
      <c r="B1102" s="51"/>
      <c r="V1102" s="51"/>
    </row>
    <row r="1103">
      <c r="A1103" s="51"/>
      <c r="B1103" s="51"/>
      <c r="V1103" s="51"/>
    </row>
    <row r="1104">
      <c r="A1104" s="51"/>
      <c r="B1104" s="51"/>
      <c r="V1104" s="51"/>
    </row>
    <row r="1105">
      <c r="A1105" s="51"/>
      <c r="B1105" s="51"/>
      <c r="V1105" s="51"/>
    </row>
    <row r="1106">
      <c r="A1106" s="51"/>
      <c r="B1106" s="51"/>
      <c r="V1106" s="51"/>
    </row>
    <row r="1107">
      <c r="A1107" s="51"/>
      <c r="B1107" s="51"/>
      <c r="V1107" s="51"/>
    </row>
    <row r="1108">
      <c r="A1108" s="51"/>
      <c r="B1108" s="51"/>
      <c r="V1108" s="51"/>
    </row>
    <row r="1109">
      <c r="A1109" s="51"/>
      <c r="B1109" s="51"/>
      <c r="V1109" s="51"/>
    </row>
    <row r="1110">
      <c r="A1110" s="51"/>
      <c r="B1110" s="51"/>
      <c r="V1110" s="51"/>
    </row>
    <row r="1111">
      <c r="A1111" s="51"/>
      <c r="B1111" s="51"/>
      <c r="V1111" s="51"/>
    </row>
    <row r="1112">
      <c r="A1112" s="51"/>
      <c r="B1112" s="51"/>
      <c r="V1112" s="51"/>
    </row>
    <row r="1113">
      <c r="A1113" s="51"/>
      <c r="B1113" s="51"/>
      <c r="V1113" s="51"/>
    </row>
    <row r="1114">
      <c r="A1114" s="51"/>
      <c r="B1114" s="51"/>
      <c r="V1114" s="51"/>
    </row>
    <row r="1115">
      <c r="A1115" s="51"/>
      <c r="B1115" s="51"/>
      <c r="V1115" s="51"/>
    </row>
    <row r="1116">
      <c r="A1116" s="51"/>
      <c r="B1116" s="51"/>
      <c r="V1116" s="51"/>
    </row>
    <row r="1117">
      <c r="A1117" s="51"/>
      <c r="B1117" s="51"/>
      <c r="V1117" s="51"/>
    </row>
    <row r="1118">
      <c r="A1118" s="51"/>
      <c r="B1118" s="51"/>
      <c r="V1118" s="51"/>
    </row>
    <row r="1119">
      <c r="A1119" s="51"/>
      <c r="B1119" s="51"/>
      <c r="V1119" s="51"/>
    </row>
    <row r="1120">
      <c r="A1120" s="51"/>
      <c r="B1120" s="51"/>
      <c r="V1120" s="51"/>
    </row>
    <row r="1121">
      <c r="A1121" s="51"/>
      <c r="B1121" s="51"/>
      <c r="V1121" s="51"/>
    </row>
    <row r="1122">
      <c r="A1122" s="51"/>
      <c r="B1122" s="51"/>
      <c r="V1122" s="51"/>
    </row>
    <row r="1123">
      <c r="A1123" s="51"/>
      <c r="B1123" s="51"/>
      <c r="V1123" s="51"/>
    </row>
    <row r="1124">
      <c r="A1124" s="51"/>
      <c r="B1124" s="51"/>
      <c r="V1124" s="51"/>
    </row>
    <row r="1125">
      <c r="A1125" s="51"/>
      <c r="B1125" s="51"/>
      <c r="V1125" s="51"/>
    </row>
    <row r="1126">
      <c r="A1126" s="51"/>
      <c r="B1126" s="51"/>
      <c r="V1126" s="51"/>
    </row>
    <row r="1127">
      <c r="A1127" s="51"/>
      <c r="B1127" s="51"/>
      <c r="V1127" s="51"/>
    </row>
    <row r="1128">
      <c r="A1128" s="51"/>
      <c r="B1128" s="51"/>
      <c r="V1128" s="51"/>
    </row>
    <row r="1129">
      <c r="A1129" s="51"/>
      <c r="B1129" s="51"/>
      <c r="V1129" s="51"/>
    </row>
    <row r="1130">
      <c r="A1130" s="51"/>
      <c r="B1130" s="51"/>
      <c r="V1130" s="51"/>
    </row>
    <row r="1131">
      <c r="A1131" s="51"/>
      <c r="B1131" s="51"/>
      <c r="V1131" s="51"/>
    </row>
    <row r="1132">
      <c r="A1132" s="51"/>
      <c r="B1132" s="51"/>
      <c r="V1132" s="51"/>
    </row>
    <row r="1133">
      <c r="A1133" s="51"/>
      <c r="B1133" s="51"/>
      <c r="V1133" s="51"/>
    </row>
    <row r="1134">
      <c r="A1134" s="51"/>
      <c r="B1134" s="51"/>
      <c r="V1134" s="51"/>
    </row>
    <row r="1135">
      <c r="A1135" s="51"/>
      <c r="B1135" s="51"/>
      <c r="V1135" s="51"/>
    </row>
    <row r="1136">
      <c r="A1136" s="51"/>
      <c r="B1136" s="51"/>
      <c r="V1136" s="51"/>
    </row>
    <row r="1137">
      <c r="A1137" s="51"/>
      <c r="B1137" s="51"/>
      <c r="V1137" s="51"/>
    </row>
    <row r="1138">
      <c r="A1138" s="51"/>
      <c r="B1138" s="51"/>
      <c r="V1138" s="51"/>
    </row>
    <row r="1139">
      <c r="A1139" s="51"/>
      <c r="B1139" s="51"/>
      <c r="V1139" s="51"/>
    </row>
    <row r="1140">
      <c r="A1140" s="51"/>
      <c r="B1140" s="51"/>
      <c r="V1140" s="51"/>
    </row>
    <row r="1141">
      <c r="A1141" s="51"/>
      <c r="B1141" s="51"/>
      <c r="V1141" s="51"/>
    </row>
    <row r="1142">
      <c r="A1142" s="51"/>
      <c r="B1142" s="51"/>
      <c r="V1142" s="51"/>
    </row>
    <row r="1143">
      <c r="A1143" s="51"/>
      <c r="B1143" s="51"/>
      <c r="V1143" s="51"/>
    </row>
    <row r="1144">
      <c r="A1144" s="51"/>
      <c r="B1144" s="51"/>
      <c r="V1144" s="51"/>
    </row>
    <row r="1145">
      <c r="A1145" s="51"/>
      <c r="B1145" s="51"/>
      <c r="V1145" s="51"/>
    </row>
    <row r="1146">
      <c r="A1146" s="51"/>
      <c r="B1146" s="51"/>
      <c r="V1146" s="51"/>
    </row>
    <row r="1147">
      <c r="A1147" s="51"/>
      <c r="B1147" s="51"/>
      <c r="V1147" s="51"/>
    </row>
    <row r="1148">
      <c r="A1148" s="51"/>
      <c r="B1148" s="51"/>
      <c r="V1148" s="51"/>
    </row>
    <row r="1149">
      <c r="A1149" s="51"/>
      <c r="B1149" s="51"/>
      <c r="V1149" s="51"/>
    </row>
    <row r="1150">
      <c r="A1150" s="51"/>
      <c r="B1150" s="51"/>
      <c r="V1150" s="51"/>
    </row>
    <row r="1151">
      <c r="A1151" s="51"/>
      <c r="B1151" s="51"/>
      <c r="V1151" s="51"/>
    </row>
    <row r="1152">
      <c r="A1152" s="51"/>
      <c r="B1152" s="51"/>
      <c r="V1152" s="51"/>
    </row>
    <row r="1153">
      <c r="A1153" s="51"/>
      <c r="B1153" s="51"/>
      <c r="V1153" s="51"/>
    </row>
    <row r="1154">
      <c r="A1154" s="51"/>
      <c r="B1154" s="51"/>
      <c r="V1154" s="51"/>
    </row>
    <row r="1155">
      <c r="A1155" s="51"/>
      <c r="B1155" s="51"/>
      <c r="V1155" s="51"/>
    </row>
    <row r="1156">
      <c r="A1156" s="51"/>
      <c r="B1156" s="51"/>
      <c r="V1156" s="51"/>
    </row>
    <row r="1157">
      <c r="A1157" s="51"/>
      <c r="B1157" s="51"/>
      <c r="V1157" s="51"/>
    </row>
    <row r="1158">
      <c r="A1158" s="51"/>
      <c r="B1158" s="51"/>
      <c r="V1158" s="51"/>
    </row>
    <row r="1159">
      <c r="A1159" s="51"/>
      <c r="B1159" s="51"/>
      <c r="V1159" s="51"/>
    </row>
    <row r="1160">
      <c r="A1160" s="51"/>
      <c r="B1160" s="51"/>
      <c r="V1160" s="51"/>
    </row>
    <row r="1161">
      <c r="A1161" s="51"/>
      <c r="B1161" s="51"/>
      <c r="V1161" s="51"/>
    </row>
    <row r="1162">
      <c r="A1162" s="51"/>
      <c r="B1162" s="51"/>
      <c r="V1162" s="51"/>
    </row>
    <row r="1163">
      <c r="A1163" s="51"/>
      <c r="B1163" s="51"/>
      <c r="V1163" s="51"/>
    </row>
    <row r="1164">
      <c r="A1164" s="51"/>
      <c r="B1164" s="51"/>
      <c r="V1164" s="51"/>
    </row>
    <row r="1165">
      <c r="A1165" s="51"/>
      <c r="B1165" s="51"/>
      <c r="V1165" s="51"/>
    </row>
    <row r="1166">
      <c r="A1166" s="51"/>
      <c r="B1166" s="51"/>
      <c r="V1166" s="51"/>
    </row>
    <row r="1167">
      <c r="A1167" s="51"/>
      <c r="B1167" s="51"/>
      <c r="V1167" s="51"/>
    </row>
    <row r="1168">
      <c r="A1168" s="51"/>
      <c r="B1168" s="51"/>
      <c r="V1168" s="51"/>
    </row>
    <row r="1169">
      <c r="A1169" s="51"/>
      <c r="B1169" s="51"/>
      <c r="V1169" s="51"/>
    </row>
    <row r="1170">
      <c r="A1170" s="51"/>
      <c r="B1170" s="51"/>
      <c r="V1170" s="51"/>
    </row>
    <row r="1171">
      <c r="A1171" s="51"/>
      <c r="B1171" s="51"/>
      <c r="V1171" s="51"/>
    </row>
    <row r="1172">
      <c r="A1172" s="51"/>
      <c r="B1172" s="51"/>
      <c r="V1172" s="51"/>
    </row>
    <row r="1173">
      <c r="A1173" s="51"/>
      <c r="B1173" s="51"/>
      <c r="V1173" s="51"/>
    </row>
    <row r="1174">
      <c r="A1174" s="51"/>
      <c r="B1174" s="51"/>
      <c r="V1174" s="51"/>
    </row>
    <row r="1175">
      <c r="A1175" s="51"/>
      <c r="B1175" s="51"/>
      <c r="V1175" s="51"/>
    </row>
    <row r="1176">
      <c r="A1176" s="51"/>
      <c r="B1176" s="51"/>
      <c r="V1176" s="51"/>
    </row>
    <row r="1177">
      <c r="A1177" s="51"/>
      <c r="B1177" s="51"/>
      <c r="V1177" s="51"/>
    </row>
    <row r="1178">
      <c r="A1178" s="51"/>
      <c r="B1178" s="51"/>
      <c r="V1178" s="51"/>
    </row>
    <row r="1179">
      <c r="A1179" s="51"/>
      <c r="B1179" s="51"/>
      <c r="V1179" s="51"/>
    </row>
    <row r="1180">
      <c r="A1180" s="51"/>
      <c r="B1180" s="51"/>
      <c r="V1180" s="51"/>
    </row>
    <row r="1181">
      <c r="A1181" s="51"/>
      <c r="B1181" s="51"/>
      <c r="V1181" s="51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4" width="10.5"/>
    <col customWidth="1" min="25" max="25" width="14.75"/>
    <col customWidth="1" min="26" max="26" width="11.13"/>
    <col customWidth="1" min="27" max="27" width="10.0"/>
    <col customWidth="1" min="28" max="37" width="9.38"/>
  </cols>
  <sheetData>
    <row r="1">
      <c r="U1" s="80"/>
    </row>
    <row r="2">
      <c r="A2" s="40" t="s">
        <v>673</v>
      </c>
      <c r="B2" s="40" t="s">
        <v>674</v>
      </c>
      <c r="C2" s="40" t="s">
        <v>676</v>
      </c>
      <c r="D2" s="40" t="s">
        <v>469</v>
      </c>
      <c r="E2" s="40" t="s">
        <v>677</v>
      </c>
      <c r="F2" s="56" t="s">
        <v>680</v>
      </c>
      <c r="G2" s="40" t="s">
        <v>538</v>
      </c>
      <c r="H2" s="40" t="s">
        <v>683</v>
      </c>
      <c r="I2" s="40" t="s">
        <v>684</v>
      </c>
      <c r="J2" s="40" t="s">
        <v>686</v>
      </c>
      <c r="K2" s="40" t="s">
        <v>687</v>
      </c>
      <c r="L2" s="40" t="s">
        <v>540</v>
      </c>
      <c r="M2" s="40" t="s">
        <v>688</v>
      </c>
      <c r="N2" s="40" t="s">
        <v>689</v>
      </c>
      <c r="O2" s="40" t="s">
        <v>690</v>
      </c>
      <c r="P2" s="40" t="s">
        <v>693</v>
      </c>
      <c r="Q2" s="40" t="s">
        <v>694</v>
      </c>
      <c r="R2" s="40" t="s">
        <v>696</v>
      </c>
      <c r="S2" s="40" t="s">
        <v>697</v>
      </c>
      <c r="T2" s="40" t="s">
        <v>80</v>
      </c>
      <c r="U2" s="81" t="s">
        <v>698</v>
      </c>
      <c r="V2" s="43" t="s">
        <v>699</v>
      </c>
      <c r="W2" s="40" t="s">
        <v>701</v>
      </c>
      <c r="X2" s="40" t="s">
        <v>703</v>
      </c>
      <c r="Y2" s="82" t="s">
        <v>704</v>
      </c>
      <c r="Z2" s="43" t="s">
        <v>707</v>
      </c>
      <c r="AA2" s="43" t="s">
        <v>708</v>
      </c>
      <c r="AB2" s="43" t="s">
        <v>710</v>
      </c>
      <c r="AC2" s="43" t="s">
        <v>712</v>
      </c>
      <c r="AD2" s="43" t="s">
        <v>713</v>
      </c>
      <c r="AE2" s="43" t="s">
        <v>714</v>
      </c>
      <c r="AF2" s="43" t="s">
        <v>715</v>
      </c>
      <c r="AG2" s="43" t="s">
        <v>716</v>
      </c>
      <c r="AH2" s="43" t="s">
        <v>719</v>
      </c>
      <c r="AI2" s="43" t="s">
        <v>721</v>
      </c>
      <c r="AJ2" s="43" t="s">
        <v>722</v>
      </c>
      <c r="AK2" s="43" t="s">
        <v>723</v>
      </c>
    </row>
    <row r="3">
      <c r="A3" s="63">
        <v>10001.0</v>
      </c>
      <c r="B3" s="44" t="s">
        <v>724</v>
      </c>
      <c r="C3" s="63" t="s">
        <v>15</v>
      </c>
      <c r="D3" s="63" t="s">
        <v>729</v>
      </c>
      <c r="E3" s="63"/>
      <c r="F3" s="83" t="str">
        <f t="shared" ref="F3:F33" si="3">"1,1"</f>
        <v>1,1</v>
      </c>
      <c r="G3" s="84" t="str">
        <f>"56,58,17,13,3,6,18"</f>
        <v>56,58,17,13,3,6,18</v>
      </c>
      <c r="H3" s="63"/>
      <c r="I3" s="63">
        <v>110012.0</v>
      </c>
      <c r="J3" s="59">
        <f t="shared" ref="J3:J9" si="4">A3+200000</f>
        <v>210001</v>
      </c>
      <c r="K3" s="63">
        <f t="shared" ref="K3:K9" si="5">J3+100000</f>
        <v>310001</v>
      </c>
      <c r="L3" s="43">
        <v>2.0</v>
      </c>
      <c r="M3" s="63"/>
      <c r="N3" s="63">
        <v>660.0</v>
      </c>
      <c r="O3" s="63">
        <v>14.0</v>
      </c>
      <c r="P3" s="63">
        <v>97.0</v>
      </c>
      <c r="Q3" s="63">
        <v>32.0</v>
      </c>
      <c r="R3" s="63">
        <v>55.0</v>
      </c>
      <c r="S3" s="63">
        <v>179.0</v>
      </c>
      <c r="T3" s="63">
        <v>19.0</v>
      </c>
      <c r="U3" s="85"/>
      <c r="V3" s="86">
        <f t="shared" ref="V3:V33" si="6">N3*0.5+O3+P3+Q3+R3+S3+T3*5</f>
        <v>802</v>
      </c>
      <c r="W3" s="43"/>
      <c r="X3" s="43">
        <v>9101.0</v>
      </c>
      <c r="Y3" s="87">
        <f t="shared" ref="Y3:Y33" si="7">if(C3="SSR",30,if(C3="SR",10,if(C3="R",5)))</f>
        <v>30</v>
      </c>
      <c r="Z3" s="43" t="str">
        <f t="shared" ref="Z3:Z33" si="8">if(C3="SSR" ,if(P3&gt;O3,"901","900"),if(C3="SR",if(P3&gt;O3,"902","903" ),if(C3="R",if(P3&gt;O3,"904","905" ))))</f>
        <v>901</v>
      </c>
      <c r="AA3" s="43">
        <v>900.0</v>
      </c>
      <c r="AB3" s="43">
        <f>J3+1000</f>
        <v>211001</v>
      </c>
      <c r="AC3" s="43">
        <f t="shared" ref="AC3:AF3" si="1">AB3+1000</f>
        <v>212001</v>
      </c>
      <c r="AD3" s="43">
        <f t="shared" si="1"/>
        <v>213001</v>
      </c>
      <c r="AE3" s="43">
        <f t="shared" si="1"/>
        <v>214001</v>
      </c>
      <c r="AF3" s="43">
        <f t="shared" si="1"/>
        <v>215001</v>
      </c>
      <c r="AG3" s="43">
        <f>K3+1000</f>
        <v>311001</v>
      </c>
      <c r="AH3" s="43">
        <f t="shared" ref="AH3:AK3" si="2">AG3+1000</f>
        <v>312001</v>
      </c>
      <c r="AI3" s="43">
        <f t="shared" si="2"/>
        <v>313001</v>
      </c>
      <c r="AJ3" s="43">
        <f t="shared" si="2"/>
        <v>314001</v>
      </c>
      <c r="AK3" s="43">
        <f t="shared" si="2"/>
        <v>315001</v>
      </c>
    </row>
    <row r="4">
      <c r="A4" s="63">
        <f t="shared" ref="A4:A9" si="10">A3+1</f>
        <v>10002</v>
      </c>
      <c r="B4" s="44" t="s">
        <v>317</v>
      </c>
      <c r="C4" s="63" t="s">
        <v>15</v>
      </c>
      <c r="D4" s="63" t="s">
        <v>729</v>
      </c>
      <c r="E4" s="63"/>
      <c r="F4" s="83" t="str">
        <f t="shared" si="3"/>
        <v>1,1</v>
      </c>
      <c r="G4" s="84" t="str">
        <f>"56,58,17,13,2,23,24"</f>
        <v>56,58,17,13,2,23,24</v>
      </c>
      <c r="H4" s="63"/>
      <c r="I4" s="63">
        <v>110011.0</v>
      </c>
      <c r="J4" s="59">
        <f t="shared" si="4"/>
        <v>210002</v>
      </c>
      <c r="K4" s="63">
        <f t="shared" si="5"/>
        <v>310002</v>
      </c>
      <c r="L4" s="43">
        <v>1.0</v>
      </c>
      <c r="M4" s="63"/>
      <c r="N4" s="63">
        <v>700.0</v>
      </c>
      <c r="O4" s="63">
        <v>16.0</v>
      </c>
      <c r="P4" s="63">
        <v>85.0</v>
      </c>
      <c r="Q4" s="63">
        <v>37.0</v>
      </c>
      <c r="R4" s="63">
        <v>65.0</v>
      </c>
      <c r="S4" s="63">
        <v>248.0</v>
      </c>
      <c r="T4" s="63">
        <v>17.0</v>
      </c>
      <c r="U4" s="85"/>
      <c r="V4" s="86">
        <f t="shared" si="6"/>
        <v>886</v>
      </c>
      <c r="W4" s="43"/>
      <c r="X4" s="43">
        <v>9102.0</v>
      </c>
      <c r="Y4" s="87">
        <f t="shared" si="7"/>
        <v>30</v>
      </c>
      <c r="Z4" s="43" t="str">
        <f t="shared" si="8"/>
        <v>901</v>
      </c>
      <c r="AA4" s="43">
        <v>900.0</v>
      </c>
      <c r="AB4" s="43">
        <f t="shared" ref="AB4:AK4" si="9">AB3+1</f>
        <v>211002</v>
      </c>
      <c r="AC4" s="43">
        <f t="shared" si="9"/>
        <v>212002</v>
      </c>
      <c r="AD4" s="43">
        <f t="shared" si="9"/>
        <v>213002</v>
      </c>
      <c r="AE4" s="43">
        <f t="shared" si="9"/>
        <v>214002</v>
      </c>
      <c r="AF4" s="43">
        <f t="shared" si="9"/>
        <v>215002</v>
      </c>
      <c r="AG4" s="43">
        <f t="shared" si="9"/>
        <v>311002</v>
      </c>
      <c r="AH4" s="43">
        <f t="shared" si="9"/>
        <v>312002</v>
      </c>
      <c r="AI4" s="43">
        <f t="shared" si="9"/>
        <v>313002</v>
      </c>
      <c r="AJ4" s="43">
        <f t="shared" si="9"/>
        <v>314002</v>
      </c>
      <c r="AK4" s="43">
        <f t="shared" si="9"/>
        <v>315002</v>
      </c>
    </row>
    <row r="5">
      <c r="A5" s="63">
        <f t="shared" si="10"/>
        <v>10003</v>
      </c>
      <c r="B5" s="44" t="s">
        <v>341</v>
      </c>
      <c r="C5" s="63" t="s">
        <v>15</v>
      </c>
      <c r="D5" s="63" t="s">
        <v>729</v>
      </c>
      <c r="E5" s="63"/>
      <c r="F5" s="83" t="str">
        <f t="shared" si="3"/>
        <v>1,1</v>
      </c>
      <c r="G5" s="84" t="str">
        <f>"56,58,14,8,25,26"</f>
        <v>56,58,14,8,25,26</v>
      </c>
      <c r="H5" s="63"/>
      <c r="I5" s="63">
        <v>110011.0</v>
      </c>
      <c r="J5" s="59">
        <f t="shared" si="4"/>
        <v>210003</v>
      </c>
      <c r="K5" s="63">
        <f t="shared" si="5"/>
        <v>310003</v>
      </c>
      <c r="L5" s="43">
        <v>1.0</v>
      </c>
      <c r="M5" s="63"/>
      <c r="N5" s="63">
        <v>750.0</v>
      </c>
      <c r="O5" s="63">
        <v>22.0</v>
      </c>
      <c r="P5" s="63">
        <v>81.0</v>
      </c>
      <c r="Q5" s="63">
        <v>44.0</v>
      </c>
      <c r="R5" s="63">
        <v>43.0</v>
      </c>
      <c r="S5" s="63">
        <v>126.0</v>
      </c>
      <c r="T5" s="63">
        <v>16.0</v>
      </c>
      <c r="U5" s="85"/>
      <c r="V5" s="86">
        <f t="shared" si="6"/>
        <v>771</v>
      </c>
      <c r="W5" s="43"/>
      <c r="X5" s="43">
        <v>9103.0</v>
      </c>
      <c r="Y5" s="87">
        <f t="shared" si="7"/>
        <v>30</v>
      </c>
      <c r="Z5" s="43" t="str">
        <f t="shared" si="8"/>
        <v>901</v>
      </c>
      <c r="AA5" s="43">
        <v>900.0</v>
      </c>
      <c r="AB5" s="43">
        <f t="shared" ref="AB5:AK5" si="11">AB4+1</f>
        <v>211003</v>
      </c>
      <c r="AC5" s="43">
        <f t="shared" si="11"/>
        <v>212003</v>
      </c>
      <c r="AD5" s="43">
        <f t="shared" si="11"/>
        <v>213003</v>
      </c>
      <c r="AE5" s="43">
        <f t="shared" si="11"/>
        <v>214003</v>
      </c>
      <c r="AF5" s="43">
        <f t="shared" si="11"/>
        <v>215003</v>
      </c>
      <c r="AG5" s="43">
        <f t="shared" si="11"/>
        <v>311003</v>
      </c>
      <c r="AH5" s="43">
        <f t="shared" si="11"/>
        <v>312003</v>
      </c>
      <c r="AI5" s="43">
        <f t="shared" si="11"/>
        <v>313003</v>
      </c>
      <c r="AJ5" s="43">
        <f t="shared" si="11"/>
        <v>314003</v>
      </c>
      <c r="AK5" s="43">
        <f t="shared" si="11"/>
        <v>315003</v>
      </c>
    </row>
    <row r="6">
      <c r="A6" s="63">
        <f t="shared" si="10"/>
        <v>10004</v>
      </c>
      <c r="B6" s="44" t="s">
        <v>846</v>
      </c>
      <c r="C6" s="63" t="s">
        <v>15</v>
      </c>
      <c r="D6" s="63" t="s">
        <v>729</v>
      </c>
      <c r="E6" s="63"/>
      <c r="F6" s="83" t="str">
        <f t="shared" si="3"/>
        <v>1,1</v>
      </c>
      <c r="G6" s="84" t="s">
        <v>847</v>
      </c>
      <c r="H6" s="63"/>
      <c r="I6" s="63">
        <v>110002.0</v>
      </c>
      <c r="J6" s="59">
        <f t="shared" si="4"/>
        <v>210004</v>
      </c>
      <c r="K6" s="63">
        <f t="shared" si="5"/>
        <v>310004</v>
      </c>
      <c r="L6" s="43">
        <v>3.0</v>
      </c>
      <c r="M6" s="63"/>
      <c r="N6" s="63">
        <v>680.0</v>
      </c>
      <c r="O6" s="63">
        <v>91.0</v>
      </c>
      <c r="P6" s="63">
        <v>12.0</v>
      </c>
      <c r="Q6" s="63">
        <v>58.0</v>
      </c>
      <c r="R6" s="63">
        <v>40.0</v>
      </c>
      <c r="S6" s="63">
        <v>124.0</v>
      </c>
      <c r="T6" s="63">
        <v>15.0</v>
      </c>
      <c r="U6" s="85"/>
      <c r="V6" s="86">
        <f t="shared" si="6"/>
        <v>740</v>
      </c>
      <c r="W6" s="43"/>
      <c r="X6" s="43">
        <v>9104.0</v>
      </c>
      <c r="Y6" s="87">
        <f t="shared" si="7"/>
        <v>30</v>
      </c>
      <c r="Z6" s="43" t="str">
        <f t="shared" si="8"/>
        <v>900</v>
      </c>
      <c r="AA6" s="43">
        <v>900.0</v>
      </c>
      <c r="AB6" s="43">
        <f t="shared" ref="AB6:AK6" si="12">AB5+1</f>
        <v>211004</v>
      </c>
      <c r="AC6" s="43">
        <f t="shared" si="12"/>
        <v>212004</v>
      </c>
      <c r="AD6" s="43">
        <f t="shared" si="12"/>
        <v>213004</v>
      </c>
      <c r="AE6" s="43">
        <f t="shared" si="12"/>
        <v>214004</v>
      </c>
      <c r="AF6" s="43">
        <f t="shared" si="12"/>
        <v>215004</v>
      </c>
      <c r="AG6" s="43">
        <f t="shared" si="12"/>
        <v>311004</v>
      </c>
      <c r="AH6" s="43">
        <f t="shared" si="12"/>
        <v>312004</v>
      </c>
      <c r="AI6" s="43">
        <f t="shared" si="12"/>
        <v>313004</v>
      </c>
      <c r="AJ6" s="43">
        <f t="shared" si="12"/>
        <v>314004</v>
      </c>
      <c r="AK6" s="43">
        <f t="shared" si="12"/>
        <v>315004</v>
      </c>
    </row>
    <row r="7">
      <c r="A7" s="63">
        <f t="shared" si="10"/>
        <v>10005</v>
      </c>
      <c r="B7" s="44" t="s">
        <v>381</v>
      </c>
      <c r="C7" s="63" t="s">
        <v>15</v>
      </c>
      <c r="D7" s="63" t="s">
        <v>729</v>
      </c>
      <c r="E7" s="63"/>
      <c r="F7" s="83" t="str">
        <f t="shared" si="3"/>
        <v>1,1</v>
      </c>
      <c r="G7" s="84" t="str">
        <f>"56,58,12,13,3,1,2"</f>
        <v>56,58,12,13,3,1,2</v>
      </c>
      <c r="H7" s="63"/>
      <c r="I7" s="63">
        <v>110001.0</v>
      </c>
      <c r="J7" s="59">
        <f t="shared" si="4"/>
        <v>210005</v>
      </c>
      <c r="K7" s="63">
        <f t="shared" si="5"/>
        <v>310005</v>
      </c>
      <c r="L7" s="43">
        <v>2.0</v>
      </c>
      <c r="M7" s="63"/>
      <c r="N7" s="63">
        <v>690.0</v>
      </c>
      <c r="O7" s="63">
        <v>88.0</v>
      </c>
      <c r="P7" s="63">
        <v>21.0</v>
      </c>
      <c r="Q7" s="63">
        <v>62.0</v>
      </c>
      <c r="R7" s="63">
        <v>49.0</v>
      </c>
      <c r="S7" s="63">
        <v>126.0</v>
      </c>
      <c r="T7" s="63">
        <v>17.0</v>
      </c>
      <c r="U7" s="85"/>
      <c r="V7" s="86">
        <f t="shared" si="6"/>
        <v>776</v>
      </c>
      <c r="W7" s="43"/>
      <c r="X7" s="43">
        <v>9105.0</v>
      </c>
      <c r="Y7" s="87">
        <f t="shared" si="7"/>
        <v>30</v>
      </c>
      <c r="Z7" s="43" t="str">
        <f t="shared" si="8"/>
        <v>900</v>
      </c>
      <c r="AA7" s="43">
        <v>900.0</v>
      </c>
      <c r="AB7" s="43">
        <f t="shared" ref="AB7:AK7" si="13">AB6+1</f>
        <v>211005</v>
      </c>
      <c r="AC7" s="43">
        <f t="shared" si="13"/>
        <v>212005</v>
      </c>
      <c r="AD7" s="43">
        <f t="shared" si="13"/>
        <v>213005</v>
      </c>
      <c r="AE7" s="43">
        <f t="shared" si="13"/>
        <v>214005</v>
      </c>
      <c r="AF7" s="43">
        <f t="shared" si="13"/>
        <v>215005</v>
      </c>
      <c r="AG7" s="43">
        <f t="shared" si="13"/>
        <v>311005</v>
      </c>
      <c r="AH7" s="43">
        <f t="shared" si="13"/>
        <v>312005</v>
      </c>
      <c r="AI7" s="43">
        <f t="shared" si="13"/>
        <v>313005</v>
      </c>
      <c r="AJ7" s="43">
        <f t="shared" si="13"/>
        <v>314005</v>
      </c>
      <c r="AK7" s="43">
        <f t="shared" si="13"/>
        <v>315005</v>
      </c>
    </row>
    <row r="8">
      <c r="A8" s="63">
        <f t="shared" si="10"/>
        <v>10006</v>
      </c>
      <c r="B8" s="44" t="s">
        <v>397</v>
      </c>
      <c r="C8" s="63" t="s">
        <v>15</v>
      </c>
      <c r="D8" s="63" t="s">
        <v>729</v>
      </c>
      <c r="E8" s="63"/>
      <c r="F8" s="83" t="str">
        <f t="shared" si="3"/>
        <v>1,1</v>
      </c>
      <c r="G8" s="84" t="str">
        <f>"56,58,18,5,8,15"</f>
        <v>56,58,18,5,8,15</v>
      </c>
      <c r="H8" s="63"/>
      <c r="I8" s="63">
        <v>110012.0</v>
      </c>
      <c r="J8" s="59">
        <f t="shared" si="4"/>
        <v>210006</v>
      </c>
      <c r="K8" s="63">
        <f t="shared" si="5"/>
        <v>310006</v>
      </c>
      <c r="L8" s="43">
        <v>1.0</v>
      </c>
      <c r="M8" s="63"/>
      <c r="N8" s="63">
        <v>930.0</v>
      </c>
      <c r="O8" s="63">
        <v>13.0</v>
      </c>
      <c r="P8" s="63">
        <v>59.0</v>
      </c>
      <c r="Q8" s="63">
        <v>59.0</v>
      </c>
      <c r="R8" s="63">
        <v>75.0</v>
      </c>
      <c r="S8" s="63">
        <v>231.0</v>
      </c>
      <c r="T8" s="63">
        <v>13.0</v>
      </c>
      <c r="U8" s="85"/>
      <c r="V8" s="86">
        <f t="shared" si="6"/>
        <v>967</v>
      </c>
      <c r="W8" s="43"/>
      <c r="X8" s="43">
        <v>9106.0</v>
      </c>
      <c r="Y8" s="87">
        <f t="shared" si="7"/>
        <v>30</v>
      </c>
      <c r="Z8" s="43" t="str">
        <f t="shared" si="8"/>
        <v>901</v>
      </c>
      <c r="AA8" s="43">
        <v>900.0</v>
      </c>
      <c r="AB8" s="43">
        <f t="shared" ref="AB8:AK8" si="14">AB7+1</f>
        <v>211006</v>
      </c>
      <c r="AC8" s="43">
        <f t="shared" si="14"/>
        <v>212006</v>
      </c>
      <c r="AD8" s="43">
        <f t="shared" si="14"/>
        <v>213006</v>
      </c>
      <c r="AE8" s="43">
        <f t="shared" si="14"/>
        <v>214006</v>
      </c>
      <c r="AF8" s="43">
        <f t="shared" si="14"/>
        <v>215006</v>
      </c>
      <c r="AG8" s="43">
        <f t="shared" si="14"/>
        <v>311006</v>
      </c>
      <c r="AH8" s="43">
        <f t="shared" si="14"/>
        <v>312006</v>
      </c>
      <c r="AI8" s="43">
        <f t="shared" si="14"/>
        <v>313006</v>
      </c>
      <c r="AJ8" s="43">
        <f t="shared" si="14"/>
        <v>314006</v>
      </c>
      <c r="AK8" s="43">
        <f t="shared" si="14"/>
        <v>315006</v>
      </c>
    </row>
    <row r="9">
      <c r="A9" s="63">
        <f t="shared" si="10"/>
        <v>10007</v>
      </c>
      <c r="B9" s="44" t="s">
        <v>414</v>
      </c>
      <c r="C9" s="63" t="s">
        <v>15</v>
      </c>
      <c r="D9" s="63" t="s">
        <v>729</v>
      </c>
      <c r="E9" s="63"/>
      <c r="F9" s="83" t="str">
        <f t="shared" si="3"/>
        <v>1,1</v>
      </c>
      <c r="G9" s="84" t="str">
        <f>"58,12,11,20,1"</f>
        <v>58,12,11,20,1</v>
      </c>
      <c r="H9" s="63"/>
      <c r="I9" s="63">
        <v>110011.0</v>
      </c>
      <c r="J9" s="59">
        <f t="shared" si="4"/>
        <v>210007</v>
      </c>
      <c r="K9" s="63">
        <f t="shared" si="5"/>
        <v>310007</v>
      </c>
      <c r="L9" s="43">
        <v>3.0</v>
      </c>
      <c r="M9" s="63"/>
      <c r="N9" s="63">
        <v>820.0</v>
      </c>
      <c r="O9" s="63">
        <v>71.0</v>
      </c>
      <c r="P9" s="63">
        <v>22.0</v>
      </c>
      <c r="Q9" s="63">
        <v>66.0</v>
      </c>
      <c r="R9" s="63">
        <v>55.0</v>
      </c>
      <c r="S9" s="63">
        <v>199.0</v>
      </c>
      <c r="T9" s="63">
        <v>13.0</v>
      </c>
      <c r="U9" s="85"/>
      <c r="V9" s="86">
        <f t="shared" si="6"/>
        <v>888</v>
      </c>
      <c r="W9" s="43"/>
      <c r="X9" s="43">
        <v>9107.0</v>
      </c>
      <c r="Y9" s="87">
        <f t="shared" si="7"/>
        <v>30</v>
      </c>
      <c r="Z9" s="43" t="str">
        <f t="shared" si="8"/>
        <v>900</v>
      </c>
      <c r="AA9" s="43">
        <v>900.0</v>
      </c>
      <c r="AB9" s="43">
        <f t="shared" ref="AB9:AK9" si="15">AB8+1</f>
        <v>211007</v>
      </c>
      <c r="AC9" s="43">
        <f t="shared" si="15"/>
        <v>212007</v>
      </c>
      <c r="AD9" s="43">
        <f t="shared" si="15"/>
        <v>213007</v>
      </c>
      <c r="AE9" s="43">
        <f t="shared" si="15"/>
        <v>214007</v>
      </c>
      <c r="AF9" s="43">
        <f t="shared" si="15"/>
        <v>215007</v>
      </c>
      <c r="AG9" s="43">
        <f t="shared" si="15"/>
        <v>311007</v>
      </c>
      <c r="AH9" s="43">
        <f t="shared" si="15"/>
        <v>312007</v>
      </c>
      <c r="AI9" s="43">
        <f t="shared" si="15"/>
        <v>313007</v>
      </c>
      <c r="AJ9" s="43">
        <f t="shared" si="15"/>
        <v>314007</v>
      </c>
      <c r="AK9" s="43">
        <f t="shared" si="15"/>
        <v>315007</v>
      </c>
    </row>
    <row r="10">
      <c r="A10" s="63">
        <v>10008.0</v>
      </c>
      <c r="B10" s="44" t="s">
        <v>430</v>
      </c>
      <c r="C10" s="63" t="s">
        <v>15</v>
      </c>
      <c r="D10" s="63" t="s">
        <v>729</v>
      </c>
      <c r="E10" s="63"/>
      <c r="F10" s="83" t="str">
        <f t="shared" si="3"/>
        <v>1,1</v>
      </c>
      <c r="G10" s="84" t="s">
        <v>857</v>
      </c>
      <c r="H10" s="63"/>
      <c r="I10" s="63">
        <v>110012.0</v>
      </c>
      <c r="J10" s="59">
        <v>210008.0</v>
      </c>
      <c r="K10" s="63">
        <v>310008.0</v>
      </c>
      <c r="L10" s="73">
        <v>3.0</v>
      </c>
      <c r="M10" s="63"/>
      <c r="N10" s="63">
        <v>640.0</v>
      </c>
      <c r="O10" s="63">
        <v>19.0</v>
      </c>
      <c r="P10" s="63">
        <v>89.0</v>
      </c>
      <c r="Q10" s="63">
        <v>41.0</v>
      </c>
      <c r="R10" s="63">
        <v>55.0</v>
      </c>
      <c r="S10" s="63">
        <v>242.0</v>
      </c>
      <c r="T10" s="63">
        <v>14.0</v>
      </c>
      <c r="U10" s="85"/>
      <c r="V10" s="86">
        <f t="shared" si="6"/>
        <v>836</v>
      </c>
      <c r="W10" s="43"/>
      <c r="X10" s="43">
        <v>9108.0</v>
      </c>
      <c r="Y10" s="87">
        <f t="shared" si="7"/>
        <v>30</v>
      </c>
      <c r="Z10" s="43" t="str">
        <f t="shared" si="8"/>
        <v>901</v>
      </c>
      <c r="AA10" s="43">
        <v>900.0</v>
      </c>
      <c r="AB10" s="43">
        <f t="shared" ref="AB10:AK10" si="16">AB9+1</f>
        <v>211008</v>
      </c>
      <c r="AC10" s="43">
        <f t="shared" si="16"/>
        <v>212008</v>
      </c>
      <c r="AD10" s="43">
        <f t="shared" si="16"/>
        <v>213008</v>
      </c>
      <c r="AE10" s="43">
        <f t="shared" si="16"/>
        <v>214008</v>
      </c>
      <c r="AF10" s="43">
        <f t="shared" si="16"/>
        <v>215008</v>
      </c>
      <c r="AG10" s="43">
        <f t="shared" si="16"/>
        <v>311008</v>
      </c>
      <c r="AH10" s="43">
        <f t="shared" si="16"/>
        <v>312008</v>
      </c>
      <c r="AI10" s="43">
        <f t="shared" si="16"/>
        <v>313008</v>
      </c>
      <c r="AJ10" s="43">
        <f t="shared" si="16"/>
        <v>314008</v>
      </c>
      <c r="AK10" s="43">
        <f t="shared" si="16"/>
        <v>315008</v>
      </c>
    </row>
    <row r="11">
      <c r="A11" s="63">
        <v>10009.0</v>
      </c>
      <c r="B11" s="44" t="s">
        <v>444</v>
      </c>
      <c r="C11" s="63" t="s">
        <v>15</v>
      </c>
      <c r="D11" s="63" t="s">
        <v>729</v>
      </c>
      <c r="E11" s="63"/>
      <c r="F11" s="83" t="str">
        <f t="shared" si="3"/>
        <v>1,1</v>
      </c>
      <c r="G11" s="84" t="str">
        <f>"56,60,18,15,25,26"</f>
        <v>56,60,18,15,25,26</v>
      </c>
      <c r="H11" s="63"/>
      <c r="I11" s="63">
        <v>110001.0</v>
      </c>
      <c r="J11" s="59">
        <v>210009.0</v>
      </c>
      <c r="K11" s="63">
        <v>310009.0</v>
      </c>
      <c r="L11" s="73">
        <v>1.0</v>
      </c>
      <c r="M11" s="63"/>
      <c r="N11" s="63">
        <v>655.0</v>
      </c>
      <c r="O11" s="63">
        <v>93.0</v>
      </c>
      <c r="P11" s="63">
        <v>13.0</v>
      </c>
      <c r="Q11" s="63">
        <v>58.0</v>
      </c>
      <c r="R11" s="63">
        <v>40.0</v>
      </c>
      <c r="S11" s="63">
        <v>155.0</v>
      </c>
      <c r="T11" s="63">
        <v>19.0</v>
      </c>
      <c r="U11" s="85"/>
      <c r="V11" s="86">
        <f t="shared" si="6"/>
        <v>781.5</v>
      </c>
      <c r="W11" s="43"/>
      <c r="X11" s="43">
        <v>9109.0</v>
      </c>
      <c r="Y11" s="87">
        <f t="shared" si="7"/>
        <v>30</v>
      </c>
      <c r="Z11" s="43" t="str">
        <f t="shared" si="8"/>
        <v>900</v>
      </c>
      <c r="AA11" s="43">
        <v>900.0</v>
      </c>
      <c r="AB11" s="43">
        <f t="shared" ref="AB11:AK11" si="17">AB10+1</f>
        <v>211009</v>
      </c>
      <c r="AC11" s="43">
        <f t="shared" si="17"/>
        <v>212009</v>
      </c>
      <c r="AD11" s="43">
        <f t="shared" si="17"/>
        <v>213009</v>
      </c>
      <c r="AE11" s="43">
        <f t="shared" si="17"/>
        <v>214009</v>
      </c>
      <c r="AF11" s="43">
        <f t="shared" si="17"/>
        <v>215009</v>
      </c>
      <c r="AG11" s="43">
        <f t="shared" si="17"/>
        <v>311009</v>
      </c>
      <c r="AH11" s="43">
        <f t="shared" si="17"/>
        <v>312009</v>
      </c>
      <c r="AI11" s="43">
        <f t="shared" si="17"/>
        <v>313009</v>
      </c>
      <c r="AJ11" s="43">
        <f t="shared" si="17"/>
        <v>314009</v>
      </c>
      <c r="AK11" s="43">
        <f t="shared" si="17"/>
        <v>315009</v>
      </c>
    </row>
    <row r="12">
      <c r="A12" s="63">
        <v>10010.0</v>
      </c>
      <c r="B12" s="44" t="s">
        <v>473</v>
      </c>
      <c r="C12" s="63" t="s">
        <v>15</v>
      </c>
      <c r="D12" s="63" t="s">
        <v>729</v>
      </c>
      <c r="E12" s="63"/>
      <c r="F12" s="83" t="str">
        <f t="shared" si="3"/>
        <v>1,1</v>
      </c>
      <c r="G12" s="84" t="s">
        <v>867</v>
      </c>
      <c r="H12" s="63"/>
      <c r="I12" s="63">
        <v>110001.0</v>
      </c>
      <c r="J12" s="59">
        <v>210010.0</v>
      </c>
      <c r="K12" s="63">
        <v>310010.0</v>
      </c>
      <c r="L12" s="73">
        <v>2.0</v>
      </c>
      <c r="M12" s="63"/>
      <c r="N12" s="63">
        <v>680.0</v>
      </c>
      <c r="O12" s="63">
        <v>87.0</v>
      </c>
      <c r="P12" s="63">
        <v>22.0</v>
      </c>
      <c r="Q12" s="63">
        <v>59.0</v>
      </c>
      <c r="R12" s="63">
        <v>48.0</v>
      </c>
      <c r="S12" s="63">
        <v>192.0</v>
      </c>
      <c r="T12" s="63">
        <v>12.0</v>
      </c>
      <c r="U12" s="85"/>
      <c r="V12" s="86">
        <f t="shared" si="6"/>
        <v>808</v>
      </c>
      <c r="W12" s="43"/>
      <c r="X12" s="43">
        <v>9110.0</v>
      </c>
      <c r="Y12" s="87">
        <f t="shared" si="7"/>
        <v>30</v>
      </c>
      <c r="Z12" s="43" t="str">
        <f t="shared" si="8"/>
        <v>900</v>
      </c>
      <c r="AA12" s="43">
        <v>900.0</v>
      </c>
      <c r="AB12" s="43">
        <f t="shared" ref="AB12:AK12" si="18">AB11+1</f>
        <v>211010</v>
      </c>
      <c r="AC12" s="43">
        <f t="shared" si="18"/>
        <v>212010</v>
      </c>
      <c r="AD12" s="43">
        <f t="shared" si="18"/>
        <v>213010</v>
      </c>
      <c r="AE12" s="43">
        <f t="shared" si="18"/>
        <v>214010</v>
      </c>
      <c r="AF12" s="43">
        <f t="shared" si="18"/>
        <v>215010</v>
      </c>
      <c r="AG12" s="43">
        <f t="shared" si="18"/>
        <v>311010</v>
      </c>
      <c r="AH12" s="43">
        <f t="shared" si="18"/>
        <v>312010</v>
      </c>
      <c r="AI12" s="43">
        <f t="shared" si="18"/>
        <v>313010</v>
      </c>
      <c r="AJ12" s="43">
        <f t="shared" si="18"/>
        <v>314010</v>
      </c>
      <c r="AK12" s="43">
        <f t="shared" si="18"/>
        <v>315010</v>
      </c>
    </row>
    <row r="13">
      <c r="A13" s="63">
        <v>10011.0</v>
      </c>
      <c r="B13" s="44" t="s">
        <v>498</v>
      </c>
      <c r="C13" s="63" t="s">
        <v>15</v>
      </c>
      <c r="D13" s="63" t="s">
        <v>729</v>
      </c>
      <c r="E13" s="63"/>
      <c r="F13" s="83" t="str">
        <f t="shared" si="3"/>
        <v>1,1</v>
      </c>
      <c r="G13" s="84" t="s">
        <v>877</v>
      </c>
      <c r="H13" s="63"/>
      <c r="I13" s="63">
        <v>110001.0</v>
      </c>
      <c r="J13" s="59">
        <v>210011.0</v>
      </c>
      <c r="K13" s="63">
        <v>310011.0</v>
      </c>
      <c r="L13" s="73">
        <v>1.0</v>
      </c>
      <c r="M13" s="63"/>
      <c r="N13" s="63">
        <v>930.0</v>
      </c>
      <c r="O13" s="63">
        <v>61.0</v>
      </c>
      <c r="P13" s="63">
        <v>13.0</v>
      </c>
      <c r="Q13" s="63">
        <v>77.0</v>
      </c>
      <c r="R13" s="63">
        <v>57.0</v>
      </c>
      <c r="S13" s="63">
        <v>120.0</v>
      </c>
      <c r="T13" s="63">
        <v>11.0</v>
      </c>
      <c r="U13" s="85">
        <v>3.0</v>
      </c>
      <c r="V13" s="86">
        <f t="shared" si="6"/>
        <v>848</v>
      </c>
      <c r="W13" s="43"/>
      <c r="X13" s="43">
        <v>9111.0</v>
      </c>
      <c r="Y13" s="87">
        <f t="shared" si="7"/>
        <v>30</v>
      </c>
      <c r="Z13" s="43" t="str">
        <f t="shared" si="8"/>
        <v>900</v>
      </c>
      <c r="AA13" s="43">
        <v>900.0</v>
      </c>
      <c r="AB13" s="43">
        <f t="shared" ref="AB13:AK13" si="19">AB12+1</f>
        <v>211011</v>
      </c>
      <c r="AC13" s="43">
        <f t="shared" si="19"/>
        <v>212011</v>
      </c>
      <c r="AD13" s="43">
        <f t="shared" si="19"/>
        <v>213011</v>
      </c>
      <c r="AE13" s="43">
        <f t="shared" si="19"/>
        <v>214011</v>
      </c>
      <c r="AF13" s="43">
        <f t="shared" si="19"/>
        <v>215011</v>
      </c>
      <c r="AG13" s="43">
        <f t="shared" si="19"/>
        <v>311011</v>
      </c>
      <c r="AH13" s="43">
        <f t="shared" si="19"/>
        <v>312011</v>
      </c>
      <c r="AI13" s="43">
        <f t="shared" si="19"/>
        <v>313011</v>
      </c>
      <c r="AJ13" s="43">
        <f t="shared" si="19"/>
        <v>314011</v>
      </c>
      <c r="AK13" s="43">
        <f t="shared" si="19"/>
        <v>315011</v>
      </c>
    </row>
    <row r="14">
      <c r="A14" s="63">
        <v>10012.0</v>
      </c>
      <c r="B14" s="44" t="s">
        <v>514</v>
      </c>
      <c r="C14" s="63" t="s">
        <v>15</v>
      </c>
      <c r="D14" s="63" t="s">
        <v>729</v>
      </c>
      <c r="E14" s="63"/>
      <c r="F14" s="83" t="str">
        <f t="shared" si="3"/>
        <v>1,1</v>
      </c>
      <c r="G14" s="84" t="s">
        <v>890</v>
      </c>
      <c r="H14" s="63"/>
      <c r="I14" s="63">
        <v>110012.0</v>
      </c>
      <c r="J14" s="59">
        <v>210012.0</v>
      </c>
      <c r="K14" s="63">
        <v>310012.0</v>
      </c>
      <c r="L14" s="73">
        <v>1.0</v>
      </c>
      <c r="M14" s="63"/>
      <c r="N14" s="63">
        <v>690.0</v>
      </c>
      <c r="O14" s="63">
        <v>16.0</v>
      </c>
      <c r="P14" s="63">
        <v>79.0</v>
      </c>
      <c r="Q14" s="63">
        <v>49.0</v>
      </c>
      <c r="R14" s="63">
        <v>57.0</v>
      </c>
      <c r="S14" s="63">
        <v>191.0</v>
      </c>
      <c r="T14" s="63">
        <v>13.0</v>
      </c>
      <c r="U14" s="85"/>
      <c r="V14" s="86">
        <f t="shared" si="6"/>
        <v>802</v>
      </c>
      <c r="W14" s="43"/>
      <c r="X14" s="43">
        <v>9112.0</v>
      </c>
      <c r="Y14" s="87">
        <f t="shared" si="7"/>
        <v>30</v>
      </c>
      <c r="Z14" s="43" t="str">
        <f t="shared" si="8"/>
        <v>901</v>
      </c>
      <c r="AA14" s="43">
        <v>900.0</v>
      </c>
      <c r="AB14" s="43">
        <f t="shared" ref="AB14:AK14" si="20">AB13+1</f>
        <v>211012</v>
      </c>
      <c r="AC14" s="43">
        <f t="shared" si="20"/>
        <v>212012</v>
      </c>
      <c r="AD14" s="43">
        <f t="shared" si="20"/>
        <v>213012</v>
      </c>
      <c r="AE14" s="43">
        <f t="shared" si="20"/>
        <v>214012</v>
      </c>
      <c r="AF14" s="43">
        <f t="shared" si="20"/>
        <v>215012</v>
      </c>
      <c r="AG14" s="43">
        <f t="shared" si="20"/>
        <v>311012</v>
      </c>
      <c r="AH14" s="43">
        <f t="shared" si="20"/>
        <v>312012</v>
      </c>
      <c r="AI14" s="43">
        <f t="shared" si="20"/>
        <v>313012</v>
      </c>
      <c r="AJ14" s="43">
        <f t="shared" si="20"/>
        <v>314012</v>
      </c>
      <c r="AK14" s="43">
        <f t="shared" si="20"/>
        <v>315012</v>
      </c>
    </row>
    <row r="15">
      <c r="A15" s="63">
        <v>10013.0</v>
      </c>
      <c r="B15" s="44" t="s">
        <v>577</v>
      </c>
      <c r="C15" s="63" t="s">
        <v>33</v>
      </c>
      <c r="D15" s="63" t="s">
        <v>729</v>
      </c>
      <c r="E15" s="63"/>
      <c r="F15" s="83" t="str">
        <f t="shared" si="3"/>
        <v>1,1</v>
      </c>
      <c r="G15" s="44" t="s">
        <v>899</v>
      </c>
      <c r="H15" s="63"/>
      <c r="I15" s="63">
        <v>110002.0</v>
      </c>
      <c r="J15" s="59">
        <v>210013.0</v>
      </c>
      <c r="K15" s="63">
        <v>310013.0</v>
      </c>
      <c r="L15" s="73">
        <v>2.0</v>
      </c>
      <c r="M15" s="63"/>
      <c r="N15" s="63">
        <v>555.0</v>
      </c>
      <c r="O15" s="59">
        <v>70.0</v>
      </c>
      <c r="P15" s="59">
        <v>17.0</v>
      </c>
      <c r="Q15" s="59">
        <v>50.0</v>
      </c>
      <c r="R15" s="59">
        <v>39.0</v>
      </c>
      <c r="S15" s="63">
        <v>84.0</v>
      </c>
      <c r="T15" s="63">
        <v>10.0</v>
      </c>
      <c r="U15" s="85"/>
      <c r="V15" s="86">
        <f t="shared" si="6"/>
        <v>587.5</v>
      </c>
      <c r="W15" s="43"/>
      <c r="X15" s="43">
        <v>9113.0</v>
      </c>
      <c r="Y15" s="87">
        <f t="shared" si="7"/>
        <v>10</v>
      </c>
      <c r="Z15" s="43" t="str">
        <f t="shared" si="8"/>
        <v>903</v>
      </c>
      <c r="AA15" s="43">
        <v>900.0</v>
      </c>
      <c r="AB15" s="43">
        <f t="shared" ref="AB15:AB33" si="23">J15</f>
        <v>210013</v>
      </c>
      <c r="AC15" s="43">
        <f t="shared" ref="AC15:AE15" si="21">AB15</f>
        <v>210013</v>
      </c>
      <c r="AD15" s="43">
        <f t="shared" si="21"/>
        <v>210013</v>
      </c>
      <c r="AE15" s="43">
        <f t="shared" si="21"/>
        <v>210013</v>
      </c>
      <c r="AF15" s="43">
        <f t="shared" ref="AF15:AF33" si="25">AD15</f>
        <v>210013</v>
      </c>
      <c r="AG15" s="43">
        <f t="shared" ref="AG15:AG33" si="26">K15</f>
        <v>310013</v>
      </c>
      <c r="AH15" s="43">
        <f t="shared" ref="AH15:AJ15" si="22">AG15</f>
        <v>310013</v>
      </c>
      <c r="AI15" s="43">
        <f t="shared" si="22"/>
        <v>310013</v>
      </c>
      <c r="AJ15" s="43">
        <f t="shared" si="22"/>
        <v>310013</v>
      </c>
      <c r="AK15" s="43">
        <f t="shared" ref="AK15:AK33" si="28">AI15</f>
        <v>310013</v>
      </c>
    </row>
    <row r="16">
      <c r="A16" s="63">
        <v>10014.0</v>
      </c>
      <c r="B16" s="44" t="s">
        <v>589</v>
      </c>
      <c r="C16" s="63" t="s">
        <v>33</v>
      </c>
      <c r="D16" s="63" t="s">
        <v>729</v>
      </c>
      <c r="E16" s="63"/>
      <c r="F16" s="83" t="str">
        <f t="shared" si="3"/>
        <v>1,1</v>
      </c>
      <c r="G16" s="44" t="s">
        <v>912</v>
      </c>
      <c r="H16" s="63"/>
      <c r="I16" s="63">
        <v>110002.0</v>
      </c>
      <c r="J16" s="59">
        <v>210014.0</v>
      </c>
      <c r="K16" s="63">
        <v>310014.0</v>
      </c>
      <c r="L16" s="73">
        <v>3.0</v>
      </c>
      <c r="M16" s="63"/>
      <c r="N16" s="63">
        <v>570.0</v>
      </c>
      <c r="O16" s="63">
        <v>68.0</v>
      </c>
      <c r="P16" s="63">
        <v>16.0</v>
      </c>
      <c r="Q16" s="63">
        <v>53.0</v>
      </c>
      <c r="R16" s="63">
        <v>31.0</v>
      </c>
      <c r="S16" s="63">
        <v>85.0</v>
      </c>
      <c r="T16" s="63">
        <v>10.0</v>
      </c>
      <c r="U16" s="85"/>
      <c r="V16" s="86">
        <f t="shared" si="6"/>
        <v>588</v>
      </c>
      <c r="W16" s="43"/>
      <c r="X16" s="43">
        <v>9114.0</v>
      </c>
      <c r="Y16" s="87">
        <f t="shared" si="7"/>
        <v>10</v>
      </c>
      <c r="Z16" s="43" t="str">
        <f t="shared" si="8"/>
        <v>903</v>
      </c>
      <c r="AA16" s="43">
        <v>900.0</v>
      </c>
      <c r="AB16" s="43">
        <f t="shared" si="23"/>
        <v>210014</v>
      </c>
      <c r="AC16" s="43">
        <f t="shared" ref="AC16:AE16" si="24">AB16</f>
        <v>210014</v>
      </c>
      <c r="AD16" s="43">
        <f t="shared" si="24"/>
        <v>210014</v>
      </c>
      <c r="AE16" s="43">
        <f t="shared" si="24"/>
        <v>210014</v>
      </c>
      <c r="AF16" s="43">
        <f t="shared" si="25"/>
        <v>210014</v>
      </c>
      <c r="AG16" s="43">
        <f t="shared" si="26"/>
        <v>310014</v>
      </c>
      <c r="AH16" s="43">
        <f t="shared" ref="AH16:AJ16" si="27">AG16</f>
        <v>310014</v>
      </c>
      <c r="AI16" s="43">
        <f t="shared" si="27"/>
        <v>310014</v>
      </c>
      <c r="AJ16" s="43">
        <f t="shared" si="27"/>
        <v>310014</v>
      </c>
      <c r="AK16" s="43">
        <f t="shared" si="28"/>
        <v>310014</v>
      </c>
    </row>
    <row r="17">
      <c r="A17" s="63">
        <v>10015.0</v>
      </c>
      <c r="B17" s="44" t="s">
        <v>597</v>
      </c>
      <c r="C17" s="63" t="s">
        <v>33</v>
      </c>
      <c r="D17" s="63" t="s">
        <v>729</v>
      </c>
      <c r="E17" s="63"/>
      <c r="F17" s="83" t="str">
        <f t="shared" si="3"/>
        <v>1,1</v>
      </c>
      <c r="G17" s="44" t="s">
        <v>921</v>
      </c>
      <c r="H17" s="63"/>
      <c r="I17" s="63">
        <v>110011.0</v>
      </c>
      <c r="J17" s="59">
        <v>210015.0</v>
      </c>
      <c r="K17" s="63">
        <v>310015.0</v>
      </c>
      <c r="L17" s="73">
        <v>1.0</v>
      </c>
      <c r="M17" s="63"/>
      <c r="N17" s="63">
        <v>795.0</v>
      </c>
      <c r="O17" s="59">
        <v>55.0</v>
      </c>
      <c r="P17" s="59">
        <v>12.0</v>
      </c>
      <c r="Q17" s="59">
        <v>69.0</v>
      </c>
      <c r="R17" s="59">
        <v>51.0</v>
      </c>
      <c r="S17" s="63">
        <v>167.0</v>
      </c>
      <c r="T17" s="63">
        <v>9.0</v>
      </c>
      <c r="U17" s="85"/>
      <c r="V17" s="86">
        <f t="shared" si="6"/>
        <v>796.5</v>
      </c>
      <c r="W17" s="43"/>
      <c r="X17" s="43">
        <v>9115.0</v>
      </c>
      <c r="Y17" s="87">
        <f t="shared" si="7"/>
        <v>10</v>
      </c>
      <c r="Z17" s="43" t="str">
        <f t="shared" si="8"/>
        <v>903</v>
      </c>
      <c r="AA17" s="43">
        <v>900.0</v>
      </c>
      <c r="AB17" s="43">
        <f t="shared" si="23"/>
        <v>210015</v>
      </c>
      <c r="AC17" s="43">
        <f t="shared" ref="AC17:AE17" si="29">AB17</f>
        <v>210015</v>
      </c>
      <c r="AD17" s="43">
        <f t="shared" si="29"/>
        <v>210015</v>
      </c>
      <c r="AE17" s="43">
        <f t="shared" si="29"/>
        <v>210015</v>
      </c>
      <c r="AF17" s="43">
        <f t="shared" si="25"/>
        <v>210015</v>
      </c>
      <c r="AG17" s="43">
        <f t="shared" si="26"/>
        <v>310015</v>
      </c>
      <c r="AH17" s="43">
        <f t="shared" ref="AH17:AJ17" si="30">AG17</f>
        <v>310015</v>
      </c>
      <c r="AI17" s="43">
        <f t="shared" si="30"/>
        <v>310015</v>
      </c>
      <c r="AJ17" s="43">
        <f t="shared" si="30"/>
        <v>310015</v>
      </c>
      <c r="AK17" s="43">
        <f t="shared" si="28"/>
        <v>310015</v>
      </c>
    </row>
    <row r="18">
      <c r="A18" s="63">
        <v>10016.0</v>
      </c>
      <c r="B18" s="44" t="s">
        <v>608</v>
      </c>
      <c r="C18" s="63" t="s">
        <v>33</v>
      </c>
      <c r="D18" s="63" t="s">
        <v>729</v>
      </c>
      <c r="E18" s="63"/>
      <c r="F18" s="83" t="str">
        <f t="shared" si="3"/>
        <v>1,1</v>
      </c>
      <c r="G18" s="44" t="s">
        <v>925</v>
      </c>
      <c r="H18" s="63"/>
      <c r="I18" s="63">
        <v>110011.0</v>
      </c>
      <c r="J18" s="59">
        <f t="shared" ref="J18:K18" si="31">J17+1</f>
        <v>210016</v>
      </c>
      <c r="K18" s="63">
        <f t="shared" si="31"/>
        <v>310016</v>
      </c>
      <c r="L18" s="73">
        <v>3.0</v>
      </c>
      <c r="M18" s="63"/>
      <c r="N18" s="63">
        <v>510.0</v>
      </c>
      <c r="O18" s="59">
        <v>15.0</v>
      </c>
      <c r="P18" s="59">
        <v>69.0</v>
      </c>
      <c r="Q18" s="59">
        <v>32.0</v>
      </c>
      <c r="R18" s="59">
        <v>42.0</v>
      </c>
      <c r="S18" s="63">
        <v>174.0</v>
      </c>
      <c r="T18" s="63">
        <v>11.0</v>
      </c>
      <c r="U18" s="85"/>
      <c r="V18" s="86">
        <f t="shared" si="6"/>
        <v>642</v>
      </c>
      <c r="W18" s="43"/>
      <c r="X18" s="43">
        <v>9116.0</v>
      </c>
      <c r="Y18" s="87">
        <f t="shared" si="7"/>
        <v>10</v>
      </c>
      <c r="Z18" s="43" t="str">
        <f t="shared" si="8"/>
        <v>902</v>
      </c>
      <c r="AA18" s="43">
        <v>900.0</v>
      </c>
      <c r="AB18" s="43">
        <f t="shared" si="23"/>
        <v>210016</v>
      </c>
      <c r="AC18" s="43">
        <f t="shared" ref="AC18:AE18" si="32">AB18</f>
        <v>210016</v>
      </c>
      <c r="AD18" s="43">
        <f t="shared" si="32"/>
        <v>210016</v>
      </c>
      <c r="AE18" s="43">
        <f t="shared" si="32"/>
        <v>210016</v>
      </c>
      <c r="AF18" s="43">
        <f t="shared" si="25"/>
        <v>210016</v>
      </c>
      <c r="AG18" s="43">
        <f t="shared" si="26"/>
        <v>310016</v>
      </c>
      <c r="AH18" s="43">
        <f t="shared" ref="AH18:AJ18" si="33">AG18</f>
        <v>310016</v>
      </c>
      <c r="AI18" s="43">
        <f t="shared" si="33"/>
        <v>310016</v>
      </c>
      <c r="AJ18" s="43">
        <f t="shared" si="33"/>
        <v>310016</v>
      </c>
      <c r="AK18" s="43">
        <f t="shared" si="28"/>
        <v>310016</v>
      </c>
    </row>
    <row r="19">
      <c r="A19" s="63">
        <v>10017.0</v>
      </c>
      <c r="B19" s="44" t="s">
        <v>618</v>
      </c>
      <c r="C19" s="63" t="s">
        <v>33</v>
      </c>
      <c r="D19" s="63" t="s">
        <v>729</v>
      </c>
      <c r="E19" s="63"/>
      <c r="F19" s="83" t="str">
        <f t="shared" si="3"/>
        <v>1,1</v>
      </c>
      <c r="G19" s="44" t="s">
        <v>931</v>
      </c>
      <c r="H19" s="63"/>
      <c r="I19" s="63">
        <v>110012.0</v>
      </c>
      <c r="J19" s="59">
        <f t="shared" ref="J19:K19" si="34">J18+1</f>
        <v>210017</v>
      </c>
      <c r="K19" s="63">
        <f t="shared" si="34"/>
        <v>310017</v>
      </c>
      <c r="L19" s="73">
        <v>3.0</v>
      </c>
      <c r="M19" s="63"/>
      <c r="N19" s="63">
        <v>615.0</v>
      </c>
      <c r="O19" s="91">
        <v>12.0</v>
      </c>
      <c r="P19" s="63">
        <v>66.0</v>
      </c>
      <c r="Q19" s="63">
        <v>36.0</v>
      </c>
      <c r="R19" s="63">
        <v>35.0</v>
      </c>
      <c r="S19" s="63">
        <v>83.0</v>
      </c>
      <c r="T19" s="63">
        <v>12.0</v>
      </c>
      <c r="U19" s="85"/>
      <c r="V19" s="86">
        <f t="shared" si="6"/>
        <v>599.5</v>
      </c>
      <c r="W19" s="43"/>
      <c r="X19" s="43">
        <v>9117.0</v>
      </c>
      <c r="Y19" s="87">
        <f t="shared" si="7"/>
        <v>10</v>
      </c>
      <c r="Z19" s="43" t="str">
        <f t="shared" si="8"/>
        <v>902</v>
      </c>
      <c r="AA19" s="43">
        <v>900.0</v>
      </c>
      <c r="AB19" s="43">
        <f t="shared" si="23"/>
        <v>210017</v>
      </c>
      <c r="AC19" s="43">
        <f t="shared" ref="AC19:AE19" si="35">AB19</f>
        <v>210017</v>
      </c>
      <c r="AD19" s="43">
        <f t="shared" si="35"/>
        <v>210017</v>
      </c>
      <c r="AE19" s="43">
        <f t="shared" si="35"/>
        <v>210017</v>
      </c>
      <c r="AF19" s="43">
        <f t="shared" si="25"/>
        <v>210017</v>
      </c>
      <c r="AG19" s="43">
        <f t="shared" si="26"/>
        <v>310017</v>
      </c>
      <c r="AH19" s="43">
        <f t="shared" ref="AH19:AJ19" si="36">AG19</f>
        <v>310017</v>
      </c>
      <c r="AI19" s="43">
        <f t="shared" si="36"/>
        <v>310017</v>
      </c>
      <c r="AJ19" s="43">
        <f t="shared" si="36"/>
        <v>310017</v>
      </c>
      <c r="AK19" s="43">
        <f t="shared" si="28"/>
        <v>310017</v>
      </c>
    </row>
    <row r="20">
      <c r="A20" s="63">
        <v>10018.0</v>
      </c>
      <c r="B20" s="44" t="s">
        <v>627</v>
      </c>
      <c r="C20" s="63" t="s">
        <v>33</v>
      </c>
      <c r="D20" s="63" t="s">
        <v>729</v>
      </c>
      <c r="E20" s="63"/>
      <c r="F20" s="83" t="str">
        <f t="shared" si="3"/>
        <v>1,1</v>
      </c>
      <c r="G20" s="44" t="s">
        <v>948</v>
      </c>
      <c r="H20" s="63"/>
      <c r="I20" s="63">
        <v>110012.0</v>
      </c>
      <c r="J20" s="59">
        <f t="shared" ref="J20:K20" si="37">J19+1</f>
        <v>210018</v>
      </c>
      <c r="K20" s="63">
        <f t="shared" si="37"/>
        <v>310018</v>
      </c>
      <c r="L20" s="73">
        <v>2.0</v>
      </c>
      <c r="M20" s="63"/>
      <c r="N20" s="63">
        <v>530.0</v>
      </c>
      <c r="O20" s="59">
        <v>15.0</v>
      </c>
      <c r="P20" s="63">
        <v>57.0</v>
      </c>
      <c r="Q20" s="59">
        <v>32.0</v>
      </c>
      <c r="R20" s="59">
        <v>42.0</v>
      </c>
      <c r="S20" s="63">
        <v>174.0</v>
      </c>
      <c r="T20" s="63">
        <v>8.0</v>
      </c>
      <c r="U20" s="85"/>
      <c r="V20" s="86">
        <f t="shared" si="6"/>
        <v>625</v>
      </c>
      <c r="W20" s="43"/>
      <c r="X20" s="43">
        <v>9118.0</v>
      </c>
      <c r="Y20" s="87">
        <f t="shared" si="7"/>
        <v>10</v>
      </c>
      <c r="Z20" s="43" t="str">
        <f t="shared" si="8"/>
        <v>902</v>
      </c>
      <c r="AA20" s="43">
        <v>900.0</v>
      </c>
      <c r="AB20" s="43">
        <f t="shared" si="23"/>
        <v>210018</v>
      </c>
      <c r="AC20" s="43">
        <f t="shared" ref="AC20:AE20" si="38">AB20</f>
        <v>210018</v>
      </c>
      <c r="AD20" s="43">
        <f t="shared" si="38"/>
        <v>210018</v>
      </c>
      <c r="AE20" s="43">
        <f t="shared" si="38"/>
        <v>210018</v>
      </c>
      <c r="AF20" s="43">
        <f t="shared" si="25"/>
        <v>210018</v>
      </c>
      <c r="AG20" s="43">
        <f t="shared" si="26"/>
        <v>310018</v>
      </c>
      <c r="AH20" s="43">
        <f t="shared" ref="AH20:AJ20" si="39">AG20</f>
        <v>310018</v>
      </c>
      <c r="AI20" s="43">
        <f t="shared" si="39"/>
        <v>310018</v>
      </c>
      <c r="AJ20" s="43">
        <f t="shared" si="39"/>
        <v>310018</v>
      </c>
      <c r="AK20" s="43">
        <f t="shared" si="28"/>
        <v>310018</v>
      </c>
    </row>
    <row r="21">
      <c r="A21" s="63">
        <v>10019.0</v>
      </c>
      <c r="B21" s="44" t="s">
        <v>568</v>
      </c>
      <c r="C21" s="63" t="s">
        <v>33</v>
      </c>
      <c r="D21" s="63" t="s">
        <v>729</v>
      </c>
      <c r="E21" s="63"/>
      <c r="F21" s="83" t="str">
        <f t="shared" si="3"/>
        <v>1,1</v>
      </c>
      <c r="G21" s="44" t="s">
        <v>955</v>
      </c>
      <c r="H21" s="63"/>
      <c r="I21" s="63">
        <v>110011.0</v>
      </c>
      <c r="J21" s="59">
        <f t="shared" ref="J21:K21" si="40">J20+1</f>
        <v>210019</v>
      </c>
      <c r="K21" s="63">
        <f t="shared" si="40"/>
        <v>310019</v>
      </c>
      <c r="L21" s="73">
        <v>1.0</v>
      </c>
      <c r="M21" s="63"/>
      <c r="N21" s="63">
        <v>565.0</v>
      </c>
      <c r="O21" s="63">
        <v>18.0</v>
      </c>
      <c r="P21" s="63">
        <v>61.0</v>
      </c>
      <c r="Q21" s="59">
        <v>32.0</v>
      </c>
      <c r="R21" s="59">
        <v>42.0</v>
      </c>
      <c r="S21" s="63">
        <v>161.0</v>
      </c>
      <c r="T21" s="63">
        <v>9.0</v>
      </c>
      <c r="U21" s="85"/>
      <c r="V21" s="86">
        <f t="shared" si="6"/>
        <v>641.5</v>
      </c>
      <c r="W21" s="43"/>
      <c r="X21" s="43">
        <v>9119.0</v>
      </c>
      <c r="Y21" s="87">
        <f t="shared" si="7"/>
        <v>10</v>
      </c>
      <c r="Z21" s="43" t="str">
        <f t="shared" si="8"/>
        <v>902</v>
      </c>
      <c r="AA21" s="43">
        <v>900.0</v>
      </c>
      <c r="AB21" s="43">
        <f t="shared" si="23"/>
        <v>210019</v>
      </c>
      <c r="AC21" s="43">
        <f t="shared" ref="AC21:AE21" si="41">AB21</f>
        <v>210019</v>
      </c>
      <c r="AD21" s="43">
        <f t="shared" si="41"/>
        <v>210019</v>
      </c>
      <c r="AE21" s="43">
        <f t="shared" si="41"/>
        <v>210019</v>
      </c>
      <c r="AF21" s="43">
        <f t="shared" si="25"/>
        <v>210019</v>
      </c>
      <c r="AG21" s="43">
        <f t="shared" si="26"/>
        <v>310019</v>
      </c>
      <c r="AH21" s="43">
        <f t="shared" ref="AH21:AJ21" si="42">AG21</f>
        <v>310019</v>
      </c>
      <c r="AI21" s="43">
        <f t="shared" si="42"/>
        <v>310019</v>
      </c>
      <c r="AJ21" s="43">
        <f t="shared" si="42"/>
        <v>310019</v>
      </c>
      <c r="AK21" s="43">
        <f t="shared" si="28"/>
        <v>310019</v>
      </c>
    </row>
    <row r="22">
      <c r="A22" s="63">
        <v>10020.0</v>
      </c>
      <c r="B22" s="44" t="s">
        <v>641</v>
      </c>
      <c r="C22" s="63" t="s">
        <v>33</v>
      </c>
      <c r="D22" s="63" t="s">
        <v>729</v>
      </c>
      <c r="E22" s="63"/>
      <c r="F22" s="83" t="str">
        <f t="shared" si="3"/>
        <v>1,1</v>
      </c>
      <c r="G22" s="44" t="s">
        <v>969</v>
      </c>
      <c r="H22" s="63"/>
      <c r="I22" s="63">
        <v>110011.0</v>
      </c>
      <c r="J22" s="59">
        <f t="shared" ref="J22:K22" si="43">J21+1</f>
        <v>210020</v>
      </c>
      <c r="K22" s="63">
        <f t="shared" si="43"/>
        <v>310020</v>
      </c>
      <c r="L22" s="73">
        <v>3.0</v>
      </c>
      <c r="M22" s="63"/>
      <c r="N22" s="63">
        <v>730.0</v>
      </c>
      <c r="O22" s="63">
        <v>16.0</v>
      </c>
      <c r="P22" s="63">
        <v>49.0</v>
      </c>
      <c r="Q22" s="63">
        <v>53.0</v>
      </c>
      <c r="R22" s="63">
        <v>57.0</v>
      </c>
      <c r="S22" s="63">
        <v>153.0</v>
      </c>
      <c r="T22" s="63">
        <v>9.0</v>
      </c>
      <c r="U22" s="85"/>
      <c r="V22" s="86">
        <f t="shared" si="6"/>
        <v>738</v>
      </c>
      <c r="W22" s="43"/>
      <c r="X22" s="43">
        <v>9120.0</v>
      </c>
      <c r="Y22" s="87">
        <f t="shared" si="7"/>
        <v>10</v>
      </c>
      <c r="Z22" s="43" t="str">
        <f t="shared" si="8"/>
        <v>902</v>
      </c>
      <c r="AA22" s="43">
        <v>900.0</v>
      </c>
      <c r="AB22" s="43">
        <f t="shared" si="23"/>
        <v>210020</v>
      </c>
      <c r="AC22" s="43">
        <f t="shared" ref="AC22:AE22" si="44">AB22</f>
        <v>210020</v>
      </c>
      <c r="AD22" s="43">
        <f t="shared" si="44"/>
        <v>210020</v>
      </c>
      <c r="AE22" s="43">
        <f t="shared" si="44"/>
        <v>210020</v>
      </c>
      <c r="AF22" s="43">
        <f t="shared" si="25"/>
        <v>210020</v>
      </c>
      <c r="AG22" s="43">
        <f t="shared" si="26"/>
        <v>310020</v>
      </c>
      <c r="AH22" s="43">
        <f t="shared" ref="AH22:AJ22" si="45">AG22</f>
        <v>310020</v>
      </c>
      <c r="AI22" s="43">
        <f t="shared" si="45"/>
        <v>310020</v>
      </c>
      <c r="AJ22" s="43">
        <f t="shared" si="45"/>
        <v>310020</v>
      </c>
      <c r="AK22" s="43">
        <f t="shared" si="28"/>
        <v>310020</v>
      </c>
    </row>
    <row r="23">
      <c r="A23" s="63">
        <v>10021.0</v>
      </c>
      <c r="B23" s="44" t="s">
        <v>650</v>
      </c>
      <c r="C23" s="63" t="s">
        <v>33</v>
      </c>
      <c r="D23" s="63" t="s">
        <v>729</v>
      </c>
      <c r="E23" s="63"/>
      <c r="F23" s="83" t="str">
        <f t="shared" si="3"/>
        <v>1,1</v>
      </c>
      <c r="G23" s="44" t="s">
        <v>983</v>
      </c>
      <c r="H23" s="63"/>
      <c r="I23" s="63">
        <v>110002.0</v>
      </c>
      <c r="J23" s="59">
        <f t="shared" ref="J23:K23" si="46">J22+1</f>
        <v>210021</v>
      </c>
      <c r="K23" s="63">
        <f t="shared" si="46"/>
        <v>310021</v>
      </c>
      <c r="L23" s="73">
        <v>1.0</v>
      </c>
      <c r="M23" s="63"/>
      <c r="N23" s="63">
        <v>590.0</v>
      </c>
      <c r="O23" s="63">
        <v>57.0</v>
      </c>
      <c r="P23" s="63">
        <v>12.0</v>
      </c>
      <c r="Q23" s="63">
        <v>42.0</v>
      </c>
      <c r="R23" s="63">
        <v>27.0</v>
      </c>
      <c r="S23" s="63">
        <v>87.0</v>
      </c>
      <c r="T23" s="63">
        <v>10.0</v>
      </c>
      <c r="U23" s="85"/>
      <c r="V23" s="86">
        <f t="shared" si="6"/>
        <v>570</v>
      </c>
      <c r="W23" s="43"/>
      <c r="X23" s="43">
        <v>9121.0</v>
      </c>
      <c r="Y23" s="87">
        <f t="shared" si="7"/>
        <v>10</v>
      </c>
      <c r="Z23" s="43" t="str">
        <f t="shared" si="8"/>
        <v>903</v>
      </c>
      <c r="AA23" s="43">
        <v>900.0</v>
      </c>
      <c r="AB23" s="43">
        <f t="shared" si="23"/>
        <v>210021</v>
      </c>
      <c r="AC23" s="43">
        <f t="shared" ref="AC23:AE23" si="47">AB23</f>
        <v>210021</v>
      </c>
      <c r="AD23" s="43">
        <f t="shared" si="47"/>
        <v>210021</v>
      </c>
      <c r="AE23" s="43">
        <f t="shared" si="47"/>
        <v>210021</v>
      </c>
      <c r="AF23" s="43">
        <f t="shared" si="25"/>
        <v>210021</v>
      </c>
      <c r="AG23" s="43">
        <f t="shared" si="26"/>
        <v>310021</v>
      </c>
      <c r="AH23" s="43">
        <f t="shared" ref="AH23:AJ23" si="48">AG23</f>
        <v>310021</v>
      </c>
      <c r="AI23" s="43">
        <f t="shared" si="48"/>
        <v>310021</v>
      </c>
      <c r="AJ23" s="43">
        <f t="shared" si="48"/>
        <v>310021</v>
      </c>
      <c r="AK23" s="43">
        <f t="shared" si="28"/>
        <v>310021</v>
      </c>
    </row>
    <row r="24">
      <c r="A24" s="63">
        <v>10022.0</v>
      </c>
      <c r="B24" s="44" t="s">
        <v>678</v>
      </c>
      <c r="C24" s="63" t="s">
        <v>43</v>
      </c>
      <c r="D24" s="63" t="s">
        <v>729</v>
      </c>
      <c r="E24" s="63"/>
      <c r="F24" s="83" t="str">
        <f t="shared" si="3"/>
        <v>1,1</v>
      </c>
      <c r="G24" s="44" t="s">
        <v>1006</v>
      </c>
      <c r="H24" s="63"/>
      <c r="I24" s="63">
        <v>110001.0</v>
      </c>
      <c r="J24" s="59">
        <f t="shared" ref="J24:K24" si="49">J23+1</f>
        <v>210022</v>
      </c>
      <c r="K24" s="63">
        <f t="shared" si="49"/>
        <v>310022</v>
      </c>
      <c r="L24" s="73">
        <v>2.0</v>
      </c>
      <c r="M24" s="63"/>
      <c r="N24" s="63">
        <v>500.0</v>
      </c>
      <c r="O24" s="63">
        <v>48.0</v>
      </c>
      <c r="P24" s="63">
        <v>10.0</v>
      </c>
      <c r="Q24" s="63">
        <v>36.0</v>
      </c>
      <c r="R24" s="63">
        <v>23.0</v>
      </c>
      <c r="S24" s="63">
        <v>48.0</v>
      </c>
      <c r="T24" s="63">
        <v>8.0</v>
      </c>
      <c r="U24" s="85"/>
      <c r="V24" s="86">
        <f t="shared" si="6"/>
        <v>455</v>
      </c>
      <c r="W24" s="43"/>
      <c r="X24" s="43">
        <v>9122.0</v>
      </c>
      <c r="Y24" s="87">
        <f t="shared" si="7"/>
        <v>5</v>
      </c>
      <c r="Z24" s="43" t="str">
        <f t="shared" si="8"/>
        <v>905</v>
      </c>
      <c r="AA24" s="43">
        <v>900.0</v>
      </c>
      <c r="AB24" s="43">
        <f t="shared" si="23"/>
        <v>210022</v>
      </c>
      <c r="AC24" s="43">
        <f t="shared" ref="AC24:AE24" si="50">AB24</f>
        <v>210022</v>
      </c>
      <c r="AD24" s="43">
        <f t="shared" si="50"/>
        <v>210022</v>
      </c>
      <c r="AE24" s="43">
        <f t="shared" si="50"/>
        <v>210022</v>
      </c>
      <c r="AF24" s="43">
        <f t="shared" si="25"/>
        <v>210022</v>
      </c>
      <c r="AG24" s="43">
        <f t="shared" si="26"/>
        <v>310022</v>
      </c>
      <c r="AH24" s="43">
        <f t="shared" ref="AH24:AJ24" si="51">AG24</f>
        <v>310022</v>
      </c>
      <c r="AI24" s="43">
        <f t="shared" si="51"/>
        <v>310022</v>
      </c>
      <c r="AJ24" s="43">
        <f t="shared" si="51"/>
        <v>310022</v>
      </c>
      <c r="AK24" s="43">
        <f t="shared" si="28"/>
        <v>310022</v>
      </c>
    </row>
    <row r="25">
      <c r="A25" s="63">
        <v>10023.0</v>
      </c>
      <c r="B25" s="44" t="s">
        <v>702</v>
      </c>
      <c r="C25" s="63" t="s">
        <v>43</v>
      </c>
      <c r="D25" s="63" t="s">
        <v>729</v>
      </c>
      <c r="E25" s="63"/>
      <c r="F25" s="83" t="str">
        <f t="shared" si="3"/>
        <v>1,1</v>
      </c>
      <c r="G25" s="44" t="s">
        <v>1030</v>
      </c>
      <c r="H25" s="63"/>
      <c r="I25" s="63">
        <v>110002.0</v>
      </c>
      <c r="J25" s="59">
        <f t="shared" ref="J25:K25" si="52">J24+1</f>
        <v>210023</v>
      </c>
      <c r="K25" s="63">
        <f t="shared" si="52"/>
        <v>310023</v>
      </c>
      <c r="L25" s="73">
        <v>1.0</v>
      </c>
      <c r="M25" s="63"/>
      <c r="N25" s="63">
        <v>480.0</v>
      </c>
      <c r="O25" s="63">
        <v>51.0</v>
      </c>
      <c r="P25" s="63">
        <v>12.0</v>
      </c>
      <c r="Q25" s="63">
        <v>33.0</v>
      </c>
      <c r="R25" s="63">
        <v>27.0</v>
      </c>
      <c r="S25" s="63">
        <v>54.0</v>
      </c>
      <c r="T25" s="63">
        <v>9.0</v>
      </c>
      <c r="U25" s="85"/>
      <c r="V25" s="86">
        <f t="shared" si="6"/>
        <v>462</v>
      </c>
      <c r="W25" s="43"/>
      <c r="X25" s="43">
        <v>9123.0</v>
      </c>
      <c r="Y25" s="87">
        <f t="shared" si="7"/>
        <v>5</v>
      </c>
      <c r="Z25" s="43" t="str">
        <f t="shared" si="8"/>
        <v>905</v>
      </c>
      <c r="AA25" s="43">
        <v>900.0</v>
      </c>
      <c r="AB25" s="43">
        <f t="shared" si="23"/>
        <v>210023</v>
      </c>
      <c r="AC25" s="43">
        <f t="shared" ref="AC25:AE25" si="53">AB25</f>
        <v>210023</v>
      </c>
      <c r="AD25" s="43">
        <f t="shared" si="53"/>
        <v>210023</v>
      </c>
      <c r="AE25" s="43">
        <f t="shared" si="53"/>
        <v>210023</v>
      </c>
      <c r="AF25" s="43">
        <f t="shared" si="25"/>
        <v>210023</v>
      </c>
      <c r="AG25" s="43">
        <f t="shared" si="26"/>
        <v>310023</v>
      </c>
      <c r="AH25" s="43">
        <f t="shared" ref="AH25:AJ25" si="54">AG25</f>
        <v>310023</v>
      </c>
      <c r="AI25" s="43">
        <f t="shared" si="54"/>
        <v>310023</v>
      </c>
      <c r="AJ25" s="43">
        <f t="shared" si="54"/>
        <v>310023</v>
      </c>
      <c r="AK25" s="43">
        <f t="shared" si="28"/>
        <v>310023</v>
      </c>
    </row>
    <row r="26">
      <c r="A26" s="63">
        <v>10024.0</v>
      </c>
      <c r="B26" s="44" t="s">
        <v>725</v>
      </c>
      <c r="C26" s="63" t="s">
        <v>43</v>
      </c>
      <c r="D26" s="63" t="s">
        <v>729</v>
      </c>
      <c r="E26" s="63"/>
      <c r="F26" s="83" t="str">
        <f t="shared" si="3"/>
        <v>1,1</v>
      </c>
      <c r="G26" s="44" t="s">
        <v>1058</v>
      </c>
      <c r="H26" s="63"/>
      <c r="I26" s="63">
        <v>110011.0</v>
      </c>
      <c r="J26" s="59">
        <f t="shared" ref="J26:K26" si="55">J25+1</f>
        <v>210024</v>
      </c>
      <c r="K26" s="63">
        <f t="shared" si="55"/>
        <v>310024</v>
      </c>
      <c r="L26" s="73">
        <v>3.0</v>
      </c>
      <c r="M26" s="63"/>
      <c r="N26" s="63">
        <v>460.0</v>
      </c>
      <c r="O26" s="63">
        <v>15.0</v>
      </c>
      <c r="P26" s="63">
        <v>55.0</v>
      </c>
      <c r="Q26" s="63">
        <v>19.0</v>
      </c>
      <c r="R26" s="63">
        <v>37.0</v>
      </c>
      <c r="S26" s="63">
        <v>110.0</v>
      </c>
      <c r="T26" s="63">
        <v>7.0</v>
      </c>
      <c r="U26" s="85"/>
      <c r="V26" s="86">
        <f t="shared" si="6"/>
        <v>501</v>
      </c>
      <c r="W26" s="43"/>
      <c r="X26" s="43">
        <v>9124.0</v>
      </c>
      <c r="Y26" s="87">
        <f t="shared" si="7"/>
        <v>5</v>
      </c>
      <c r="Z26" s="43" t="str">
        <f t="shared" si="8"/>
        <v>904</v>
      </c>
      <c r="AA26" s="43">
        <v>900.0</v>
      </c>
      <c r="AB26" s="43">
        <f t="shared" si="23"/>
        <v>210024</v>
      </c>
      <c r="AC26" s="43">
        <f t="shared" ref="AC26:AE26" si="56">AB26</f>
        <v>210024</v>
      </c>
      <c r="AD26" s="43">
        <f t="shared" si="56"/>
        <v>210024</v>
      </c>
      <c r="AE26" s="43">
        <f t="shared" si="56"/>
        <v>210024</v>
      </c>
      <c r="AF26" s="43">
        <f t="shared" si="25"/>
        <v>210024</v>
      </c>
      <c r="AG26" s="43">
        <f t="shared" si="26"/>
        <v>310024</v>
      </c>
      <c r="AH26" s="43">
        <f t="shared" ref="AH26:AJ26" si="57">AG26</f>
        <v>310024</v>
      </c>
      <c r="AI26" s="43">
        <f t="shared" si="57"/>
        <v>310024</v>
      </c>
      <c r="AJ26" s="43">
        <f t="shared" si="57"/>
        <v>310024</v>
      </c>
      <c r="AK26" s="43">
        <f t="shared" si="28"/>
        <v>310024</v>
      </c>
    </row>
    <row r="27">
      <c r="A27" s="63">
        <v>10025.0</v>
      </c>
      <c r="B27" s="44" t="s">
        <v>733</v>
      </c>
      <c r="C27" s="63" t="s">
        <v>43</v>
      </c>
      <c r="D27" s="63" t="s">
        <v>729</v>
      </c>
      <c r="E27" s="63"/>
      <c r="F27" s="83" t="str">
        <f t="shared" si="3"/>
        <v>1,1</v>
      </c>
      <c r="G27" s="44" t="s">
        <v>1083</v>
      </c>
      <c r="H27" s="63"/>
      <c r="I27" s="63">
        <v>110011.0</v>
      </c>
      <c r="J27" s="59">
        <f t="shared" ref="J27:K27" si="58">J26+1</f>
        <v>210025</v>
      </c>
      <c r="K27" s="63">
        <f t="shared" si="58"/>
        <v>310025</v>
      </c>
      <c r="L27" s="73">
        <v>2.0</v>
      </c>
      <c r="M27" s="63"/>
      <c r="N27" s="63">
        <v>475.0</v>
      </c>
      <c r="O27" s="63">
        <v>15.0</v>
      </c>
      <c r="P27" s="63">
        <v>49.0</v>
      </c>
      <c r="Q27" s="63">
        <v>28.0</v>
      </c>
      <c r="R27" s="63">
        <v>39.0</v>
      </c>
      <c r="S27" s="63">
        <v>87.0</v>
      </c>
      <c r="T27" s="63">
        <v>7.0</v>
      </c>
      <c r="U27" s="85"/>
      <c r="V27" s="86">
        <f t="shared" si="6"/>
        <v>490.5</v>
      </c>
      <c r="W27" s="43"/>
      <c r="X27" s="43">
        <v>9125.0</v>
      </c>
      <c r="Y27" s="87">
        <f t="shared" si="7"/>
        <v>5</v>
      </c>
      <c r="Z27" s="43" t="str">
        <f t="shared" si="8"/>
        <v>904</v>
      </c>
      <c r="AA27" s="43">
        <v>900.0</v>
      </c>
      <c r="AB27" s="43">
        <f t="shared" si="23"/>
        <v>210025</v>
      </c>
      <c r="AC27" s="43">
        <f t="shared" ref="AC27:AE27" si="59">AB27</f>
        <v>210025</v>
      </c>
      <c r="AD27" s="43">
        <f t="shared" si="59"/>
        <v>210025</v>
      </c>
      <c r="AE27" s="43">
        <f t="shared" si="59"/>
        <v>210025</v>
      </c>
      <c r="AF27" s="43">
        <f t="shared" si="25"/>
        <v>210025</v>
      </c>
      <c r="AG27" s="43">
        <f t="shared" si="26"/>
        <v>310025</v>
      </c>
      <c r="AH27" s="43">
        <f t="shared" ref="AH27:AJ27" si="60">AG27</f>
        <v>310025</v>
      </c>
      <c r="AI27" s="43">
        <f t="shared" si="60"/>
        <v>310025</v>
      </c>
      <c r="AJ27" s="43">
        <f t="shared" si="60"/>
        <v>310025</v>
      </c>
      <c r="AK27" s="43">
        <f t="shared" si="28"/>
        <v>310025</v>
      </c>
    </row>
    <row r="28">
      <c r="A28" s="63">
        <v>10026.0</v>
      </c>
      <c r="B28" s="44" t="s">
        <v>740</v>
      </c>
      <c r="C28" s="63" t="s">
        <v>43</v>
      </c>
      <c r="D28" s="63" t="s">
        <v>729</v>
      </c>
      <c r="E28" s="63"/>
      <c r="F28" s="83" t="str">
        <f t="shared" si="3"/>
        <v>1,1</v>
      </c>
      <c r="G28" s="44" t="s">
        <v>1096</v>
      </c>
      <c r="H28" s="63"/>
      <c r="I28" s="63">
        <v>110002.0</v>
      </c>
      <c r="J28" s="59">
        <f t="shared" ref="J28:K28" si="61">J27+1</f>
        <v>210026</v>
      </c>
      <c r="K28" s="63">
        <f t="shared" si="61"/>
        <v>310026</v>
      </c>
      <c r="L28" s="73">
        <v>1.0</v>
      </c>
      <c r="M28" s="63"/>
      <c r="N28" s="63">
        <v>680.0</v>
      </c>
      <c r="O28" s="63">
        <v>44.0</v>
      </c>
      <c r="P28" s="91">
        <v>11.0</v>
      </c>
      <c r="Q28" s="63">
        <v>55.0</v>
      </c>
      <c r="R28" s="63">
        <v>43.0</v>
      </c>
      <c r="S28" s="63">
        <v>56.0</v>
      </c>
      <c r="T28" s="63">
        <v>6.0</v>
      </c>
      <c r="U28" s="85"/>
      <c r="V28" s="86">
        <f t="shared" si="6"/>
        <v>579</v>
      </c>
      <c r="W28" s="43"/>
      <c r="X28" s="43">
        <v>9126.0</v>
      </c>
      <c r="Y28" s="87">
        <f t="shared" si="7"/>
        <v>5</v>
      </c>
      <c r="Z28" s="43" t="str">
        <f t="shared" si="8"/>
        <v>905</v>
      </c>
      <c r="AA28" s="43">
        <v>900.0</v>
      </c>
      <c r="AB28" s="43">
        <f t="shared" si="23"/>
        <v>210026</v>
      </c>
      <c r="AC28" s="43">
        <f t="shared" ref="AC28:AE28" si="62">AB28</f>
        <v>210026</v>
      </c>
      <c r="AD28" s="43">
        <f t="shared" si="62"/>
        <v>210026</v>
      </c>
      <c r="AE28" s="43">
        <f t="shared" si="62"/>
        <v>210026</v>
      </c>
      <c r="AF28" s="43">
        <f t="shared" si="25"/>
        <v>210026</v>
      </c>
      <c r="AG28" s="43">
        <f t="shared" si="26"/>
        <v>310026</v>
      </c>
      <c r="AH28" s="43">
        <f t="shared" ref="AH28:AJ28" si="63">AG28</f>
        <v>310026</v>
      </c>
      <c r="AI28" s="43">
        <f t="shared" si="63"/>
        <v>310026</v>
      </c>
      <c r="AJ28" s="43">
        <f t="shared" si="63"/>
        <v>310026</v>
      </c>
      <c r="AK28" s="43">
        <f t="shared" si="28"/>
        <v>310026</v>
      </c>
    </row>
    <row r="29">
      <c r="A29" s="63">
        <v>10027.0</v>
      </c>
      <c r="B29" s="44" t="s">
        <v>746</v>
      </c>
      <c r="C29" s="63" t="s">
        <v>43</v>
      </c>
      <c r="D29" s="63" t="s">
        <v>729</v>
      </c>
      <c r="E29" s="63"/>
      <c r="F29" s="83" t="str">
        <f t="shared" si="3"/>
        <v>1,1</v>
      </c>
      <c r="G29" s="44" t="s">
        <v>1117</v>
      </c>
      <c r="H29" s="63"/>
      <c r="I29" s="63">
        <v>110001.0</v>
      </c>
      <c r="J29" s="59">
        <f t="shared" ref="J29:K29" si="64">J28+1</f>
        <v>210027</v>
      </c>
      <c r="K29" s="63">
        <f t="shared" si="64"/>
        <v>310027</v>
      </c>
      <c r="L29" s="73">
        <v>2.0</v>
      </c>
      <c r="M29" s="63"/>
      <c r="N29" s="63">
        <v>490.0</v>
      </c>
      <c r="O29" s="63">
        <v>51.0</v>
      </c>
      <c r="P29" s="63">
        <v>9.0</v>
      </c>
      <c r="Q29" s="63">
        <v>33.0</v>
      </c>
      <c r="R29" s="63">
        <v>29.0</v>
      </c>
      <c r="S29" s="63">
        <v>51.0</v>
      </c>
      <c r="T29" s="63">
        <v>10.0</v>
      </c>
      <c r="U29" s="85"/>
      <c r="V29" s="86">
        <f t="shared" si="6"/>
        <v>468</v>
      </c>
      <c r="W29" s="43"/>
      <c r="X29" s="43">
        <v>9127.0</v>
      </c>
      <c r="Y29" s="87">
        <f t="shared" si="7"/>
        <v>5</v>
      </c>
      <c r="Z29" s="43" t="str">
        <f t="shared" si="8"/>
        <v>905</v>
      </c>
      <c r="AA29" s="43">
        <v>900.0</v>
      </c>
      <c r="AB29" s="43">
        <f t="shared" si="23"/>
        <v>210027</v>
      </c>
      <c r="AC29" s="43">
        <f t="shared" ref="AC29:AE29" si="65">AB29</f>
        <v>210027</v>
      </c>
      <c r="AD29" s="43">
        <f t="shared" si="65"/>
        <v>210027</v>
      </c>
      <c r="AE29" s="43">
        <f t="shared" si="65"/>
        <v>210027</v>
      </c>
      <c r="AF29" s="43">
        <f t="shared" si="25"/>
        <v>210027</v>
      </c>
      <c r="AG29" s="43">
        <f t="shared" si="26"/>
        <v>310027</v>
      </c>
      <c r="AH29" s="43">
        <f t="shared" ref="AH29:AJ29" si="66">AG29</f>
        <v>310027</v>
      </c>
      <c r="AI29" s="43">
        <f t="shared" si="66"/>
        <v>310027</v>
      </c>
      <c r="AJ29" s="43">
        <f t="shared" si="66"/>
        <v>310027</v>
      </c>
      <c r="AK29" s="43">
        <f t="shared" si="28"/>
        <v>310027</v>
      </c>
    </row>
    <row r="30">
      <c r="A30" s="63">
        <v>10028.0</v>
      </c>
      <c r="B30" s="44" t="s">
        <v>754</v>
      </c>
      <c r="C30" s="63" t="s">
        <v>43</v>
      </c>
      <c r="D30" s="63" t="s">
        <v>729</v>
      </c>
      <c r="E30" s="63"/>
      <c r="F30" s="83" t="str">
        <f t="shared" si="3"/>
        <v>1,1</v>
      </c>
      <c r="G30" s="44" t="s">
        <v>1131</v>
      </c>
      <c r="H30" s="63"/>
      <c r="I30" s="63">
        <v>110011.0</v>
      </c>
      <c r="J30" s="59">
        <f t="shared" ref="J30:K30" si="67">J29+1</f>
        <v>210028</v>
      </c>
      <c r="K30" s="63">
        <f t="shared" si="67"/>
        <v>310028</v>
      </c>
      <c r="L30" s="73">
        <v>1.0</v>
      </c>
      <c r="M30" s="63"/>
      <c r="N30" s="63">
        <v>475.0</v>
      </c>
      <c r="O30" s="63">
        <v>9.0</v>
      </c>
      <c r="P30" s="63">
        <v>52.0</v>
      </c>
      <c r="Q30" s="63">
        <v>29.0</v>
      </c>
      <c r="R30" s="63">
        <v>33.0</v>
      </c>
      <c r="S30" s="63">
        <v>94.0</v>
      </c>
      <c r="T30" s="63">
        <v>9.0</v>
      </c>
      <c r="U30" s="85"/>
      <c r="V30" s="86">
        <f t="shared" si="6"/>
        <v>499.5</v>
      </c>
      <c r="W30" s="43"/>
      <c r="X30" s="43">
        <v>9128.0</v>
      </c>
      <c r="Y30" s="87">
        <f t="shared" si="7"/>
        <v>5</v>
      </c>
      <c r="Z30" s="43" t="str">
        <f t="shared" si="8"/>
        <v>904</v>
      </c>
      <c r="AA30" s="43">
        <v>900.0</v>
      </c>
      <c r="AB30" s="43">
        <f t="shared" si="23"/>
        <v>210028</v>
      </c>
      <c r="AC30" s="43">
        <f t="shared" ref="AC30:AE30" si="68">AB30</f>
        <v>210028</v>
      </c>
      <c r="AD30" s="43">
        <f t="shared" si="68"/>
        <v>210028</v>
      </c>
      <c r="AE30" s="43">
        <f t="shared" si="68"/>
        <v>210028</v>
      </c>
      <c r="AF30" s="43">
        <f t="shared" si="25"/>
        <v>210028</v>
      </c>
      <c r="AG30" s="43">
        <f t="shared" si="26"/>
        <v>310028</v>
      </c>
      <c r="AH30" s="43">
        <f t="shared" ref="AH30:AJ30" si="69">AG30</f>
        <v>310028</v>
      </c>
      <c r="AI30" s="43">
        <f t="shared" si="69"/>
        <v>310028</v>
      </c>
      <c r="AJ30" s="43">
        <f t="shared" si="69"/>
        <v>310028</v>
      </c>
      <c r="AK30" s="43">
        <f t="shared" si="28"/>
        <v>310028</v>
      </c>
    </row>
    <row r="31">
      <c r="A31" s="63">
        <v>10029.0</v>
      </c>
      <c r="B31" s="44" t="s">
        <v>760</v>
      </c>
      <c r="C31" s="63" t="s">
        <v>43</v>
      </c>
      <c r="D31" s="63" t="s">
        <v>729</v>
      </c>
      <c r="E31" s="63"/>
      <c r="F31" s="83" t="str">
        <f t="shared" si="3"/>
        <v>1,1</v>
      </c>
      <c r="G31" s="44" t="s">
        <v>1144</v>
      </c>
      <c r="H31" s="63"/>
      <c r="I31" s="63">
        <v>110001.0</v>
      </c>
      <c r="J31" s="59">
        <f t="shared" ref="J31:K31" si="70">J30+1</f>
        <v>210029</v>
      </c>
      <c r="K31" s="63">
        <f t="shared" si="70"/>
        <v>310029</v>
      </c>
      <c r="L31" s="73">
        <v>2.0</v>
      </c>
      <c r="M31" s="63"/>
      <c r="N31" s="63">
        <v>450.0</v>
      </c>
      <c r="O31" s="63">
        <v>53.0</v>
      </c>
      <c r="P31" s="63">
        <v>9.0</v>
      </c>
      <c r="Q31" s="63">
        <v>33.0</v>
      </c>
      <c r="R31" s="63">
        <v>21.0</v>
      </c>
      <c r="S31" s="63">
        <v>57.0</v>
      </c>
      <c r="T31" s="63">
        <v>8.0</v>
      </c>
      <c r="U31" s="85"/>
      <c r="V31" s="86">
        <f t="shared" si="6"/>
        <v>438</v>
      </c>
      <c r="W31" s="43"/>
      <c r="X31" s="43">
        <v>9129.0</v>
      </c>
      <c r="Y31" s="87">
        <f t="shared" si="7"/>
        <v>5</v>
      </c>
      <c r="Z31" s="43" t="str">
        <f t="shared" si="8"/>
        <v>905</v>
      </c>
      <c r="AA31" s="43">
        <v>900.0</v>
      </c>
      <c r="AB31" s="43">
        <f t="shared" si="23"/>
        <v>210029</v>
      </c>
      <c r="AC31" s="43">
        <f t="shared" ref="AC31:AE31" si="71">AB31</f>
        <v>210029</v>
      </c>
      <c r="AD31" s="43">
        <f t="shared" si="71"/>
        <v>210029</v>
      </c>
      <c r="AE31" s="43">
        <f t="shared" si="71"/>
        <v>210029</v>
      </c>
      <c r="AF31" s="43">
        <f t="shared" si="25"/>
        <v>210029</v>
      </c>
      <c r="AG31" s="43">
        <f t="shared" si="26"/>
        <v>310029</v>
      </c>
      <c r="AH31" s="43">
        <f t="shared" ref="AH31:AJ31" si="72">AG31</f>
        <v>310029</v>
      </c>
      <c r="AI31" s="43">
        <f t="shared" si="72"/>
        <v>310029</v>
      </c>
      <c r="AJ31" s="43">
        <f t="shared" si="72"/>
        <v>310029</v>
      </c>
      <c r="AK31" s="43">
        <f t="shared" si="28"/>
        <v>310029</v>
      </c>
    </row>
    <row r="32">
      <c r="A32" s="63">
        <v>10030.0</v>
      </c>
      <c r="B32" s="44" t="s">
        <v>768</v>
      </c>
      <c r="C32" s="63" t="s">
        <v>43</v>
      </c>
      <c r="D32" s="63" t="s">
        <v>729</v>
      </c>
      <c r="E32" s="63"/>
      <c r="F32" s="83" t="str">
        <f t="shared" si="3"/>
        <v>1,1</v>
      </c>
      <c r="G32" s="44" t="s">
        <v>1152</v>
      </c>
      <c r="H32" s="63"/>
      <c r="I32" s="63">
        <v>110012.0</v>
      </c>
      <c r="J32" s="59">
        <f t="shared" ref="J32:K32" si="73">J31+1</f>
        <v>210030</v>
      </c>
      <c r="K32" s="63">
        <f t="shared" si="73"/>
        <v>310030</v>
      </c>
      <c r="L32" s="73">
        <v>1.0</v>
      </c>
      <c r="M32" s="63"/>
      <c r="N32" s="63">
        <v>665.0</v>
      </c>
      <c r="O32" s="63">
        <v>10.0</v>
      </c>
      <c r="P32" s="91">
        <v>41.0</v>
      </c>
      <c r="Q32" s="63">
        <v>37.0</v>
      </c>
      <c r="R32" s="63">
        <v>55.0</v>
      </c>
      <c r="S32" s="63">
        <v>82.0</v>
      </c>
      <c r="T32" s="63">
        <v>7.0</v>
      </c>
      <c r="U32" s="85"/>
      <c r="V32" s="86">
        <f t="shared" si="6"/>
        <v>592.5</v>
      </c>
      <c r="W32" s="43"/>
      <c r="X32" s="43">
        <v>9130.0</v>
      </c>
      <c r="Y32" s="87">
        <f t="shared" si="7"/>
        <v>5</v>
      </c>
      <c r="Z32" s="43" t="str">
        <f t="shared" si="8"/>
        <v>904</v>
      </c>
      <c r="AA32" s="43">
        <v>900.0</v>
      </c>
      <c r="AB32" s="43">
        <f t="shared" si="23"/>
        <v>210030</v>
      </c>
      <c r="AC32" s="43">
        <f t="shared" ref="AC32:AE32" si="74">AB32</f>
        <v>210030</v>
      </c>
      <c r="AD32" s="43">
        <f t="shared" si="74"/>
        <v>210030</v>
      </c>
      <c r="AE32" s="43">
        <f t="shared" si="74"/>
        <v>210030</v>
      </c>
      <c r="AF32" s="43">
        <f t="shared" si="25"/>
        <v>210030</v>
      </c>
      <c r="AG32" s="43">
        <f t="shared" si="26"/>
        <v>310030</v>
      </c>
      <c r="AH32" s="43">
        <f t="shared" ref="AH32:AJ32" si="75">AG32</f>
        <v>310030</v>
      </c>
      <c r="AI32" s="43">
        <f t="shared" si="75"/>
        <v>310030</v>
      </c>
      <c r="AJ32" s="43">
        <f t="shared" si="75"/>
        <v>310030</v>
      </c>
      <c r="AK32" s="43">
        <f t="shared" si="28"/>
        <v>310030</v>
      </c>
    </row>
    <row r="33">
      <c r="A33" s="63">
        <v>10031.0</v>
      </c>
      <c r="B33" s="44" t="s">
        <v>776</v>
      </c>
      <c r="C33" s="63" t="s">
        <v>43</v>
      </c>
      <c r="D33" s="63" t="s">
        <v>729</v>
      </c>
      <c r="E33" s="63"/>
      <c r="F33" s="83" t="str">
        <f t="shared" si="3"/>
        <v>1,1</v>
      </c>
      <c r="G33" s="44" t="s">
        <v>1163</v>
      </c>
      <c r="H33" s="63"/>
      <c r="I33" s="63">
        <v>110001.0</v>
      </c>
      <c r="J33" s="59">
        <f t="shared" ref="J33:K33" si="76">J32+1</f>
        <v>210031</v>
      </c>
      <c r="K33" s="63">
        <f t="shared" si="76"/>
        <v>310031</v>
      </c>
      <c r="L33" s="73">
        <v>3.0</v>
      </c>
      <c r="M33" s="63"/>
      <c r="N33" s="63">
        <v>500.0</v>
      </c>
      <c r="O33" s="63">
        <v>49.0</v>
      </c>
      <c r="P33" s="63">
        <v>8.0</v>
      </c>
      <c r="Q33" s="63">
        <v>33.0</v>
      </c>
      <c r="R33" s="63">
        <v>21.0</v>
      </c>
      <c r="S33" s="63">
        <v>54.0</v>
      </c>
      <c r="T33" s="63">
        <v>9.0</v>
      </c>
      <c r="U33" s="85"/>
      <c r="V33" s="86">
        <f t="shared" si="6"/>
        <v>460</v>
      </c>
      <c r="W33" s="43"/>
      <c r="X33" s="43">
        <v>9127.0</v>
      </c>
      <c r="Y33" s="87">
        <f t="shared" si="7"/>
        <v>5</v>
      </c>
      <c r="Z33" s="43" t="str">
        <f t="shared" si="8"/>
        <v>905</v>
      </c>
      <c r="AA33" s="43">
        <v>900.0</v>
      </c>
      <c r="AB33" s="43">
        <f t="shared" si="23"/>
        <v>210031</v>
      </c>
      <c r="AC33" s="43">
        <f t="shared" ref="AC33:AE33" si="77">AB33</f>
        <v>210031</v>
      </c>
      <c r="AD33" s="43">
        <f t="shared" si="77"/>
        <v>210031</v>
      </c>
      <c r="AE33" s="43">
        <f t="shared" si="77"/>
        <v>210031</v>
      </c>
      <c r="AF33" s="43">
        <f t="shared" si="25"/>
        <v>210031</v>
      </c>
      <c r="AG33" s="43">
        <f t="shared" si="26"/>
        <v>310031</v>
      </c>
      <c r="AH33" s="43">
        <f t="shared" ref="AH33:AJ33" si="78">AG33</f>
        <v>310031</v>
      </c>
      <c r="AI33" s="43">
        <f t="shared" si="78"/>
        <v>310031</v>
      </c>
      <c r="AJ33" s="43">
        <f t="shared" si="78"/>
        <v>310031</v>
      </c>
      <c r="AK33" s="43">
        <f t="shared" si="28"/>
        <v>310031</v>
      </c>
    </row>
    <row r="34">
      <c r="F34" s="105"/>
      <c r="G34" s="45"/>
      <c r="U34" s="80"/>
      <c r="AB34" s="50"/>
    </row>
    <row r="35">
      <c r="A35" s="40" t="s">
        <v>673</v>
      </c>
      <c r="B35" s="40" t="s">
        <v>674</v>
      </c>
      <c r="C35" s="40" t="s">
        <v>676</v>
      </c>
      <c r="D35" s="40" t="s">
        <v>469</v>
      </c>
      <c r="E35" s="40" t="s">
        <v>677</v>
      </c>
      <c r="F35" s="56" t="s">
        <v>680</v>
      </c>
      <c r="G35" s="40" t="s">
        <v>538</v>
      </c>
      <c r="H35" s="40" t="s">
        <v>683</v>
      </c>
      <c r="I35" s="40" t="s">
        <v>684</v>
      </c>
      <c r="J35" s="40" t="s">
        <v>686</v>
      </c>
      <c r="K35" s="40" t="s">
        <v>687</v>
      </c>
      <c r="L35" s="40" t="s">
        <v>540</v>
      </c>
      <c r="M35" s="40" t="s">
        <v>688</v>
      </c>
      <c r="N35" s="40" t="s">
        <v>68</v>
      </c>
      <c r="O35" s="40" t="s">
        <v>250</v>
      </c>
      <c r="P35" s="40" t="s">
        <v>252</v>
      </c>
      <c r="Q35" s="40" t="s">
        <v>254</v>
      </c>
      <c r="R35" s="40" t="s">
        <v>256</v>
      </c>
      <c r="S35" s="40" t="s">
        <v>73</v>
      </c>
      <c r="T35" s="40" t="s">
        <v>265</v>
      </c>
      <c r="U35" s="81" t="s">
        <v>698</v>
      </c>
      <c r="V35" s="43" t="s">
        <v>699</v>
      </c>
      <c r="W35" s="40" t="s">
        <v>701</v>
      </c>
      <c r="X35" s="40" t="s">
        <v>703</v>
      </c>
      <c r="Y35" s="82" t="s">
        <v>704</v>
      </c>
      <c r="Z35" s="43" t="s">
        <v>707</v>
      </c>
      <c r="AA35" s="43" t="s">
        <v>708</v>
      </c>
      <c r="AB35" s="43" t="s">
        <v>710</v>
      </c>
      <c r="AC35" s="43" t="s">
        <v>712</v>
      </c>
      <c r="AD35" s="43" t="s">
        <v>713</v>
      </c>
      <c r="AE35" s="43" t="s">
        <v>714</v>
      </c>
      <c r="AF35" s="43" t="s">
        <v>715</v>
      </c>
      <c r="AG35" s="43" t="s">
        <v>716</v>
      </c>
      <c r="AH35" s="43" t="s">
        <v>719</v>
      </c>
      <c r="AI35" s="43" t="s">
        <v>721</v>
      </c>
      <c r="AJ35" s="43" t="s">
        <v>722</v>
      </c>
      <c r="AK35" s="43" t="s">
        <v>723</v>
      </c>
    </row>
    <row r="36">
      <c r="A36" s="63">
        <v>90001.0</v>
      </c>
      <c r="B36" s="63" t="s">
        <v>51</v>
      </c>
      <c r="C36" s="63" t="s">
        <v>43</v>
      </c>
      <c r="D36" s="63" t="s">
        <v>1181</v>
      </c>
      <c r="E36" s="63" t="s">
        <v>1182</v>
      </c>
      <c r="F36" s="63" t="s">
        <v>1183</v>
      </c>
      <c r="G36" s="63"/>
      <c r="H36" s="107" t="str">
        <f t="shared" ref="H36:H48" si="79">"1001,1002,1003,1004,1005,2001,2002,2003,2004,2005,1997"</f>
        <v>1001,1002,1003,1004,1005,2001,2002,2003,2004,2005,1997</v>
      </c>
      <c r="I36" s="63">
        <v>110001.0</v>
      </c>
      <c r="J36" s="59">
        <f t="shared" ref="J36:J42" si="80">A36+800000</f>
        <v>890001</v>
      </c>
      <c r="K36" s="59">
        <f t="shared" ref="K36:K42" si="81">J36+100000</f>
        <v>990001</v>
      </c>
      <c r="L36" s="59"/>
      <c r="M36" s="63" t="str">
        <f>"{1.1},{1.1},{0.3},{1},{0.3}"</f>
        <v>{1.1},{1.1},{0.3},{1},{0.3}</v>
      </c>
      <c r="N36" s="63">
        <v>500.0</v>
      </c>
      <c r="O36" s="63">
        <v>99.0</v>
      </c>
      <c r="P36" s="63">
        <v>35.0</v>
      </c>
      <c r="Q36" s="63">
        <v>75.0</v>
      </c>
      <c r="R36" s="63">
        <v>47.0</v>
      </c>
      <c r="S36" s="63"/>
      <c r="T36" s="63">
        <v>11.0</v>
      </c>
      <c r="U36" s="85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63">
        <v>90002.0</v>
      </c>
      <c r="B37" s="63" t="s">
        <v>89</v>
      </c>
      <c r="C37" s="63" t="s">
        <v>43</v>
      </c>
      <c r="D37" s="63" t="s">
        <v>1181</v>
      </c>
      <c r="E37" s="63" t="s">
        <v>1197</v>
      </c>
      <c r="F37" s="63" t="s">
        <v>1183</v>
      </c>
      <c r="G37" s="63"/>
      <c r="H37" s="107" t="str">
        <f t="shared" si="79"/>
        <v>1001,1002,1003,1004,1005,2001,2002,2003,2004,2005,1997</v>
      </c>
      <c r="I37" s="63">
        <v>110001.0</v>
      </c>
      <c r="J37" s="59">
        <f t="shared" si="80"/>
        <v>890002</v>
      </c>
      <c r="K37" s="59">
        <f t="shared" si="81"/>
        <v>990002</v>
      </c>
      <c r="L37" s="59"/>
      <c r="M37" s="63" t="str">
        <f>"{1.5},{0.7},{0.3},{1.2},{1}"</f>
        <v>{1.5},{0.7},{0.3},{1.2},{1}</v>
      </c>
      <c r="N37" s="63">
        <v>680.0</v>
      </c>
      <c r="O37" s="63">
        <v>80.0</v>
      </c>
      <c r="P37" s="63">
        <v>20.0</v>
      </c>
      <c r="Q37" s="63">
        <v>82.0</v>
      </c>
      <c r="R37" s="63">
        <v>77.0</v>
      </c>
      <c r="S37" s="63"/>
      <c r="T37" s="63">
        <v>10.0</v>
      </c>
      <c r="U37" s="85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63">
        <v>90003.0</v>
      </c>
      <c r="B38" s="63" t="s">
        <v>128</v>
      </c>
      <c r="C38" s="63" t="s">
        <v>43</v>
      </c>
      <c r="D38" s="63" t="s">
        <v>1181</v>
      </c>
      <c r="E38" s="63" t="s">
        <v>1182</v>
      </c>
      <c r="F38" s="63" t="s">
        <v>1183</v>
      </c>
      <c r="G38" s="63"/>
      <c r="H38" s="107" t="str">
        <f t="shared" si="79"/>
        <v>1001,1002,1003,1004,1005,2001,2002,2003,2004,2005,1997</v>
      </c>
      <c r="I38" s="63">
        <v>110001.0</v>
      </c>
      <c r="J38" s="59">
        <f t="shared" si="80"/>
        <v>890003</v>
      </c>
      <c r="K38" s="59">
        <f t="shared" si="81"/>
        <v>990003</v>
      </c>
      <c r="L38" s="59"/>
      <c r="M38" s="63" t="str">
        <f>"{0.7},{1.4},{0.3},{0.3},{0.4}"</f>
        <v>{0.7},{1.4},{0.3},{0.3},{0.4}</v>
      </c>
      <c r="N38" s="63">
        <v>490.0</v>
      </c>
      <c r="O38" s="63">
        <v>99.0</v>
      </c>
      <c r="P38" s="63">
        <v>35.0</v>
      </c>
      <c r="Q38" s="63">
        <v>63.0</v>
      </c>
      <c r="R38" s="63">
        <v>56.0</v>
      </c>
      <c r="S38" s="63"/>
      <c r="T38" s="63">
        <v>12.0</v>
      </c>
      <c r="U38" s="85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63">
        <v>90004.0</v>
      </c>
      <c r="B39" s="63" t="s">
        <v>153</v>
      </c>
      <c r="C39" s="63" t="s">
        <v>43</v>
      </c>
      <c r="D39" s="63" t="s">
        <v>1181</v>
      </c>
      <c r="E39" s="63" t="s">
        <v>94</v>
      </c>
      <c r="F39" s="63" t="s">
        <v>1183</v>
      </c>
      <c r="G39" s="63"/>
      <c r="H39" s="107" t="str">
        <f t="shared" si="79"/>
        <v>1001,1002,1003,1004,1005,2001,2002,2003,2004,2005,1997</v>
      </c>
      <c r="I39" s="63">
        <v>110001.0</v>
      </c>
      <c r="J39" s="59">
        <f t="shared" si="80"/>
        <v>890004</v>
      </c>
      <c r="K39" s="59">
        <f t="shared" si="81"/>
        <v>990004</v>
      </c>
      <c r="L39" s="59"/>
      <c r="M39" s="63" t="str">
        <f>"{0.8},{1.3},{0.3},{0.3},{0.3}"</f>
        <v>{0.8},{1.3},{0.3},{0.3},{0.3}</v>
      </c>
      <c r="N39" s="63">
        <v>475.0</v>
      </c>
      <c r="O39" s="63">
        <v>50.0</v>
      </c>
      <c r="P39" s="63">
        <v>97.0</v>
      </c>
      <c r="Q39" s="63">
        <v>54.0</v>
      </c>
      <c r="R39" s="63">
        <v>48.0</v>
      </c>
      <c r="S39" s="63"/>
      <c r="T39" s="63">
        <v>13.0</v>
      </c>
      <c r="U39" s="85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63">
        <v>90005.0</v>
      </c>
      <c r="B40" s="63" t="s">
        <v>172</v>
      </c>
      <c r="C40" s="63" t="s">
        <v>43</v>
      </c>
      <c r="D40" s="63" t="s">
        <v>1181</v>
      </c>
      <c r="E40" s="63" t="s">
        <v>66</v>
      </c>
      <c r="F40" s="63" t="s">
        <v>1183</v>
      </c>
      <c r="G40" s="63"/>
      <c r="H40" s="107" t="str">
        <f t="shared" si="79"/>
        <v>1001,1002,1003,1004,1005,2001,2002,2003,2004,2005,1997</v>
      </c>
      <c r="I40" s="63">
        <v>110011.0</v>
      </c>
      <c r="J40" s="59">
        <f t="shared" si="80"/>
        <v>890005</v>
      </c>
      <c r="K40" s="59">
        <f t="shared" si="81"/>
        <v>990005</v>
      </c>
      <c r="L40" s="59"/>
      <c r="M40" s="63" t="str">
        <f>"{1},{0.3},{1.1},{1},{0.3}"</f>
        <v>{1},{0.3},{1.1},{1},{0.3}</v>
      </c>
      <c r="N40" s="63">
        <v>475.0</v>
      </c>
      <c r="O40" s="63">
        <v>20.0</v>
      </c>
      <c r="P40" s="63">
        <v>101.0</v>
      </c>
      <c r="Q40" s="63">
        <v>51.0</v>
      </c>
      <c r="R40" s="63">
        <v>72.0</v>
      </c>
      <c r="S40" s="63"/>
      <c r="T40" s="63">
        <v>11.0</v>
      </c>
      <c r="U40" s="85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63">
        <v>90006.0</v>
      </c>
      <c r="B41" s="63" t="s">
        <v>196</v>
      </c>
      <c r="C41" s="63" t="s">
        <v>43</v>
      </c>
      <c r="D41" s="63" t="s">
        <v>1181</v>
      </c>
      <c r="E41" s="63" t="s">
        <v>66</v>
      </c>
      <c r="F41" s="63" t="s">
        <v>1183</v>
      </c>
      <c r="G41" s="63"/>
      <c r="H41" s="107" t="str">
        <f t="shared" si="79"/>
        <v>1001,1002,1003,1004,1005,2001,2002,2003,2004,2005,1997</v>
      </c>
      <c r="I41" s="63">
        <v>110011.0</v>
      </c>
      <c r="J41" s="59">
        <f t="shared" si="80"/>
        <v>890006</v>
      </c>
      <c r="K41" s="59">
        <f t="shared" si="81"/>
        <v>990006</v>
      </c>
      <c r="L41" s="59"/>
      <c r="M41" s="63" t="str">
        <f>"{1.2},{0.3},{1.1},{1},{0.3}"</f>
        <v>{1.2},{0.3},{1.1},{1},{0.3}</v>
      </c>
      <c r="N41" s="63">
        <v>530.0</v>
      </c>
      <c r="O41" s="63">
        <v>35.0</v>
      </c>
      <c r="P41" s="63">
        <v>99.0</v>
      </c>
      <c r="Q41" s="63">
        <v>67.0</v>
      </c>
      <c r="R41" s="63">
        <v>74.0</v>
      </c>
      <c r="S41" s="63"/>
      <c r="T41" s="63">
        <v>10.0</v>
      </c>
      <c r="U41" s="85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108">
        <v>90007.0</v>
      </c>
      <c r="B42" s="108" t="s">
        <v>133</v>
      </c>
      <c r="C42" s="108" t="s">
        <v>15</v>
      </c>
      <c r="D42" s="108" t="s">
        <v>1181</v>
      </c>
      <c r="E42" s="108" t="s">
        <v>1182</v>
      </c>
      <c r="F42" s="108" t="s">
        <v>1183</v>
      </c>
      <c r="G42" s="108"/>
      <c r="H42" s="110" t="str">
        <f t="shared" si="79"/>
        <v>1001,1002,1003,1004,1005,2001,2002,2003,2004,2005,1997</v>
      </c>
      <c r="I42" s="108">
        <v>110004.0</v>
      </c>
      <c r="J42" s="113">
        <f t="shared" si="80"/>
        <v>890007</v>
      </c>
      <c r="K42" s="113">
        <f t="shared" si="81"/>
        <v>990007</v>
      </c>
      <c r="L42" s="113"/>
      <c r="M42" s="108" t="s">
        <v>1236</v>
      </c>
      <c r="N42" s="108">
        <f t="shared" ref="N42:R42" si="82">ROUND(N43*1.7,0)</f>
        <v>1445</v>
      </c>
      <c r="O42" s="108">
        <f t="shared" si="82"/>
        <v>286</v>
      </c>
      <c r="P42" s="108">
        <f t="shared" si="82"/>
        <v>102</v>
      </c>
      <c r="Q42" s="108">
        <f t="shared" si="82"/>
        <v>218</v>
      </c>
      <c r="R42" s="108">
        <f t="shared" si="82"/>
        <v>136</v>
      </c>
      <c r="S42" s="108"/>
      <c r="T42" s="108">
        <v>14.0</v>
      </c>
      <c r="U42" s="117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</row>
    <row r="43">
      <c r="A43" s="63">
        <f t="shared" ref="A43:A48" si="84">A42+1</f>
        <v>90008</v>
      </c>
      <c r="B43" s="63" t="s">
        <v>62</v>
      </c>
      <c r="C43" s="63" t="s">
        <v>33</v>
      </c>
      <c r="D43" s="63" t="s">
        <v>1181</v>
      </c>
      <c r="E43" s="63" t="s">
        <v>1182</v>
      </c>
      <c r="F43" s="63" t="s">
        <v>1183</v>
      </c>
      <c r="G43" s="63"/>
      <c r="H43" s="107" t="str">
        <f t="shared" si="79"/>
        <v>1001,1002,1003,1004,1005,2001,2002,2003,2004,2005,1997</v>
      </c>
      <c r="I43" s="63">
        <v>110001.0</v>
      </c>
      <c r="J43" s="59">
        <v>890001.0</v>
      </c>
      <c r="K43" s="59">
        <v>990001.0</v>
      </c>
      <c r="L43" s="59"/>
      <c r="M43" s="63" t="str">
        <f>"{1.3},{1.3},{0.5},{1.2},{0.5}"</f>
        <v>{1.3},{1.3},{0.5},{1.2},{0.5}</v>
      </c>
      <c r="N43" s="63">
        <f t="shared" ref="N43:R43" si="83">Round(N36*1.7,0)</f>
        <v>850</v>
      </c>
      <c r="O43" s="63">
        <f t="shared" si="83"/>
        <v>168</v>
      </c>
      <c r="P43" s="63">
        <f t="shared" si="83"/>
        <v>60</v>
      </c>
      <c r="Q43" s="63">
        <f t="shared" si="83"/>
        <v>128</v>
      </c>
      <c r="R43" s="63">
        <f t="shared" si="83"/>
        <v>80</v>
      </c>
      <c r="S43" s="63"/>
      <c r="T43" s="63">
        <f t="shared" ref="T43:T48" si="86">T36+1</f>
        <v>12</v>
      </c>
      <c r="U43" s="85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63">
        <f t="shared" si="84"/>
        <v>90009</v>
      </c>
      <c r="B44" s="63" t="s">
        <v>71</v>
      </c>
      <c r="C44" s="63" t="s">
        <v>33</v>
      </c>
      <c r="D44" s="63" t="s">
        <v>1181</v>
      </c>
      <c r="E44" s="63" t="s">
        <v>1197</v>
      </c>
      <c r="F44" s="63" t="s">
        <v>1183</v>
      </c>
      <c r="G44" s="63"/>
      <c r="H44" s="107" t="str">
        <f t="shared" si="79"/>
        <v>1001,1002,1003,1004,1005,2001,2002,2003,2004,2005,1997</v>
      </c>
      <c r="I44" s="63">
        <v>110001.0</v>
      </c>
      <c r="J44" s="59">
        <v>890002.0</v>
      </c>
      <c r="K44" s="59">
        <v>990002.0</v>
      </c>
      <c r="L44" s="59"/>
      <c r="M44" s="63" t="str">
        <f>"{1.7},{0.9},{0.5},{1.5},{1.2}"</f>
        <v>{1.7},{0.9},{0.5},{1.5},{1.2}</v>
      </c>
      <c r="N44" s="63">
        <f t="shared" ref="N44:R44" si="85">Round(N37*1.7,0)</f>
        <v>1156</v>
      </c>
      <c r="O44" s="63">
        <f t="shared" si="85"/>
        <v>136</v>
      </c>
      <c r="P44" s="63">
        <f t="shared" si="85"/>
        <v>34</v>
      </c>
      <c r="Q44" s="63">
        <f t="shared" si="85"/>
        <v>139</v>
      </c>
      <c r="R44" s="63">
        <f t="shared" si="85"/>
        <v>131</v>
      </c>
      <c r="S44" s="63"/>
      <c r="T44" s="63">
        <f t="shared" si="86"/>
        <v>11</v>
      </c>
      <c r="U44" s="85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63">
        <f t="shared" si="84"/>
        <v>90010</v>
      </c>
      <c r="B45" s="63" t="s">
        <v>79</v>
      </c>
      <c r="C45" s="63" t="s">
        <v>33</v>
      </c>
      <c r="D45" s="63" t="s">
        <v>1181</v>
      </c>
      <c r="E45" s="63" t="s">
        <v>1182</v>
      </c>
      <c r="F45" s="63" t="s">
        <v>1183</v>
      </c>
      <c r="G45" s="63"/>
      <c r="H45" s="107" t="str">
        <f t="shared" si="79"/>
        <v>1001,1002,1003,1004,1005,2001,2002,2003,2004,2005,1997</v>
      </c>
      <c r="I45" s="63">
        <v>110001.0</v>
      </c>
      <c r="J45" s="59">
        <v>890003.0</v>
      </c>
      <c r="K45" s="59">
        <v>990003.0</v>
      </c>
      <c r="L45" s="59"/>
      <c r="M45" s="63" t="str">
        <f>"{0.9},{1.6},{0.5},{0.5},{0.6}"</f>
        <v>{0.9},{1.6},{0.5},{0.5},{0.6}</v>
      </c>
      <c r="N45" s="63">
        <f t="shared" ref="N45:R45" si="87">Round(N38*1.7,0)</f>
        <v>833</v>
      </c>
      <c r="O45" s="63">
        <f t="shared" si="87"/>
        <v>168</v>
      </c>
      <c r="P45" s="63">
        <f t="shared" si="87"/>
        <v>60</v>
      </c>
      <c r="Q45" s="63">
        <f t="shared" si="87"/>
        <v>107</v>
      </c>
      <c r="R45" s="63">
        <f t="shared" si="87"/>
        <v>95</v>
      </c>
      <c r="S45" s="63"/>
      <c r="T45" s="63">
        <f t="shared" si="86"/>
        <v>13</v>
      </c>
      <c r="U45" s="85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63">
        <f t="shared" si="84"/>
        <v>90011</v>
      </c>
      <c r="B46" s="63" t="s">
        <v>86</v>
      </c>
      <c r="C46" s="63" t="s">
        <v>33</v>
      </c>
      <c r="D46" s="63" t="s">
        <v>1181</v>
      </c>
      <c r="E46" s="63" t="s">
        <v>94</v>
      </c>
      <c r="F46" s="63" t="s">
        <v>1183</v>
      </c>
      <c r="G46" s="63"/>
      <c r="H46" s="107" t="str">
        <f t="shared" si="79"/>
        <v>1001,1002,1003,1004,1005,2001,2002,2003,2004,2005,1997</v>
      </c>
      <c r="I46" s="63">
        <v>110001.0</v>
      </c>
      <c r="J46" s="59">
        <v>890004.0</v>
      </c>
      <c r="K46" s="59">
        <v>990004.0</v>
      </c>
      <c r="L46" s="59"/>
      <c r="M46" s="63" t="str">
        <f>"{1},{1.5},{0.5},{0.5},{0.5}"</f>
        <v>{1},{1.5},{0.5},{0.5},{0.5}</v>
      </c>
      <c r="N46" s="63">
        <f t="shared" ref="N46:R46" si="88">Round(N39*1.7,0)</f>
        <v>808</v>
      </c>
      <c r="O46" s="63">
        <f t="shared" si="88"/>
        <v>85</v>
      </c>
      <c r="P46" s="63">
        <f t="shared" si="88"/>
        <v>165</v>
      </c>
      <c r="Q46" s="63">
        <f t="shared" si="88"/>
        <v>92</v>
      </c>
      <c r="R46" s="63">
        <f t="shared" si="88"/>
        <v>82</v>
      </c>
      <c r="S46" s="63"/>
      <c r="T46" s="63">
        <f t="shared" si="86"/>
        <v>14</v>
      </c>
      <c r="U46" s="85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63">
        <f t="shared" si="84"/>
        <v>90012</v>
      </c>
      <c r="B47" s="63" t="s">
        <v>97</v>
      </c>
      <c r="C47" s="63" t="s">
        <v>33</v>
      </c>
      <c r="D47" s="63" t="s">
        <v>1181</v>
      </c>
      <c r="E47" s="63" t="s">
        <v>66</v>
      </c>
      <c r="F47" s="63" t="s">
        <v>1183</v>
      </c>
      <c r="G47" s="63"/>
      <c r="H47" s="107" t="str">
        <f t="shared" si="79"/>
        <v>1001,1002,1003,1004,1005,2001,2002,2003,2004,2005,1997</v>
      </c>
      <c r="I47" s="63">
        <v>110011.0</v>
      </c>
      <c r="J47" s="59">
        <v>890005.0</v>
      </c>
      <c r="K47" s="59">
        <v>990005.0</v>
      </c>
      <c r="L47" s="59"/>
      <c r="M47" s="63" t="str">
        <f>"{1.2},{0.5},{1.3},{1.2},{0.5}"</f>
        <v>{1.2},{0.5},{1.3},{1.2},{0.5}</v>
      </c>
      <c r="N47" s="63">
        <f t="shared" ref="N47:R47" si="89">Round(N40*1.7,0)</f>
        <v>808</v>
      </c>
      <c r="O47" s="63">
        <f t="shared" si="89"/>
        <v>34</v>
      </c>
      <c r="P47" s="63">
        <f t="shared" si="89"/>
        <v>172</v>
      </c>
      <c r="Q47" s="63">
        <f t="shared" si="89"/>
        <v>87</v>
      </c>
      <c r="R47" s="63">
        <f t="shared" si="89"/>
        <v>122</v>
      </c>
      <c r="S47" s="63"/>
      <c r="T47" s="63">
        <f t="shared" si="86"/>
        <v>12</v>
      </c>
      <c r="U47" s="85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63">
        <f t="shared" si="84"/>
        <v>90013</v>
      </c>
      <c r="B48" s="63" t="s">
        <v>106</v>
      </c>
      <c r="C48" s="63" t="s">
        <v>33</v>
      </c>
      <c r="D48" s="63" t="s">
        <v>1181</v>
      </c>
      <c r="E48" s="63" t="s">
        <v>66</v>
      </c>
      <c r="F48" s="63" t="s">
        <v>1183</v>
      </c>
      <c r="G48" s="63"/>
      <c r="H48" s="107" t="str">
        <f t="shared" si="79"/>
        <v>1001,1002,1003,1004,1005,2001,2002,2003,2004,2005,1997</v>
      </c>
      <c r="I48" s="63">
        <v>110011.0</v>
      </c>
      <c r="J48" s="59">
        <v>890006.0</v>
      </c>
      <c r="K48" s="59">
        <v>990006.0</v>
      </c>
      <c r="L48" s="59"/>
      <c r="M48" s="63" t="str">
        <f>"{1.5},{0.5},{1.3},{1.2},{0.5}"</f>
        <v>{1.5},{0.5},{1.3},{1.2},{0.5}</v>
      </c>
      <c r="N48" s="63">
        <f t="shared" ref="N48:R48" si="90">Round(N41*1.7,0)</f>
        <v>901</v>
      </c>
      <c r="O48" s="63">
        <f t="shared" si="90"/>
        <v>60</v>
      </c>
      <c r="P48" s="63">
        <f t="shared" si="90"/>
        <v>168</v>
      </c>
      <c r="Q48" s="63">
        <f t="shared" si="90"/>
        <v>114</v>
      </c>
      <c r="R48" s="63">
        <f t="shared" si="90"/>
        <v>126</v>
      </c>
      <c r="S48" s="63"/>
      <c r="T48" s="63">
        <f t="shared" si="86"/>
        <v>11</v>
      </c>
      <c r="U48" s="85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U49" s="80"/>
    </row>
    <row r="50">
      <c r="U50" s="80"/>
    </row>
    <row r="51">
      <c r="U51" s="80"/>
    </row>
    <row r="52">
      <c r="U52" s="80"/>
    </row>
    <row r="53">
      <c r="A53" s="40" t="s">
        <v>673</v>
      </c>
      <c r="B53" s="40" t="s">
        <v>674</v>
      </c>
      <c r="C53" s="40" t="s">
        <v>676</v>
      </c>
      <c r="D53" s="40" t="s">
        <v>469</v>
      </c>
      <c r="E53" s="40" t="s">
        <v>677</v>
      </c>
      <c r="F53" s="56" t="s">
        <v>680</v>
      </c>
      <c r="G53" s="40" t="s">
        <v>538</v>
      </c>
      <c r="H53" s="40" t="s">
        <v>683</v>
      </c>
      <c r="I53" s="40" t="s">
        <v>684</v>
      </c>
      <c r="J53" s="40" t="s">
        <v>686</v>
      </c>
      <c r="K53" s="40" t="s">
        <v>687</v>
      </c>
      <c r="L53" s="40" t="s">
        <v>540</v>
      </c>
      <c r="M53" s="40" t="s">
        <v>688</v>
      </c>
      <c r="N53" s="40" t="s">
        <v>689</v>
      </c>
      <c r="O53" s="40" t="s">
        <v>690</v>
      </c>
      <c r="P53" s="40" t="s">
        <v>693</v>
      </c>
      <c r="Q53" s="40" t="s">
        <v>694</v>
      </c>
      <c r="R53" s="40" t="s">
        <v>696</v>
      </c>
      <c r="S53" s="40" t="s">
        <v>697</v>
      </c>
      <c r="T53" s="40" t="s">
        <v>80</v>
      </c>
      <c r="U53" s="81" t="s">
        <v>698</v>
      </c>
      <c r="V53" s="43" t="s">
        <v>699</v>
      </c>
      <c r="W53" s="40" t="s">
        <v>701</v>
      </c>
      <c r="X53" s="40" t="s">
        <v>703</v>
      </c>
      <c r="Y53" s="82" t="s">
        <v>704</v>
      </c>
      <c r="Z53" s="43" t="s">
        <v>707</v>
      </c>
      <c r="AA53" s="43" t="s">
        <v>708</v>
      </c>
      <c r="AB53" s="43" t="s">
        <v>710</v>
      </c>
      <c r="AC53" s="43" t="s">
        <v>712</v>
      </c>
      <c r="AD53" s="43" t="s">
        <v>713</v>
      </c>
      <c r="AE53" s="43" t="s">
        <v>714</v>
      </c>
      <c r="AF53" s="43" t="s">
        <v>715</v>
      </c>
      <c r="AG53" s="43" t="s">
        <v>716</v>
      </c>
      <c r="AH53" s="43" t="s">
        <v>719</v>
      </c>
      <c r="AI53" s="43" t="s">
        <v>721</v>
      </c>
      <c r="AJ53" s="43" t="s">
        <v>722</v>
      </c>
      <c r="AK53" s="43" t="s">
        <v>723</v>
      </c>
    </row>
    <row r="54">
      <c r="A54" s="63">
        <v>40001.0</v>
      </c>
      <c r="B54" s="44" t="s">
        <v>1287</v>
      </c>
      <c r="C54" s="63" t="s">
        <v>43</v>
      </c>
      <c r="D54" s="63" t="s">
        <v>1288</v>
      </c>
      <c r="E54" s="63" t="str">
        <f t="shared" ref="E54:E69" si="91">if(O54&gt;P54,"物攻","魔攻")</f>
        <v>物攻</v>
      </c>
      <c r="F54" s="83" t="str">
        <f t="shared" ref="F54:F125" si="92">"1,1"</f>
        <v>1,1</v>
      </c>
      <c r="G54" s="44"/>
      <c r="H54" s="63"/>
      <c r="I54" s="118">
        <v>110002.0</v>
      </c>
      <c r="J54" s="63">
        <v>400001.0</v>
      </c>
      <c r="K54" s="63">
        <v>410001.0</v>
      </c>
      <c r="L54" s="73">
        <v>2.0</v>
      </c>
      <c r="M54" s="63"/>
      <c r="N54" s="63">
        <v>550.0</v>
      </c>
      <c r="O54" s="63">
        <v>53.0</v>
      </c>
      <c r="P54" s="63">
        <v>9.0</v>
      </c>
      <c r="Q54" s="63">
        <v>33.0</v>
      </c>
      <c r="R54" s="63">
        <v>21.0</v>
      </c>
      <c r="S54" s="63">
        <v>57.0</v>
      </c>
      <c r="T54" s="63">
        <v>8.0</v>
      </c>
      <c r="U54" s="85"/>
      <c r="V54" s="86">
        <f t="shared" ref="V54:V125" si="93">N54*0.5+O54+P54+Q54+R54+S54+T54*5</f>
        <v>488</v>
      </c>
      <c r="W54" s="43">
        <f t="shared" ref="W54:W125" si="94">if(C54="R",0.08,if(C54="SR",0.02,if(C54="SSR",0.01)))</f>
        <v>0.08</v>
      </c>
      <c r="X54" s="43"/>
      <c r="Y54" s="87"/>
      <c r="Z54" s="43" t="str">
        <f t="shared" ref="Z54:Z125" si="95">if(C54="SSR" ,if(P54&gt;O54,"911","910"),if(C54="SR",if(P54&gt;O54,"912","913" ),if(C54="R",if(P54&gt;O54,"914","915" ))))</f>
        <v>915</v>
      </c>
      <c r="AA54" s="43">
        <v>910.0</v>
      </c>
      <c r="AB54" s="43"/>
      <c r="AC54" s="43"/>
      <c r="AD54" s="43"/>
      <c r="AE54" s="43"/>
      <c r="AF54" s="43"/>
      <c r="AG54" s="43"/>
      <c r="AH54" s="43"/>
      <c r="AI54" s="43"/>
      <c r="AJ54" s="43"/>
      <c r="AK54" s="43"/>
    </row>
    <row r="55">
      <c r="A55" s="63">
        <v>40002.0</v>
      </c>
      <c r="B55" s="44" t="s">
        <v>1300</v>
      </c>
      <c r="C55" s="63" t="s">
        <v>43</v>
      </c>
      <c r="D55" s="63" t="s">
        <v>1288</v>
      </c>
      <c r="E55" s="63" t="str">
        <f t="shared" si="91"/>
        <v>物攻</v>
      </c>
      <c r="F55" s="83" t="str">
        <f t="shared" si="92"/>
        <v>1,1</v>
      </c>
      <c r="G55" s="44"/>
      <c r="H55" s="63"/>
      <c r="I55" s="118">
        <v>110002.0</v>
      </c>
      <c r="J55" s="59">
        <v>400002.0</v>
      </c>
      <c r="K55" s="63">
        <v>410002.0</v>
      </c>
      <c r="L55" s="73">
        <v>1.0</v>
      </c>
      <c r="M55" s="63"/>
      <c r="N55" s="63">
        <v>430.0</v>
      </c>
      <c r="O55" s="63">
        <v>49.0</v>
      </c>
      <c r="P55" s="63">
        <v>11.0</v>
      </c>
      <c r="Q55" s="63">
        <v>36.0</v>
      </c>
      <c r="R55" s="63">
        <v>27.0</v>
      </c>
      <c r="S55" s="63">
        <v>57.0</v>
      </c>
      <c r="T55" s="63">
        <v>8.0</v>
      </c>
      <c r="U55" s="85"/>
      <c r="V55" s="86">
        <f t="shared" si="93"/>
        <v>435</v>
      </c>
      <c r="W55" s="43">
        <f t="shared" si="94"/>
        <v>0.08</v>
      </c>
      <c r="X55" s="43"/>
      <c r="Y55" s="87"/>
      <c r="Z55" s="43" t="str">
        <f t="shared" si="95"/>
        <v>915</v>
      </c>
      <c r="AA55" s="43">
        <v>910.0</v>
      </c>
      <c r="AB55" s="43"/>
      <c r="AC55" s="43"/>
      <c r="AD55" s="43"/>
      <c r="AE55" s="43"/>
      <c r="AF55" s="43"/>
      <c r="AG55" s="43"/>
      <c r="AH55" s="43"/>
      <c r="AI55" s="43"/>
      <c r="AJ55" s="43"/>
      <c r="AK55" s="43"/>
    </row>
    <row r="56">
      <c r="A56" s="63">
        <v>40003.0</v>
      </c>
      <c r="B56" s="44" t="s">
        <v>1306</v>
      </c>
      <c r="C56" s="63" t="s">
        <v>43</v>
      </c>
      <c r="D56" s="63" t="s">
        <v>1288</v>
      </c>
      <c r="E56" s="63" t="str">
        <f t="shared" si="91"/>
        <v>物攻</v>
      </c>
      <c r="F56" s="83" t="str">
        <f t="shared" si="92"/>
        <v>1,1</v>
      </c>
      <c r="G56" s="44"/>
      <c r="H56" s="63"/>
      <c r="I56" s="118">
        <v>110001.0</v>
      </c>
      <c r="J56" s="59">
        <v>400003.0</v>
      </c>
      <c r="K56" s="63">
        <v>410003.0</v>
      </c>
      <c r="L56" s="73">
        <v>2.0</v>
      </c>
      <c r="M56" s="63"/>
      <c r="N56" s="63">
        <v>690.0</v>
      </c>
      <c r="O56" s="63">
        <v>44.0</v>
      </c>
      <c r="P56" s="63">
        <v>9.0</v>
      </c>
      <c r="Q56" s="63">
        <v>41.0</v>
      </c>
      <c r="R56" s="63">
        <v>31.0</v>
      </c>
      <c r="S56" s="63">
        <v>57.0</v>
      </c>
      <c r="T56" s="63">
        <v>8.0</v>
      </c>
      <c r="U56" s="85"/>
      <c r="V56" s="86">
        <f t="shared" si="93"/>
        <v>567</v>
      </c>
      <c r="W56" s="43">
        <f t="shared" si="94"/>
        <v>0.08</v>
      </c>
      <c r="X56" s="43"/>
      <c r="Y56" s="87"/>
      <c r="Z56" s="43" t="str">
        <f t="shared" si="95"/>
        <v>915</v>
      </c>
      <c r="AA56" s="43">
        <v>910.0</v>
      </c>
      <c r="AB56" s="43"/>
      <c r="AC56" s="43"/>
      <c r="AD56" s="43"/>
      <c r="AE56" s="43"/>
      <c r="AF56" s="43"/>
      <c r="AG56" s="43"/>
      <c r="AH56" s="43"/>
      <c r="AI56" s="43"/>
      <c r="AJ56" s="43"/>
      <c r="AK56" s="43"/>
    </row>
    <row r="57">
      <c r="A57" s="63">
        <v>40004.0</v>
      </c>
      <c r="B57" s="44" t="s">
        <v>1310</v>
      </c>
      <c r="C57" s="63" t="s">
        <v>43</v>
      </c>
      <c r="D57" s="63" t="s">
        <v>1288</v>
      </c>
      <c r="E57" s="63" t="str">
        <f t="shared" si="91"/>
        <v>物攻</v>
      </c>
      <c r="F57" s="83" t="str">
        <f t="shared" si="92"/>
        <v>1,1</v>
      </c>
      <c r="G57" s="44"/>
      <c r="H57" s="63"/>
      <c r="I57" s="118">
        <v>110002.0</v>
      </c>
      <c r="J57" s="59">
        <v>400004.0</v>
      </c>
      <c r="K57" s="63">
        <v>410004.0</v>
      </c>
      <c r="L57" s="73">
        <v>3.0</v>
      </c>
      <c r="M57" s="63"/>
      <c r="N57" s="63">
        <v>450.0</v>
      </c>
      <c r="O57" s="63">
        <v>57.0</v>
      </c>
      <c r="P57" s="63">
        <v>9.0</v>
      </c>
      <c r="Q57" s="63">
        <v>27.0</v>
      </c>
      <c r="R57" s="63">
        <v>23.0</v>
      </c>
      <c r="S57" s="63">
        <v>57.0</v>
      </c>
      <c r="T57" s="63">
        <v>8.0</v>
      </c>
      <c r="U57" s="85"/>
      <c r="V57" s="86">
        <f t="shared" si="93"/>
        <v>438</v>
      </c>
      <c r="W57" s="43">
        <f t="shared" si="94"/>
        <v>0.08</v>
      </c>
      <c r="X57" s="43"/>
      <c r="Y57" s="87"/>
      <c r="Z57" s="43" t="str">
        <f t="shared" si="95"/>
        <v>915</v>
      </c>
      <c r="AA57" s="43">
        <v>910.0</v>
      </c>
      <c r="AB57" s="43"/>
      <c r="AC57" s="43"/>
      <c r="AD57" s="43"/>
      <c r="AE57" s="43"/>
      <c r="AF57" s="43"/>
      <c r="AG57" s="43"/>
      <c r="AH57" s="43"/>
      <c r="AI57" s="43"/>
      <c r="AJ57" s="43"/>
      <c r="AK57" s="43"/>
    </row>
    <row r="58">
      <c r="A58" s="63">
        <v>40005.0</v>
      </c>
      <c r="B58" s="44" t="s">
        <v>1317</v>
      </c>
      <c r="C58" s="63" t="s">
        <v>43</v>
      </c>
      <c r="D58" s="63" t="s">
        <v>1288</v>
      </c>
      <c r="E58" s="63" t="str">
        <f t="shared" si="91"/>
        <v>魔攻</v>
      </c>
      <c r="F58" s="83" t="str">
        <f t="shared" si="92"/>
        <v>1,1</v>
      </c>
      <c r="G58" s="44"/>
      <c r="H58" s="63"/>
      <c r="I58" s="118">
        <v>110011.0</v>
      </c>
      <c r="J58" s="59">
        <v>400005.0</v>
      </c>
      <c r="K58" s="63">
        <v>410005.0</v>
      </c>
      <c r="L58" s="73">
        <v>2.0</v>
      </c>
      <c r="M58" s="63"/>
      <c r="N58" s="63">
        <v>480.0</v>
      </c>
      <c r="O58" s="63">
        <v>7.0</v>
      </c>
      <c r="P58" s="63">
        <v>43.0</v>
      </c>
      <c r="Q58" s="63">
        <v>20.0</v>
      </c>
      <c r="R58" s="63">
        <v>35.0</v>
      </c>
      <c r="S58" s="63">
        <v>57.0</v>
      </c>
      <c r="T58" s="63">
        <v>8.0</v>
      </c>
      <c r="U58" s="85"/>
      <c r="V58" s="86">
        <f t="shared" si="93"/>
        <v>442</v>
      </c>
      <c r="W58" s="43">
        <f t="shared" si="94"/>
        <v>0.08</v>
      </c>
      <c r="X58" s="43"/>
      <c r="Y58" s="87"/>
      <c r="Z58" s="43" t="str">
        <f t="shared" si="95"/>
        <v>914</v>
      </c>
      <c r="AA58" s="43">
        <v>910.0</v>
      </c>
      <c r="AB58" s="43"/>
      <c r="AC58" s="43"/>
      <c r="AD58" s="43"/>
      <c r="AE58" s="43"/>
      <c r="AF58" s="43"/>
      <c r="AG58" s="43"/>
      <c r="AH58" s="43"/>
      <c r="AI58" s="43"/>
      <c r="AJ58" s="43"/>
      <c r="AK58" s="43"/>
    </row>
    <row r="59">
      <c r="A59" s="63">
        <v>40006.0</v>
      </c>
      <c r="B59" s="44" t="s">
        <v>1321</v>
      </c>
      <c r="C59" s="63" t="s">
        <v>43</v>
      </c>
      <c r="D59" s="63" t="s">
        <v>1288</v>
      </c>
      <c r="E59" s="63" t="str">
        <f t="shared" si="91"/>
        <v>物攻</v>
      </c>
      <c r="F59" s="83" t="str">
        <f t="shared" si="92"/>
        <v>1,1</v>
      </c>
      <c r="G59" s="44"/>
      <c r="H59" s="63"/>
      <c r="I59" s="118">
        <v>110001.0</v>
      </c>
      <c r="J59" s="59">
        <v>400006.0</v>
      </c>
      <c r="K59" s="63">
        <v>410006.0</v>
      </c>
      <c r="L59" s="73">
        <v>3.0</v>
      </c>
      <c r="M59" s="63"/>
      <c r="N59" s="63">
        <v>450.0</v>
      </c>
      <c r="O59" s="63">
        <v>46.0</v>
      </c>
      <c r="P59" s="63">
        <v>9.0</v>
      </c>
      <c r="Q59" s="63">
        <v>19.0</v>
      </c>
      <c r="R59" s="63">
        <v>19.0</v>
      </c>
      <c r="S59" s="63">
        <v>57.0</v>
      </c>
      <c r="T59" s="63">
        <v>8.0</v>
      </c>
      <c r="U59" s="85"/>
      <c r="V59" s="86">
        <f t="shared" si="93"/>
        <v>415</v>
      </c>
      <c r="W59" s="43">
        <f t="shared" si="94"/>
        <v>0.08</v>
      </c>
      <c r="X59" s="43"/>
      <c r="Y59" s="87"/>
      <c r="Z59" s="43" t="str">
        <f t="shared" si="95"/>
        <v>915</v>
      </c>
      <c r="AA59" s="43">
        <v>910.0</v>
      </c>
      <c r="AB59" s="43"/>
      <c r="AC59" s="43"/>
      <c r="AD59" s="43"/>
      <c r="AE59" s="43"/>
      <c r="AF59" s="43"/>
      <c r="AG59" s="43"/>
      <c r="AH59" s="43"/>
      <c r="AI59" s="43"/>
      <c r="AJ59" s="43"/>
      <c r="AK59" s="43"/>
    </row>
    <row r="60">
      <c r="A60" s="63">
        <v>40007.0</v>
      </c>
      <c r="B60" s="44" t="s">
        <v>1325</v>
      </c>
      <c r="C60" s="63" t="s">
        <v>43</v>
      </c>
      <c r="D60" s="63" t="s">
        <v>1288</v>
      </c>
      <c r="E60" s="63" t="str">
        <f t="shared" si="91"/>
        <v>魔攻</v>
      </c>
      <c r="F60" s="83" t="str">
        <f t="shared" si="92"/>
        <v>1,1</v>
      </c>
      <c r="G60" s="44"/>
      <c r="H60" s="63"/>
      <c r="I60" s="118">
        <v>110012.0</v>
      </c>
      <c r="J60" s="59">
        <v>400007.0</v>
      </c>
      <c r="K60" s="63">
        <v>410007.0</v>
      </c>
      <c r="L60" s="73">
        <v>1.0</v>
      </c>
      <c r="M60" s="63"/>
      <c r="N60" s="63">
        <v>500.0</v>
      </c>
      <c r="O60" s="63">
        <v>3.0</v>
      </c>
      <c r="P60" s="63">
        <v>55.0</v>
      </c>
      <c r="Q60" s="63">
        <v>21.0</v>
      </c>
      <c r="R60" s="63">
        <v>38.0</v>
      </c>
      <c r="S60" s="63">
        <v>57.0</v>
      </c>
      <c r="T60" s="63">
        <v>8.0</v>
      </c>
      <c r="U60" s="85"/>
      <c r="V60" s="86">
        <f t="shared" si="93"/>
        <v>464</v>
      </c>
      <c r="W60" s="43">
        <f t="shared" si="94"/>
        <v>0.08</v>
      </c>
      <c r="X60" s="43"/>
      <c r="Y60" s="87"/>
      <c r="Z60" s="43" t="str">
        <f t="shared" si="95"/>
        <v>914</v>
      </c>
      <c r="AA60" s="43">
        <v>910.0</v>
      </c>
      <c r="AB60" s="43"/>
      <c r="AC60" s="43"/>
      <c r="AD60" s="43"/>
      <c r="AE60" s="43"/>
      <c r="AF60" s="43"/>
      <c r="AG60" s="43"/>
      <c r="AH60" s="43"/>
      <c r="AI60" s="43"/>
      <c r="AJ60" s="43"/>
      <c r="AK60" s="43"/>
    </row>
    <row r="61">
      <c r="A61" s="63">
        <v>40008.0</v>
      </c>
      <c r="B61" s="44" t="s">
        <v>1330</v>
      </c>
      <c r="C61" s="63" t="s">
        <v>43</v>
      </c>
      <c r="D61" s="63" t="s">
        <v>1288</v>
      </c>
      <c r="E61" s="63" t="str">
        <f t="shared" si="91"/>
        <v>物攻</v>
      </c>
      <c r="F61" s="83" t="str">
        <f t="shared" si="92"/>
        <v>1,1</v>
      </c>
      <c r="G61" s="44"/>
      <c r="H61" s="63"/>
      <c r="I61" s="118">
        <v>110002.0</v>
      </c>
      <c r="J61" s="59">
        <v>400008.0</v>
      </c>
      <c r="K61" s="63">
        <v>410008.0</v>
      </c>
      <c r="L61" s="73">
        <v>1.0</v>
      </c>
      <c r="M61" s="63"/>
      <c r="N61" s="63">
        <v>470.0</v>
      </c>
      <c r="O61" s="63">
        <v>53.0</v>
      </c>
      <c r="P61" s="63">
        <v>9.0</v>
      </c>
      <c r="Q61" s="63">
        <v>33.0</v>
      </c>
      <c r="R61" s="63">
        <v>29.0</v>
      </c>
      <c r="S61" s="63">
        <v>57.0</v>
      </c>
      <c r="T61" s="63">
        <v>8.0</v>
      </c>
      <c r="U61" s="85"/>
      <c r="V61" s="86">
        <f t="shared" si="93"/>
        <v>456</v>
      </c>
      <c r="W61" s="43">
        <f t="shared" si="94"/>
        <v>0.08</v>
      </c>
      <c r="X61" s="43"/>
      <c r="Y61" s="87"/>
      <c r="Z61" s="43" t="str">
        <f t="shared" si="95"/>
        <v>915</v>
      </c>
      <c r="AA61" s="43">
        <v>910.0</v>
      </c>
      <c r="AB61" s="43"/>
      <c r="AC61" s="43"/>
      <c r="AD61" s="43"/>
      <c r="AE61" s="43"/>
      <c r="AF61" s="43"/>
      <c r="AG61" s="43"/>
      <c r="AH61" s="43"/>
      <c r="AI61" s="43"/>
      <c r="AJ61" s="43"/>
      <c r="AK61" s="43"/>
    </row>
    <row r="62">
      <c r="A62" s="63">
        <v>40009.0</v>
      </c>
      <c r="B62" s="44" t="s">
        <v>1334</v>
      </c>
      <c r="C62" s="63" t="s">
        <v>43</v>
      </c>
      <c r="D62" s="63" t="s">
        <v>1288</v>
      </c>
      <c r="E62" s="63" t="str">
        <f t="shared" si="91"/>
        <v>魔攻</v>
      </c>
      <c r="F62" s="83" t="str">
        <f t="shared" si="92"/>
        <v>1,1</v>
      </c>
      <c r="G62" s="44"/>
      <c r="H62" s="63"/>
      <c r="I62" s="118">
        <v>110011.0</v>
      </c>
      <c r="J62" s="59">
        <v>400009.0</v>
      </c>
      <c r="K62" s="63">
        <v>410009.0</v>
      </c>
      <c r="L62" s="73">
        <v>2.0</v>
      </c>
      <c r="M62" s="63"/>
      <c r="N62" s="63">
        <v>490.0</v>
      </c>
      <c r="O62" s="63">
        <v>12.0</v>
      </c>
      <c r="P62" s="63">
        <v>55.0</v>
      </c>
      <c r="Q62" s="63">
        <v>17.0</v>
      </c>
      <c r="R62" s="63">
        <v>37.0</v>
      </c>
      <c r="S62" s="63">
        <v>57.0</v>
      </c>
      <c r="T62" s="63">
        <v>8.0</v>
      </c>
      <c r="U62" s="85"/>
      <c r="V62" s="86">
        <f t="shared" si="93"/>
        <v>463</v>
      </c>
      <c r="W62" s="43">
        <f t="shared" si="94"/>
        <v>0.08</v>
      </c>
      <c r="X62" s="43"/>
      <c r="Y62" s="87"/>
      <c r="Z62" s="43" t="str">
        <f t="shared" si="95"/>
        <v>914</v>
      </c>
      <c r="AA62" s="43">
        <v>910.0</v>
      </c>
      <c r="AB62" s="43"/>
      <c r="AC62" s="43"/>
      <c r="AD62" s="43"/>
      <c r="AE62" s="43"/>
      <c r="AF62" s="43"/>
      <c r="AG62" s="43"/>
      <c r="AH62" s="43"/>
      <c r="AI62" s="43"/>
      <c r="AJ62" s="43"/>
      <c r="AK62" s="43"/>
    </row>
    <row r="63">
      <c r="A63" s="63">
        <v>40010.0</v>
      </c>
      <c r="B63" s="44" t="s">
        <v>1338</v>
      </c>
      <c r="C63" s="63" t="s">
        <v>43</v>
      </c>
      <c r="D63" s="63" t="s">
        <v>1288</v>
      </c>
      <c r="E63" s="63" t="str">
        <f t="shared" si="91"/>
        <v>魔攻</v>
      </c>
      <c r="F63" s="83" t="str">
        <f t="shared" si="92"/>
        <v>1,1</v>
      </c>
      <c r="G63" s="44"/>
      <c r="H63" s="63"/>
      <c r="I63" s="118">
        <v>110012.0</v>
      </c>
      <c r="J63" s="59">
        <v>400010.0</v>
      </c>
      <c r="K63" s="63">
        <v>410010.0</v>
      </c>
      <c r="L63" s="73">
        <v>1.0</v>
      </c>
      <c r="M63" s="63"/>
      <c r="N63" s="63">
        <v>660.0</v>
      </c>
      <c r="O63" s="63">
        <v>15.0</v>
      </c>
      <c r="P63" s="63">
        <v>47.0</v>
      </c>
      <c r="Q63" s="63">
        <v>39.0</v>
      </c>
      <c r="R63" s="63">
        <v>27.0</v>
      </c>
      <c r="S63" s="63">
        <v>57.0</v>
      </c>
      <c r="T63" s="63">
        <v>8.0</v>
      </c>
      <c r="U63" s="85"/>
      <c r="V63" s="86">
        <f t="shared" si="93"/>
        <v>555</v>
      </c>
      <c r="W63" s="43">
        <f t="shared" si="94"/>
        <v>0.08</v>
      </c>
      <c r="X63" s="43"/>
      <c r="Y63" s="87"/>
      <c r="Z63" s="43" t="str">
        <f t="shared" si="95"/>
        <v>914</v>
      </c>
      <c r="AA63" s="43">
        <v>910.0</v>
      </c>
      <c r="AB63" s="43"/>
      <c r="AC63" s="43"/>
      <c r="AD63" s="43"/>
      <c r="AE63" s="43"/>
      <c r="AF63" s="43"/>
      <c r="AG63" s="43"/>
      <c r="AH63" s="43"/>
      <c r="AI63" s="43"/>
      <c r="AJ63" s="43"/>
      <c r="AK63" s="43"/>
    </row>
    <row r="64">
      <c r="A64" s="63">
        <v>40011.0</v>
      </c>
      <c r="B64" s="4" t="s">
        <v>1342</v>
      </c>
      <c r="C64" s="63" t="s">
        <v>43</v>
      </c>
      <c r="D64" s="63" t="s">
        <v>1288</v>
      </c>
      <c r="E64" s="63" t="str">
        <f t="shared" si="91"/>
        <v>魔攻</v>
      </c>
      <c r="F64" s="83" t="str">
        <f t="shared" si="92"/>
        <v>1,1</v>
      </c>
      <c r="G64" s="44"/>
      <c r="H64" s="63"/>
      <c r="I64" s="118">
        <v>110012.0</v>
      </c>
      <c r="J64" s="59">
        <v>400011.0</v>
      </c>
      <c r="K64" s="63">
        <v>410011.0</v>
      </c>
      <c r="L64" s="73">
        <v>1.0</v>
      </c>
      <c r="M64" s="63"/>
      <c r="N64" s="63">
        <v>760.0</v>
      </c>
      <c r="O64" s="63">
        <v>15.0</v>
      </c>
      <c r="P64" s="63">
        <v>40.0</v>
      </c>
      <c r="Q64" s="63">
        <v>20.0</v>
      </c>
      <c r="R64" s="63">
        <v>19.0</v>
      </c>
      <c r="S64" s="63">
        <v>57.0</v>
      </c>
      <c r="T64" s="63">
        <v>8.0</v>
      </c>
      <c r="U64" s="125">
        <v>5.0</v>
      </c>
      <c r="V64" s="86">
        <f t="shared" si="93"/>
        <v>571</v>
      </c>
      <c r="W64" s="43">
        <f t="shared" si="94"/>
        <v>0.08</v>
      </c>
      <c r="X64" s="83"/>
      <c r="Y64" s="63"/>
      <c r="Z64" s="43" t="str">
        <f t="shared" si="95"/>
        <v>914</v>
      </c>
      <c r="AA64" s="43">
        <v>910.0</v>
      </c>
      <c r="AB64" s="83"/>
      <c r="AC64" s="63"/>
      <c r="AD64" s="83"/>
      <c r="AE64" s="63"/>
      <c r="AF64" s="83"/>
      <c r="AG64" s="63"/>
      <c r="AH64" s="83"/>
      <c r="AI64" s="63"/>
      <c r="AJ64" s="83"/>
      <c r="AK64" s="83"/>
    </row>
    <row r="65">
      <c r="A65" s="63">
        <v>40012.0</v>
      </c>
      <c r="B65" s="4" t="s">
        <v>1344</v>
      </c>
      <c r="C65" s="63" t="s">
        <v>43</v>
      </c>
      <c r="D65" s="63" t="s">
        <v>1288</v>
      </c>
      <c r="E65" s="63" t="str">
        <f t="shared" si="91"/>
        <v>魔攻</v>
      </c>
      <c r="F65" s="83" t="str">
        <f t="shared" si="92"/>
        <v>1,1</v>
      </c>
      <c r="G65" s="44"/>
      <c r="H65" s="63"/>
      <c r="I65" s="118">
        <v>110012.0</v>
      </c>
      <c r="J65" s="59">
        <v>400011.0</v>
      </c>
      <c r="K65" s="63">
        <v>410011.0</v>
      </c>
      <c r="L65" s="73">
        <v>1.0</v>
      </c>
      <c r="M65" s="63"/>
      <c r="N65" s="63">
        <v>760.0</v>
      </c>
      <c r="O65" s="63">
        <v>15.0</v>
      </c>
      <c r="P65" s="63">
        <v>40.0</v>
      </c>
      <c r="Q65" s="63">
        <v>20.0</v>
      </c>
      <c r="R65" s="63">
        <v>19.0</v>
      </c>
      <c r="S65" s="63">
        <v>57.0</v>
      </c>
      <c r="T65" s="63">
        <v>8.0</v>
      </c>
      <c r="U65" s="125">
        <v>5.0</v>
      </c>
      <c r="V65" s="86">
        <f t="shared" si="93"/>
        <v>571</v>
      </c>
      <c r="W65" s="43">
        <f t="shared" si="94"/>
        <v>0.08</v>
      </c>
      <c r="X65" s="83"/>
      <c r="Y65" s="63"/>
      <c r="Z65" s="43" t="str">
        <f t="shared" si="95"/>
        <v>914</v>
      </c>
      <c r="AA65" s="43">
        <v>910.0</v>
      </c>
      <c r="AB65" s="83"/>
      <c r="AC65" s="63"/>
      <c r="AD65" s="83"/>
      <c r="AE65" s="63"/>
      <c r="AF65" s="83"/>
      <c r="AG65" s="63"/>
      <c r="AH65" s="83"/>
      <c r="AI65" s="63"/>
      <c r="AJ65" s="83"/>
      <c r="AK65" s="83"/>
    </row>
    <row r="66">
      <c r="A66" s="63">
        <v>40013.0</v>
      </c>
      <c r="B66" s="4" t="s">
        <v>1347</v>
      </c>
      <c r="C66" s="63" t="s">
        <v>43</v>
      </c>
      <c r="D66" s="63" t="s">
        <v>1288</v>
      </c>
      <c r="E66" s="63" t="str">
        <f t="shared" si="91"/>
        <v>魔攻</v>
      </c>
      <c r="F66" s="83" t="str">
        <f t="shared" si="92"/>
        <v>1,1</v>
      </c>
      <c r="G66" s="44"/>
      <c r="H66" s="63"/>
      <c r="I66" s="118">
        <v>110012.0</v>
      </c>
      <c r="J66" s="59">
        <v>400013.0</v>
      </c>
      <c r="K66" s="63">
        <v>410011.0</v>
      </c>
      <c r="L66" s="73">
        <v>1.0</v>
      </c>
      <c r="M66" s="63"/>
      <c r="N66" s="63">
        <v>710.0</v>
      </c>
      <c r="O66" s="63">
        <v>15.0</v>
      </c>
      <c r="P66" s="63">
        <v>44.0</v>
      </c>
      <c r="Q66" s="63">
        <v>18.0</v>
      </c>
      <c r="R66" s="63">
        <v>22.0</v>
      </c>
      <c r="S66" s="63">
        <v>57.0</v>
      </c>
      <c r="T66" s="63">
        <v>8.0</v>
      </c>
      <c r="U66" s="125">
        <v>5.0</v>
      </c>
      <c r="V66" s="86">
        <f t="shared" si="93"/>
        <v>551</v>
      </c>
      <c r="W66" s="43">
        <f t="shared" si="94"/>
        <v>0.08</v>
      </c>
      <c r="X66" s="83"/>
      <c r="Y66" s="63"/>
      <c r="Z66" s="43" t="str">
        <f t="shared" si="95"/>
        <v>914</v>
      </c>
      <c r="AA66" s="43">
        <v>910.0</v>
      </c>
      <c r="AB66" s="83"/>
      <c r="AC66" s="63"/>
      <c r="AD66" s="83"/>
      <c r="AE66" s="63"/>
      <c r="AF66" s="83"/>
      <c r="AG66" s="63"/>
      <c r="AH66" s="83"/>
      <c r="AI66" s="63"/>
      <c r="AJ66" s="83"/>
      <c r="AK66" s="83"/>
    </row>
    <row r="67">
      <c r="A67" s="63">
        <v>40014.0</v>
      </c>
      <c r="B67" s="4" t="s">
        <v>1352</v>
      </c>
      <c r="C67" s="63" t="s">
        <v>43</v>
      </c>
      <c r="D67" s="63" t="s">
        <v>1288</v>
      </c>
      <c r="E67" s="63" t="str">
        <f t="shared" si="91"/>
        <v>魔攻</v>
      </c>
      <c r="F67" s="83" t="str">
        <f t="shared" si="92"/>
        <v>1,1</v>
      </c>
      <c r="G67" s="44"/>
      <c r="H67" s="63"/>
      <c r="I67" s="118">
        <v>110012.0</v>
      </c>
      <c r="J67" s="59">
        <v>400012.0</v>
      </c>
      <c r="K67" s="63">
        <v>410009.0</v>
      </c>
      <c r="L67" s="73">
        <v>2.0</v>
      </c>
      <c r="M67" s="63"/>
      <c r="N67" s="63">
        <v>720.0</v>
      </c>
      <c r="O67" s="63">
        <v>15.0</v>
      </c>
      <c r="P67" s="63">
        <v>48.0</v>
      </c>
      <c r="Q67" s="63">
        <v>22.0</v>
      </c>
      <c r="R67" s="63">
        <v>19.0</v>
      </c>
      <c r="S67" s="63">
        <v>57.0</v>
      </c>
      <c r="T67" s="63">
        <v>8.0</v>
      </c>
      <c r="U67" s="125">
        <v>5.0</v>
      </c>
      <c r="V67" s="86">
        <f t="shared" si="93"/>
        <v>561</v>
      </c>
      <c r="W67" s="43">
        <f t="shared" si="94"/>
        <v>0.08</v>
      </c>
      <c r="X67" s="83"/>
      <c r="Y67" s="63"/>
      <c r="Z67" s="43" t="str">
        <f t="shared" si="95"/>
        <v>914</v>
      </c>
      <c r="AA67" s="43">
        <v>910.0</v>
      </c>
      <c r="AB67" s="83"/>
      <c r="AC67" s="63"/>
      <c r="AD67" s="83"/>
      <c r="AE67" s="63"/>
      <c r="AF67" s="83"/>
      <c r="AG67" s="63"/>
      <c r="AH67" s="83"/>
      <c r="AI67" s="63"/>
      <c r="AJ67" s="83"/>
      <c r="AK67" s="83"/>
    </row>
    <row r="68">
      <c r="A68" s="63">
        <v>40015.0</v>
      </c>
      <c r="B68" s="4" t="s">
        <v>1354</v>
      </c>
      <c r="C68" s="63" t="s">
        <v>43</v>
      </c>
      <c r="D68" s="63" t="s">
        <v>1288</v>
      </c>
      <c r="E68" s="63" t="str">
        <f t="shared" si="91"/>
        <v>物攻</v>
      </c>
      <c r="F68" s="83" t="str">
        <f t="shared" si="92"/>
        <v>1,1</v>
      </c>
      <c r="G68" s="44"/>
      <c r="H68" s="63"/>
      <c r="I68" s="118">
        <v>110011.0</v>
      </c>
      <c r="J68" s="59">
        <v>400014.0</v>
      </c>
      <c r="K68" s="63">
        <v>410006.0</v>
      </c>
      <c r="L68" s="73">
        <v>3.0</v>
      </c>
      <c r="M68" s="63"/>
      <c r="N68" s="63">
        <v>670.0</v>
      </c>
      <c r="O68" s="63">
        <v>49.0</v>
      </c>
      <c r="P68" s="63">
        <v>12.0</v>
      </c>
      <c r="Q68" s="63">
        <v>20.0</v>
      </c>
      <c r="R68" s="63">
        <v>19.0</v>
      </c>
      <c r="S68" s="63">
        <v>57.0</v>
      </c>
      <c r="T68" s="63">
        <v>8.0</v>
      </c>
      <c r="U68" s="125">
        <v>5.0</v>
      </c>
      <c r="V68" s="86">
        <f t="shared" si="93"/>
        <v>532</v>
      </c>
      <c r="W68" s="43">
        <f t="shared" si="94"/>
        <v>0.08</v>
      </c>
      <c r="X68" s="83"/>
      <c r="Y68" s="63"/>
      <c r="Z68" s="43" t="str">
        <f t="shared" si="95"/>
        <v>915</v>
      </c>
      <c r="AA68" s="43">
        <v>910.0</v>
      </c>
      <c r="AB68" s="83"/>
      <c r="AC68" s="63"/>
      <c r="AD68" s="83"/>
      <c r="AE68" s="63"/>
      <c r="AF68" s="83"/>
      <c r="AG68" s="63"/>
      <c r="AH68" s="83"/>
      <c r="AI68" s="63"/>
      <c r="AJ68" s="83"/>
      <c r="AK68" s="83"/>
    </row>
    <row r="69">
      <c r="A69" s="63">
        <v>40016.0</v>
      </c>
      <c r="B69" s="4" t="s">
        <v>1356</v>
      </c>
      <c r="C69" s="63" t="s">
        <v>43</v>
      </c>
      <c r="D69" s="63" t="s">
        <v>1288</v>
      </c>
      <c r="E69" s="63" t="str">
        <f t="shared" si="91"/>
        <v>物攻</v>
      </c>
      <c r="F69" s="83" t="str">
        <f t="shared" si="92"/>
        <v>1,1</v>
      </c>
      <c r="G69" s="44"/>
      <c r="H69" s="63"/>
      <c r="I69" s="118">
        <v>110001.0</v>
      </c>
      <c r="J69" s="59">
        <v>400015.0</v>
      </c>
      <c r="K69" s="63">
        <v>410012.0</v>
      </c>
      <c r="L69" s="73">
        <v>1.0</v>
      </c>
      <c r="M69" s="63"/>
      <c r="N69" s="63">
        <v>790.0</v>
      </c>
      <c r="O69" s="63">
        <v>45.0</v>
      </c>
      <c r="P69" s="63">
        <v>11.0</v>
      </c>
      <c r="Q69" s="63">
        <v>40.0</v>
      </c>
      <c r="R69" s="63">
        <v>32.0</v>
      </c>
      <c r="S69" s="63">
        <v>57.0</v>
      </c>
      <c r="T69" s="63">
        <v>8.0</v>
      </c>
      <c r="U69" s="125"/>
      <c r="V69" s="86">
        <f t="shared" si="93"/>
        <v>620</v>
      </c>
      <c r="W69" s="43">
        <f t="shared" si="94"/>
        <v>0.08</v>
      </c>
      <c r="X69" s="83"/>
      <c r="Y69" s="63"/>
      <c r="Z69" s="43" t="str">
        <f t="shared" si="95"/>
        <v>915</v>
      </c>
      <c r="AA69" s="43">
        <v>910.0</v>
      </c>
      <c r="AB69" s="83"/>
      <c r="AC69" s="63"/>
      <c r="AD69" s="83"/>
      <c r="AE69" s="63"/>
      <c r="AF69" s="83"/>
      <c r="AG69" s="63"/>
      <c r="AH69" s="83"/>
      <c r="AI69" s="63"/>
      <c r="AJ69" s="83"/>
      <c r="AK69" s="83"/>
    </row>
    <row r="70">
      <c r="A70" s="63">
        <v>40017.0</v>
      </c>
      <c r="B70" s="44" t="s">
        <v>1358</v>
      </c>
      <c r="C70" s="63" t="s">
        <v>43</v>
      </c>
      <c r="D70" s="63" t="s">
        <v>1288</v>
      </c>
      <c r="E70" s="63" t="s">
        <v>66</v>
      </c>
      <c r="F70" s="83" t="str">
        <f t="shared" si="92"/>
        <v>1,1</v>
      </c>
      <c r="G70" s="44"/>
      <c r="H70" s="63"/>
      <c r="I70" s="118">
        <v>400011.0</v>
      </c>
      <c r="J70" s="59">
        <v>400005.0</v>
      </c>
      <c r="K70" s="63">
        <v>400018.0</v>
      </c>
      <c r="L70" s="126">
        <f t="shared" ref="L70:L76" si="96">MOD(UNICODE(B10), 3) + 1</f>
        <v>1</v>
      </c>
      <c r="M70" s="63"/>
      <c r="N70" s="63">
        <v>450.0</v>
      </c>
      <c r="O70" s="63">
        <v>9.0</v>
      </c>
      <c r="P70" s="63">
        <v>52.0</v>
      </c>
      <c r="Q70" s="63">
        <v>19.0</v>
      </c>
      <c r="R70" s="63">
        <v>33.0</v>
      </c>
      <c r="S70" s="63">
        <v>57.0</v>
      </c>
      <c r="T70" s="63">
        <v>8.0</v>
      </c>
      <c r="U70" s="125"/>
      <c r="V70" s="86">
        <f t="shared" si="93"/>
        <v>435</v>
      </c>
      <c r="W70" s="43">
        <f t="shared" si="94"/>
        <v>0.08</v>
      </c>
      <c r="X70" s="83"/>
      <c r="Y70" s="63"/>
      <c r="Z70" s="43" t="str">
        <f t="shared" si="95"/>
        <v>914</v>
      </c>
      <c r="AA70" s="43">
        <v>910.0</v>
      </c>
      <c r="AB70" s="83"/>
      <c r="AC70" s="63"/>
      <c r="AD70" s="83"/>
      <c r="AE70" s="63"/>
      <c r="AF70" s="83"/>
      <c r="AG70" s="63"/>
      <c r="AH70" s="83"/>
      <c r="AI70" s="63"/>
      <c r="AJ70" s="83"/>
      <c r="AK70" s="83"/>
    </row>
    <row r="71">
      <c r="A71" s="63">
        <v>40018.0</v>
      </c>
      <c r="B71" s="44" t="s">
        <v>1359</v>
      </c>
      <c r="C71" s="63" t="s">
        <v>43</v>
      </c>
      <c r="D71" s="63" t="s">
        <v>1288</v>
      </c>
      <c r="E71" s="63" t="s">
        <v>66</v>
      </c>
      <c r="F71" s="83" t="str">
        <f t="shared" si="92"/>
        <v>1,1</v>
      </c>
      <c r="G71" s="44"/>
      <c r="H71" s="63"/>
      <c r="I71" s="118">
        <v>400011.0</v>
      </c>
      <c r="J71" s="59">
        <v>400012.0</v>
      </c>
      <c r="K71" s="63">
        <v>400020.0</v>
      </c>
      <c r="L71" s="126">
        <f t="shared" si="96"/>
        <v>2</v>
      </c>
      <c r="M71" s="63"/>
      <c r="N71" s="63">
        <v>510.0</v>
      </c>
      <c r="O71" s="63">
        <v>11.0</v>
      </c>
      <c r="P71" s="63">
        <v>48.0</v>
      </c>
      <c r="Q71" s="63">
        <v>21.0</v>
      </c>
      <c r="R71" s="63">
        <v>29.0</v>
      </c>
      <c r="S71" s="63">
        <v>57.0</v>
      </c>
      <c r="T71" s="63">
        <v>8.0</v>
      </c>
      <c r="U71" s="125"/>
      <c r="V71" s="86">
        <f t="shared" si="93"/>
        <v>461</v>
      </c>
      <c r="W71" s="43">
        <f t="shared" si="94"/>
        <v>0.08</v>
      </c>
      <c r="X71" s="83"/>
      <c r="Y71" s="63"/>
      <c r="Z71" s="43" t="str">
        <f t="shared" si="95"/>
        <v>914</v>
      </c>
      <c r="AA71" s="43">
        <v>910.0</v>
      </c>
      <c r="AB71" s="83"/>
      <c r="AC71" s="63"/>
      <c r="AD71" s="83"/>
      <c r="AE71" s="63"/>
      <c r="AF71" s="83"/>
      <c r="AG71" s="63"/>
      <c r="AH71" s="83"/>
      <c r="AI71" s="63"/>
      <c r="AJ71" s="83"/>
      <c r="AK71" s="83"/>
    </row>
    <row r="72">
      <c r="A72" s="63">
        <v>40019.0</v>
      </c>
      <c r="B72" s="44" t="s">
        <v>1361</v>
      </c>
      <c r="C72" s="63" t="s">
        <v>43</v>
      </c>
      <c r="D72" s="63" t="s">
        <v>1288</v>
      </c>
      <c r="E72" s="63" t="s">
        <v>66</v>
      </c>
      <c r="F72" s="83" t="str">
        <f t="shared" si="92"/>
        <v>1,1</v>
      </c>
      <c r="G72" s="44"/>
      <c r="H72" s="63"/>
      <c r="I72" s="118">
        <v>400002.0</v>
      </c>
      <c r="J72" s="59">
        <v>400015.0</v>
      </c>
      <c r="K72" s="63">
        <v>410020.0</v>
      </c>
      <c r="L72" s="126">
        <f t="shared" si="96"/>
        <v>2</v>
      </c>
      <c r="M72" s="63"/>
      <c r="N72" s="63">
        <v>620.0</v>
      </c>
      <c r="O72" s="63">
        <v>14.0</v>
      </c>
      <c r="P72" s="63">
        <v>45.0</v>
      </c>
      <c r="Q72" s="63">
        <v>28.0</v>
      </c>
      <c r="R72" s="63">
        <v>36.0</v>
      </c>
      <c r="S72" s="63">
        <v>57.0</v>
      </c>
      <c r="T72" s="63">
        <v>8.0</v>
      </c>
      <c r="U72" s="125"/>
      <c r="V72" s="86">
        <f t="shared" si="93"/>
        <v>530</v>
      </c>
      <c r="W72" s="43">
        <f t="shared" si="94"/>
        <v>0.08</v>
      </c>
      <c r="X72" s="83"/>
      <c r="Y72" s="63"/>
      <c r="Z72" s="43" t="str">
        <f t="shared" si="95"/>
        <v>914</v>
      </c>
      <c r="AA72" s="43">
        <v>910.0</v>
      </c>
      <c r="AB72" s="83"/>
      <c r="AC72" s="63"/>
      <c r="AD72" s="83"/>
      <c r="AE72" s="63"/>
      <c r="AF72" s="83"/>
      <c r="AG72" s="63"/>
      <c r="AH72" s="83"/>
      <c r="AI72" s="63"/>
      <c r="AJ72" s="83"/>
      <c r="AK72" s="83"/>
    </row>
    <row r="73">
      <c r="A73" s="63">
        <v>40020.0</v>
      </c>
      <c r="B73" s="44" t="s">
        <v>1362</v>
      </c>
      <c r="C73" s="63" t="s">
        <v>43</v>
      </c>
      <c r="D73" s="63" t="s">
        <v>1288</v>
      </c>
      <c r="E73" s="63" t="s">
        <v>66</v>
      </c>
      <c r="F73" s="83" t="str">
        <f t="shared" si="92"/>
        <v>1,1</v>
      </c>
      <c r="G73" s="44"/>
      <c r="H73" s="63"/>
      <c r="I73" s="118">
        <v>400011.0</v>
      </c>
      <c r="J73" s="59">
        <v>400019.0</v>
      </c>
      <c r="K73" s="63">
        <v>410019.0</v>
      </c>
      <c r="L73" s="126">
        <f t="shared" si="96"/>
        <v>1</v>
      </c>
      <c r="M73" s="63"/>
      <c r="N73" s="63">
        <v>480.0</v>
      </c>
      <c r="O73" s="63">
        <v>12.0</v>
      </c>
      <c r="P73" s="63">
        <v>50.0</v>
      </c>
      <c r="Q73" s="63">
        <v>18.0</v>
      </c>
      <c r="R73" s="63">
        <v>28.0</v>
      </c>
      <c r="S73" s="63">
        <v>57.0</v>
      </c>
      <c r="T73" s="63">
        <v>8.0</v>
      </c>
      <c r="U73" s="125"/>
      <c r="V73" s="86">
        <f t="shared" si="93"/>
        <v>445</v>
      </c>
      <c r="W73" s="43">
        <f t="shared" si="94"/>
        <v>0.08</v>
      </c>
      <c r="X73" s="83"/>
      <c r="Y73" s="63"/>
      <c r="Z73" s="43" t="str">
        <f t="shared" si="95"/>
        <v>914</v>
      </c>
      <c r="AA73" s="43">
        <v>910.0</v>
      </c>
      <c r="AB73" s="83"/>
      <c r="AC73" s="63"/>
      <c r="AD73" s="83"/>
      <c r="AE73" s="63"/>
      <c r="AF73" s="83"/>
      <c r="AG73" s="63"/>
      <c r="AH73" s="83"/>
      <c r="AI73" s="63"/>
      <c r="AJ73" s="83"/>
      <c r="AK73" s="83"/>
    </row>
    <row r="74">
      <c r="A74" s="63">
        <v>40021.0</v>
      </c>
      <c r="B74" s="44" t="s">
        <v>1363</v>
      </c>
      <c r="C74" s="63" t="s">
        <v>43</v>
      </c>
      <c r="D74" s="63" t="s">
        <v>1288</v>
      </c>
      <c r="E74" s="63" t="s">
        <v>1182</v>
      </c>
      <c r="F74" s="83" t="str">
        <f t="shared" si="92"/>
        <v>1,1</v>
      </c>
      <c r="G74" s="44"/>
      <c r="H74" s="63"/>
      <c r="I74" s="118">
        <v>400001.0</v>
      </c>
      <c r="J74" s="59">
        <v>400015.0</v>
      </c>
      <c r="K74" s="63">
        <v>410020.0</v>
      </c>
      <c r="L74" s="126">
        <f t="shared" si="96"/>
        <v>1</v>
      </c>
      <c r="M74" s="63"/>
      <c r="N74" s="63">
        <v>750.0</v>
      </c>
      <c r="O74" s="63">
        <v>46.0</v>
      </c>
      <c r="P74" s="63">
        <v>8.0</v>
      </c>
      <c r="Q74" s="63">
        <v>42.0</v>
      </c>
      <c r="R74" s="63">
        <v>22.0</v>
      </c>
      <c r="S74" s="63">
        <v>57.0</v>
      </c>
      <c r="T74" s="63">
        <v>8.0</v>
      </c>
      <c r="U74" s="125">
        <v>3.0</v>
      </c>
      <c r="V74" s="86">
        <f t="shared" si="93"/>
        <v>590</v>
      </c>
      <c r="W74" s="43">
        <f t="shared" si="94"/>
        <v>0.08</v>
      </c>
      <c r="X74" s="83"/>
      <c r="Y74" s="63"/>
      <c r="Z74" s="43" t="str">
        <f t="shared" si="95"/>
        <v>915</v>
      </c>
      <c r="AA74" s="43">
        <v>910.0</v>
      </c>
      <c r="AB74" s="83"/>
      <c r="AC74" s="63"/>
      <c r="AD74" s="83"/>
      <c r="AE74" s="63"/>
      <c r="AF74" s="83"/>
      <c r="AG74" s="63"/>
      <c r="AH74" s="83"/>
      <c r="AI74" s="63"/>
      <c r="AJ74" s="83"/>
      <c r="AK74" s="83"/>
    </row>
    <row r="75">
      <c r="A75" s="63">
        <v>40022.0</v>
      </c>
      <c r="B75" s="44" t="s">
        <v>1366</v>
      </c>
      <c r="C75" s="63" t="s">
        <v>43</v>
      </c>
      <c r="D75" s="63" t="s">
        <v>1288</v>
      </c>
      <c r="E75" s="63" t="s">
        <v>1182</v>
      </c>
      <c r="F75" s="83" t="str">
        <f t="shared" si="92"/>
        <v>1,1</v>
      </c>
      <c r="G75" s="44"/>
      <c r="H75" s="63"/>
      <c r="I75" s="118">
        <v>400004.0</v>
      </c>
      <c r="J75" s="59">
        <v>400010.0</v>
      </c>
      <c r="K75" s="63">
        <v>400022.0</v>
      </c>
      <c r="L75" s="126">
        <f t="shared" si="96"/>
        <v>3</v>
      </c>
      <c r="M75" s="63"/>
      <c r="N75" s="63">
        <v>550.0</v>
      </c>
      <c r="O75" s="63">
        <v>50.0</v>
      </c>
      <c r="P75" s="63">
        <v>10.0</v>
      </c>
      <c r="Q75" s="63">
        <v>32.0</v>
      </c>
      <c r="R75" s="63">
        <v>24.0</v>
      </c>
      <c r="S75" s="63">
        <v>57.0</v>
      </c>
      <c r="T75" s="63">
        <v>8.0</v>
      </c>
      <c r="U75" s="125"/>
      <c r="V75" s="86">
        <f t="shared" si="93"/>
        <v>488</v>
      </c>
      <c r="W75" s="43">
        <f t="shared" si="94"/>
        <v>0.08</v>
      </c>
      <c r="X75" s="83"/>
      <c r="Y75" s="63"/>
      <c r="Z75" s="43" t="str">
        <f t="shared" si="95"/>
        <v>915</v>
      </c>
      <c r="AA75" s="43">
        <v>910.0</v>
      </c>
      <c r="AB75" s="83"/>
      <c r="AC75" s="63"/>
      <c r="AD75" s="83"/>
      <c r="AE75" s="63"/>
      <c r="AF75" s="83"/>
      <c r="AG75" s="63"/>
      <c r="AH75" s="83"/>
      <c r="AI75" s="63"/>
      <c r="AJ75" s="83"/>
      <c r="AK75" s="83"/>
    </row>
    <row r="76">
      <c r="A76" s="63">
        <v>40023.0</v>
      </c>
      <c r="B76" s="128" t="s">
        <v>1369</v>
      </c>
      <c r="C76" s="63" t="s">
        <v>43</v>
      </c>
      <c r="D76" s="63" t="s">
        <v>1288</v>
      </c>
      <c r="E76" s="63" t="s">
        <v>1182</v>
      </c>
      <c r="F76" s="83" t="str">
        <f t="shared" si="92"/>
        <v>1,1</v>
      </c>
      <c r="G76" s="44"/>
      <c r="H76" s="63"/>
      <c r="I76" s="118">
        <v>400004.0</v>
      </c>
      <c r="J76" s="59">
        <v>400010.0</v>
      </c>
      <c r="K76" s="63">
        <v>400022.0</v>
      </c>
      <c r="L76" s="126">
        <f t="shared" si="96"/>
        <v>1</v>
      </c>
      <c r="M76" s="63"/>
      <c r="N76" s="63">
        <v>550.0</v>
      </c>
      <c r="O76" s="63">
        <v>50.0</v>
      </c>
      <c r="P76" s="63">
        <v>10.0</v>
      </c>
      <c r="Q76" s="63">
        <v>32.0</v>
      </c>
      <c r="R76" s="63">
        <v>24.0</v>
      </c>
      <c r="S76" s="63">
        <v>57.0</v>
      </c>
      <c r="T76" s="63">
        <v>8.0</v>
      </c>
      <c r="U76" s="125"/>
      <c r="V76" s="86">
        <f t="shared" si="93"/>
        <v>488</v>
      </c>
      <c r="W76" s="43">
        <f t="shared" si="94"/>
        <v>0.08</v>
      </c>
      <c r="X76" s="83"/>
      <c r="Y76" s="63"/>
      <c r="Z76" s="43" t="str">
        <f t="shared" si="95"/>
        <v>915</v>
      </c>
      <c r="AA76" s="43">
        <v>910.0</v>
      </c>
      <c r="AB76" s="83"/>
      <c r="AC76" s="63"/>
      <c r="AD76" s="83"/>
      <c r="AE76" s="63"/>
      <c r="AF76" s="83"/>
      <c r="AG76" s="63"/>
      <c r="AH76" s="83"/>
      <c r="AI76" s="63"/>
      <c r="AJ76" s="83"/>
      <c r="AK76" s="83"/>
    </row>
    <row r="77">
      <c r="A77" s="63">
        <v>40024.0</v>
      </c>
      <c r="B77" s="44" t="s">
        <v>1372</v>
      </c>
      <c r="C77" s="63" t="s">
        <v>43</v>
      </c>
      <c r="D77" s="63" t="s">
        <v>1288</v>
      </c>
      <c r="E77" s="63" t="s">
        <v>1182</v>
      </c>
      <c r="F77" s="83" t="str">
        <f t="shared" si="92"/>
        <v>1,1</v>
      </c>
      <c r="G77" s="44"/>
      <c r="H77" s="63"/>
      <c r="I77" s="118">
        <v>400004.0</v>
      </c>
      <c r="J77" s="59">
        <v>400008.0</v>
      </c>
      <c r="K77" s="63">
        <v>410017.0</v>
      </c>
      <c r="L77" s="126">
        <f t="shared" ref="L77:L85" si="97">MOD(UNICODE(B16), 3) + 1</f>
        <v>1</v>
      </c>
      <c r="M77" s="63"/>
      <c r="N77" s="63">
        <v>460.0</v>
      </c>
      <c r="O77" s="63">
        <v>52.0</v>
      </c>
      <c r="P77" s="63">
        <v>9.0</v>
      </c>
      <c r="Q77" s="63">
        <v>26.0</v>
      </c>
      <c r="R77" s="63">
        <v>21.0</v>
      </c>
      <c r="S77" s="63">
        <v>57.0</v>
      </c>
      <c r="T77" s="63">
        <v>8.0</v>
      </c>
      <c r="U77" s="125"/>
      <c r="V77" s="86">
        <f t="shared" si="93"/>
        <v>435</v>
      </c>
      <c r="W77" s="43">
        <f t="shared" si="94"/>
        <v>0.08</v>
      </c>
      <c r="X77" s="83"/>
      <c r="Y77" s="63"/>
      <c r="Z77" s="43" t="str">
        <f t="shared" si="95"/>
        <v>915</v>
      </c>
      <c r="AA77" s="43">
        <v>910.0</v>
      </c>
      <c r="AB77" s="83"/>
      <c r="AC77" s="63"/>
      <c r="AD77" s="83"/>
      <c r="AE77" s="63"/>
      <c r="AF77" s="83"/>
      <c r="AG77" s="63"/>
      <c r="AH77" s="83"/>
      <c r="AI77" s="63"/>
      <c r="AJ77" s="83"/>
      <c r="AK77" s="83"/>
    </row>
    <row r="78">
      <c r="A78" s="63">
        <v>40025.0</v>
      </c>
      <c r="B78" s="44" t="s">
        <v>1377</v>
      </c>
      <c r="C78" s="63" t="s">
        <v>43</v>
      </c>
      <c r="D78" s="63" t="s">
        <v>1288</v>
      </c>
      <c r="E78" s="63" t="s">
        <v>1182</v>
      </c>
      <c r="F78" s="83" t="str">
        <f t="shared" si="92"/>
        <v>1,1</v>
      </c>
      <c r="G78" s="44"/>
      <c r="H78" s="63"/>
      <c r="I78" s="118">
        <v>400002.0</v>
      </c>
      <c r="J78" s="59">
        <v>400010.0</v>
      </c>
      <c r="K78" s="63">
        <v>400026.0</v>
      </c>
      <c r="L78" s="126">
        <f t="shared" si="97"/>
        <v>3</v>
      </c>
      <c r="M78" s="63"/>
      <c r="N78" s="63">
        <v>430.0</v>
      </c>
      <c r="O78" s="63">
        <v>54.0</v>
      </c>
      <c r="P78" s="63">
        <v>11.0</v>
      </c>
      <c r="Q78" s="63">
        <v>24.0</v>
      </c>
      <c r="R78" s="63">
        <v>19.0</v>
      </c>
      <c r="S78" s="63">
        <v>57.0</v>
      </c>
      <c r="T78" s="63">
        <v>8.0</v>
      </c>
      <c r="U78" s="125"/>
      <c r="V78" s="86">
        <f t="shared" si="93"/>
        <v>420</v>
      </c>
      <c r="W78" s="43">
        <f t="shared" si="94"/>
        <v>0.08</v>
      </c>
      <c r="X78" s="83"/>
      <c r="Y78" s="63"/>
      <c r="Z78" s="43" t="str">
        <f t="shared" si="95"/>
        <v>915</v>
      </c>
      <c r="AA78" s="43">
        <v>910.0</v>
      </c>
      <c r="AB78" s="83"/>
      <c r="AC78" s="63"/>
      <c r="AD78" s="83"/>
      <c r="AE78" s="63"/>
      <c r="AF78" s="83"/>
      <c r="AG78" s="63"/>
      <c r="AH78" s="83"/>
      <c r="AI78" s="63"/>
      <c r="AJ78" s="83"/>
      <c r="AK78" s="83"/>
    </row>
    <row r="79">
      <c r="A79" s="63">
        <v>40026.0</v>
      </c>
      <c r="B79" s="44" t="s">
        <v>1379</v>
      </c>
      <c r="C79" s="63" t="s">
        <v>43</v>
      </c>
      <c r="D79" s="63" t="s">
        <v>1288</v>
      </c>
      <c r="E79" s="63" t="s">
        <v>1182</v>
      </c>
      <c r="F79" s="83" t="str">
        <f t="shared" si="92"/>
        <v>1,1</v>
      </c>
      <c r="G79" s="44"/>
      <c r="H79" s="63"/>
      <c r="I79" s="118">
        <v>400004.0</v>
      </c>
      <c r="J79" s="59">
        <v>400008.0</v>
      </c>
      <c r="K79" s="63">
        <v>400027.0</v>
      </c>
      <c r="L79" s="126">
        <f t="shared" si="97"/>
        <v>1</v>
      </c>
      <c r="M79" s="63"/>
      <c r="N79" s="63">
        <v>480.0</v>
      </c>
      <c r="O79" s="63">
        <v>53.0</v>
      </c>
      <c r="P79" s="63">
        <v>12.0</v>
      </c>
      <c r="Q79" s="63">
        <v>27.0</v>
      </c>
      <c r="R79" s="63">
        <v>23.0</v>
      </c>
      <c r="S79" s="63">
        <v>57.0</v>
      </c>
      <c r="T79" s="63">
        <v>8.0</v>
      </c>
      <c r="U79" s="125"/>
      <c r="V79" s="86">
        <f t="shared" si="93"/>
        <v>452</v>
      </c>
      <c r="W79" s="43">
        <f t="shared" si="94"/>
        <v>0.08</v>
      </c>
      <c r="X79" s="83"/>
      <c r="Y79" s="63"/>
      <c r="Z79" s="43" t="str">
        <f t="shared" si="95"/>
        <v>915</v>
      </c>
      <c r="AA79" s="43">
        <v>910.0</v>
      </c>
      <c r="AB79" s="83"/>
      <c r="AC79" s="63"/>
      <c r="AD79" s="83"/>
      <c r="AE79" s="63"/>
      <c r="AF79" s="83"/>
      <c r="AG79" s="63"/>
      <c r="AH79" s="83"/>
      <c r="AI79" s="63"/>
      <c r="AJ79" s="83"/>
      <c r="AK79" s="83"/>
    </row>
    <row r="80">
      <c r="A80" s="63">
        <v>40027.0</v>
      </c>
      <c r="B80" s="44" t="s">
        <v>1383</v>
      </c>
      <c r="C80" s="63" t="s">
        <v>43</v>
      </c>
      <c r="D80" s="63" t="s">
        <v>1288</v>
      </c>
      <c r="E80" s="63" t="s">
        <v>66</v>
      </c>
      <c r="F80" s="83" t="str">
        <f t="shared" si="92"/>
        <v>1,1</v>
      </c>
      <c r="G80" s="44"/>
      <c r="H80" s="63"/>
      <c r="I80" s="118">
        <v>400011.0</v>
      </c>
      <c r="J80" s="59">
        <v>400014.0</v>
      </c>
      <c r="K80" s="63">
        <v>410019.0</v>
      </c>
      <c r="L80" s="126">
        <f t="shared" si="97"/>
        <v>3</v>
      </c>
      <c r="M80" s="63"/>
      <c r="N80" s="63">
        <v>490.0</v>
      </c>
      <c r="O80" s="63">
        <v>8.0</v>
      </c>
      <c r="P80" s="63">
        <v>51.0</v>
      </c>
      <c r="Q80" s="63">
        <v>18.0</v>
      </c>
      <c r="R80" s="63">
        <v>32.0</v>
      </c>
      <c r="S80" s="63">
        <v>57.0</v>
      </c>
      <c r="T80" s="63">
        <v>8.0</v>
      </c>
      <c r="U80" s="125"/>
      <c r="V80" s="86">
        <f t="shared" si="93"/>
        <v>451</v>
      </c>
      <c r="W80" s="43">
        <f t="shared" si="94"/>
        <v>0.08</v>
      </c>
      <c r="X80" s="83"/>
      <c r="Y80" s="63"/>
      <c r="Z80" s="43" t="str">
        <f t="shared" si="95"/>
        <v>914</v>
      </c>
      <c r="AA80" s="43">
        <v>910.0</v>
      </c>
      <c r="AB80" s="83"/>
      <c r="AC80" s="63"/>
      <c r="AD80" s="83"/>
      <c r="AE80" s="63"/>
      <c r="AF80" s="83"/>
      <c r="AG80" s="63"/>
      <c r="AH80" s="83"/>
      <c r="AI80" s="63"/>
      <c r="AJ80" s="83"/>
      <c r="AK80" s="83"/>
    </row>
    <row r="81">
      <c r="A81" s="63">
        <v>40028.0</v>
      </c>
      <c r="B81" s="44" t="s">
        <v>1386</v>
      </c>
      <c r="C81" s="63" t="s">
        <v>43</v>
      </c>
      <c r="D81" s="63" t="s">
        <v>1288</v>
      </c>
      <c r="E81" s="63" t="s">
        <v>66</v>
      </c>
      <c r="F81" s="83" t="str">
        <f t="shared" si="92"/>
        <v>1,1</v>
      </c>
      <c r="G81" s="44"/>
      <c r="H81" s="63"/>
      <c r="I81" s="118">
        <v>400011.0</v>
      </c>
      <c r="J81" s="59">
        <v>400005.0</v>
      </c>
      <c r="K81" s="63">
        <v>410015.0</v>
      </c>
      <c r="L81" s="126">
        <f t="shared" si="97"/>
        <v>1</v>
      </c>
      <c r="M81" s="63"/>
      <c r="N81" s="63">
        <v>450.0</v>
      </c>
      <c r="O81" s="63">
        <v>10.0</v>
      </c>
      <c r="P81" s="63">
        <v>46.0</v>
      </c>
      <c r="Q81" s="63">
        <v>17.0</v>
      </c>
      <c r="R81" s="63">
        <v>34.0</v>
      </c>
      <c r="S81" s="63">
        <v>57.0</v>
      </c>
      <c r="T81" s="63">
        <v>8.0</v>
      </c>
      <c r="U81" s="125"/>
      <c r="V81" s="86">
        <f t="shared" si="93"/>
        <v>429</v>
      </c>
      <c r="W81" s="43">
        <f t="shared" si="94"/>
        <v>0.08</v>
      </c>
      <c r="X81" s="83"/>
      <c r="Y81" s="63"/>
      <c r="Z81" s="43" t="str">
        <f t="shared" si="95"/>
        <v>914</v>
      </c>
      <c r="AA81" s="43">
        <v>910.0</v>
      </c>
      <c r="AB81" s="83"/>
      <c r="AC81" s="63"/>
      <c r="AD81" s="83"/>
      <c r="AE81" s="63"/>
      <c r="AF81" s="83"/>
      <c r="AG81" s="63"/>
      <c r="AH81" s="83"/>
      <c r="AI81" s="63"/>
      <c r="AJ81" s="83"/>
      <c r="AK81" s="83"/>
    </row>
    <row r="82">
      <c r="A82" s="63">
        <v>40029.0</v>
      </c>
      <c r="B82" s="44" t="s">
        <v>1391</v>
      </c>
      <c r="C82" s="63" t="s">
        <v>43</v>
      </c>
      <c r="D82" s="63" t="s">
        <v>1288</v>
      </c>
      <c r="E82" s="63" t="s">
        <v>1182</v>
      </c>
      <c r="F82" s="83" t="str">
        <f t="shared" si="92"/>
        <v>1,1</v>
      </c>
      <c r="G82" s="44"/>
      <c r="H82" s="63"/>
      <c r="I82" s="118">
        <v>400002.0</v>
      </c>
      <c r="J82" s="59">
        <v>400014.0</v>
      </c>
      <c r="K82" s="63">
        <v>400027.0</v>
      </c>
      <c r="L82" s="126">
        <f t="shared" si="97"/>
        <v>2</v>
      </c>
      <c r="M82" s="63"/>
      <c r="N82" s="63">
        <v>680.0</v>
      </c>
      <c r="O82" s="63">
        <v>48.0</v>
      </c>
      <c r="P82" s="63">
        <v>11.0</v>
      </c>
      <c r="Q82" s="63">
        <v>35.0</v>
      </c>
      <c r="R82" s="63">
        <v>27.0</v>
      </c>
      <c r="S82" s="63">
        <v>57.0</v>
      </c>
      <c r="T82" s="63">
        <v>8.0</v>
      </c>
      <c r="U82" s="125"/>
      <c r="V82" s="86">
        <f t="shared" si="93"/>
        <v>558</v>
      </c>
      <c r="W82" s="43">
        <f t="shared" si="94"/>
        <v>0.08</v>
      </c>
      <c r="X82" s="83"/>
      <c r="Y82" s="63"/>
      <c r="Z82" s="43" t="str">
        <f t="shared" si="95"/>
        <v>915</v>
      </c>
      <c r="AA82" s="43">
        <v>910.0</v>
      </c>
      <c r="AB82" s="83"/>
      <c r="AC82" s="63"/>
      <c r="AD82" s="83"/>
      <c r="AE82" s="63"/>
      <c r="AF82" s="83"/>
      <c r="AG82" s="63"/>
      <c r="AH82" s="83"/>
      <c r="AI82" s="63"/>
      <c r="AJ82" s="83"/>
      <c r="AK82" s="83"/>
    </row>
    <row r="83">
      <c r="A83" s="63">
        <v>40030.0</v>
      </c>
      <c r="B83" s="44" t="s">
        <v>1394</v>
      </c>
      <c r="C83" s="63" t="s">
        <v>43</v>
      </c>
      <c r="D83" s="63" t="s">
        <v>1288</v>
      </c>
      <c r="E83" s="63" t="s">
        <v>66</v>
      </c>
      <c r="F83" s="83" t="str">
        <f t="shared" si="92"/>
        <v>1,1</v>
      </c>
      <c r="G83" s="44"/>
      <c r="H83" s="63"/>
      <c r="I83" s="118">
        <v>400011.0</v>
      </c>
      <c r="J83" s="59">
        <v>400007.0</v>
      </c>
      <c r="K83" s="63">
        <v>410015.0</v>
      </c>
      <c r="L83" s="126">
        <f t="shared" si="97"/>
        <v>3</v>
      </c>
      <c r="M83" s="63"/>
      <c r="N83" s="63">
        <v>520.0</v>
      </c>
      <c r="O83" s="63">
        <v>9.0</v>
      </c>
      <c r="P83" s="63">
        <v>43.0</v>
      </c>
      <c r="Q83" s="63">
        <v>22.0</v>
      </c>
      <c r="R83" s="63">
        <v>30.0</v>
      </c>
      <c r="S83" s="63">
        <v>57.0</v>
      </c>
      <c r="T83" s="63">
        <v>8.0</v>
      </c>
      <c r="U83" s="125"/>
      <c r="V83" s="86">
        <f t="shared" si="93"/>
        <v>461</v>
      </c>
      <c r="W83" s="43">
        <f t="shared" si="94"/>
        <v>0.08</v>
      </c>
      <c r="X83" s="83"/>
      <c r="Y83" s="63"/>
      <c r="Z83" s="43" t="str">
        <f t="shared" si="95"/>
        <v>914</v>
      </c>
      <c r="AA83" s="43">
        <v>910.0</v>
      </c>
      <c r="AB83" s="83"/>
      <c r="AC83" s="63"/>
      <c r="AD83" s="83"/>
      <c r="AE83" s="63"/>
      <c r="AF83" s="83"/>
      <c r="AG83" s="63"/>
      <c r="AH83" s="83"/>
      <c r="AI83" s="63"/>
      <c r="AJ83" s="83"/>
      <c r="AK83" s="83"/>
    </row>
    <row r="84">
      <c r="A84" s="63">
        <v>40031.0</v>
      </c>
      <c r="B84" s="44" t="s">
        <v>1396</v>
      </c>
      <c r="C84" s="63" t="s">
        <v>43</v>
      </c>
      <c r="D84" s="63" t="s">
        <v>1288</v>
      </c>
      <c r="E84" s="63" t="s">
        <v>1182</v>
      </c>
      <c r="F84" s="83" t="str">
        <f t="shared" si="92"/>
        <v>1,1</v>
      </c>
      <c r="G84" s="44"/>
      <c r="H84" s="63"/>
      <c r="I84" s="118">
        <v>400004.0</v>
      </c>
      <c r="J84" s="59">
        <v>400002.0</v>
      </c>
      <c r="K84" s="63">
        <v>400016.0</v>
      </c>
      <c r="L84" s="126">
        <f t="shared" si="97"/>
        <v>3</v>
      </c>
      <c r="M84" s="63"/>
      <c r="N84" s="63">
        <v>470.0</v>
      </c>
      <c r="O84" s="63">
        <v>51.0</v>
      </c>
      <c r="P84" s="63">
        <v>9.0</v>
      </c>
      <c r="Q84" s="63">
        <v>28.0</v>
      </c>
      <c r="R84" s="63">
        <v>20.0</v>
      </c>
      <c r="S84" s="63">
        <v>57.0</v>
      </c>
      <c r="T84" s="63">
        <v>8.0</v>
      </c>
      <c r="U84" s="125">
        <v>3.0</v>
      </c>
      <c r="V84" s="86">
        <f t="shared" si="93"/>
        <v>440</v>
      </c>
      <c r="W84" s="43">
        <f t="shared" si="94"/>
        <v>0.08</v>
      </c>
      <c r="X84" s="83"/>
      <c r="Y84" s="63"/>
      <c r="Z84" s="43" t="str">
        <f t="shared" si="95"/>
        <v>915</v>
      </c>
      <c r="AA84" s="43">
        <v>910.0</v>
      </c>
      <c r="AB84" s="83"/>
      <c r="AC84" s="63"/>
      <c r="AD84" s="83"/>
      <c r="AE84" s="63"/>
      <c r="AF84" s="83"/>
      <c r="AG84" s="63"/>
      <c r="AH84" s="83"/>
      <c r="AI84" s="63"/>
      <c r="AJ84" s="83"/>
      <c r="AK84" s="83"/>
    </row>
    <row r="85">
      <c r="A85" s="63">
        <v>40032.0</v>
      </c>
      <c r="B85" s="130" t="s">
        <v>1402</v>
      </c>
      <c r="C85" s="63" t="s">
        <v>43</v>
      </c>
      <c r="D85" s="63" t="s">
        <v>1288</v>
      </c>
      <c r="E85" s="63" t="s">
        <v>1182</v>
      </c>
      <c r="F85" s="83" t="str">
        <f t="shared" si="92"/>
        <v>1,1</v>
      </c>
      <c r="G85" s="44"/>
      <c r="H85" s="63"/>
      <c r="I85" s="118">
        <v>400004.0</v>
      </c>
      <c r="J85" s="59">
        <v>400002.0</v>
      </c>
      <c r="K85" s="63">
        <v>400016.0</v>
      </c>
      <c r="L85" s="126">
        <f t="shared" si="97"/>
        <v>1</v>
      </c>
      <c r="M85" s="63"/>
      <c r="N85" s="63">
        <v>470.0</v>
      </c>
      <c r="O85" s="63">
        <v>51.0</v>
      </c>
      <c r="P85" s="63">
        <v>9.0</v>
      </c>
      <c r="Q85" s="63">
        <v>28.0</v>
      </c>
      <c r="R85" s="63">
        <v>20.0</v>
      </c>
      <c r="S85" s="63">
        <v>57.0</v>
      </c>
      <c r="T85" s="63">
        <v>8.0</v>
      </c>
      <c r="U85" s="125"/>
      <c r="V85" s="86">
        <f t="shared" si="93"/>
        <v>440</v>
      </c>
      <c r="W85" s="43">
        <f t="shared" si="94"/>
        <v>0.08</v>
      </c>
      <c r="X85" s="83"/>
      <c r="Y85" s="63"/>
      <c r="Z85" s="43" t="str">
        <f t="shared" si="95"/>
        <v>915</v>
      </c>
      <c r="AA85" s="43">
        <v>910.0</v>
      </c>
      <c r="AB85" s="83"/>
      <c r="AC85" s="63"/>
      <c r="AD85" s="83"/>
      <c r="AE85" s="63"/>
      <c r="AF85" s="83"/>
      <c r="AG85" s="63"/>
      <c r="AH85" s="83"/>
      <c r="AI85" s="63"/>
      <c r="AJ85" s="83"/>
      <c r="AK85" s="83"/>
    </row>
    <row r="86">
      <c r="A86" s="63">
        <v>40033.0</v>
      </c>
      <c r="B86" s="44" t="s">
        <v>1406</v>
      </c>
      <c r="C86" s="63" t="s">
        <v>43</v>
      </c>
      <c r="D86" s="63" t="s">
        <v>1288</v>
      </c>
      <c r="E86" s="63" t="s">
        <v>1182</v>
      </c>
      <c r="F86" s="83" t="str">
        <f t="shared" si="92"/>
        <v>1,1</v>
      </c>
      <c r="G86" s="44"/>
      <c r="H86" s="63"/>
      <c r="I86" s="118">
        <v>400001.0</v>
      </c>
      <c r="J86" s="59">
        <v>400007.0</v>
      </c>
      <c r="K86" s="63">
        <v>410005.0</v>
      </c>
      <c r="L86" s="126">
        <f t="shared" ref="L86:L87" si="98">MOD(UNICODE(B24), 3) + 1</f>
        <v>1</v>
      </c>
      <c r="M86" s="63"/>
      <c r="N86" s="63">
        <v>710.0</v>
      </c>
      <c r="O86" s="63">
        <v>45.0</v>
      </c>
      <c r="P86" s="63">
        <v>10.0</v>
      </c>
      <c r="Q86" s="63">
        <v>38.0</v>
      </c>
      <c r="R86" s="63">
        <v>25.0</v>
      </c>
      <c r="S86" s="63">
        <v>57.0</v>
      </c>
      <c r="T86" s="63">
        <v>8.0</v>
      </c>
      <c r="U86" s="125">
        <v>5.0</v>
      </c>
      <c r="V86" s="86">
        <f t="shared" si="93"/>
        <v>570</v>
      </c>
      <c r="W86" s="43">
        <f t="shared" si="94"/>
        <v>0.08</v>
      </c>
      <c r="X86" s="83"/>
      <c r="Y86" s="63"/>
      <c r="Z86" s="43" t="str">
        <f t="shared" si="95"/>
        <v>915</v>
      </c>
      <c r="AA86" s="43">
        <v>910.0</v>
      </c>
      <c r="AB86" s="83"/>
      <c r="AC86" s="63"/>
      <c r="AD86" s="83"/>
      <c r="AE86" s="63"/>
      <c r="AF86" s="83"/>
      <c r="AG86" s="63"/>
      <c r="AH86" s="83"/>
      <c r="AI86" s="63"/>
      <c r="AJ86" s="83"/>
      <c r="AK86" s="83"/>
    </row>
    <row r="87">
      <c r="A87" s="63">
        <v>40034.0</v>
      </c>
      <c r="B87" s="44" t="s">
        <v>1409</v>
      </c>
      <c r="C87" s="63" t="s">
        <v>43</v>
      </c>
      <c r="D87" s="63" t="s">
        <v>1288</v>
      </c>
      <c r="E87" s="63" t="s">
        <v>66</v>
      </c>
      <c r="F87" s="83" t="str">
        <f t="shared" si="92"/>
        <v>1,1</v>
      </c>
      <c r="G87" s="44"/>
      <c r="H87" s="63"/>
      <c r="I87" s="118">
        <v>400011.0</v>
      </c>
      <c r="J87" s="59">
        <v>400005.0</v>
      </c>
      <c r="K87" s="63">
        <v>400018.0</v>
      </c>
      <c r="L87" s="126">
        <f t="shared" si="98"/>
        <v>1</v>
      </c>
      <c r="M87" s="63"/>
      <c r="N87" s="63">
        <v>460.0</v>
      </c>
      <c r="O87" s="63">
        <v>8.0</v>
      </c>
      <c r="P87" s="63">
        <v>54.0</v>
      </c>
      <c r="Q87" s="63">
        <v>19.0</v>
      </c>
      <c r="R87" s="63">
        <v>35.0</v>
      </c>
      <c r="S87" s="63">
        <v>57.0</v>
      </c>
      <c r="T87" s="63">
        <v>8.0</v>
      </c>
      <c r="U87" s="125"/>
      <c r="V87" s="86">
        <f t="shared" si="93"/>
        <v>443</v>
      </c>
      <c r="W87" s="43">
        <f t="shared" si="94"/>
        <v>0.08</v>
      </c>
      <c r="X87" s="83"/>
      <c r="Y87" s="63"/>
      <c r="Z87" s="43" t="str">
        <f t="shared" si="95"/>
        <v>914</v>
      </c>
      <c r="AA87" s="43">
        <v>910.0</v>
      </c>
      <c r="AB87" s="83"/>
      <c r="AC87" s="63"/>
      <c r="AD87" s="83"/>
      <c r="AE87" s="63"/>
      <c r="AF87" s="83"/>
      <c r="AG87" s="63"/>
      <c r="AH87" s="83"/>
      <c r="AI87" s="63"/>
      <c r="AJ87" s="83"/>
      <c r="AK87" s="83"/>
    </row>
    <row r="88">
      <c r="A88" s="63">
        <v>40035.0</v>
      </c>
      <c r="B88" s="44" t="s">
        <v>1414</v>
      </c>
      <c r="C88" s="63" t="s">
        <v>43</v>
      </c>
      <c r="D88" s="63" t="s">
        <v>1288</v>
      </c>
      <c r="E88" s="63" t="s">
        <v>66</v>
      </c>
      <c r="F88" s="83" t="str">
        <f t="shared" si="92"/>
        <v>1,1</v>
      </c>
      <c r="G88" s="44"/>
      <c r="H88" s="63"/>
      <c r="I88" s="118">
        <v>400011.0</v>
      </c>
      <c r="J88" s="59">
        <v>400019.0</v>
      </c>
      <c r="K88" s="63">
        <v>410019.0</v>
      </c>
      <c r="L88" s="126">
        <f t="shared" ref="L88:L96" si="99">MOD(UNICODE(B25), 3) + 1</f>
        <v>1</v>
      </c>
      <c r="M88" s="63"/>
      <c r="N88" s="63">
        <v>440.0</v>
      </c>
      <c r="O88" s="63">
        <v>11.0</v>
      </c>
      <c r="P88" s="63">
        <v>49.0</v>
      </c>
      <c r="Q88" s="63">
        <v>17.0</v>
      </c>
      <c r="R88" s="63">
        <v>31.0</v>
      </c>
      <c r="S88" s="63">
        <v>57.0</v>
      </c>
      <c r="T88" s="63">
        <v>8.0</v>
      </c>
      <c r="U88" s="125"/>
      <c r="V88" s="86">
        <f t="shared" si="93"/>
        <v>425</v>
      </c>
      <c r="W88" s="43">
        <f t="shared" si="94"/>
        <v>0.08</v>
      </c>
      <c r="X88" s="83"/>
      <c r="Y88" s="63"/>
      <c r="Z88" s="43" t="str">
        <f t="shared" si="95"/>
        <v>914</v>
      </c>
      <c r="AA88" s="43">
        <v>910.0</v>
      </c>
      <c r="AB88" s="83"/>
      <c r="AC88" s="63"/>
      <c r="AD88" s="83"/>
      <c r="AE88" s="63"/>
      <c r="AF88" s="83"/>
      <c r="AG88" s="63"/>
      <c r="AH88" s="83"/>
      <c r="AI88" s="63"/>
      <c r="AJ88" s="83"/>
      <c r="AK88" s="83"/>
    </row>
    <row r="89">
      <c r="A89" s="63">
        <v>40036.0</v>
      </c>
      <c r="B89" s="44" t="s">
        <v>1418</v>
      </c>
      <c r="C89" s="63" t="s">
        <v>43</v>
      </c>
      <c r="D89" s="63" t="s">
        <v>1288</v>
      </c>
      <c r="E89" s="63" t="s">
        <v>1182</v>
      </c>
      <c r="F89" s="83" t="str">
        <f t="shared" si="92"/>
        <v>1,1</v>
      </c>
      <c r="G89" s="44"/>
      <c r="H89" s="63"/>
      <c r="I89" s="118">
        <v>400001.0</v>
      </c>
      <c r="J89" s="59">
        <v>400015.0</v>
      </c>
      <c r="K89" s="63">
        <v>410001.0</v>
      </c>
      <c r="L89" s="126">
        <f t="shared" si="99"/>
        <v>2</v>
      </c>
      <c r="M89" s="63"/>
      <c r="N89" s="63">
        <v>730.0</v>
      </c>
      <c r="O89" s="63">
        <v>47.0</v>
      </c>
      <c r="P89" s="63">
        <v>8.0</v>
      </c>
      <c r="Q89" s="63">
        <v>40.0</v>
      </c>
      <c r="R89" s="63">
        <v>30.0</v>
      </c>
      <c r="S89" s="63">
        <v>57.0</v>
      </c>
      <c r="T89" s="63">
        <v>8.0</v>
      </c>
      <c r="U89" s="125"/>
      <c r="V89" s="86">
        <f t="shared" si="93"/>
        <v>587</v>
      </c>
      <c r="W89" s="43">
        <f t="shared" si="94"/>
        <v>0.08</v>
      </c>
      <c r="X89" s="83"/>
      <c r="Y89" s="63"/>
      <c r="Z89" s="43" t="str">
        <f t="shared" si="95"/>
        <v>915</v>
      </c>
      <c r="AA89" s="43">
        <v>910.0</v>
      </c>
      <c r="AB89" s="83"/>
      <c r="AC89" s="63"/>
      <c r="AD89" s="83"/>
      <c r="AE89" s="63"/>
      <c r="AF89" s="83"/>
      <c r="AG89" s="63"/>
      <c r="AH89" s="83"/>
      <c r="AI89" s="63"/>
      <c r="AJ89" s="83"/>
      <c r="AK89" s="83"/>
    </row>
    <row r="90">
      <c r="A90" s="63">
        <v>40037.0</v>
      </c>
      <c r="B90" s="44" t="s">
        <v>1421</v>
      </c>
      <c r="C90" s="63" t="s">
        <v>43</v>
      </c>
      <c r="D90" s="63" t="s">
        <v>1288</v>
      </c>
      <c r="E90" s="63" t="s">
        <v>66</v>
      </c>
      <c r="F90" s="83" t="str">
        <f t="shared" si="92"/>
        <v>1,1</v>
      </c>
      <c r="G90" s="44"/>
      <c r="H90" s="63"/>
      <c r="I90" s="118">
        <v>400011.0</v>
      </c>
      <c r="J90" s="59">
        <v>400019.0</v>
      </c>
      <c r="K90" s="63">
        <v>410019.0</v>
      </c>
      <c r="L90" s="126">
        <f t="shared" si="99"/>
        <v>3</v>
      </c>
      <c r="M90" s="63"/>
      <c r="N90" s="63">
        <v>440.0</v>
      </c>
      <c r="O90" s="63">
        <v>11.0</v>
      </c>
      <c r="P90" s="63">
        <v>49.0</v>
      </c>
      <c r="Q90" s="63">
        <v>17.0</v>
      </c>
      <c r="R90" s="63">
        <v>31.0</v>
      </c>
      <c r="S90" s="63">
        <v>57.0</v>
      </c>
      <c r="T90" s="63">
        <v>8.0</v>
      </c>
      <c r="U90" s="125"/>
      <c r="V90" s="86">
        <f t="shared" si="93"/>
        <v>425</v>
      </c>
      <c r="W90" s="43">
        <f t="shared" si="94"/>
        <v>0.08</v>
      </c>
      <c r="X90" s="83"/>
      <c r="Y90" s="63"/>
      <c r="Z90" s="43" t="str">
        <f t="shared" si="95"/>
        <v>914</v>
      </c>
      <c r="AA90" s="43">
        <v>910.0</v>
      </c>
      <c r="AB90" s="83"/>
      <c r="AC90" s="63"/>
      <c r="AD90" s="83"/>
      <c r="AE90" s="63"/>
      <c r="AF90" s="83"/>
      <c r="AG90" s="63"/>
      <c r="AH90" s="83"/>
      <c r="AI90" s="63"/>
      <c r="AJ90" s="83"/>
      <c r="AK90" s="83"/>
    </row>
    <row r="91">
      <c r="A91" s="63">
        <v>40038.0</v>
      </c>
      <c r="B91" s="44" t="s">
        <v>1424</v>
      </c>
      <c r="C91" s="63" t="s">
        <v>43</v>
      </c>
      <c r="D91" s="63" t="s">
        <v>1288</v>
      </c>
      <c r="E91" s="63" t="s">
        <v>66</v>
      </c>
      <c r="F91" s="83" t="str">
        <f t="shared" si="92"/>
        <v>1,1</v>
      </c>
      <c r="G91" s="44"/>
      <c r="H91" s="63"/>
      <c r="I91" s="118">
        <v>400011.0</v>
      </c>
      <c r="J91" s="59">
        <v>400012.0</v>
      </c>
      <c r="K91" s="63">
        <v>400025.0</v>
      </c>
      <c r="L91" s="126">
        <f t="shared" si="99"/>
        <v>2</v>
      </c>
      <c r="M91" s="63"/>
      <c r="N91" s="63">
        <v>500.0</v>
      </c>
      <c r="O91" s="63">
        <v>10.0</v>
      </c>
      <c r="P91" s="63">
        <v>53.0</v>
      </c>
      <c r="Q91" s="63">
        <v>19.0</v>
      </c>
      <c r="R91" s="63">
        <v>28.0</v>
      </c>
      <c r="S91" s="63">
        <v>57.0</v>
      </c>
      <c r="T91" s="63">
        <v>8.0</v>
      </c>
      <c r="U91" s="125"/>
      <c r="V91" s="86">
        <f t="shared" si="93"/>
        <v>457</v>
      </c>
      <c r="W91" s="43">
        <f t="shared" si="94"/>
        <v>0.08</v>
      </c>
      <c r="X91" s="83"/>
      <c r="Y91" s="63"/>
      <c r="Z91" s="43" t="str">
        <f t="shared" si="95"/>
        <v>914</v>
      </c>
      <c r="AA91" s="43">
        <v>910.0</v>
      </c>
      <c r="AB91" s="83"/>
      <c r="AC91" s="63"/>
      <c r="AD91" s="83"/>
      <c r="AE91" s="63"/>
      <c r="AF91" s="83"/>
      <c r="AG91" s="63"/>
      <c r="AH91" s="83"/>
      <c r="AI91" s="63"/>
      <c r="AJ91" s="83"/>
      <c r="AK91" s="83"/>
    </row>
    <row r="92">
      <c r="A92" s="63">
        <v>40039.0</v>
      </c>
      <c r="B92" s="44" t="s">
        <v>1426</v>
      </c>
      <c r="C92" s="63" t="s">
        <v>43</v>
      </c>
      <c r="D92" s="63" t="s">
        <v>1288</v>
      </c>
      <c r="E92" s="63" t="s">
        <v>66</v>
      </c>
      <c r="F92" s="83" t="str">
        <f t="shared" si="92"/>
        <v>1,1</v>
      </c>
      <c r="G92" s="44"/>
      <c r="H92" s="63"/>
      <c r="I92" s="118">
        <v>400011.0</v>
      </c>
      <c r="J92" s="59">
        <v>400013.0</v>
      </c>
      <c r="K92" s="63">
        <v>410021.0</v>
      </c>
      <c r="L92" s="126">
        <f t="shared" si="99"/>
        <v>2</v>
      </c>
      <c r="M92" s="63"/>
      <c r="N92" s="63">
        <v>480.0</v>
      </c>
      <c r="O92" s="63">
        <v>9.0</v>
      </c>
      <c r="P92" s="63">
        <v>50.0</v>
      </c>
      <c r="Q92" s="63">
        <v>18.0</v>
      </c>
      <c r="R92" s="63">
        <v>33.0</v>
      </c>
      <c r="S92" s="63">
        <v>57.0</v>
      </c>
      <c r="T92" s="63">
        <v>8.0</v>
      </c>
      <c r="U92" s="125"/>
      <c r="V92" s="86">
        <f t="shared" si="93"/>
        <v>447</v>
      </c>
      <c r="W92" s="43">
        <f t="shared" si="94"/>
        <v>0.08</v>
      </c>
      <c r="X92" s="83"/>
      <c r="Y92" s="63"/>
      <c r="Z92" s="43" t="str">
        <f t="shared" si="95"/>
        <v>914</v>
      </c>
      <c r="AA92" s="43">
        <v>910.0</v>
      </c>
      <c r="AB92" s="83"/>
      <c r="AC92" s="63"/>
      <c r="AD92" s="83"/>
      <c r="AE92" s="63"/>
      <c r="AF92" s="83"/>
      <c r="AG92" s="63"/>
      <c r="AH92" s="83"/>
      <c r="AI92" s="63"/>
      <c r="AJ92" s="83"/>
      <c r="AK92" s="83"/>
    </row>
    <row r="93">
      <c r="A93" s="63">
        <v>40040.0</v>
      </c>
      <c r="B93" s="44" t="s">
        <v>1429</v>
      </c>
      <c r="C93" s="63" t="s">
        <v>33</v>
      </c>
      <c r="D93" s="63" t="s">
        <v>1288</v>
      </c>
      <c r="E93" s="63" t="s">
        <v>66</v>
      </c>
      <c r="F93" s="83" t="str">
        <f t="shared" si="92"/>
        <v>1,1</v>
      </c>
      <c r="G93" s="44"/>
      <c r="H93" s="63"/>
      <c r="I93" s="118">
        <v>400011.0</v>
      </c>
      <c r="J93" s="59">
        <v>400015.0</v>
      </c>
      <c r="K93" s="63">
        <v>410020.0</v>
      </c>
      <c r="L93" s="126">
        <f t="shared" si="99"/>
        <v>3</v>
      </c>
      <c r="M93" s="63"/>
      <c r="N93" s="63">
        <v>980.0</v>
      </c>
      <c r="O93" s="63">
        <v>15.0</v>
      </c>
      <c r="P93" s="63">
        <v>65.0</v>
      </c>
      <c r="Q93" s="63">
        <v>45.0</v>
      </c>
      <c r="R93" s="63">
        <v>52.0</v>
      </c>
      <c r="S93" s="63">
        <v>75.0</v>
      </c>
      <c r="T93" s="63">
        <v>10.0</v>
      </c>
      <c r="U93" s="125"/>
      <c r="V93" s="86">
        <f t="shared" si="93"/>
        <v>792</v>
      </c>
      <c r="W93" s="43">
        <f t="shared" si="94"/>
        <v>0.02</v>
      </c>
      <c r="X93" s="83"/>
      <c r="Y93" s="63"/>
      <c r="Z93" s="43" t="str">
        <f t="shared" si="95"/>
        <v>912</v>
      </c>
      <c r="AA93" s="43">
        <v>910.0</v>
      </c>
      <c r="AB93" s="83"/>
      <c r="AC93" s="63"/>
      <c r="AD93" s="83"/>
      <c r="AE93" s="63"/>
      <c r="AF93" s="83"/>
      <c r="AG93" s="63"/>
      <c r="AH93" s="83"/>
      <c r="AI93" s="63"/>
      <c r="AJ93" s="83"/>
      <c r="AK93" s="83"/>
    </row>
    <row r="94">
      <c r="A94" s="63">
        <v>40041.0</v>
      </c>
      <c r="B94" s="44" t="s">
        <v>1432</v>
      </c>
      <c r="C94" s="63" t="s">
        <v>33</v>
      </c>
      <c r="D94" s="63" t="s">
        <v>1288</v>
      </c>
      <c r="E94" s="63" t="s">
        <v>66</v>
      </c>
      <c r="F94" s="83" t="str">
        <f t="shared" si="92"/>
        <v>1,1</v>
      </c>
      <c r="G94" s="44"/>
      <c r="H94" s="63"/>
      <c r="I94" s="118">
        <v>400011.0</v>
      </c>
      <c r="J94" s="59">
        <v>400018.0</v>
      </c>
      <c r="K94" s="63">
        <v>400030.0</v>
      </c>
      <c r="L94" s="126">
        <f t="shared" si="99"/>
        <v>1</v>
      </c>
      <c r="M94" s="63"/>
      <c r="N94" s="63">
        <v>720.0</v>
      </c>
      <c r="O94" s="63">
        <v>14.0</v>
      </c>
      <c r="P94" s="63">
        <v>78.0</v>
      </c>
      <c r="Q94" s="63">
        <v>26.0</v>
      </c>
      <c r="R94" s="63">
        <v>46.0</v>
      </c>
      <c r="S94" s="63">
        <v>75.0</v>
      </c>
      <c r="T94" s="63">
        <v>10.0</v>
      </c>
      <c r="U94" s="125"/>
      <c r="V94" s="86">
        <f t="shared" si="93"/>
        <v>649</v>
      </c>
      <c r="W94" s="43">
        <f t="shared" si="94"/>
        <v>0.02</v>
      </c>
      <c r="X94" s="83"/>
      <c r="Y94" s="63"/>
      <c r="Z94" s="43" t="str">
        <f t="shared" si="95"/>
        <v>912</v>
      </c>
      <c r="AA94" s="43">
        <v>910.0</v>
      </c>
      <c r="AB94" s="83"/>
      <c r="AC94" s="63"/>
      <c r="AD94" s="83"/>
      <c r="AE94" s="63"/>
      <c r="AF94" s="83"/>
      <c r="AG94" s="63"/>
      <c r="AH94" s="83"/>
      <c r="AI94" s="63"/>
      <c r="AJ94" s="83"/>
      <c r="AK94" s="83"/>
    </row>
    <row r="95">
      <c r="A95" s="63">
        <v>40042.0</v>
      </c>
      <c r="B95" s="44" t="s">
        <v>1439</v>
      </c>
      <c r="C95" s="63" t="s">
        <v>33</v>
      </c>
      <c r="D95" s="63" t="s">
        <v>1288</v>
      </c>
      <c r="E95" s="63" t="s">
        <v>66</v>
      </c>
      <c r="F95" s="83" t="str">
        <f t="shared" si="92"/>
        <v>1,1</v>
      </c>
      <c r="G95" s="44"/>
      <c r="H95" s="63"/>
      <c r="I95" s="118">
        <v>400011.0</v>
      </c>
      <c r="J95" s="59">
        <v>400020.0</v>
      </c>
      <c r="K95" s="63">
        <v>400032.0</v>
      </c>
      <c r="L95" s="126">
        <f t="shared" si="99"/>
        <v>3</v>
      </c>
      <c r="M95" s="63"/>
      <c r="N95" s="63">
        <v>680.0</v>
      </c>
      <c r="O95" s="63">
        <v>16.0</v>
      </c>
      <c r="P95" s="63">
        <v>74.0</v>
      </c>
      <c r="Q95" s="63">
        <v>24.0</v>
      </c>
      <c r="R95" s="63">
        <v>42.0</v>
      </c>
      <c r="S95" s="63">
        <v>75.0</v>
      </c>
      <c r="T95" s="63">
        <v>10.0</v>
      </c>
      <c r="U95" s="125"/>
      <c r="V95" s="86">
        <f t="shared" si="93"/>
        <v>621</v>
      </c>
      <c r="W95" s="43">
        <f t="shared" si="94"/>
        <v>0.02</v>
      </c>
      <c r="X95" s="83"/>
      <c r="Y95" s="63"/>
      <c r="Z95" s="43" t="str">
        <f t="shared" si="95"/>
        <v>912</v>
      </c>
      <c r="AA95" s="43">
        <v>910.0</v>
      </c>
      <c r="AB95" s="83"/>
      <c r="AC95" s="63"/>
      <c r="AD95" s="83"/>
      <c r="AE95" s="63"/>
      <c r="AF95" s="83"/>
      <c r="AG95" s="63"/>
      <c r="AH95" s="83"/>
      <c r="AI95" s="63"/>
      <c r="AJ95" s="83"/>
      <c r="AK95" s="83"/>
    </row>
    <row r="96">
      <c r="A96" s="63">
        <v>40043.0</v>
      </c>
      <c r="B96" s="44" t="s">
        <v>1441</v>
      </c>
      <c r="C96" s="63" t="s">
        <v>33</v>
      </c>
      <c r="D96" s="63" t="s">
        <v>1288</v>
      </c>
      <c r="E96" s="63" t="s">
        <v>66</v>
      </c>
      <c r="F96" s="83" t="str">
        <f t="shared" si="92"/>
        <v>1,1</v>
      </c>
      <c r="G96" s="44"/>
      <c r="H96" s="63"/>
      <c r="I96" s="118">
        <v>400011.0</v>
      </c>
      <c r="J96" s="59">
        <v>400018.0</v>
      </c>
      <c r="K96" s="63">
        <v>400038.0</v>
      </c>
      <c r="L96" s="126">
        <f t="shared" si="99"/>
        <v>3</v>
      </c>
      <c r="M96" s="63"/>
      <c r="N96" s="63">
        <v>650.0</v>
      </c>
      <c r="O96" s="63">
        <v>13.0</v>
      </c>
      <c r="P96" s="63">
        <v>76.0</v>
      </c>
      <c r="Q96" s="63">
        <v>22.0</v>
      </c>
      <c r="R96" s="63">
        <v>48.0</v>
      </c>
      <c r="S96" s="63">
        <v>75.0</v>
      </c>
      <c r="T96" s="63">
        <v>10.0</v>
      </c>
      <c r="U96" s="125"/>
      <c r="V96" s="86">
        <f t="shared" si="93"/>
        <v>609</v>
      </c>
      <c r="W96" s="43">
        <f t="shared" si="94"/>
        <v>0.02</v>
      </c>
      <c r="X96" s="83"/>
      <c r="Y96" s="63"/>
      <c r="Z96" s="43" t="str">
        <f t="shared" si="95"/>
        <v>912</v>
      </c>
      <c r="AA96" s="43">
        <v>910.0</v>
      </c>
      <c r="AB96" s="83"/>
      <c r="AC96" s="63"/>
      <c r="AD96" s="83"/>
      <c r="AE96" s="63"/>
      <c r="AF96" s="83"/>
      <c r="AG96" s="63"/>
      <c r="AH96" s="83"/>
      <c r="AI96" s="63"/>
      <c r="AJ96" s="83"/>
      <c r="AK96" s="83"/>
    </row>
    <row r="97">
      <c r="A97" s="63">
        <v>40044.0</v>
      </c>
      <c r="B97" s="44" t="s">
        <v>1446</v>
      </c>
      <c r="C97" s="63" t="s">
        <v>33</v>
      </c>
      <c r="D97" s="63" t="s">
        <v>1288</v>
      </c>
      <c r="E97" s="63" t="s">
        <v>1182</v>
      </c>
      <c r="F97" s="83" t="str">
        <f t="shared" si="92"/>
        <v>1,1</v>
      </c>
      <c r="G97" s="44"/>
      <c r="H97" s="63"/>
      <c r="I97" s="118">
        <v>400001.0</v>
      </c>
      <c r="J97" s="59">
        <v>400023.0</v>
      </c>
      <c r="K97" s="63">
        <v>410025.0</v>
      </c>
      <c r="L97" s="43">
        <v>2.0</v>
      </c>
      <c r="M97" s="63"/>
      <c r="N97" s="63">
        <v>880.0</v>
      </c>
      <c r="O97" s="63">
        <v>72.0</v>
      </c>
      <c r="P97" s="63">
        <v>16.0</v>
      </c>
      <c r="Q97" s="63">
        <v>45.0</v>
      </c>
      <c r="R97" s="63">
        <v>38.0</v>
      </c>
      <c r="S97" s="63">
        <v>75.0</v>
      </c>
      <c r="T97" s="63">
        <v>10.0</v>
      </c>
      <c r="U97" s="125">
        <v>4.0</v>
      </c>
      <c r="V97" s="86">
        <f t="shared" si="93"/>
        <v>736</v>
      </c>
      <c r="W97" s="43">
        <f t="shared" si="94"/>
        <v>0.02</v>
      </c>
      <c r="X97" s="83"/>
      <c r="Y97" s="63"/>
      <c r="Z97" s="43" t="str">
        <f t="shared" si="95"/>
        <v>913</v>
      </c>
      <c r="AA97" s="43">
        <v>910.0</v>
      </c>
      <c r="AB97" s="83"/>
      <c r="AC97" s="63"/>
      <c r="AD97" s="83"/>
      <c r="AE97" s="63"/>
      <c r="AF97" s="83"/>
      <c r="AG97" s="63"/>
      <c r="AH97" s="83"/>
      <c r="AI97" s="63"/>
      <c r="AJ97" s="83"/>
      <c r="AK97" s="83"/>
    </row>
    <row r="98">
      <c r="A98" s="63">
        <v>40045.0</v>
      </c>
      <c r="B98" s="2" t="s">
        <v>1448</v>
      </c>
      <c r="C98" s="63" t="s">
        <v>33</v>
      </c>
      <c r="D98" s="63" t="s">
        <v>1288</v>
      </c>
      <c r="E98" s="63" t="s">
        <v>1182</v>
      </c>
      <c r="F98" s="83" t="str">
        <f t="shared" si="92"/>
        <v>1,1</v>
      </c>
      <c r="G98" s="44"/>
      <c r="H98" s="63"/>
      <c r="I98" s="118">
        <v>400001.0</v>
      </c>
      <c r="J98" s="59">
        <v>400022.0</v>
      </c>
      <c r="K98" s="63">
        <v>410026.0</v>
      </c>
      <c r="L98" s="126">
        <f t="shared" ref="L98:L110" si="100">MOD(UNICODE(B36), 3) + 1</f>
        <v>2</v>
      </c>
      <c r="M98" s="63"/>
      <c r="N98" s="63">
        <v>920.0</v>
      </c>
      <c r="O98" s="63">
        <v>70.0</v>
      </c>
      <c r="P98" s="63">
        <v>12.0</v>
      </c>
      <c r="Q98" s="63">
        <v>52.0</v>
      </c>
      <c r="R98" s="63">
        <v>42.0</v>
      </c>
      <c r="S98" s="63">
        <v>75.0</v>
      </c>
      <c r="T98" s="63">
        <v>10.0</v>
      </c>
      <c r="U98" s="125"/>
      <c r="V98" s="86">
        <f t="shared" si="93"/>
        <v>761</v>
      </c>
      <c r="W98" s="43">
        <f t="shared" si="94"/>
        <v>0.02</v>
      </c>
      <c r="X98" s="83"/>
      <c r="Y98" s="63"/>
      <c r="Z98" s="43" t="str">
        <f t="shared" si="95"/>
        <v>913</v>
      </c>
      <c r="AA98" s="43">
        <v>910.0</v>
      </c>
      <c r="AB98" s="83"/>
      <c r="AC98" s="63"/>
      <c r="AD98" s="83"/>
      <c r="AE98" s="63"/>
      <c r="AF98" s="83"/>
      <c r="AG98" s="63"/>
      <c r="AH98" s="83"/>
      <c r="AI98" s="63"/>
      <c r="AJ98" s="83"/>
      <c r="AK98" s="83"/>
    </row>
    <row r="99">
      <c r="A99" s="63">
        <v>40046.0</v>
      </c>
      <c r="B99" s="44" t="s">
        <v>1455</v>
      </c>
      <c r="C99" s="63" t="s">
        <v>33</v>
      </c>
      <c r="D99" s="63" t="s">
        <v>1288</v>
      </c>
      <c r="E99" s="63" t="s">
        <v>66</v>
      </c>
      <c r="F99" s="83" t="str">
        <f t="shared" si="92"/>
        <v>1,1</v>
      </c>
      <c r="G99" s="44"/>
      <c r="H99" s="63"/>
      <c r="I99" s="118">
        <v>400011.0</v>
      </c>
      <c r="J99" s="59">
        <v>400012.0</v>
      </c>
      <c r="K99" s="63">
        <v>400021.0</v>
      </c>
      <c r="L99" s="126">
        <f t="shared" si="100"/>
        <v>3</v>
      </c>
      <c r="M99" s="63"/>
      <c r="N99" s="63">
        <v>690.0</v>
      </c>
      <c r="O99" s="63">
        <v>16.0</v>
      </c>
      <c r="P99" s="63">
        <v>73.0</v>
      </c>
      <c r="Q99" s="63">
        <v>25.0</v>
      </c>
      <c r="R99" s="63">
        <v>40.0</v>
      </c>
      <c r="S99" s="63">
        <v>75.0</v>
      </c>
      <c r="T99" s="63">
        <v>10.0</v>
      </c>
      <c r="U99" s="125"/>
      <c r="V99" s="86">
        <f t="shared" si="93"/>
        <v>624</v>
      </c>
      <c r="W99" s="43">
        <f t="shared" si="94"/>
        <v>0.02</v>
      </c>
      <c r="X99" s="83"/>
      <c r="Y99" s="63"/>
      <c r="Z99" s="43" t="str">
        <f t="shared" si="95"/>
        <v>912</v>
      </c>
      <c r="AA99" s="43">
        <v>910.0</v>
      </c>
      <c r="AB99" s="83"/>
      <c r="AC99" s="63"/>
      <c r="AD99" s="83"/>
      <c r="AE99" s="63"/>
      <c r="AF99" s="83"/>
      <c r="AG99" s="63"/>
      <c r="AH99" s="83"/>
      <c r="AI99" s="63"/>
      <c r="AJ99" s="83"/>
      <c r="AK99" s="83"/>
    </row>
    <row r="100">
      <c r="A100" s="63">
        <v>40047.0</v>
      </c>
      <c r="B100" s="44" t="s">
        <v>1459</v>
      </c>
      <c r="C100" s="63" t="s">
        <v>33</v>
      </c>
      <c r="D100" s="63" t="s">
        <v>1288</v>
      </c>
      <c r="E100" s="63" t="s">
        <v>1182</v>
      </c>
      <c r="F100" s="83" t="str">
        <f t="shared" si="92"/>
        <v>1,1</v>
      </c>
      <c r="G100" s="44"/>
      <c r="H100" s="63"/>
      <c r="I100" s="118">
        <v>400002.0</v>
      </c>
      <c r="J100" s="59">
        <v>400005.0</v>
      </c>
      <c r="K100" s="63">
        <v>400026.0</v>
      </c>
      <c r="L100" s="126">
        <f t="shared" si="100"/>
        <v>1</v>
      </c>
      <c r="M100" s="63"/>
      <c r="N100" s="63">
        <v>660.0</v>
      </c>
      <c r="O100" s="63">
        <v>79.0</v>
      </c>
      <c r="P100" s="63">
        <v>15.0</v>
      </c>
      <c r="Q100" s="63">
        <v>28.0</v>
      </c>
      <c r="R100" s="63">
        <v>30.0</v>
      </c>
      <c r="S100" s="63">
        <v>75.0</v>
      </c>
      <c r="T100" s="63">
        <v>10.0</v>
      </c>
      <c r="U100" s="125"/>
      <c r="V100" s="86">
        <f t="shared" si="93"/>
        <v>607</v>
      </c>
      <c r="W100" s="43">
        <f t="shared" si="94"/>
        <v>0.02</v>
      </c>
      <c r="X100" s="83"/>
      <c r="Y100" s="63"/>
      <c r="Z100" s="43" t="str">
        <f t="shared" si="95"/>
        <v>913</v>
      </c>
      <c r="AA100" s="43">
        <v>910.0</v>
      </c>
      <c r="AB100" s="83"/>
      <c r="AC100" s="63"/>
      <c r="AD100" s="83"/>
      <c r="AE100" s="63"/>
      <c r="AF100" s="83"/>
      <c r="AG100" s="63"/>
      <c r="AH100" s="83"/>
      <c r="AI100" s="63"/>
      <c r="AJ100" s="83"/>
      <c r="AK100" s="83"/>
    </row>
    <row r="101">
      <c r="A101" s="63">
        <v>40048.0</v>
      </c>
      <c r="B101" s="44" t="s">
        <v>211</v>
      </c>
      <c r="C101" s="63" t="s">
        <v>33</v>
      </c>
      <c r="D101" s="63" t="s">
        <v>1288</v>
      </c>
      <c r="E101" s="63" t="s">
        <v>66</v>
      </c>
      <c r="F101" s="83" t="str">
        <f t="shared" si="92"/>
        <v>1,1</v>
      </c>
      <c r="G101" s="44"/>
      <c r="H101" s="63"/>
      <c r="I101" s="118">
        <v>400011.0</v>
      </c>
      <c r="J101" s="59">
        <v>400014.0</v>
      </c>
      <c r="K101" s="63">
        <v>400040.0</v>
      </c>
      <c r="L101" s="126">
        <f t="shared" si="100"/>
        <v>3</v>
      </c>
      <c r="M101" s="63"/>
      <c r="N101" s="63">
        <v>1050.0</v>
      </c>
      <c r="O101" s="63">
        <v>18.0</v>
      </c>
      <c r="P101" s="63">
        <v>62.0</v>
      </c>
      <c r="Q101" s="63">
        <v>30.0</v>
      </c>
      <c r="R101" s="63">
        <v>32.0</v>
      </c>
      <c r="S101" s="63">
        <v>75.0</v>
      </c>
      <c r="T101" s="63">
        <v>10.0</v>
      </c>
      <c r="U101" s="125"/>
      <c r="V101" s="86">
        <f t="shared" si="93"/>
        <v>792</v>
      </c>
      <c r="W101" s="43">
        <f t="shared" si="94"/>
        <v>0.02</v>
      </c>
      <c r="X101" s="83"/>
      <c r="Y101" s="63"/>
      <c r="Z101" s="43" t="str">
        <f t="shared" si="95"/>
        <v>912</v>
      </c>
      <c r="AA101" s="43">
        <v>910.0</v>
      </c>
      <c r="AB101" s="83"/>
      <c r="AC101" s="63"/>
      <c r="AD101" s="83"/>
      <c r="AE101" s="63"/>
      <c r="AF101" s="83"/>
      <c r="AG101" s="63"/>
      <c r="AH101" s="83"/>
      <c r="AI101" s="63"/>
      <c r="AJ101" s="83"/>
      <c r="AK101" s="83"/>
    </row>
    <row r="102">
      <c r="A102" s="63">
        <v>40049.0</v>
      </c>
      <c r="B102" s="44" t="s">
        <v>1469</v>
      </c>
      <c r="C102" s="63" t="s">
        <v>33</v>
      </c>
      <c r="D102" s="63" t="s">
        <v>1288</v>
      </c>
      <c r="E102" s="63" t="s">
        <v>1182</v>
      </c>
      <c r="F102" s="83" t="str">
        <f t="shared" si="92"/>
        <v>1,1</v>
      </c>
      <c r="G102" s="44"/>
      <c r="H102" s="63"/>
      <c r="I102" s="118">
        <v>400001.0</v>
      </c>
      <c r="J102" s="59">
        <v>400022.0</v>
      </c>
      <c r="K102" s="63">
        <v>410018.0</v>
      </c>
      <c r="L102" s="126">
        <f t="shared" si="100"/>
        <v>3</v>
      </c>
      <c r="M102" s="63"/>
      <c r="N102" s="63">
        <v>750.0</v>
      </c>
      <c r="O102" s="63">
        <v>74.0</v>
      </c>
      <c r="P102" s="63">
        <v>13.0</v>
      </c>
      <c r="Q102" s="63">
        <v>36.0</v>
      </c>
      <c r="R102" s="63">
        <v>39.0</v>
      </c>
      <c r="S102" s="63">
        <v>75.0</v>
      </c>
      <c r="T102" s="63">
        <v>10.0</v>
      </c>
      <c r="U102" s="125"/>
      <c r="V102" s="86">
        <f t="shared" si="93"/>
        <v>662</v>
      </c>
      <c r="W102" s="43">
        <f t="shared" si="94"/>
        <v>0.02</v>
      </c>
      <c r="X102" s="83"/>
      <c r="Y102" s="63"/>
      <c r="Z102" s="43" t="str">
        <f t="shared" si="95"/>
        <v>913</v>
      </c>
      <c r="AA102" s="43">
        <v>910.0</v>
      </c>
      <c r="AB102" s="83"/>
      <c r="AC102" s="63"/>
      <c r="AD102" s="83"/>
      <c r="AE102" s="63"/>
      <c r="AF102" s="83"/>
      <c r="AG102" s="63"/>
      <c r="AH102" s="83"/>
      <c r="AI102" s="63"/>
      <c r="AJ102" s="83"/>
      <c r="AK102" s="83"/>
    </row>
    <row r="103">
      <c r="A103" s="63">
        <v>40050.0</v>
      </c>
      <c r="B103" s="44" t="s">
        <v>1475</v>
      </c>
      <c r="C103" s="63" t="s">
        <v>33</v>
      </c>
      <c r="D103" s="63" t="s">
        <v>1288</v>
      </c>
      <c r="E103" s="63" t="s">
        <v>66</v>
      </c>
      <c r="F103" s="83" t="str">
        <f t="shared" si="92"/>
        <v>1,1</v>
      </c>
      <c r="G103" s="44"/>
      <c r="H103" s="63"/>
      <c r="I103" s="118">
        <v>400011.0</v>
      </c>
      <c r="J103" s="59">
        <v>400015.0</v>
      </c>
      <c r="K103" s="63">
        <v>410018.0</v>
      </c>
      <c r="L103" s="126">
        <f t="shared" si="100"/>
        <v>1</v>
      </c>
      <c r="M103" s="63"/>
      <c r="N103" s="63">
        <v>950.0</v>
      </c>
      <c r="O103" s="63">
        <v>15.0</v>
      </c>
      <c r="P103" s="63">
        <v>64.0</v>
      </c>
      <c r="Q103" s="63">
        <v>42.0</v>
      </c>
      <c r="R103" s="63">
        <v>50.0</v>
      </c>
      <c r="S103" s="63">
        <v>75.0</v>
      </c>
      <c r="T103" s="63">
        <v>10.0</v>
      </c>
      <c r="U103" s="125"/>
      <c r="V103" s="86">
        <f t="shared" si="93"/>
        <v>771</v>
      </c>
      <c r="W103" s="43">
        <f t="shared" si="94"/>
        <v>0.02</v>
      </c>
      <c r="X103" s="83"/>
      <c r="Y103" s="63"/>
      <c r="Z103" s="43" t="str">
        <f t="shared" si="95"/>
        <v>912</v>
      </c>
      <c r="AA103" s="43">
        <v>910.0</v>
      </c>
      <c r="AB103" s="83"/>
      <c r="AC103" s="63"/>
      <c r="AD103" s="83"/>
      <c r="AE103" s="63"/>
      <c r="AF103" s="83"/>
      <c r="AG103" s="63"/>
      <c r="AH103" s="83"/>
      <c r="AI103" s="63"/>
      <c r="AJ103" s="83"/>
      <c r="AK103" s="83"/>
    </row>
    <row r="104">
      <c r="A104" s="63">
        <v>40051.0</v>
      </c>
      <c r="B104" s="44" t="s">
        <v>1478</v>
      </c>
      <c r="C104" s="63" t="s">
        <v>33</v>
      </c>
      <c r="D104" s="63" t="s">
        <v>1288</v>
      </c>
      <c r="E104" s="63" t="s">
        <v>66</v>
      </c>
      <c r="F104" s="83" t="str">
        <f t="shared" si="92"/>
        <v>1,1</v>
      </c>
      <c r="G104" s="44"/>
      <c r="H104" s="63"/>
      <c r="I104" s="118">
        <v>400011.0</v>
      </c>
      <c r="J104" s="59">
        <v>400021.0</v>
      </c>
      <c r="K104" s="63">
        <v>410029.0</v>
      </c>
      <c r="L104" s="126">
        <f t="shared" si="100"/>
        <v>3</v>
      </c>
      <c r="M104" s="63"/>
      <c r="N104" s="63">
        <v>710.0</v>
      </c>
      <c r="O104" s="63">
        <v>17.0</v>
      </c>
      <c r="P104" s="63">
        <v>80.0</v>
      </c>
      <c r="Q104" s="63">
        <v>25.0</v>
      </c>
      <c r="R104" s="63">
        <v>44.0</v>
      </c>
      <c r="S104" s="63">
        <v>75.0</v>
      </c>
      <c r="T104" s="63">
        <v>10.0</v>
      </c>
      <c r="U104" s="125"/>
      <c r="V104" s="86">
        <f t="shared" si="93"/>
        <v>646</v>
      </c>
      <c r="W104" s="43">
        <f t="shared" si="94"/>
        <v>0.02</v>
      </c>
      <c r="X104" s="83"/>
      <c r="Y104" s="63"/>
      <c r="Z104" s="43" t="str">
        <f t="shared" si="95"/>
        <v>912</v>
      </c>
      <c r="AA104" s="43">
        <v>910.0</v>
      </c>
      <c r="AB104" s="83"/>
      <c r="AC104" s="63"/>
      <c r="AD104" s="83"/>
      <c r="AE104" s="63"/>
      <c r="AF104" s="83"/>
      <c r="AG104" s="63"/>
      <c r="AH104" s="83"/>
      <c r="AI104" s="63"/>
      <c r="AJ104" s="83"/>
      <c r="AK104" s="83"/>
    </row>
    <row r="105">
      <c r="A105" s="63">
        <v>40052.0</v>
      </c>
      <c r="B105" s="44" t="s">
        <v>1485</v>
      </c>
      <c r="C105" s="63" t="s">
        <v>33</v>
      </c>
      <c r="D105" s="63" t="s">
        <v>1288</v>
      </c>
      <c r="E105" s="63" t="s">
        <v>1182</v>
      </c>
      <c r="F105" s="83" t="str">
        <f t="shared" si="92"/>
        <v>1,1</v>
      </c>
      <c r="G105" s="44"/>
      <c r="H105" s="63"/>
      <c r="I105" s="118">
        <v>400001.0</v>
      </c>
      <c r="J105" s="59">
        <v>400029.0</v>
      </c>
      <c r="K105" s="63">
        <v>410026.0</v>
      </c>
      <c r="L105" s="126">
        <f t="shared" si="100"/>
        <v>2</v>
      </c>
      <c r="M105" s="63"/>
      <c r="N105" s="63">
        <v>850.0</v>
      </c>
      <c r="O105" s="63">
        <v>71.0</v>
      </c>
      <c r="P105" s="63">
        <v>14.0</v>
      </c>
      <c r="Q105" s="63">
        <v>48.0</v>
      </c>
      <c r="R105" s="63">
        <v>34.0</v>
      </c>
      <c r="S105" s="63">
        <v>75.0</v>
      </c>
      <c r="T105" s="63">
        <v>10.0</v>
      </c>
      <c r="U105" s="125"/>
      <c r="V105" s="86">
        <f t="shared" si="93"/>
        <v>717</v>
      </c>
      <c r="W105" s="43">
        <f t="shared" si="94"/>
        <v>0.02</v>
      </c>
      <c r="X105" s="83"/>
      <c r="Y105" s="63"/>
      <c r="Z105" s="43" t="str">
        <f t="shared" si="95"/>
        <v>913</v>
      </c>
      <c r="AA105" s="43">
        <v>910.0</v>
      </c>
      <c r="AB105" s="83"/>
      <c r="AC105" s="63"/>
      <c r="AD105" s="83"/>
      <c r="AE105" s="63"/>
      <c r="AF105" s="83"/>
      <c r="AG105" s="63"/>
      <c r="AH105" s="83"/>
      <c r="AI105" s="63"/>
      <c r="AJ105" s="83"/>
      <c r="AK105" s="83"/>
    </row>
    <row r="106">
      <c r="A106" s="63">
        <v>40053.0</v>
      </c>
      <c r="B106" s="44" t="s">
        <v>1490</v>
      </c>
      <c r="C106" s="63" t="s">
        <v>33</v>
      </c>
      <c r="D106" s="63" t="s">
        <v>1288</v>
      </c>
      <c r="E106" s="63" t="s">
        <v>66</v>
      </c>
      <c r="F106" s="83" t="str">
        <f t="shared" si="92"/>
        <v>1,1</v>
      </c>
      <c r="G106" s="44"/>
      <c r="H106" s="63"/>
      <c r="I106" s="118">
        <v>400011.0</v>
      </c>
      <c r="J106" s="59">
        <v>400009.0</v>
      </c>
      <c r="K106" s="63">
        <v>400025.0</v>
      </c>
      <c r="L106" s="126">
        <f t="shared" si="100"/>
        <v>3</v>
      </c>
      <c r="M106" s="63"/>
      <c r="N106" s="63">
        <v>730.0</v>
      </c>
      <c r="O106" s="63">
        <v>14.0</v>
      </c>
      <c r="P106" s="63">
        <v>77.0</v>
      </c>
      <c r="Q106" s="63">
        <v>27.0</v>
      </c>
      <c r="R106" s="63">
        <v>45.0</v>
      </c>
      <c r="S106" s="63">
        <v>75.0</v>
      </c>
      <c r="T106" s="63">
        <v>10.0</v>
      </c>
      <c r="U106" s="125"/>
      <c r="V106" s="86">
        <f t="shared" si="93"/>
        <v>653</v>
      </c>
      <c r="W106" s="43">
        <f t="shared" si="94"/>
        <v>0.02</v>
      </c>
      <c r="X106" s="83"/>
      <c r="Y106" s="63"/>
      <c r="Z106" s="43" t="str">
        <f t="shared" si="95"/>
        <v>912</v>
      </c>
      <c r="AA106" s="43">
        <v>910.0</v>
      </c>
      <c r="AB106" s="83"/>
      <c r="AC106" s="63"/>
      <c r="AD106" s="83"/>
      <c r="AE106" s="63"/>
      <c r="AF106" s="83"/>
      <c r="AG106" s="63"/>
      <c r="AH106" s="83"/>
      <c r="AI106" s="63"/>
      <c r="AJ106" s="83"/>
      <c r="AK106" s="83"/>
    </row>
    <row r="107">
      <c r="A107" s="63">
        <v>40054.0</v>
      </c>
      <c r="B107" s="44" t="s">
        <v>1493</v>
      </c>
      <c r="C107" s="63" t="s">
        <v>33</v>
      </c>
      <c r="D107" s="63" t="s">
        <v>1288</v>
      </c>
      <c r="E107" s="63" t="s">
        <v>1182</v>
      </c>
      <c r="F107" s="83" t="str">
        <f t="shared" si="92"/>
        <v>1,1</v>
      </c>
      <c r="G107" s="44"/>
      <c r="H107" s="63"/>
      <c r="I107" s="118">
        <v>400001.0</v>
      </c>
      <c r="J107" s="59">
        <v>400022.0</v>
      </c>
      <c r="K107" s="63">
        <v>410026.0</v>
      </c>
      <c r="L107" s="126">
        <f t="shared" si="100"/>
        <v>3</v>
      </c>
      <c r="M107" s="63"/>
      <c r="N107" s="63">
        <v>940.0</v>
      </c>
      <c r="O107" s="63">
        <v>69.0</v>
      </c>
      <c r="P107" s="63">
        <v>15.0</v>
      </c>
      <c r="Q107" s="63">
        <v>55.0</v>
      </c>
      <c r="R107" s="63">
        <v>45.0</v>
      </c>
      <c r="S107" s="63">
        <v>75.0</v>
      </c>
      <c r="T107" s="63">
        <v>10.0</v>
      </c>
      <c r="U107" s="125"/>
      <c r="V107" s="86">
        <f t="shared" si="93"/>
        <v>779</v>
      </c>
      <c r="W107" s="43">
        <f t="shared" si="94"/>
        <v>0.02</v>
      </c>
      <c r="X107" s="83"/>
      <c r="Y107" s="63"/>
      <c r="Z107" s="43" t="str">
        <f t="shared" si="95"/>
        <v>913</v>
      </c>
      <c r="AA107" s="43">
        <v>910.0</v>
      </c>
      <c r="AB107" s="83"/>
      <c r="AC107" s="63"/>
      <c r="AD107" s="83"/>
      <c r="AE107" s="63"/>
      <c r="AF107" s="83"/>
      <c r="AG107" s="63"/>
      <c r="AH107" s="83"/>
      <c r="AI107" s="63"/>
      <c r="AJ107" s="83"/>
      <c r="AK107" s="83"/>
    </row>
    <row r="108">
      <c r="A108" s="63">
        <v>40055.0</v>
      </c>
      <c r="B108" s="44" t="s">
        <v>1495</v>
      </c>
      <c r="C108" s="63" t="s">
        <v>33</v>
      </c>
      <c r="D108" s="63" t="s">
        <v>1288</v>
      </c>
      <c r="E108" s="63" t="s">
        <v>1182</v>
      </c>
      <c r="F108" s="83" t="str">
        <f t="shared" si="92"/>
        <v>1,1</v>
      </c>
      <c r="G108" s="44"/>
      <c r="H108" s="63"/>
      <c r="I108" s="118">
        <v>400001.0</v>
      </c>
      <c r="J108" s="59">
        <v>400029.0</v>
      </c>
      <c r="K108" s="63">
        <v>400022.0</v>
      </c>
      <c r="L108" s="126">
        <f t="shared" si="100"/>
        <v>3</v>
      </c>
      <c r="M108" s="63"/>
      <c r="N108" s="63">
        <v>820.0</v>
      </c>
      <c r="O108" s="63">
        <v>75.0</v>
      </c>
      <c r="P108" s="63">
        <v>12.0</v>
      </c>
      <c r="Q108" s="63">
        <v>44.0</v>
      </c>
      <c r="R108" s="63">
        <v>36.0</v>
      </c>
      <c r="S108" s="63">
        <v>75.0</v>
      </c>
      <c r="T108" s="63">
        <v>10.0</v>
      </c>
      <c r="U108" s="125"/>
      <c r="V108" s="86">
        <f t="shared" si="93"/>
        <v>702</v>
      </c>
      <c r="W108" s="43">
        <f t="shared" si="94"/>
        <v>0.02</v>
      </c>
      <c r="X108" s="83"/>
      <c r="Y108" s="63"/>
      <c r="Z108" s="43" t="str">
        <f t="shared" si="95"/>
        <v>913</v>
      </c>
      <c r="AA108" s="43">
        <v>910.0</v>
      </c>
      <c r="AB108" s="83"/>
      <c r="AC108" s="63"/>
      <c r="AD108" s="83"/>
      <c r="AE108" s="63"/>
      <c r="AF108" s="83"/>
      <c r="AG108" s="63"/>
      <c r="AH108" s="83"/>
      <c r="AI108" s="63"/>
      <c r="AJ108" s="83"/>
      <c r="AK108" s="83"/>
    </row>
    <row r="109">
      <c r="A109" s="63">
        <v>40056.0</v>
      </c>
      <c r="B109" s="44" t="s">
        <v>1498</v>
      </c>
      <c r="C109" s="63" t="s">
        <v>33</v>
      </c>
      <c r="D109" s="63" t="s">
        <v>1288</v>
      </c>
      <c r="E109" s="63" t="s">
        <v>1182</v>
      </c>
      <c r="F109" s="83" t="str">
        <f t="shared" si="92"/>
        <v>1,1</v>
      </c>
      <c r="G109" s="44"/>
      <c r="H109" s="63"/>
      <c r="I109" s="118">
        <v>400004.0</v>
      </c>
      <c r="J109" s="59">
        <v>400016.0</v>
      </c>
      <c r="K109" s="63">
        <v>400021.0</v>
      </c>
      <c r="L109" s="126">
        <f t="shared" si="100"/>
        <v>3</v>
      </c>
      <c r="M109" s="63"/>
      <c r="N109" s="63">
        <v>790.0</v>
      </c>
      <c r="O109" s="63">
        <v>77.0</v>
      </c>
      <c r="P109" s="63">
        <v>13.0</v>
      </c>
      <c r="Q109" s="63">
        <v>37.0</v>
      </c>
      <c r="R109" s="63">
        <v>34.0</v>
      </c>
      <c r="S109" s="63">
        <v>75.0</v>
      </c>
      <c r="T109" s="63">
        <v>10.0</v>
      </c>
      <c r="U109" s="125"/>
      <c r="V109" s="86">
        <f t="shared" si="93"/>
        <v>681</v>
      </c>
      <c r="W109" s="43">
        <f t="shared" si="94"/>
        <v>0.02</v>
      </c>
      <c r="X109" s="83"/>
      <c r="Y109" s="63"/>
      <c r="Z109" s="43" t="str">
        <f t="shared" si="95"/>
        <v>913</v>
      </c>
      <c r="AA109" s="43">
        <v>910.0</v>
      </c>
      <c r="AB109" s="83"/>
      <c r="AC109" s="63"/>
      <c r="AD109" s="83"/>
      <c r="AE109" s="63"/>
      <c r="AF109" s="83"/>
      <c r="AG109" s="63"/>
      <c r="AH109" s="83"/>
      <c r="AI109" s="63"/>
      <c r="AJ109" s="83"/>
      <c r="AK109" s="83"/>
    </row>
    <row r="110">
      <c r="A110" s="63">
        <v>40057.0</v>
      </c>
      <c r="B110" s="2" t="s">
        <v>1501</v>
      </c>
      <c r="C110" s="63" t="s">
        <v>33</v>
      </c>
      <c r="D110" s="63" t="s">
        <v>1288</v>
      </c>
      <c r="E110" s="63" t="s">
        <v>66</v>
      </c>
      <c r="F110" s="83" t="str">
        <f t="shared" si="92"/>
        <v>1,1</v>
      </c>
      <c r="G110" s="44"/>
      <c r="H110" s="63"/>
      <c r="I110" s="118">
        <v>400011.0</v>
      </c>
      <c r="J110" s="59">
        <v>400018.0</v>
      </c>
      <c r="K110" s="63">
        <v>410019.0</v>
      </c>
      <c r="L110" s="126">
        <f t="shared" si="100"/>
        <v>3</v>
      </c>
      <c r="M110" s="63"/>
      <c r="N110" s="63">
        <v>760.0</v>
      </c>
      <c r="O110" s="63">
        <v>15.0</v>
      </c>
      <c r="P110" s="63">
        <v>72.0</v>
      </c>
      <c r="Q110" s="63">
        <v>32.0</v>
      </c>
      <c r="R110" s="63">
        <v>41.0</v>
      </c>
      <c r="S110" s="63">
        <v>75.0</v>
      </c>
      <c r="T110" s="63">
        <v>10.0</v>
      </c>
      <c r="U110" s="125"/>
      <c r="V110" s="86">
        <f t="shared" si="93"/>
        <v>665</v>
      </c>
      <c r="W110" s="43">
        <f t="shared" si="94"/>
        <v>0.02</v>
      </c>
      <c r="X110" s="83"/>
      <c r="Y110" s="63"/>
      <c r="Z110" s="43" t="str">
        <f t="shared" si="95"/>
        <v>912</v>
      </c>
      <c r="AA110" s="43">
        <v>910.0</v>
      </c>
      <c r="AB110" s="83"/>
      <c r="AC110" s="63"/>
      <c r="AD110" s="83"/>
      <c r="AE110" s="63"/>
      <c r="AF110" s="83"/>
      <c r="AG110" s="63"/>
      <c r="AH110" s="83"/>
      <c r="AI110" s="63"/>
      <c r="AJ110" s="83"/>
      <c r="AK110" s="83"/>
    </row>
    <row r="111">
      <c r="A111" s="63">
        <v>40058.0</v>
      </c>
      <c r="B111" s="44" t="s">
        <v>1504</v>
      </c>
      <c r="C111" s="63" t="s">
        <v>33</v>
      </c>
      <c r="D111" s="63" t="s">
        <v>1288</v>
      </c>
      <c r="E111" s="63" t="s">
        <v>1182</v>
      </c>
      <c r="F111" s="83" t="str">
        <f t="shared" si="92"/>
        <v>1,1</v>
      </c>
      <c r="G111" s="44"/>
      <c r="H111" s="63"/>
      <c r="I111" s="118">
        <v>400004.0</v>
      </c>
      <c r="J111" s="59">
        <v>400008.0</v>
      </c>
      <c r="K111" s="63">
        <v>410017.0</v>
      </c>
      <c r="L111" s="43">
        <v>1.0</v>
      </c>
      <c r="M111" s="63"/>
      <c r="N111" s="63">
        <v>670.0</v>
      </c>
      <c r="O111" s="63">
        <v>78.0</v>
      </c>
      <c r="P111" s="63">
        <v>16.0</v>
      </c>
      <c r="Q111" s="63">
        <v>31.0</v>
      </c>
      <c r="R111" s="63">
        <v>29.0</v>
      </c>
      <c r="S111" s="63">
        <v>75.0</v>
      </c>
      <c r="T111" s="63">
        <v>10.0</v>
      </c>
      <c r="U111" s="125">
        <v>3.0</v>
      </c>
      <c r="V111" s="86">
        <f t="shared" si="93"/>
        <v>614</v>
      </c>
      <c r="W111" s="43">
        <f t="shared" si="94"/>
        <v>0.02</v>
      </c>
      <c r="X111" s="83"/>
      <c r="Y111" s="63"/>
      <c r="Z111" s="43" t="str">
        <f t="shared" si="95"/>
        <v>913</v>
      </c>
      <c r="AA111" s="43">
        <v>910.0</v>
      </c>
      <c r="AB111" s="83"/>
      <c r="AC111" s="63"/>
      <c r="AD111" s="83"/>
      <c r="AE111" s="63"/>
      <c r="AF111" s="83"/>
      <c r="AG111" s="63"/>
      <c r="AH111" s="83"/>
      <c r="AI111" s="63"/>
      <c r="AJ111" s="83"/>
      <c r="AK111" s="83"/>
    </row>
    <row r="112">
      <c r="A112" s="63">
        <v>40059.0</v>
      </c>
      <c r="B112" s="44" t="s">
        <v>1506</v>
      </c>
      <c r="C112" s="63" t="s">
        <v>33</v>
      </c>
      <c r="D112" s="63" t="s">
        <v>1288</v>
      </c>
      <c r="E112" s="63" t="s">
        <v>1182</v>
      </c>
      <c r="F112" s="83" t="str">
        <f t="shared" si="92"/>
        <v>1,1</v>
      </c>
      <c r="G112" s="44"/>
      <c r="H112" s="63"/>
      <c r="I112" s="118">
        <v>400002.0</v>
      </c>
      <c r="J112" s="59">
        <v>400026.0</v>
      </c>
      <c r="K112" s="63">
        <v>400034.0</v>
      </c>
      <c r="L112" s="43">
        <v>2.0</v>
      </c>
      <c r="M112" s="63"/>
      <c r="N112" s="63">
        <v>740.0</v>
      </c>
      <c r="O112" s="63">
        <v>81.0</v>
      </c>
      <c r="P112" s="63">
        <v>14.0</v>
      </c>
      <c r="Q112" s="63">
        <v>33.0</v>
      </c>
      <c r="R112" s="63">
        <v>28.0</v>
      </c>
      <c r="S112" s="63">
        <v>75.0</v>
      </c>
      <c r="T112" s="63">
        <v>10.0</v>
      </c>
      <c r="U112" s="125"/>
      <c r="V112" s="86">
        <f t="shared" si="93"/>
        <v>651</v>
      </c>
      <c r="W112" s="43">
        <f t="shared" si="94"/>
        <v>0.02</v>
      </c>
      <c r="X112" s="83"/>
      <c r="Y112" s="63"/>
      <c r="Z112" s="43" t="str">
        <f t="shared" si="95"/>
        <v>913</v>
      </c>
      <c r="AA112" s="43">
        <v>910.0</v>
      </c>
      <c r="AB112" s="83"/>
      <c r="AC112" s="63"/>
      <c r="AD112" s="83"/>
      <c r="AE112" s="63"/>
      <c r="AF112" s="83"/>
      <c r="AG112" s="63"/>
      <c r="AH112" s="83"/>
      <c r="AI112" s="63"/>
      <c r="AJ112" s="83"/>
      <c r="AK112" s="83"/>
    </row>
    <row r="113">
      <c r="A113" s="63">
        <v>40060.0</v>
      </c>
      <c r="B113" s="44" t="s">
        <v>1510</v>
      </c>
      <c r="C113" s="63" t="s">
        <v>33</v>
      </c>
      <c r="D113" s="63" t="s">
        <v>1288</v>
      </c>
      <c r="E113" s="63" t="s">
        <v>66</v>
      </c>
      <c r="F113" s="83" t="str">
        <f t="shared" si="92"/>
        <v>1,1</v>
      </c>
      <c r="G113" s="44"/>
      <c r="H113" s="63"/>
      <c r="I113" s="118">
        <v>400011.0</v>
      </c>
      <c r="J113" s="59">
        <v>400009.0</v>
      </c>
      <c r="K113" s="63">
        <v>410022.0</v>
      </c>
      <c r="L113" s="43">
        <v>2.0</v>
      </c>
      <c r="M113" s="63"/>
      <c r="N113" s="63">
        <v>690.0</v>
      </c>
      <c r="O113" s="63">
        <v>13.0</v>
      </c>
      <c r="P113" s="63">
        <v>79.0</v>
      </c>
      <c r="Q113" s="63">
        <v>24.0</v>
      </c>
      <c r="R113" s="63">
        <v>43.0</v>
      </c>
      <c r="S113" s="63">
        <v>75.0</v>
      </c>
      <c r="T113" s="63">
        <v>10.0</v>
      </c>
      <c r="U113" s="125"/>
      <c r="V113" s="86">
        <f t="shared" si="93"/>
        <v>629</v>
      </c>
      <c r="W113" s="43">
        <f t="shared" si="94"/>
        <v>0.02</v>
      </c>
      <c r="X113" s="83"/>
      <c r="Y113" s="63"/>
      <c r="Z113" s="43" t="str">
        <f t="shared" si="95"/>
        <v>912</v>
      </c>
      <c r="AA113" s="43">
        <v>910.0</v>
      </c>
      <c r="AB113" s="83"/>
      <c r="AC113" s="63"/>
      <c r="AD113" s="83"/>
      <c r="AE113" s="63"/>
      <c r="AF113" s="83"/>
      <c r="AG113" s="63"/>
      <c r="AH113" s="83"/>
      <c r="AI113" s="63"/>
      <c r="AJ113" s="83"/>
      <c r="AK113" s="83"/>
    </row>
    <row r="114">
      <c r="A114" s="63">
        <v>40061.0</v>
      </c>
      <c r="B114" s="44" t="s">
        <v>1514</v>
      </c>
      <c r="C114" s="63" t="s">
        <v>33</v>
      </c>
      <c r="D114" s="63" t="s">
        <v>1288</v>
      </c>
      <c r="E114" s="63" t="s">
        <v>1182</v>
      </c>
      <c r="F114" s="83" t="str">
        <f t="shared" si="92"/>
        <v>1,1</v>
      </c>
      <c r="G114" s="44"/>
      <c r="H114" s="63"/>
      <c r="I114" s="118">
        <v>400002.0</v>
      </c>
      <c r="J114" s="59">
        <v>400022.0</v>
      </c>
      <c r="K114" s="63">
        <v>400034.0</v>
      </c>
      <c r="L114" s="43">
        <v>3.0</v>
      </c>
      <c r="M114" s="63"/>
      <c r="N114" s="63">
        <v>800.0</v>
      </c>
      <c r="O114" s="63">
        <v>73.0</v>
      </c>
      <c r="P114" s="63">
        <v>12.0</v>
      </c>
      <c r="Q114" s="63">
        <v>46.0</v>
      </c>
      <c r="R114" s="63">
        <v>32.0</v>
      </c>
      <c r="S114" s="63">
        <v>75.0</v>
      </c>
      <c r="T114" s="63">
        <v>10.0</v>
      </c>
      <c r="U114" s="125"/>
      <c r="V114" s="86">
        <f t="shared" si="93"/>
        <v>688</v>
      </c>
      <c r="W114" s="43">
        <f t="shared" si="94"/>
        <v>0.02</v>
      </c>
      <c r="X114" s="83"/>
      <c r="Y114" s="63"/>
      <c r="Z114" s="43" t="str">
        <f t="shared" si="95"/>
        <v>913</v>
      </c>
      <c r="AA114" s="43">
        <v>910.0</v>
      </c>
      <c r="AB114" s="83"/>
      <c r="AC114" s="63"/>
      <c r="AD114" s="83"/>
      <c r="AE114" s="63"/>
      <c r="AF114" s="83"/>
      <c r="AG114" s="63"/>
      <c r="AH114" s="83"/>
      <c r="AI114" s="63"/>
      <c r="AJ114" s="83"/>
      <c r="AK114" s="83"/>
    </row>
    <row r="115">
      <c r="A115" s="63">
        <v>40062.0</v>
      </c>
      <c r="B115" s="44" t="s">
        <v>1519</v>
      </c>
      <c r="C115" s="63" t="s">
        <v>33</v>
      </c>
      <c r="D115" s="63" t="s">
        <v>1288</v>
      </c>
      <c r="E115" s="63" t="s">
        <v>66</v>
      </c>
      <c r="F115" s="83" t="str">
        <f t="shared" si="92"/>
        <v>1,1</v>
      </c>
      <c r="G115" s="44"/>
      <c r="H115" s="63"/>
      <c r="I115" s="118">
        <v>400011.0</v>
      </c>
      <c r="J115" s="59">
        <v>400009.0</v>
      </c>
      <c r="K115" s="63">
        <v>410027.0</v>
      </c>
      <c r="L115" s="126">
        <f t="shared" ref="L115:L125" si="101">MOD(UNICODE(B53), 3) + 1</f>
        <v>3</v>
      </c>
      <c r="M115" s="63"/>
      <c r="N115" s="63">
        <v>620.0</v>
      </c>
      <c r="O115" s="63">
        <v>12.0</v>
      </c>
      <c r="P115" s="63">
        <v>75.0</v>
      </c>
      <c r="Q115" s="63">
        <v>20.0</v>
      </c>
      <c r="R115" s="63">
        <v>47.0</v>
      </c>
      <c r="S115" s="63">
        <v>75.0</v>
      </c>
      <c r="T115" s="63">
        <v>10.0</v>
      </c>
      <c r="U115" s="125"/>
      <c r="V115" s="86">
        <f t="shared" si="93"/>
        <v>589</v>
      </c>
      <c r="W115" s="43">
        <f t="shared" si="94"/>
        <v>0.02</v>
      </c>
      <c r="X115" s="83"/>
      <c r="Y115" s="63"/>
      <c r="Z115" s="43" t="str">
        <f t="shared" si="95"/>
        <v>912</v>
      </c>
      <c r="AA115" s="43">
        <v>910.0</v>
      </c>
      <c r="AB115" s="83"/>
      <c r="AC115" s="63"/>
      <c r="AD115" s="83"/>
      <c r="AE115" s="63"/>
      <c r="AF115" s="83"/>
      <c r="AG115" s="63"/>
      <c r="AH115" s="83"/>
      <c r="AI115" s="63"/>
      <c r="AJ115" s="83"/>
      <c r="AK115" s="83"/>
    </row>
    <row r="116">
      <c r="A116" s="63">
        <v>40063.0</v>
      </c>
      <c r="B116" s="44" t="s">
        <v>1525</v>
      </c>
      <c r="C116" s="63" t="s">
        <v>33</v>
      </c>
      <c r="D116" s="63" t="s">
        <v>1288</v>
      </c>
      <c r="E116" s="63" t="s">
        <v>1182</v>
      </c>
      <c r="F116" s="83" t="str">
        <f t="shared" si="92"/>
        <v>1,1</v>
      </c>
      <c r="G116" s="44"/>
      <c r="H116" s="63"/>
      <c r="I116" s="118">
        <v>400001.0</v>
      </c>
      <c r="J116" s="59">
        <v>400023.0</v>
      </c>
      <c r="K116" s="63">
        <v>410017.0</v>
      </c>
      <c r="L116" s="126">
        <f t="shared" si="101"/>
        <v>3</v>
      </c>
      <c r="M116" s="63"/>
      <c r="N116" s="63">
        <v>890.0</v>
      </c>
      <c r="O116" s="63">
        <v>76.0</v>
      </c>
      <c r="P116" s="63">
        <v>13.0</v>
      </c>
      <c r="Q116" s="63">
        <v>42.0</v>
      </c>
      <c r="R116" s="63">
        <v>36.0</v>
      </c>
      <c r="S116" s="63">
        <v>75.0</v>
      </c>
      <c r="T116" s="63">
        <v>10.0</v>
      </c>
      <c r="U116" s="125"/>
      <c r="V116" s="86">
        <f t="shared" si="93"/>
        <v>737</v>
      </c>
      <c r="W116" s="43">
        <f t="shared" si="94"/>
        <v>0.02</v>
      </c>
      <c r="X116" s="83"/>
      <c r="Y116" s="63"/>
      <c r="Z116" s="43" t="str">
        <f t="shared" si="95"/>
        <v>913</v>
      </c>
      <c r="AA116" s="43">
        <v>910.0</v>
      </c>
      <c r="AB116" s="83"/>
      <c r="AC116" s="63"/>
      <c r="AD116" s="83"/>
      <c r="AE116" s="63"/>
      <c r="AF116" s="83"/>
      <c r="AG116" s="63"/>
      <c r="AH116" s="83"/>
      <c r="AI116" s="63"/>
      <c r="AJ116" s="83"/>
      <c r="AK116" s="83"/>
    </row>
    <row r="117">
      <c r="A117" s="63">
        <v>40064.0</v>
      </c>
      <c r="B117" s="44" t="s">
        <v>1530</v>
      </c>
      <c r="C117" s="63" t="s">
        <v>33</v>
      </c>
      <c r="D117" s="63" t="s">
        <v>1288</v>
      </c>
      <c r="E117" s="63" t="s">
        <v>1182</v>
      </c>
      <c r="F117" s="83" t="str">
        <f t="shared" si="92"/>
        <v>1,1</v>
      </c>
      <c r="G117" s="44"/>
      <c r="H117" s="63"/>
      <c r="I117" s="118">
        <v>400004.0</v>
      </c>
      <c r="J117" s="59">
        <v>400009.0</v>
      </c>
      <c r="K117" s="63">
        <v>400027.0</v>
      </c>
      <c r="L117" s="126">
        <f t="shared" si="101"/>
        <v>3</v>
      </c>
      <c r="M117" s="63"/>
      <c r="N117" s="63">
        <v>680.0</v>
      </c>
      <c r="O117" s="63">
        <v>79.0</v>
      </c>
      <c r="P117" s="63">
        <v>15.0</v>
      </c>
      <c r="Q117" s="63">
        <v>29.0</v>
      </c>
      <c r="R117" s="63">
        <v>27.0</v>
      </c>
      <c r="S117" s="63">
        <v>75.0</v>
      </c>
      <c r="T117" s="63">
        <v>10.0</v>
      </c>
      <c r="U117" s="125"/>
      <c r="V117" s="86">
        <f t="shared" si="93"/>
        <v>615</v>
      </c>
      <c r="W117" s="43">
        <f t="shared" si="94"/>
        <v>0.02</v>
      </c>
      <c r="X117" s="83"/>
      <c r="Y117" s="63"/>
      <c r="Z117" s="43" t="str">
        <f t="shared" si="95"/>
        <v>913</v>
      </c>
      <c r="AA117" s="43">
        <v>910.0</v>
      </c>
      <c r="AB117" s="83"/>
      <c r="AC117" s="63"/>
      <c r="AD117" s="83"/>
      <c r="AE117" s="63"/>
      <c r="AF117" s="83"/>
      <c r="AG117" s="63"/>
      <c r="AH117" s="83"/>
      <c r="AI117" s="63"/>
      <c r="AJ117" s="83"/>
      <c r="AK117" s="83"/>
    </row>
    <row r="118">
      <c r="A118" s="63">
        <v>40065.0</v>
      </c>
      <c r="B118" s="44" t="s">
        <v>1537</v>
      </c>
      <c r="C118" s="63" t="s">
        <v>33</v>
      </c>
      <c r="D118" s="63" t="s">
        <v>1288</v>
      </c>
      <c r="E118" s="63" t="s">
        <v>1182</v>
      </c>
      <c r="F118" s="83" t="str">
        <f t="shared" si="92"/>
        <v>1,1</v>
      </c>
      <c r="G118" s="44"/>
      <c r="H118" s="63"/>
      <c r="I118" s="118">
        <v>400001.0</v>
      </c>
      <c r="J118" s="59">
        <v>400031.0</v>
      </c>
      <c r="K118" s="63">
        <v>410020.0</v>
      </c>
      <c r="L118" s="126">
        <f t="shared" si="101"/>
        <v>1</v>
      </c>
      <c r="M118" s="63"/>
      <c r="N118" s="63">
        <v>1020.0</v>
      </c>
      <c r="O118" s="63">
        <v>68.0</v>
      </c>
      <c r="P118" s="63">
        <v>17.0</v>
      </c>
      <c r="Q118" s="63">
        <v>56.0</v>
      </c>
      <c r="R118" s="63">
        <v>40.0</v>
      </c>
      <c r="S118" s="63">
        <v>75.0</v>
      </c>
      <c r="T118" s="63">
        <v>10.0</v>
      </c>
      <c r="U118" s="125"/>
      <c r="V118" s="86">
        <f t="shared" si="93"/>
        <v>816</v>
      </c>
      <c r="W118" s="43">
        <f t="shared" si="94"/>
        <v>0.02</v>
      </c>
      <c r="X118" s="83"/>
      <c r="Y118" s="63"/>
      <c r="Z118" s="43" t="str">
        <f t="shared" si="95"/>
        <v>913</v>
      </c>
      <c r="AA118" s="43">
        <v>910.0</v>
      </c>
      <c r="AB118" s="83"/>
      <c r="AC118" s="63"/>
      <c r="AD118" s="83"/>
      <c r="AE118" s="63"/>
      <c r="AF118" s="83"/>
      <c r="AG118" s="63"/>
      <c r="AH118" s="83"/>
      <c r="AI118" s="63"/>
      <c r="AJ118" s="83"/>
      <c r="AK118" s="83"/>
    </row>
    <row r="119">
      <c r="A119" s="63">
        <v>40066.0</v>
      </c>
      <c r="B119" s="44" t="s">
        <v>1546</v>
      </c>
      <c r="C119" s="63" t="s">
        <v>33</v>
      </c>
      <c r="D119" s="63" t="s">
        <v>1288</v>
      </c>
      <c r="E119" s="63" t="s">
        <v>66</v>
      </c>
      <c r="F119" s="83" t="str">
        <f t="shared" si="92"/>
        <v>1,1</v>
      </c>
      <c r="G119" s="44"/>
      <c r="H119" s="63"/>
      <c r="I119" s="118">
        <v>400011.0</v>
      </c>
      <c r="J119" s="59">
        <v>400009.0</v>
      </c>
      <c r="K119" s="63">
        <v>400025.0</v>
      </c>
      <c r="L119" s="126">
        <f t="shared" si="101"/>
        <v>1</v>
      </c>
      <c r="M119" s="63"/>
      <c r="N119" s="63">
        <v>640.0</v>
      </c>
      <c r="O119" s="63">
        <v>16.0</v>
      </c>
      <c r="P119" s="63">
        <v>71.0</v>
      </c>
      <c r="Q119" s="63">
        <v>22.0</v>
      </c>
      <c r="R119" s="63">
        <v>38.0</v>
      </c>
      <c r="S119" s="63">
        <v>75.0</v>
      </c>
      <c r="T119" s="63">
        <v>10.0</v>
      </c>
      <c r="U119" s="125"/>
      <c r="V119" s="86">
        <f t="shared" si="93"/>
        <v>592</v>
      </c>
      <c r="W119" s="43">
        <f t="shared" si="94"/>
        <v>0.02</v>
      </c>
      <c r="X119" s="83"/>
      <c r="Y119" s="63"/>
      <c r="Z119" s="43" t="str">
        <f t="shared" si="95"/>
        <v>912</v>
      </c>
      <c r="AA119" s="43">
        <v>910.0</v>
      </c>
      <c r="AB119" s="83"/>
      <c r="AC119" s="63"/>
      <c r="AD119" s="83"/>
      <c r="AE119" s="63"/>
      <c r="AF119" s="83"/>
      <c r="AG119" s="63"/>
      <c r="AH119" s="83"/>
      <c r="AI119" s="63"/>
      <c r="AJ119" s="83"/>
      <c r="AK119" s="83"/>
    </row>
    <row r="120">
      <c r="A120" s="63">
        <v>40067.0</v>
      </c>
      <c r="B120" s="44" t="s">
        <v>1552</v>
      </c>
      <c r="C120" s="63" t="s">
        <v>33</v>
      </c>
      <c r="D120" s="63" t="s">
        <v>1288</v>
      </c>
      <c r="E120" s="63" t="s">
        <v>1182</v>
      </c>
      <c r="F120" s="83" t="str">
        <f t="shared" si="92"/>
        <v>1,1</v>
      </c>
      <c r="G120" s="44"/>
      <c r="H120" s="63"/>
      <c r="I120" s="118">
        <v>400001.0</v>
      </c>
      <c r="J120" s="59">
        <v>400031.0</v>
      </c>
      <c r="K120" s="63">
        <v>410020.0</v>
      </c>
      <c r="L120" s="126">
        <f t="shared" si="101"/>
        <v>2</v>
      </c>
      <c r="M120" s="63"/>
      <c r="N120" s="63">
        <v>1080.0</v>
      </c>
      <c r="O120" s="63">
        <v>65.0</v>
      </c>
      <c r="P120" s="63">
        <v>11.0</v>
      </c>
      <c r="Q120" s="63">
        <v>60.0</v>
      </c>
      <c r="R120" s="63">
        <v>35.0</v>
      </c>
      <c r="S120" s="63">
        <v>75.0</v>
      </c>
      <c r="T120" s="63">
        <v>10.0</v>
      </c>
      <c r="U120" s="125"/>
      <c r="V120" s="86">
        <f t="shared" si="93"/>
        <v>836</v>
      </c>
      <c r="W120" s="43">
        <f t="shared" si="94"/>
        <v>0.02</v>
      </c>
      <c r="X120" s="83"/>
      <c r="Y120" s="63"/>
      <c r="Z120" s="43" t="str">
        <f t="shared" si="95"/>
        <v>913</v>
      </c>
      <c r="AA120" s="43">
        <v>910.0</v>
      </c>
      <c r="AB120" s="83"/>
      <c r="AC120" s="63"/>
      <c r="AD120" s="83"/>
      <c r="AE120" s="63"/>
      <c r="AF120" s="83"/>
      <c r="AG120" s="63"/>
      <c r="AH120" s="83"/>
      <c r="AI120" s="63"/>
      <c r="AJ120" s="83"/>
      <c r="AK120" s="83"/>
    </row>
    <row r="121">
      <c r="A121" s="63">
        <v>40068.0</v>
      </c>
      <c r="B121" s="2" t="s">
        <v>1555</v>
      </c>
      <c r="C121" s="63" t="s">
        <v>33</v>
      </c>
      <c r="D121" s="63" t="s">
        <v>1288</v>
      </c>
      <c r="E121" s="63" t="s">
        <v>66</v>
      </c>
      <c r="F121" s="83" t="str">
        <f t="shared" si="92"/>
        <v>1,1</v>
      </c>
      <c r="G121" s="44"/>
      <c r="H121" s="63"/>
      <c r="I121" s="118">
        <v>400011.0</v>
      </c>
      <c r="J121" s="59">
        <v>400009.0</v>
      </c>
      <c r="K121" s="63">
        <v>400025.0</v>
      </c>
      <c r="L121" s="126">
        <f t="shared" si="101"/>
        <v>1</v>
      </c>
      <c r="M121" s="63"/>
      <c r="N121" s="63">
        <v>670.0</v>
      </c>
      <c r="O121" s="63">
        <v>15.0</v>
      </c>
      <c r="P121" s="63">
        <v>76.0</v>
      </c>
      <c r="Q121" s="63">
        <v>23.0</v>
      </c>
      <c r="R121" s="63">
        <v>44.0</v>
      </c>
      <c r="S121" s="63">
        <v>75.0</v>
      </c>
      <c r="T121" s="63">
        <v>10.0</v>
      </c>
      <c r="U121" s="125"/>
      <c r="V121" s="86">
        <f t="shared" si="93"/>
        <v>618</v>
      </c>
      <c r="W121" s="43">
        <f t="shared" si="94"/>
        <v>0.02</v>
      </c>
      <c r="X121" s="83"/>
      <c r="Y121" s="63"/>
      <c r="Z121" s="43" t="str">
        <f t="shared" si="95"/>
        <v>912</v>
      </c>
      <c r="AA121" s="43">
        <v>910.0</v>
      </c>
      <c r="AB121" s="83"/>
      <c r="AC121" s="63"/>
      <c r="AD121" s="83"/>
      <c r="AE121" s="63"/>
      <c r="AF121" s="83"/>
      <c r="AG121" s="63"/>
      <c r="AH121" s="83"/>
      <c r="AI121" s="63"/>
      <c r="AJ121" s="83"/>
      <c r="AK121" s="83"/>
    </row>
    <row r="122">
      <c r="A122" s="63">
        <v>40069.0</v>
      </c>
      <c r="B122" s="44" t="s">
        <v>1558</v>
      </c>
      <c r="C122" s="63" t="s">
        <v>33</v>
      </c>
      <c r="D122" s="63" t="s">
        <v>1288</v>
      </c>
      <c r="E122" s="63" t="s">
        <v>1182</v>
      </c>
      <c r="F122" s="83" t="str">
        <f t="shared" si="92"/>
        <v>1,1</v>
      </c>
      <c r="G122" s="44"/>
      <c r="H122" s="63"/>
      <c r="I122" s="118">
        <v>400004.0</v>
      </c>
      <c r="J122" s="59">
        <v>400013.0</v>
      </c>
      <c r="K122" s="63">
        <v>410023.0</v>
      </c>
      <c r="L122" s="126">
        <f t="shared" si="101"/>
        <v>3</v>
      </c>
      <c r="M122" s="63"/>
      <c r="N122" s="63">
        <v>690.0</v>
      </c>
      <c r="O122" s="63">
        <v>77.0</v>
      </c>
      <c r="P122" s="63">
        <v>14.0</v>
      </c>
      <c r="Q122" s="63">
        <v>30.0</v>
      </c>
      <c r="R122" s="63">
        <v>28.0</v>
      </c>
      <c r="S122" s="63">
        <v>75.0</v>
      </c>
      <c r="T122" s="63">
        <v>10.0</v>
      </c>
      <c r="U122" s="125">
        <v>7.0</v>
      </c>
      <c r="V122" s="86">
        <f t="shared" si="93"/>
        <v>619</v>
      </c>
      <c r="W122" s="43">
        <f t="shared" si="94"/>
        <v>0.02</v>
      </c>
      <c r="X122" s="83"/>
      <c r="Y122" s="63"/>
      <c r="Z122" s="43" t="str">
        <f t="shared" si="95"/>
        <v>913</v>
      </c>
      <c r="AA122" s="43">
        <v>910.0</v>
      </c>
      <c r="AB122" s="83"/>
      <c r="AC122" s="63"/>
      <c r="AD122" s="83"/>
      <c r="AE122" s="63"/>
      <c r="AF122" s="83"/>
      <c r="AG122" s="63"/>
      <c r="AH122" s="83"/>
      <c r="AI122" s="63"/>
      <c r="AJ122" s="83"/>
      <c r="AK122" s="83"/>
    </row>
    <row r="123">
      <c r="A123" s="63">
        <v>40070.0</v>
      </c>
      <c r="B123" s="44" t="s">
        <v>1560</v>
      </c>
      <c r="C123" s="63" t="s">
        <v>33</v>
      </c>
      <c r="D123" s="63" t="s">
        <v>1288</v>
      </c>
      <c r="E123" s="63" t="s">
        <v>1182</v>
      </c>
      <c r="F123" s="83" t="str">
        <f t="shared" si="92"/>
        <v>1,1</v>
      </c>
      <c r="G123" s="44"/>
      <c r="H123" s="63"/>
      <c r="I123" s="118">
        <v>400001.0</v>
      </c>
      <c r="J123" s="59">
        <v>400024.0</v>
      </c>
      <c r="K123" s="63">
        <v>410028.0</v>
      </c>
      <c r="L123" s="126">
        <f t="shared" si="101"/>
        <v>1</v>
      </c>
      <c r="M123" s="63"/>
      <c r="N123" s="63">
        <v>960.0</v>
      </c>
      <c r="O123" s="63">
        <v>71.0</v>
      </c>
      <c r="P123" s="63">
        <v>13.0</v>
      </c>
      <c r="Q123" s="63">
        <v>54.0</v>
      </c>
      <c r="R123" s="63">
        <v>41.0</v>
      </c>
      <c r="S123" s="63">
        <v>75.0</v>
      </c>
      <c r="T123" s="63">
        <v>10.0</v>
      </c>
      <c r="U123" s="125"/>
      <c r="V123" s="86">
        <f t="shared" si="93"/>
        <v>784</v>
      </c>
      <c r="W123" s="43">
        <f t="shared" si="94"/>
        <v>0.02</v>
      </c>
      <c r="X123" s="83"/>
      <c r="Y123" s="63"/>
      <c r="Z123" s="43" t="str">
        <f t="shared" si="95"/>
        <v>913</v>
      </c>
      <c r="AA123" s="43">
        <v>910.0</v>
      </c>
      <c r="AB123" s="83"/>
      <c r="AC123" s="63"/>
      <c r="AD123" s="83"/>
      <c r="AE123" s="63"/>
      <c r="AF123" s="83"/>
      <c r="AG123" s="63"/>
      <c r="AH123" s="83"/>
      <c r="AI123" s="63"/>
      <c r="AJ123" s="83"/>
      <c r="AK123" s="83"/>
    </row>
    <row r="124">
      <c r="A124" s="63">
        <v>40071.0</v>
      </c>
      <c r="B124" s="44" t="s">
        <v>1490</v>
      </c>
      <c r="C124" s="63" t="s">
        <v>33</v>
      </c>
      <c r="D124" s="63" t="s">
        <v>1288</v>
      </c>
      <c r="E124" s="63" t="s">
        <v>66</v>
      </c>
      <c r="F124" s="83" t="str">
        <f t="shared" si="92"/>
        <v>1,1</v>
      </c>
      <c r="G124" s="44"/>
      <c r="H124" s="63"/>
      <c r="I124" s="118">
        <v>400011.0</v>
      </c>
      <c r="J124" s="59">
        <v>400013.0</v>
      </c>
      <c r="K124" s="63">
        <v>400024.0</v>
      </c>
      <c r="L124" s="126">
        <f t="shared" si="101"/>
        <v>1</v>
      </c>
      <c r="M124" s="63"/>
      <c r="N124" s="63">
        <v>660.0</v>
      </c>
      <c r="O124" s="63">
        <v>12.0</v>
      </c>
      <c r="P124" s="63">
        <v>74.0</v>
      </c>
      <c r="Q124" s="63">
        <v>21.0</v>
      </c>
      <c r="R124" s="63">
        <v>46.0</v>
      </c>
      <c r="S124" s="63">
        <v>75.0</v>
      </c>
      <c r="T124" s="63">
        <v>10.0</v>
      </c>
      <c r="U124" s="125"/>
      <c r="V124" s="86">
        <f t="shared" si="93"/>
        <v>608</v>
      </c>
      <c r="W124" s="43">
        <f t="shared" si="94"/>
        <v>0.02</v>
      </c>
      <c r="X124" s="83"/>
      <c r="Y124" s="63"/>
      <c r="Z124" s="43" t="str">
        <f t="shared" si="95"/>
        <v>912</v>
      </c>
      <c r="AA124" s="43">
        <v>910.0</v>
      </c>
      <c r="AB124" s="83"/>
      <c r="AC124" s="63"/>
      <c r="AD124" s="83"/>
      <c r="AE124" s="63"/>
      <c r="AF124" s="83"/>
      <c r="AG124" s="63"/>
      <c r="AH124" s="83"/>
      <c r="AI124" s="63"/>
      <c r="AJ124" s="83"/>
      <c r="AK124" s="83"/>
    </row>
    <row r="125">
      <c r="A125" s="63">
        <v>40072.0</v>
      </c>
      <c r="B125" s="44" t="s">
        <v>1564</v>
      </c>
      <c r="C125" s="63" t="s">
        <v>33</v>
      </c>
      <c r="D125" s="63" t="s">
        <v>1288</v>
      </c>
      <c r="E125" s="63" t="s">
        <v>1182</v>
      </c>
      <c r="F125" s="83" t="str">
        <f t="shared" si="92"/>
        <v>1,1</v>
      </c>
      <c r="G125" s="44"/>
      <c r="H125" s="63"/>
      <c r="I125" s="118">
        <v>400001.0</v>
      </c>
      <c r="J125" s="59">
        <v>400023.0</v>
      </c>
      <c r="K125" s="63">
        <v>410017.0</v>
      </c>
      <c r="L125" s="126">
        <f t="shared" si="101"/>
        <v>1</v>
      </c>
      <c r="M125" s="63"/>
      <c r="N125" s="63">
        <v>1040.0</v>
      </c>
      <c r="O125" s="63">
        <v>67.0</v>
      </c>
      <c r="P125" s="63">
        <v>14.0</v>
      </c>
      <c r="Q125" s="63">
        <v>55.0</v>
      </c>
      <c r="R125" s="63">
        <v>38.0</v>
      </c>
      <c r="S125" s="63">
        <v>75.0</v>
      </c>
      <c r="T125" s="63">
        <v>10.0</v>
      </c>
      <c r="U125" s="125"/>
      <c r="V125" s="86">
        <f t="shared" si="93"/>
        <v>819</v>
      </c>
      <c r="W125" s="43">
        <f t="shared" si="94"/>
        <v>0.02</v>
      </c>
      <c r="X125" s="83"/>
      <c r="Y125" s="63"/>
      <c r="Z125" s="43" t="str">
        <f t="shared" si="95"/>
        <v>913</v>
      </c>
      <c r="AA125" s="43">
        <v>910.0</v>
      </c>
      <c r="AB125" s="83"/>
      <c r="AC125" s="63"/>
      <c r="AD125" s="83"/>
      <c r="AE125" s="63"/>
      <c r="AF125" s="83"/>
      <c r="AG125" s="63"/>
      <c r="AH125" s="83"/>
      <c r="AI125" s="63"/>
      <c r="AJ125" s="83"/>
      <c r="AK125" s="83"/>
    </row>
    <row r="127">
      <c r="U127" s="80"/>
    </row>
    <row r="128">
      <c r="U128" s="80"/>
    </row>
    <row r="129">
      <c r="U129" s="80"/>
    </row>
    <row r="130">
      <c r="A130" s="40" t="s">
        <v>673</v>
      </c>
      <c r="B130" s="40" t="s">
        <v>674</v>
      </c>
      <c r="C130" s="40" t="s">
        <v>676</v>
      </c>
      <c r="D130" s="40" t="s">
        <v>469</v>
      </c>
      <c r="E130" s="40" t="s">
        <v>677</v>
      </c>
      <c r="F130" s="56" t="s">
        <v>680</v>
      </c>
      <c r="G130" s="40" t="s">
        <v>538</v>
      </c>
      <c r="H130" s="40" t="s">
        <v>683</v>
      </c>
      <c r="I130" s="40" t="s">
        <v>684</v>
      </c>
      <c r="J130" s="40" t="s">
        <v>686</v>
      </c>
      <c r="K130" s="40" t="s">
        <v>687</v>
      </c>
      <c r="L130" s="40" t="s">
        <v>540</v>
      </c>
      <c r="M130" s="40" t="s">
        <v>688</v>
      </c>
      <c r="N130" s="40" t="s">
        <v>689</v>
      </c>
      <c r="O130" s="40" t="s">
        <v>690</v>
      </c>
      <c r="P130" s="40" t="s">
        <v>693</v>
      </c>
      <c r="Q130" s="40" t="s">
        <v>694</v>
      </c>
      <c r="R130" s="40" t="s">
        <v>696</v>
      </c>
      <c r="S130" s="40" t="s">
        <v>697</v>
      </c>
      <c r="T130" s="40" t="s">
        <v>80</v>
      </c>
      <c r="U130" s="81" t="s">
        <v>698</v>
      </c>
      <c r="V130" s="43" t="s">
        <v>699</v>
      </c>
      <c r="W130" s="40" t="s">
        <v>701</v>
      </c>
      <c r="X130" s="40" t="s">
        <v>703</v>
      </c>
      <c r="Y130" s="82" t="s">
        <v>704</v>
      </c>
      <c r="Z130" s="43" t="s">
        <v>707</v>
      </c>
      <c r="AA130" s="43" t="s">
        <v>708</v>
      </c>
      <c r="AB130" s="43" t="s">
        <v>710</v>
      </c>
      <c r="AC130" s="43" t="s">
        <v>712</v>
      </c>
      <c r="AD130" s="43" t="s">
        <v>713</v>
      </c>
      <c r="AE130" s="43" t="s">
        <v>714</v>
      </c>
      <c r="AF130" s="43" t="s">
        <v>715</v>
      </c>
      <c r="AG130" s="43" t="s">
        <v>716</v>
      </c>
      <c r="AH130" s="43" t="s">
        <v>719</v>
      </c>
      <c r="AI130" s="43" t="s">
        <v>721</v>
      </c>
      <c r="AJ130" s="43" t="s">
        <v>722</v>
      </c>
      <c r="AK130" s="43" t="s">
        <v>723</v>
      </c>
    </row>
    <row r="131">
      <c r="A131" s="63">
        <v>50000.0</v>
      </c>
      <c r="B131" s="4" t="s">
        <v>1573</v>
      </c>
      <c r="C131" s="63" t="s">
        <v>15</v>
      </c>
      <c r="D131" s="63" t="s">
        <v>1288</v>
      </c>
      <c r="E131" s="63" t="str">
        <f t="shared" ref="E131:E145" si="102">if(O131&gt;P131,"物攻","魔攻")</f>
        <v>魔攻</v>
      </c>
      <c r="F131" s="59"/>
      <c r="G131" s="59"/>
      <c r="H131" s="131" t="str">
        <f t="shared" ref="H131:H146" si="103">"2001,2002,2003,2004,2005,2006,2007,2008,2009,2010,2011,2012,5001,5002,5003,5004,5005,5006"</f>
        <v>2001,2002,2003,2004,2005,2006,2007,2008,2009,2010,2011,2012,5001,5002,5003,5004,5005,5006</v>
      </c>
      <c r="I131" s="63">
        <v>400018.0</v>
      </c>
      <c r="J131" s="21">
        <v>400019.0</v>
      </c>
      <c r="K131" s="43">
        <v>400020.0</v>
      </c>
      <c r="L131" s="43">
        <v>2.0</v>
      </c>
      <c r="M131" s="63"/>
      <c r="N131" s="63">
        <v>660.0</v>
      </c>
      <c r="O131" s="63">
        <v>14.0</v>
      </c>
      <c r="P131" s="63">
        <v>97.0</v>
      </c>
      <c r="Q131" s="63">
        <v>32.0</v>
      </c>
      <c r="R131" s="63">
        <v>55.0</v>
      </c>
      <c r="S131" s="63">
        <v>179.0</v>
      </c>
      <c r="T131" s="63">
        <v>19.0</v>
      </c>
      <c r="U131" s="132"/>
      <c r="V131" s="86">
        <f t="shared" ref="V131:V146" si="104">N131*0.5+O131+P131+Q131+R131+S131+T131*5</f>
        <v>802</v>
      </c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</row>
    <row r="132">
      <c r="A132" s="63">
        <v>50001.0</v>
      </c>
      <c r="B132" s="4" t="s">
        <v>1591</v>
      </c>
      <c r="C132" s="63" t="s">
        <v>33</v>
      </c>
      <c r="D132" s="63" t="s">
        <v>1288</v>
      </c>
      <c r="E132" s="63" t="str">
        <f t="shared" si="102"/>
        <v>物攻</v>
      </c>
      <c r="F132" s="59"/>
      <c r="G132" s="59"/>
      <c r="H132" s="131" t="str">
        <f t="shared" si="103"/>
        <v>2001,2002,2003,2004,2005,2006,2007,2008,2009,2010,2011,2012,5001,5002,5003,5004,5005,5006</v>
      </c>
      <c r="I132" s="63">
        <v>110001.0</v>
      </c>
      <c r="J132" s="78">
        <v>400016.0</v>
      </c>
      <c r="K132" s="78">
        <v>410013.0</v>
      </c>
      <c r="L132" s="43">
        <v>3.0</v>
      </c>
      <c r="M132" s="63"/>
      <c r="N132" s="63">
        <v>1050.0</v>
      </c>
      <c r="O132" s="63">
        <v>77.0</v>
      </c>
      <c r="P132" s="63">
        <v>11.0</v>
      </c>
      <c r="Q132" s="63">
        <v>55.0</v>
      </c>
      <c r="R132" s="63">
        <v>37.0</v>
      </c>
      <c r="S132" s="63">
        <v>300.0</v>
      </c>
      <c r="T132" s="63">
        <v>15.0</v>
      </c>
      <c r="U132" s="132"/>
      <c r="V132" s="86">
        <f t="shared" si="104"/>
        <v>1080</v>
      </c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</row>
    <row r="133">
      <c r="A133" s="63">
        <v>50002.0</v>
      </c>
      <c r="B133" s="4" t="s">
        <v>1598</v>
      </c>
      <c r="C133" s="63" t="s">
        <v>33</v>
      </c>
      <c r="D133" s="63" t="s">
        <v>1288</v>
      </c>
      <c r="E133" s="63" t="str">
        <f t="shared" si="102"/>
        <v>魔攻</v>
      </c>
      <c r="F133" s="59"/>
      <c r="G133" s="59"/>
      <c r="H133" s="131" t="str">
        <f t="shared" si="103"/>
        <v>2001,2002,2003,2004,2005,2006,2007,2008,2009,2010,2011,2012,5001,5002,5003,5004,5005,5006</v>
      </c>
      <c r="I133" s="63">
        <v>110001.0</v>
      </c>
      <c r="J133" s="78">
        <v>400017.0</v>
      </c>
      <c r="K133" s="78">
        <v>410014.0</v>
      </c>
      <c r="L133" s="43">
        <v>1.0</v>
      </c>
      <c r="M133" s="63"/>
      <c r="N133" s="63">
        <v>2200.0</v>
      </c>
      <c r="O133" s="63">
        <v>10.0</v>
      </c>
      <c r="P133" s="63">
        <v>85.0</v>
      </c>
      <c r="Q133" s="63">
        <v>85.0</v>
      </c>
      <c r="R133" s="63">
        <v>55.0</v>
      </c>
      <c r="S133" s="63">
        <v>400.0</v>
      </c>
      <c r="T133" s="63">
        <v>10.0</v>
      </c>
      <c r="U133" s="132"/>
      <c r="V133" s="86">
        <f t="shared" si="104"/>
        <v>1785</v>
      </c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</row>
    <row r="134">
      <c r="A134" s="63">
        <v>50003.0</v>
      </c>
      <c r="B134" s="4" t="s">
        <v>1603</v>
      </c>
      <c r="C134" s="63" t="s">
        <v>33</v>
      </c>
      <c r="D134" s="63" t="s">
        <v>1288</v>
      </c>
      <c r="E134" s="63" t="str">
        <f t="shared" si="102"/>
        <v>物攻</v>
      </c>
      <c r="F134" s="59"/>
      <c r="G134" s="59"/>
      <c r="H134" s="131" t="str">
        <f t="shared" si="103"/>
        <v>2001,2002,2003,2004,2005,2006,2007,2008,2009,2010,2011,2012,5001,5002,5003,5004,5005,5006</v>
      </c>
      <c r="I134" s="63">
        <v>110001.0</v>
      </c>
      <c r="J134" s="78">
        <v>400018.0</v>
      </c>
      <c r="K134" s="78">
        <v>410015.0</v>
      </c>
      <c r="L134" s="43">
        <v>2.0</v>
      </c>
      <c r="M134" s="63"/>
      <c r="N134" s="63">
        <v>1950.0</v>
      </c>
      <c r="O134" s="63">
        <v>105.0</v>
      </c>
      <c r="P134" s="63">
        <v>11.0</v>
      </c>
      <c r="Q134" s="63">
        <v>65.0</v>
      </c>
      <c r="R134" s="63">
        <v>75.0</v>
      </c>
      <c r="S134" s="63">
        <v>500.0</v>
      </c>
      <c r="T134" s="63">
        <v>19.0</v>
      </c>
      <c r="U134" s="132"/>
      <c r="V134" s="86">
        <f t="shared" si="104"/>
        <v>1826</v>
      </c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</row>
    <row r="135">
      <c r="A135" s="63">
        <v>50004.0</v>
      </c>
      <c r="B135" s="4" t="s">
        <v>1607</v>
      </c>
      <c r="C135" s="63" t="s">
        <v>33</v>
      </c>
      <c r="D135" s="63" t="s">
        <v>1288</v>
      </c>
      <c r="E135" s="63" t="str">
        <f t="shared" si="102"/>
        <v>物攻</v>
      </c>
      <c r="F135" s="59"/>
      <c r="G135" s="59"/>
      <c r="H135" s="131" t="str">
        <f t="shared" si="103"/>
        <v>2001,2002,2003,2004,2005,2006,2007,2008,2009,2010,2011,2012,5001,5002,5003,5004,5005,5006</v>
      </c>
      <c r="I135" s="63">
        <v>110001.0</v>
      </c>
      <c r="J135" s="78">
        <v>400018.0</v>
      </c>
      <c r="K135" s="78">
        <v>410015.0</v>
      </c>
      <c r="L135" s="43">
        <v>2.0</v>
      </c>
      <c r="M135" s="63"/>
      <c r="N135" s="63">
        <v>1950.0</v>
      </c>
      <c r="O135" s="63">
        <v>105.0</v>
      </c>
      <c r="P135" s="63">
        <v>11.0</v>
      </c>
      <c r="Q135" s="63">
        <v>65.0</v>
      </c>
      <c r="R135" s="63">
        <v>75.0</v>
      </c>
      <c r="S135" s="63">
        <v>500.0</v>
      </c>
      <c r="T135" s="63">
        <v>19.0</v>
      </c>
      <c r="U135" s="132"/>
      <c r="V135" s="86">
        <f t="shared" si="104"/>
        <v>1826</v>
      </c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</row>
    <row r="136">
      <c r="A136" s="63">
        <v>50005.0</v>
      </c>
      <c r="B136" s="4" t="s">
        <v>1612</v>
      </c>
      <c r="C136" s="63" t="s">
        <v>33</v>
      </c>
      <c r="D136" s="63" t="s">
        <v>1288</v>
      </c>
      <c r="E136" s="63" t="str">
        <f t="shared" si="102"/>
        <v>物攻</v>
      </c>
      <c r="F136" s="59"/>
      <c r="G136" s="59"/>
      <c r="H136" s="131" t="str">
        <f t="shared" si="103"/>
        <v>2001,2002,2003,2004,2005,2006,2007,2008,2009,2010,2011,2012,5001,5002,5003,5004,5005,5006</v>
      </c>
      <c r="I136" s="63">
        <v>110001.0</v>
      </c>
      <c r="J136" s="78">
        <v>400018.0</v>
      </c>
      <c r="K136" s="78">
        <v>410015.0</v>
      </c>
      <c r="L136" s="43">
        <v>2.0</v>
      </c>
      <c r="M136" s="63"/>
      <c r="N136" s="63">
        <v>1950.0</v>
      </c>
      <c r="O136" s="63">
        <v>105.0</v>
      </c>
      <c r="P136" s="63">
        <v>11.0</v>
      </c>
      <c r="Q136" s="63">
        <v>65.0</v>
      </c>
      <c r="R136" s="63">
        <v>75.0</v>
      </c>
      <c r="S136" s="63">
        <v>500.0</v>
      </c>
      <c r="T136" s="63">
        <v>19.0</v>
      </c>
      <c r="U136" s="132"/>
      <c r="V136" s="86">
        <f t="shared" si="104"/>
        <v>1826</v>
      </c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</row>
    <row r="137">
      <c r="A137" s="63">
        <v>50006.0</v>
      </c>
      <c r="B137" s="4" t="s">
        <v>1617</v>
      </c>
      <c r="C137" s="63" t="s">
        <v>33</v>
      </c>
      <c r="D137" s="63" t="s">
        <v>1288</v>
      </c>
      <c r="E137" s="63" t="str">
        <f t="shared" si="102"/>
        <v>物攻</v>
      </c>
      <c r="F137" s="59"/>
      <c r="G137" s="59"/>
      <c r="H137" s="131" t="str">
        <f t="shared" si="103"/>
        <v>2001,2002,2003,2004,2005,2006,2007,2008,2009,2010,2011,2012,5001,5002,5003,5004,5005,5006</v>
      </c>
      <c r="I137" s="63">
        <v>110001.0</v>
      </c>
      <c r="J137" s="78">
        <v>400018.0</v>
      </c>
      <c r="K137" s="78">
        <v>410015.0</v>
      </c>
      <c r="L137" s="43">
        <v>2.0</v>
      </c>
      <c r="M137" s="63"/>
      <c r="N137" s="63">
        <v>1950.0</v>
      </c>
      <c r="O137" s="63">
        <v>105.0</v>
      </c>
      <c r="P137" s="63">
        <v>11.0</v>
      </c>
      <c r="Q137" s="63">
        <v>65.0</v>
      </c>
      <c r="R137" s="63">
        <v>75.0</v>
      </c>
      <c r="S137" s="63">
        <v>500.0</v>
      </c>
      <c r="T137" s="63">
        <v>19.0</v>
      </c>
      <c r="U137" s="132"/>
      <c r="V137" s="86">
        <f t="shared" si="104"/>
        <v>1826</v>
      </c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</row>
    <row r="138">
      <c r="A138" s="63">
        <v>50007.0</v>
      </c>
      <c r="B138" s="4" t="s">
        <v>1623</v>
      </c>
      <c r="C138" s="63" t="s">
        <v>33</v>
      </c>
      <c r="D138" s="63" t="s">
        <v>1288</v>
      </c>
      <c r="E138" s="63" t="str">
        <f t="shared" si="102"/>
        <v>物攻</v>
      </c>
      <c r="F138" s="59"/>
      <c r="G138" s="59"/>
      <c r="H138" s="131" t="str">
        <f t="shared" si="103"/>
        <v>2001,2002,2003,2004,2005,2006,2007,2008,2009,2010,2011,2012,5001,5002,5003,5004,5005,5006</v>
      </c>
      <c r="I138" s="63">
        <v>110001.0</v>
      </c>
      <c r="J138" s="78">
        <v>400018.0</v>
      </c>
      <c r="K138" s="78">
        <v>410015.0</v>
      </c>
      <c r="L138" s="43">
        <v>2.0</v>
      </c>
      <c r="M138" s="63"/>
      <c r="N138" s="63">
        <v>1950.0</v>
      </c>
      <c r="O138" s="63">
        <v>105.0</v>
      </c>
      <c r="P138" s="63">
        <v>11.0</v>
      </c>
      <c r="Q138" s="63">
        <v>65.0</v>
      </c>
      <c r="R138" s="63">
        <v>75.0</v>
      </c>
      <c r="S138" s="63">
        <v>500.0</v>
      </c>
      <c r="T138" s="63">
        <v>19.0</v>
      </c>
      <c r="U138" s="132"/>
      <c r="V138" s="86">
        <f t="shared" si="104"/>
        <v>1826</v>
      </c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</row>
    <row r="139">
      <c r="A139" s="63">
        <v>50008.0</v>
      </c>
      <c r="B139" s="4" t="s">
        <v>1628</v>
      </c>
      <c r="C139" s="63" t="s">
        <v>33</v>
      </c>
      <c r="D139" s="63" t="s">
        <v>1288</v>
      </c>
      <c r="E139" s="63" t="str">
        <f t="shared" si="102"/>
        <v>物攻</v>
      </c>
      <c r="F139" s="59"/>
      <c r="G139" s="59"/>
      <c r="H139" s="131" t="str">
        <f t="shared" si="103"/>
        <v>2001,2002,2003,2004,2005,2006,2007,2008,2009,2010,2011,2012,5001,5002,5003,5004,5005,5006</v>
      </c>
      <c r="I139" s="63">
        <v>110001.0</v>
      </c>
      <c r="J139" s="78">
        <v>400018.0</v>
      </c>
      <c r="K139" s="78">
        <v>410015.0</v>
      </c>
      <c r="L139" s="43">
        <v>2.0</v>
      </c>
      <c r="M139" s="63"/>
      <c r="N139" s="63">
        <v>1950.0</v>
      </c>
      <c r="O139" s="63">
        <v>105.0</v>
      </c>
      <c r="P139" s="63">
        <v>11.0</v>
      </c>
      <c r="Q139" s="63">
        <v>65.0</v>
      </c>
      <c r="R139" s="63">
        <v>75.0</v>
      </c>
      <c r="S139" s="63">
        <v>500.0</v>
      </c>
      <c r="T139" s="63">
        <v>19.0</v>
      </c>
      <c r="U139" s="132"/>
      <c r="V139" s="86">
        <f t="shared" si="104"/>
        <v>1826</v>
      </c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</row>
    <row r="140">
      <c r="A140" s="63">
        <v>50009.0</v>
      </c>
      <c r="B140" s="4" t="s">
        <v>1642</v>
      </c>
      <c r="C140" s="63" t="s">
        <v>33</v>
      </c>
      <c r="D140" s="63" t="s">
        <v>1288</v>
      </c>
      <c r="E140" s="63" t="str">
        <f t="shared" si="102"/>
        <v>物攻</v>
      </c>
      <c r="F140" s="59"/>
      <c r="G140" s="59"/>
      <c r="H140" s="131" t="str">
        <f t="shared" si="103"/>
        <v>2001,2002,2003,2004,2005,2006,2007,2008,2009,2010,2011,2012,5001,5002,5003,5004,5005,5006</v>
      </c>
      <c r="I140" s="63">
        <v>110001.0</v>
      </c>
      <c r="J140" s="78">
        <v>400018.0</v>
      </c>
      <c r="K140" s="78">
        <v>410015.0</v>
      </c>
      <c r="L140" s="43">
        <v>2.0</v>
      </c>
      <c r="M140" s="63"/>
      <c r="N140" s="63">
        <v>1950.0</v>
      </c>
      <c r="O140" s="63">
        <v>105.0</v>
      </c>
      <c r="P140" s="63">
        <v>11.0</v>
      </c>
      <c r="Q140" s="63">
        <v>65.0</v>
      </c>
      <c r="R140" s="63">
        <v>75.0</v>
      </c>
      <c r="S140" s="63">
        <v>500.0</v>
      </c>
      <c r="T140" s="63">
        <v>19.0</v>
      </c>
      <c r="U140" s="132"/>
      <c r="V140" s="86">
        <f t="shared" si="104"/>
        <v>1826</v>
      </c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</row>
    <row r="141">
      <c r="A141" s="63">
        <v>50010.0</v>
      </c>
      <c r="B141" s="4" t="s">
        <v>1654</v>
      </c>
      <c r="C141" s="63" t="s">
        <v>33</v>
      </c>
      <c r="D141" s="63" t="s">
        <v>1288</v>
      </c>
      <c r="E141" s="63" t="str">
        <f t="shared" si="102"/>
        <v>物攻</v>
      </c>
      <c r="F141" s="59"/>
      <c r="G141" s="59"/>
      <c r="H141" s="131" t="str">
        <f t="shared" si="103"/>
        <v>2001,2002,2003,2004,2005,2006,2007,2008,2009,2010,2011,2012,5001,5002,5003,5004,5005,5006</v>
      </c>
      <c r="I141" s="63">
        <v>110001.0</v>
      </c>
      <c r="J141" s="78">
        <v>400018.0</v>
      </c>
      <c r="K141" s="78">
        <v>410015.0</v>
      </c>
      <c r="L141" s="43">
        <v>2.0</v>
      </c>
      <c r="M141" s="63"/>
      <c r="N141" s="63">
        <v>1950.0</v>
      </c>
      <c r="O141" s="63">
        <v>105.0</v>
      </c>
      <c r="P141" s="63">
        <v>11.0</v>
      </c>
      <c r="Q141" s="63">
        <v>65.0</v>
      </c>
      <c r="R141" s="63">
        <v>75.0</v>
      </c>
      <c r="S141" s="63">
        <v>500.0</v>
      </c>
      <c r="T141" s="63">
        <v>19.0</v>
      </c>
      <c r="U141" s="132"/>
      <c r="V141" s="86">
        <f t="shared" si="104"/>
        <v>1826</v>
      </c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</row>
    <row r="142">
      <c r="A142" s="63">
        <v>50011.0</v>
      </c>
      <c r="B142" s="4" t="s">
        <v>1664</v>
      </c>
      <c r="C142" s="63" t="s">
        <v>15</v>
      </c>
      <c r="D142" s="63" t="s">
        <v>1288</v>
      </c>
      <c r="E142" s="63" t="str">
        <f t="shared" si="102"/>
        <v>物攻</v>
      </c>
      <c r="F142" s="59"/>
      <c r="G142" s="59"/>
      <c r="H142" s="131" t="str">
        <f t="shared" si="103"/>
        <v>2001,2002,2003,2004,2005,2006,2007,2008,2009,2010,2011,2012,5001,5002,5003,5004,5005,5006</v>
      </c>
      <c r="I142" s="63">
        <v>110001.0</v>
      </c>
      <c r="J142" s="78">
        <v>400018.0</v>
      </c>
      <c r="K142" s="78">
        <v>410015.0</v>
      </c>
      <c r="L142" s="43">
        <v>2.0</v>
      </c>
      <c r="M142" s="63"/>
      <c r="N142" s="63">
        <v>1950.0</v>
      </c>
      <c r="O142" s="63">
        <v>105.0</v>
      </c>
      <c r="P142" s="63">
        <v>11.0</v>
      </c>
      <c r="Q142" s="63">
        <v>65.0</v>
      </c>
      <c r="R142" s="63">
        <v>75.0</v>
      </c>
      <c r="S142" s="63">
        <v>500.0</v>
      </c>
      <c r="T142" s="63">
        <v>19.0</v>
      </c>
      <c r="U142" s="132"/>
      <c r="V142" s="86">
        <f t="shared" si="104"/>
        <v>1826</v>
      </c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</row>
    <row r="143">
      <c r="A143" s="63">
        <v>50012.0</v>
      </c>
      <c r="B143" s="4" t="s">
        <v>1675</v>
      </c>
      <c r="C143" s="63" t="s">
        <v>15</v>
      </c>
      <c r="D143" s="63" t="s">
        <v>1288</v>
      </c>
      <c r="E143" s="63" t="str">
        <f t="shared" si="102"/>
        <v>物攻</v>
      </c>
      <c r="F143" s="59"/>
      <c r="G143" s="59"/>
      <c r="H143" s="131" t="str">
        <f t="shared" si="103"/>
        <v>2001,2002,2003,2004,2005,2006,2007,2008,2009,2010,2011,2012,5001,5002,5003,5004,5005,5006</v>
      </c>
      <c r="I143" s="63">
        <v>110001.0</v>
      </c>
      <c r="J143" s="78">
        <v>400018.0</v>
      </c>
      <c r="K143" s="78">
        <v>410015.0</v>
      </c>
      <c r="L143" s="43">
        <v>2.0</v>
      </c>
      <c r="M143" s="63"/>
      <c r="N143" s="63">
        <v>1950.0</v>
      </c>
      <c r="O143" s="63">
        <v>105.0</v>
      </c>
      <c r="P143" s="63">
        <v>11.0</v>
      </c>
      <c r="Q143" s="63">
        <v>65.0</v>
      </c>
      <c r="R143" s="63">
        <v>75.0</v>
      </c>
      <c r="S143" s="63">
        <v>500.0</v>
      </c>
      <c r="T143" s="63">
        <v>19.0</v>
      </c>
      <c r="U143" s="132"/>
      <c r="V143" s="86">
        <f t="shared" si="104"/>
        <v>1826</v>
      </c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</row>
    <row r="144">
      <c r="A144" s="63">
        <v>50013.0</v>
      </c>
      <c r="B144" s="4" t="s">
        <v>1684</v>
      </c>
      <c r="C144" s="63" t="s">
        <v>15</v>
      </c>
      <c r="D144" s="63" t="s">
        <v>1288</v>
      </c>
      <c r="E144" s="63" t="str">
        <f t="shared" si="102"/>
        <v>物攻</v>
      </c>
      <c r="F144" s="59"/>
      <c r="G144" s="59"/>
      <c r="H144" s="131" t="str">
        <f t="shared" si="103"/>
        <v>2001,2002,2003,2004,2005,2006,2007,2008,2009,2010,2011,2012,5001,5002,5003,5004,5005,5006</v>
      </c>
      <c r="I144" s="63">
        <v>110001.0</v>
      </c>
      <c r="J144" s="78">
        <v>400018.0</v>
      </c>
      <c r="K144" s="78">
        <v>410015.0</v>
      </c>
      <c r="L144" s="43">
        <v>2.0</v>
      </c>
      <c r="M144" s="63"/>
      <c r="N144" s="63">
        <v>1950.0</v>
      </c>
      <c r="O144" s="63">
        <v>105.0</v>
      </c>
      <c r="P144" s="63">
        <v>11.0</v>
      </c>
      <c r="Q144" s="63">
        <v>65.0</v>
      </c>
      <c r="R144" s="63">
        <v>75.0</v>
      </c>
      <c r="S144" s="63">
        <v>500.0</v>
      </c>
      <c r="T144" s="63">
        <v>19.0</v>
      </c>
      <c r="U144" s="132"/>
      <c r="V144" s="86">
        <f t="shared" si="104"/>
        <v>1826</v>
      </c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</row>
    <row r="145">
      <c r="A145" s="63">
        <v>50014.0</v>
      </c>
      <c r="B145" s="4" t="s">
        <v>1695</v>
      </c>
      <c r="C145" s="63" t="s">
        <v>15</v>
      </c>
      <c r="D145" s="63" t="s">
        <v>1288</v>
      </c>
      <c r="E145" s="63" t="str">
        <f t="shared" si="102"/>
        <v>物攻</v>
      </c>
      <c r="F145" s="59"/>
      <c r="G145" s="59"/>
      <c r="H145" s="131" t="str">
        <f t="shared" si="103"/>
        <v>2001,2002,2003,2004,2005,2006,2007,2008,2009,2010,2011,2012,5001,5002,5003,5004,5005,5006</v>
      </c>
      <c r="I145" s="63">
        <v>110001.0</v>
      </c>
      <c r="J145" s="78">
        <v>400018.0</v>
      </c>
      <c r="K145" s="78">
        <v>410015.0</v>
      </c>
      <c r="L145" s="43">
        <v>2.0</v>
      </c>
      <c r="M145" s="63"/>
      <c r="N145" s="63">
        <v>1950.0</v>
      </c>
      <c r="O145" s="63">
        <v>105.0</v>
      </c>
      <c r="P145" s="63">
        <v>11.0</v>
      </c>
      <c r="Q145" s="63">
        <v>65.0</v>
      </c>
      <c r="R145" s="63">
        <v>75.0</v>
      </c>
      <c r="S145" s="63">
        <v>500.0</v>
      </c>
      <c r="T145" s="63">
        <v>19.0</v>
      </c>
      <c r="U145" s="132"/>
      <c r="V145" s="86">
        <f t="shared" si="104"/>
        <v>1826</v>
      </c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</row>
    <row r="146">
      <c r="A146" s="63">
        <v>50015.0</v>
      </c>
      <c r="B146" s="4" t="s">
        <v>1705</v>
      </c>
      <c r="C146" s="63" t="s">
        <v>15</v>
      </c>
      <c r="D146" s="63" t="s">
        <v>1288</v>
      </c>
      <c r="H146" s="131" t="str">
        <f t="shared" si="103"/>
        <v>2001,2002,2003,2004,2005,2006,2007,2008,2009,2010,2011,2012,5001,5002,5003,5004,5005,5006</v>
      </c>
      <c r="I146" s="63">
        <v>110001.0</v>
      </c>
      <c r="J146" s="78">
        <v>400018.0</v>
      </c>
      <c r="K146" s="78">
        <v>410015.0</v>
      </c>
      <c r="L146" s="43">
        <v>2.0</v>
      </c>
      <c r="M146" s="63"/>
      <c r="N146" s="63">
        <v>1950.0</v>
      </c>
      <c r="O146" s="63">
        <v>105.0</v>
      </c>
      <c r="P146" s="63">
        <v>11.0</v>
      </c>
      <c r="Q146" s="63">
        <v>65.0</v>
      </c>
      <c r="R146" s="63">
        <v>75.0</v>
      </c>
      <c r="S146" s="63">
        <v>500.0</v>
      </c>
      <c r="T146" s="63">
        <v>19.0</v>
      </c>
      <c r="U146" s="132"/>
      <c r="V146" s="86">
        <f t="shared" si="104"/>
        <v>1826</v>
      </c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</row>
    <row r="147">
      <c r="F147" s="2"/>
      <c r="U147" s="80"/>
    </row>
    <row r="148">
      <c r="U148" s="80"/>
    </row>
    <row r="149">
      <c r="A149" s="40" t="s">
        <v>673</v>
      </c>
      <c r="B149" s="40" t="s">
        <v>674</v>
      </c>
      <c r="C149" s="40" t="s">
        <v>676</v>
      </c>
      <c r="D149" s="40" t="s">
        <v>469</v>
      </c>
      <c r="E149" s="40" t="s">
        <v>677</v>
      </c>
      <c r="F149" s="56" t="s">
        <v>680</v>
      </c>
      <c r="G149" s="40" t="s">
        <v>538</v>
      </c>
      <c r="H149" s="40" t="s">
        <v>683</v>
      </c>
      <c r="I149" s="40" t="s">
        <v>684</v>
      </c>
      <c r="J149" s="40" t="s">
        <v>686</v>
      </c>
      <c r="K149" s="40" t="s">
        <v>687</v>
      </c>
      <c r="L149" s="40" t="s">
        <v>540</v>
      </c>
      <c r="M149" s="40" t="s">
        <v>688</v>
      </c>
      <c r="N149" s="40" t="s">
        <v>689</v>
      </c>
      <c r="O149" s="40" t="s">
        <v>690</v>
      </c>
      <c r="P149" s="40" t="s">
        <v>693</v>
      </c>
      <c r="Q149" s="40" t="s">
        <v>694</v>
      </c>
      <c r="R149" s="40" t="s">
        <v>696</v>
      </c>
      <c r="S149" s="40" t="s">
        <v>697</v>
      </c>
      <c r="T149" s="40" t="s">
        <v>80</v>
      </c>
      <c r="U149" s="81" t="s">
        <v>698</v>
      </c>
      <c r="V149" s="43" t="s">
        <v>699</v>
      </c>
      <c r="W149" s="40" t="s">
        <v>701</v>
      </c>
      <c r="X149" s="40" t="s">
        <v>703</v>
      </c>
      <c r="Y149" s="82" t="s">
        <v>704</v>
      </c>
      <c r="Z149" s="43" t="s">
        <v>707</v>
      </c>
      <c r="AA149" s="43" t="s">
        <v>708</v>
      </c>
      <c r="AB149" s="43" t="s">
        <v>710</v>
      </c>
      <c r="AC149" s="43" t="s">
        <v>712</v>
      </c>
      <c r="AD149" s="43" t="s">
        <v>713</v>
      </c>
      <c r="AE149" s="43" t="s">
        <v>714</v>
      </c>
      <c r="AF149" s="43" t="s">
        <v>715</v>
      </c>
      <c r="AG149" s="43" t="s">
        <v>716</v>
      </c>
      <c r="AH149" s="43" t="s">
        <v>719</v>
      </c>
      <c r="AI149" s="43" t="s">
        <v>721</v>
      </c>
      <c r="AJ149" s="43" t="s">
        <v>722</v>
      </c>
      <c r="AK149" s="43" t="s">
        <v>723</v>
      </c>
    </row>
    <row r="150">
      <c r="A150" s="4">
        <v>60001.0</v>
      </c>
      <c r="B150" s="14"/>
      <c r="C150" s="14"/>
      <c r="D150" s="63" t="s">
        <v>1723</v>
      </c>
      <c r="E150" s="4">
        <v>20.0</v>
      </c>
      <c r="F150" s="14"/>
      <c r="G150" s="14"/>
      <c r="H150" s="14"/>
      <c r="I150" s="14"/>
      <c r="J150" s="14"/>
      <c r="K150" s="14"/>
      <c r="L150" s="14"/>
      <c r="M150" s="14"/>
      <c r="N150" s="4">
        <v>1000.0</v>
      </c>
      <c r="O150" s="4">
        <v>50.0</v>
      </c>
      <c r="P150" s="4">
        <v>50.0</v>
      </c>
      <c r="Q150" s="4">
        <v>50.0</v>
      </c>
      <c r="R150" s="4">
        <v>50.0</v>
      </c>
      <c r="S150" s="4">
        <v>100.0</v>
      </c>
      <c r="T150" s="14"/>
      <c r="U150" s="132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</row>
    <row r="151">
      <c r="A151" s="4">
        <v>60002.0</v>
      </c>
      <c r="B151" s="14"/>
      <c r="C151" s="14"/>
      <c r="D151" s="63" t="s">
        <v>1723</v>
      </c>
      <c r="E151" s="14">
        <f t="shared" ref="E151:E161" si="106">E150+10</f>
        <v>30</v>
      </c>
      <c r="F151" s="14"/>
      <c r="G151" s="14"/>
      <c r="H151" s="14"/>
      <c r="I151" s="14"/>
      <c r="J151" s="14"/>
      <c r="K151" s="14"/>
      <c r="L151" s="14"/>
      <c r="M151" s="14"/>
      <c r="N151" s="14">
        <f t="shared" ref="N151:N161" si="107">ROUND(N150*1.4,0)</f>
        <v>1400</v>
      </c>
      <c r="O151" s="14">
        <f t="shared" ref="O151:O161" si="108">ROUND(O150*1.15,0)</f>
        <v>58</v>
      </c>
      <c r="P151" s="14">
        <f t="shared" ref="P151:P161" si="109">ROUND(P150*1.2,0)</f>
        <v>60</v>
      </c>
      <c r="Q151" s="14">
        <f t="shared" ref="Q151:R151" si="105">ROUND(Q150*1.25,0)</f>
        <v>63</v>
      </c>
      <c r="R151" s="14">
        <f t="shared" si="105"/>
        <v>63</v>
      </c>
      <c r="S151" s="14">
        <f t="shared" ref="S151:S161" si="111">ROUND(S150*1.1,0)</f>
        <v>110</v>
      </c>
      <c r="T151" s="14"/>
      <c r="U151" s="132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</row>
    <row r="152">
      <c r="A152" s="4">
        <v>60003.0</v>
      </c>
      <c r="B152" s="14"/>
      <c r="C152" s="14"/>
      <c r="D152" s="63" t="s">
        <v>1723</v>
      </c>
      <c r="E152" s="14">
        <f t="shared" si="106"/>
        <v>40</v>
      </c>
      <c r="F152" s="14"/>
      <c r="G152" s="14"/>
      <c r="H152" s="14"/>
      <c r="I152" s="14"/>
      <c r="J152" s="14"/>
      <c r="K152" s="14"/>
      <c r="L152" s="14"/>
      <c r="M152" s="14"/>
      <c r="N152" s="14">
        <f t="shared" si="107"/>
        <v>1960</v>
      </c>
      <c r="O152" s="14">
        <f t="shared" si="108"/>
        <v>67</v>
      </c>
      <c r="P152" s="14">
        <f t="shared" si="109"/>
        <v>72</v>
      </c>
      <c r="Q152" s="14">
        <f t="shared" ref="Q152:R152" si="110">ROUND(Q151*1.25,0)</f>
        <v>79</v>
      </c>
      <c r="R152" s="14">
        <f t="shared" si="110"/>
        <v>79</v>
      </c>
      <c r="S152" s="14">
        <f t="shared" si="111"/>
        <v>121</v>
      </c>
      <c r="T152" s="14"/>
      <c r="U152" s="132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</row>
    <row r="153">
      <c r="A153" s="4">
        <v>60004.0</v>
      </c>
      <c r="B153" s="14"/>
      <c r="C153" s="14"/>
      <c r="D153" s="63" t="s">
        <v>1723</v>
      </c>
      <c r="E153" s="14">
        <f t="shared" si="106"/>
        <v>50</v>
      </c>
      <c r="F153" s="14"/>
      <c r="G153" s="14"/>
      <c r="H153" s="14"/>
      <c r="I153" s="14"/>
      <c r="J153" s="14"/>
      <c r="K153" s="14"/>
      <c r="L153" s="14"/>
      <c r="M153" s="14"/>
      <c r="N153" s="14">
        <f t="shared" si="107"/>
        <v>2744</v>
      </c>
      <c r="O153" s="14">
        <f t="shared" si="108"/>
        <v>77</v>
      </c>
      <c r="P153" s="14">
        <f t="shared" si="109"/>
        <v>86</v>
      </c>
      <c r="Q153" s="14">
        <f t="shared" ref="Q153:R153" si="112">ROUND(Q152*1.25,0)</f>
        <v>99</v>
      </c>
      <c r="R153" s="14">
        <f t="shared" si="112"/>
        <v>99</v>
      </c>
      <c r="S153" s="14">
        <f t="shared" si="111"/>
        <v>133</v>
      </c>
      <c r="T153" s="14"/>
      <c r="U153" s="132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</row>
    <row r="154">
      <c r="A154" s="4">
        <v>60005.0</v>
      </c>
      <c r="B154" s="14"/>
      <c r="C154" s="14"/>
      <c r="D154" s="63" t="s">
        <v>1723</v>
      </c>
      <c r="E154" s="14">
        <f t="shared" si="106"/>
        <v>60</v>
      </c>
      <c r="F154" s="14"/>
      <c r="G154" s="14"/>
      <c r="H154" s="14"/>
      <c r="I154" s="14"/>
      <c r="J154" s="14"/>
      <c r="K154" s="14"/>
      <c r="L154" s="14"/>
      <c r="M154" s="14"/>
      <c r="N154" s="14">
        <f t="shared" si="107"/>
        <v>3842</v>
      </c>
      <c r="O154" s="14">
        <f t="shared" si="108"/>
        <v>89</v>
      </c>
      <c r="P154" s="14">
        <f t="shared" si="109"/>
        <v>103</v>
      </c>
      <c r="Q154" s="14">
        <f t="shared" ref="Q154:R154" si="113">ROUND(Q153*1.25,0)</f>
        <v>124</v>
      </c>
      <c r="R154" s="14">
        <f t="shared" si="113"/>
        <v>124</v>
      </c>
      <c r="S154" s="14">
        <f t="shared" si="111"/>
        <v>146</v>
      </c>
      <c r="T154" s="14"/>
      <c r="U154" s="132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</row>
    <row r="155">
      <c r="A155" s="4">
        <v>60006.0</v>
      </c>
      <c r="B155" s="14"/>
      <c r="C155" s="14"/>
      <c r="D155" s="63" t="s">
        <v>1723</v>
      </c>
      <c r="E155" s="14">
        <f t="shared" si="106"/>
        <v>70</v>
      </c>
      <c r="F155" s="14"/>
      <c r="G155" s="14"/>
      <c r="H155" s="14"/>
      <c r="I155" s="14"/>
      <c r="J155" s="14"/>
      <c r="K155" s="14"/>
      <c r="L155" s="14"/>
      <c r="M155" s="14"/>
      <c r="N155" s="14">
        <f t="shared" si="107"/>
        <v>5379</v>
      </c>
      <c r="O155" s="14">
        <f t="shared" si="108"/>
        <v>102</v>
      </c>
      <c r="P155" s="14">
        <f t="shared" si="109"/>
        <v>124</v>
      </c>
      <c r="Q155" s="14">
        <f t="shared" ref="Q155:R155" si="114">ROUND(Q154*1.25,0)</f>
        <v>155</v>
      </c>
      <c r="R155" s="14">
        <f t="shared" si="114"/>
        <v>155</v>
      </c>
      <c r="S155" s="14">
        <f t="shared" si="111"/>
        <v>161</v>
      </c>
      <c r="T155" s="14"/>
      <c r="U155" s="132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</row>
    <row r="156">
      <c r="A156" s="4">
        <v>60007.0</v>
      </c>
      <c r="B156" s="14"/>
      <c r="C156" s="14"/>
      <c r="D156" s="63" t="s">
        <v>1723</v>
      </c>
      <c r="E156" s="14">
        <f t="shared" si="106"/>
        <v>80</v>
      </c>
      <c r="F156" s="14"/>
      <c r="G156" s="14"/>
      <c r="H156" s="14"/>
      <c r="I156" s="14"/>
      <c r="J156" s="14"/>
      <c r="K156" s="14"/>
      <c r="L156" s="14"/>
      <c r="M156" s="14"/>
      <c r="N156" s="14">
        <f t="shared" si="107"/>
        <v>7531</v>
      </c>
      <c r="O156" s="14">
        <f t="shared" si="108"/>
        <v>117</v>
      </c>
      <c r="P156" s="14">
        <f t="shared" si="109"/>
        <v>149</v>
      </c>
      <c r="Q156" s="14">
        <f t="shared" ref="Q156:R156" si="115">ROUND(Q155*1.25,0)</f>
        <v>194</v>
      </c>
      <c r="R156" s="14">
        <f t="shared" si="115"/>
        <v>194</v>
      </c>
      <c r="S156" s="14">
        <f t="shared" si="111"/>
        <v>177</v>
      </c>
      <c r="T156" s="14"/>
      <c r="U156" s="132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</row>
    <row r="157">
      <c r="A157" s="4">
        <v>60008.0</v>
      </c>
      <c r="B157" s="14"/>
      <c r="C157" s="14"/>
      <c r="D157" s="63" t="s">
        <v>1723</v>
      </c>
      <c r="E157" s="14">
        <f t="shared" si="106"/>
        <v>90</v>
      </c>
      <c r="F157" s="14"/>
      <c r="G157" s="14"/>
      <c r="H157" s="14"/>
      <c r="I157" s="14"/>
      <c r="J157" s="14"/>
      <c r="K157" s="14"/>
      <c r="L157" s="14"/>
      <c r="M157" s="14"/>
      <c r="N157" s="14">
        <f t="shared" si="107"/>
        <v>10543</v>
      </c>
      <c r="O157" s="14">
        <f t="shared" si="108"/>
        <v>135</v>
      </c>
      <c r="P157" s="14">
        <f t="shared" si="109"/>
        <v>179</v>
      </c>
      <c r="Q157" s="14">
        <f t="shared" ref="Q157:R157" si="116">ROUND(Q156*1.25,0)</f>
        <v>243</v>
      </c>
      <c r="R157" s="14">
        <f t="shared" si="116"/>
        <v>243</v>
      </c>
      <c r="S157" s="14">
        <f t="shared" si="111"/>
        <v>195</v>
      </c>
      <c r="T157" s="14"/>
      <c r="U157" s="132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</row>
    <row r="158">
      <c r="A158" s="4">
        <v>60009.0</v>
      </c>
      <c r="B158" s="14"/>
      <c r="C158" s="14"/>
      <c r="D158" s="63" t="s">
        <v>1723</v>
      </c>
      <c r="E158" s="14">
        <f t="shared" si="106"/>
        <v>100</v>
      </c>
      <c r="F158" s="14"/>
      <c r="G158" s="14"/>
      <c r="H158" s="14"/>
      <c r="I158" s="14"/>
      <c r="J158" s="14"/>
      <c r="K158" s="14"/>
      <c r="L158" s="14"/>
      <c r="M158" s="14"/>
      <c r="N158" s="14">
        <f t="shared" si="107"/>
        <v>14760</v>
      </c>
      <c r="O158" s="14">
        <f t="shared" si="108"/>
        <v>155</v>
      </c>
      <c r="P158" s="14">
        <f t="shared" si="109"/>
        <v>215</v>
      </c>
      <c r="Q158" s="14">
        <f t="shared" ref="Q158:R158" si="117">ROUND(Q157*1.25,0)</f>
        <v>304</v>
      </c>
      <c r="R158" s="14">
        <f t="shared" si="117"/>
        <v>304</v>
      </c>
      <c r="S158" s="14">
        <f t="shared" si="111"/>
        <v>215</v>
      </c>
      <c r="T158" s="14"/>
      <c r="U158" s="132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</row>
    <row r="159">
      <c r="A159" s="4">
        <v>60010.0</v>
      </c>
      <c r="B159" s="14"/>
      <c r="C159" s="14"/>
      <c r="D159" s="63" t="s">
        <v>1723</v>
      </c>
      <c r="E159" s="14">
        <f t="shared" si="106"/>
        <v>110</v>
      </c>
      <c r="F159" s="14"/>
      <c r="G159" s="14"/>
      <c r="H159" s="14"/>
      <c r="I159" s="14"/>
      <c r="J159" s="14"/>
      <c r="K159" s="14"/>
      <c r="L159" s="14"/>
      <c r="M159" s="14"/>
      <c r="N159" s="14">
        <f t="shared" si="107"/>
        <v>20664</v>
      </c>
      <c r="O159" s="14">
        <f t="shared" si="108"/>
        <v>178</v>
      </c>
      <c r="P159" s="14">
        <f t="shared" si="109"/>
        <v>258</v>
      </c>
      <c r="Q159" s="14">
        <f t="shared" ref="Q159:R159" si="118">ROUND(Q158*1.25,0)</f>
        <v>380</v>
      </c>
      <c r="R159" s="14">
        <f t="shared" si="118"/>
        <v>380</v>
      </c>
      <c r="S159" s="14">
        <f t="shared" si="111"/>
        <v>237</v>
      </c>
      <c r="T159" s="14"/>
      <c r="U159" s="132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</row>
    <row r="160">
      <c r="A160" s="4">
        <v>60011.0</v>
      </c>
      <c r="B160" s="14"/>
      <c r="C160" s="14"/>
      <c r="D160" s="63" t="s">
        <v>1723</v>
      </c>
      <c r="E160" s="14">
        <f t="shared" si="106"/>
        <v>120</v>
      </c>
      <c r="F160" s="14"/>
      <c r="G160" s="14"/>
      <c r="H160" s="14"/>
      <c r="I160" s="14"/>
      <c r="J160" s="14"/>
      <c r="K160" s="14"/>
      <c r="L160" s="14"/>
      <c r="M160" s="14"/>
      <c r="N160" s="14">
        <f t="shared" si="107"/>
        <v>28930</v>
      </c>
      <c r="O160" s="14">
        <f t="shared" si="108"/>
        <v>205</v>
      </c>
      <c r="P160" s="14">
        <f t="shared" si="109"/>
        <v>310</v>
      </c>
      <c r="Q160" s="14">
        <f t="shared" ref="Q160:R160" si="119">ROUND(Q159*1.25,0)</f>
        <v>475</v>
      </c>
      <c r="R160" s="14">
        <f t="shared" si="119"/>
        <v>475</v>
      </c>
      <c r="S160" s="14">
        <f t="shared" si="111"/>
        <v>261</v>
      </c>
      <c r="T160" s="14"/>
      <c r="U160" s="132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</row>
    <row r="161">
      <c r="A161" s="4">
        <v>60012.0</v>
      </c>
      <c r="B161" s="14"/>
      <c r="C161" s="14"/>
      <c r="D161" s="63" t="s">
        <v>1723</v>
      </c>
      <c r="E161" s="14">
        <f t="shared" si="106"/>
        <v>130</v>
      </c>
      <c r="F161" s="14"/>
      <c r="G161" s="14"/>
      <c r="H161" s="14"/>
      <c r="I161" s="14"/>
      <c r="J161" s="14"/>
      <c r="K161" s="14"/>
      <c r="L161" s="14"/>
      <c r="M161" s="14"/>
      <c r="N161" s="14">
        <f t="shared" si="107"/>
        <v>40502</v>
      </c>
      <c r="O161" s="14">
        <f t="shared" si="108"/>
        <v>236</v>
      </c>
      <c r="P161" s="14">
        <f t="shared" si="109"/>
        <v>372</v>
      </c>
      <c r="Q161" s="14">
        <f t="shared" ref="Q161:R161" si="120">ROUND(Q160*1.25,0)</f>
        <v>594</v>
      </c>
      <c r="R161" s="14">
        <f t="shared" si="120"/>
        <v>594</v>
      </c>
      <c r="S161" s="14">
        <f t="shared" si="111"/>
        <v>287</v>
      </c>
      <c r="T161" s="14"/>
      <c r="U161" s="132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" t="s">
        <v>469</v>
      </c>
      <c r="B2" s="4" t="s">
        <v>934</v>
      </c>
      <c r="C2" s="40" t="s">
        <v>935</v>
      </c>
      <c r="D2" s="40" t="s">
        <v>936</v>
      </c>
      <c r="E2" s="4" t="s">
        <v>937</v>
      </c>
    </row>
    <row r="3">
      <c r="A3" s="14"/>
      <c r="B3" s="4" t="s">
        <v>13</v>
      </c>
      <c r="C3" s="94">
        <v>46245.99930555555</v>
      </c>
      <c r="D3" s="94">
        <v>46610.99930555555</v>
      </c>
      <c r="E3" s="4" t="s">
        <v>939</v>
      </c>
    </row>
    <row r="4">
      <c r="A4" s="4" t="s">
        <v>940</v>
      </c>
      <c r="B4" s="4" t="s">
        <v>23</v>
      </c>
      <c r="C4" s="94">
        <v>46245.99930555555</v>
      </c>
      <c r="D4" s="94">
        <v>46610.99930555555</v>
      </c>
      <c r="E4" s="14"/>
    </row>
    <row r="5">
      <c r="A5" s="14"/>
      <c r="B5" s="4" t="s">
        <v>32</v>
      </c>
      <c r="C5" s="94">
        <v>46245.99930555555</v>
      </c>
      <c r="D5" s="94">
        <v>46610.99930555555</v>
      </c>
      <c r="E5" s="4" t="s">
        <v>939</v>
      </c>
    </row>
    <row r="6">
      <c r="A6" s="4" t="s">
        <v>943</v>
      </c>
      <c r="B6" s="4" t="s">
        <v>49</v>
      </c>
      <c r="C6" s="94">
        <v>46245.99930555555</v>
      </c>
      <c r="D6" s="94">
        <v>46610.99930555555</v>
      </c>
      <c r="E6" s="14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2" t="s">
        <v>990</v>
      </c>
      <c r="B1" s="2" t="s">
        <v>469</v>
      </c>
      <c r="C1" s="2" t="s">
        <v>991</v>
      </c>
      <c r="D1" s="2" t="s">
        <v>992</v>
      </c>
      <c r="E1" s="2" t="s">
        <v>173</v>
      </c>
      <c r="F1" s="2" t="s">
        <v>993</v>
      </c>
      <c r="G1" s="2" t="s">
        <v>994</v>
      </c>
      <c r="H1" s="2" t="s">
        <v>995</v>
      </c>
      <c r="I1" s="2" t="s">
        <v>997</v>
      </c>
      <c r="J1" s="2" t="s">
        <v>998</v>
      </c>
      <c r="K1" s="2" t="s">
        <v>999</v>
      </c>
      <c r="L1" s="2" t="s">
        <v>1000</v>
      </c>
      <c r="M1" s="2" t="s">
        <v>1001</v>
      </c>
      <c r="N1" s="2" t="s">
        <v>1002</v>
      </c>
      <c r="O1" s="2" t="s">
        <v>1003</v>
      </c>
      <c r="P1" s="2" t="s">
        <v>1004</v>
      </c>
      <c r="Q1" s="2" t="s">
        <v>1005</v>
      </c>
      <c r="R1" s="2" t="s">
        <v>1007</v>
      </c>
      <c r="S1" s="2" t="s">
        <v>1008</v>
      </c>
      <c r="T1" s="2" t="s">
        <v>1009</v>
      </c>
      <c r="U1" s="2" t="s">
        <v>1010</v>
      </c>
      <c r="V1" s="2" t="s">
        <v>1011</v>
      </c>
      <c r="W1" s="2" t="s">
        <v>1012</v>
      </c>
      <c r="X1" s="2" t="s">
        <v>1014</v>
      </c>
      <c r="Y1" s="2" t="s">
        <v>1015</v>
      </c>
      <c r="Z1" s="2" t="s">
        <v>1017</v>
      </c>
      <c r="AA1" s="2" t="s">
        <v>1018</v>
      </c>
    </row>
    <row r="3">
      <c r="A3" s="2">
        <v>101.0</v>
      </c>
      <c r="B3" s="2" t="s">
        <v>940</v>
      </c>
      <c r="C3" s="2"/>
      <c r="D3" s="2" t="s">
        <v>1019</v>
      </c>
      <c r="E3" s="2">
        <f>E19+3</f>
        <v>103</v>
      </c>
      <c r="F3" s="2"/>
      <c r="G3" s="2" t="s">
        <v>1023</v>
      </c>
      <c r="H3" s="91">
        <v>1.0</v>
      </c>
      <c r="J3" s="53" t="str">
        <f>if(K3="select_self","我方加強",if(K3="select_enemy","敵方弱化",))</f>
        <v>敵方弱化</v>
      </c>
      <c r="K3" s="91" t="s">
        <v>1027</v>
      </c>
      <c r="L3" s="97" t="str">
        <f>"2002,2003,2004"</f>
        <v>2002,2003,2004</v>
      </c>
      <c r="M3" s="53" t="str">
        <f>"5,7,11"</f>
        <v>5,7,11</v>
      </c>
      <c r="N3" s="53">
        <f t="shared" ref="N3:N14" si="1">if(K3="select_self",-1,if(K3="select_enemy",1,))</f>
        <v>1</v>
      </c>
      <c r="O3" s="91">
        <v>1.0</v>
      </c>
      <c r="P3" s="91" t="s">
        <v>1036</v>
      </c>
      <c r="Q3" s="91" t="s">
        <v>573</v>
      </c>
      <c r="R3" s="91">
        <v>1003.0</v>
      </c>
      <c r="S3" s="91" t="s">
        <v>1038</v>
      </c>
      <c r="T3" s="53" t="str">
        <f t="shared" ref="T3:T14" si="2">if(Q3="select_self",-1,if(Q3="select_enemy",1,))</f>
        <v/>
      </c>
      <c r="U3" s="91">
        <v>1.0</v>
      </c>
      <c r="V3" s="2">
        <v>70001.0</v>
      </c>
      <c r="W3" s="2">
        <v>1.0</v>
      </c>
      <c r="X3" s="2">
        <v>1.0</v>
      </c>
      <c r="Y3" s="50">
        <v>8000.0</v>
      </c>
      <c r="Z3" s="2">
        <v>100.0</v>
      </c>
      <c r="AA3" s="2">
        <v>1.0</v>
      </c>
    </row>
    <row r="4">
      <c r="A4" s="98">
        <v>102.0</v>
      </c>
      <c r="B4" s="2" t="s">
        <v>940</v>
      </c>
      <c r="C4" s="99"/>
      <c r="D4" s="2" t="s">
        <v>1045</v>
      </c>
      <c r="E4" s="2">
        <f t="shared" ref="E4:E10" si="3">E3+3</f>
        <v>106</v>
      </c>
      <c r="F4" s="99"/>
      <c r="G4" s="99" t="s">
        <v>1047</v>
      </c>
      <c r="H4" s="91">
        <v>1.0</v>
      </c>
      <c r="I4" s="91"/>
      <c r="J4" s="91" t="s">
        <v>1048</v>
      </c>
      <c r="K4" s="91" t="s">
        <v>640</v>
      </c>
      <c r="L4" s="100">
        <v>2002.0</v>
      </c>
      <c r="M4" s="91" t="s">
        <v>1050</v>
      </c>
      <c r="N4" s="53" t="str">
        <f t="shared" si="1"/>
        <v/>
      </c>
      <c r="O4" s="91">
        <v>1.0</v>
      </c>
      <c r="P4" s="91" t="s">
        <v>1053</v>
      </c>
      <c r="Q4" s="91" t="s">
        <v>640</v>
      </c>
      <c r="R4" s="91">
        <v>2004.0</v>
      </c>
      <c r="S4" s="91" t="s">
        <v>1054</v>
      </c>
      <c r="T4" s="53" t="str">
        <f t="shared" si="2"/>
        <v/>
      </c>
      <c r="U4" s="91">
        <v>1.0</v>
      </c>
      <c r="V4" s="2">
        <v>70001.0</v>
      </c>
      <c r="W4" s="2">
        <v>1.0</v>
      </c>
      <c r="X4" s="2">
        <v>1.0</v>
      </c>
      <c r="Y4" s="50">
        <v>8000.0</v>
      </c>
      <c r="Z4" s="2">
        <v>100.0</v>
      </c>
      <c r="AA4" s="2">
        <v>1.0</v>
      </c>
    </row>
    <row r="5">
      <c r="A5" s="98">
        <v>103.0</v>
      </c>
      <c r="B5" s="2" t="s">
        <v>940</v>
      </c>
      <c r="C5" s="99"/>
      <c r="D5" s="2" t="s">
        <v>1056</v>
      </c>
      <c r="E5" s="2">
        <f t="shared" si="3"/>
        <v>109</v>
      </c>
      <c r="F5" s="99"/>
      <c r="G5" s="99" t="s">
        <v>1059</v>
      </c>
      <c r="H5" s="91">
        <v>1.0</v>
      </c>
      <c r="I5" s="91"/>
      <c r="J5" s="91" t="s">
        <v>1062</v>
      </c>
      <c r="K5" s="91" t="s">
        <v>573</v>
      </c>
      <c r="L5" s="91">
        <v>1001.0</v>
      </c>
      <c r="M5" s="91" t="s">
        <v>1063</v>
      </c>
      <c r="N5" s="53" t="str">
        <f t="shared" si="1"/>
        <v/>
      </c>
      <c r="O5" s="91">
        <v>1.0</v>
      </c>
      <c r="P5" s="91" t="s">
        <v>1064</v>
      </c>
      <c r="Q5" s="91" t="s">
        <v>573</v>
      </c>
      <c r="R5" s="91">
        <v>1005.0</v>
      </c>
      <c r="S5" s="91" t="s">
        <v>1065</v>
      </c>
      <c r="T5" s="53" t="str">
        <f t="shared" si="2"/>
        <v/>
      </c>
      <c r="U5" s="91">
        <v>1.0</v>
      </c>
      <c r="V5" s="2">
        <v>70001.0</v>
      </c>
      <c r="W5" s="2">
        <v>1.0</v>
      </c>
      <c r="X5" s="2">
        <v>1.0</v>
      </c>
      <c r="Y5" s="50">
        <v>8000.0</v>
      </c>
      <c r="Z5" s="2">
        <v>100.0</v>
      </c>
      <c r="AA5" s="2">
        <v>1.0</v>
      </c>
    </row>
    <row r="6">
      <c r="A6" s="98">
        <v>104.0</v>
      </c>
      <c r="B6" s="2" t="s">
        <v>940</v>
      </c>
      <c r="C6" s="99"/>
      <c r="D6" s="2" t="s">
        <v>1067</v>
      </c>
      <c r="E6" s="2">
        <f t="shared" si="3"/>
        <v>112</v>
      </c>
      <c r="F6" s="99"/>
      <c r="G6" s="99" t="s">
        <v>1068</v>
      </c>
      <c r="H6" s="91">
        <v>1.0</v>
      </c>
      <c r="I6" s="53"/>
      <c r="J6" s="53" t="str">
        <f t="shared" ref="J6:J14" si="4">if(K6="select_self","我方加強",if(K6="select_enemy","敵方弱化",))</f>
        <v>敵方弱化</v>
      </c>
      <c r="K6" s="91" t="s">
        <v>1027</v>
      </c>
      <c r="L6" s="97" t="str">
        <f>"2002,2003,2004"</f>
        <v>2002,2003,2004</v>
      </c>
      <c r="M6" s="91" t="s">
        <v>1073</v>
      </c>
      <c r="N6" s="53">
        <f t="shared" si="1"/>
        <v>1</v>
      </c>
      <c r="O6" s="91">
        <v>1.0</v>
      </c>
      <c r="P6" s="91" t="s">
        <v>1075</v>
      </c>
      <c r="Q6" s="91" t="s">
        <v>640</v>
      </c>
      <c r="R6" s="91">
        <v>2005.0</v>
      </c>
      <c r="S6" s="91">
        <v>4.0</v>
      </c>
      <c r="T6" s="53" t="str">
        <f t="shared" si="2"/>
        <v/>
      </c>
      <c r="U6" s="91">
        <v>1.0</v>
      </c>
      <c r="V6" s="2">
        <v>70001.0</v>
      </c>
      <c r="W6" s="2">
        <v>1.0</v>
      </c>
      <c r="X6" s="2">
        <v>1.0</v>
      </c>
      <c r="Y6" s="50">
        <v>8000.0</v>
      </c>
      <c r="Z6" s="2">
        <v>100.0</v>
      </c>
      <c r="AA6" s="2">
        <v>1.0</v>
      </c>
    </row>
    <row r="7">
      <c r="A7" s="98">
        <v>105.0</v>
      </c>
      <c r="B7" s="2" t="s">
        <v>940</v>
      </c>
      <c r="C7" s="99"/>
      <c r="D7" s="2" t="s">
        <v>1076</v>
      </c>
      <c r="E7" s="2">
        <f t="shared" si="3"/>
        <v>115</v>
      </c>
      <c r="F7" s="99"/>
      <c r="G7" s="99" t="s">
        <v>1077</v>
      </c>
      <c r="H7" s="91">
        <v>1.0</v>
      </c>
      <c r="I7" s="53"/>
      <c r="J7" s="53" t="str">
        <f t="shared" si="4"/>
        <v>我方加強</v>
      </c>
      <c r="K7" s="91" t="s">
        <v>1078</v>
      </c>
      <c r="L7" s="97" t="str">
        <f>"1001,1002,1003"</f>
        <v>1001,1002,1003</v>
      </c>
      <c r="M7" s="91" t="s">
        <v>1079</v>
      </c>
      <c r="N7" s="53">
        <f t="shared" si="1"/>
        <v>-1</v>
      </c>
      <c r="O7" s="91">
        <v>1.0</v>
      </c>
      <c r="P7" s="91" t="s">
        <v>1080</v>
      </c>
      <c r="Q7" s="91" t="s">
        <v>640</v>
      </c>
      <c r="R7" s="91" t="str">
        <f>"2004,2004"</f>
        <v>2004,2004</v>
      </c>
      <c r="S7" s="91">
        <v>9.0</v>
      </c>
      <c r="T7" s="53" t="str">
        <f t="shared" si="2"/>
        <v/>
      </c>
      <c r="U7" s="91">
        <v>1.0</v>
      </c>
      <c r="V7" s="2">
        <v>70001.0</v>
      </c>
      <c r="W7" s="2">
        <v>1.0</v>
      </c>
      <c r="X7" s="2">
        <v>1.0</v>
      </c>
      <c r="Y7" s="50">
        <v>8000.0</v>
      </c>
      <c r="Z7" s="2">
        <v>100.0</v>
      </c>
      <c r="AA7" s="2">
        <v>1.0</v>
      </c>
    </row>
    <row r="8">
      <c r="A8" s="98">
        <v>106.0</v>
      </c>
      <c r="B8" s="2" t="s">
        <v>940</v>
      </c>
      <c r="C8" s="99"/>
      <c r="D8" s="2" t="s">
        <v>1082</v>
      </c>
      <c r="E8" s="2">
        <f t="shared" si="3"/>
        <v>118</v>
      </c>
      <c r="F8" s="99"/>
      <c r="G8" s="99" t="s">
        <v>1084</v>
      </c>
      <c r="H8" s="91">
        <v>1.0</v>
      </c>
      <c r="I8" s="53"/>
      <c r="J8" s="53" t="str">
        <f t="shared" si="4"/>
        <v>敵方弱化</v>
      </c>
      <c r="K8" s="91" t="s">
        <v>1027</v>
      </c>
      <c r="L8" s="97" t="str">
        <f t="shared" ref="L8:L10" si="5">"2002,2003,2004"</f>
        <v>2002,2003,2004</v>
      </c>
      <c r="M8" s="91" t="s">
        <v>1085</v>
      </c>
      <c r="N8" s="53">
        <f t="shared" si="1"/>
        <v>1</v>
      </c>
      <c r="O8" s="91">
        <v>1.0</v>
      </c>
      <c r="P8" s="91" t="s">
        <v>1036</v>
      </c>
      <c r="Q8" s="91" t="s">
        <v>573</v>
      </c>
      <c r="R8" s="91">
        <v>1003.0</v>
      </c>
      <c r="S8" s="91">
        <v>4.0</v>
      </c>
      <c r="T8" s="53" t="str">
        <f t="shared" si="2"/>
        <v/>
      </c>
      <c r="U8" s="91">
        <v>1.0</v>
      </c>
      <c r="V8" s="2">
        <v>70001.0</v>
      </c>
      <c r="W8" s="2">
        <v>1.0</v>
      </c>
      <c r="X8" s="2">
        <v>1.0</v>
      </c>
      <c r="Y8" s="50">
        <v>8000.0</v>
      </c>
      <c r="Z8" s="2">
        <v>100.0</v>
      </c>
      <c r="AA8" s="2">
        <v>1.0</v>
      </c>
    </row>
    <row r="9">
      <c r="A9" s="98">
        <v>107.0</v>
      </c>
      <c r="B9" s="2" t="s">
        <v>940</v>
      </c>
      <c r="C9" s="99"/>
      <c r="D9" s="2" t="s">
        <v>1087</v>
      </c>
      <c r="E9" s="2">
        <f t="shared" si="3"/>
        <v>121</v>
      </c>
      <c r="F9" s="99"/>
      <c r="G9" s="99" t="s">
        <v>1059</v>
      </c>
      <c r="H9" s="91">
        <v>1.0</v>
      </c>
      <c r="I9" s="53"/>
      <c r="J9" s="53" t="str">
        <f t="shared" si="4"/>
        <v>敵方弱化</v>
      </c>
      <c r="K9" s="91" t="s">
        <v>1027</v>
      </c>
      <c r="L9" s="97" t="str">
        <f t="shared" si="5"/>
        <v>2002,2003,2004</v>
      </c>
      <c r="M9" s="91" t="s">
        <v>1063</v>
      </c>
      <c r="N9" s="53">
        <f t="shared" si="1"/>
        <v>1</v>
      </c>
      <c r="O9" s="91">
        <v>1.0</v>
      </c>
      <c r="P9" s="91" t="s">
        <v>1053</v>
      </c>
      <c r="Q9" s="91" t="s">
        <v>640</v>
      </c>
      <c r="R9" s="91">
        <v>2004.0</v>
      </c>
      <c r="S9" s="91">
        <v>6.0</v>
      </c>
      <c r="T9" s="53" t="str">
        <f t="shared" si="2"/>
        <v/>
      </c>
      <c r="U9" s="91">
        <v>1.0</v>
      </c>
      <c r="V9" s="2">
        <v>70001.0</v>
      </c>
      <c r="W9" s="2">
        <v>1.0</v>
      </c>
      <c r="X9" s="2">
        <v>1.0</v>
      </c>
      <c r="Y9" s="50">
        <v>8000.0</v>
      </c>
      <c r="Z9" s="2">
        <v>100.0</v>
      </c>
      <c r="AA9" s="2">
        <v>1.0</v>
      </c>
    </row>
    <row r="10">
      <c r="A10" s="98">
        <v>108.0</v>
      </c>
      <c r="B10" s="2" t="s">
        <v>940</v>
      </c>
      <c r="C10" s="99"/>
      <c r="D10" s="2" t="s">
        <v>1089</v>
      </c>
      <c r="E10" s="2">
        <f t="shared" si="3"/>
        <v>124</v>
      </c>
      <c r="F10" s="99"/>
      <c r="G10" s="99" t="s">
        <v>1091</v>
      </c>
      <c r="H10" s="91">
        <v>1.0</v>
      </c>
      <c r="I10" s="53"/>
      <c r="J10" s="53" t="str">
        <f t="shared" si="4"/>
        <v>敵方弱化</v>
      </c>
      <c r="K10" s="91" t="s">
        <v>1027</v>
      </c>
      <c r="L10" s="97" t="str">
        <f t="shared" si="5"/>
        <v>2002,2003,2004</v>
      </c>
      <c r="M10" s="91" t="s">
        <v>1092</v>
      </c>
      <c r="N10" s="53">
        <f t="shared" si="1"/>
        <v>1</v>
      </c>
      <c r="O10" s="91">
        <v>1.0</v>
      </c>
      <c r="P10" s="91" t="s">
        <v>1064</v>
      </c>
      <c r="Q10" s="91" t="s">
        <v>573</v>
      </c>
      <c r="R10" s="91">
        <v>1005.0</v>
      </c>
      <c r="S10" s="91">
        <v>7.0</v>
      </c>
      <c r="T10" s="53" t="str">
        <f t="shared" si="2"/>
        <v/>
      </c>
      <c r="U10" s="91">
        <v>1.0</v>
      </c>
      <c r="V10" s="2">
        <v>70001.0</v>
      </c>
      <c r="W10" s="2">
        <v>1.0</v>
      </c>
      <c r="X10" s="2">
        <v>1.0</v>
      </c>
      <c r="Y10" s="50">
        <v>8000.0</v>
      </c>
      <c r="Z10" s="2">
        <v>100.0</v>
      </c>
      <c r="AA10" s="2">
        <v>1.0</v>
      </c>
    </row>
    <row r="11">
      <c r="A11" s="98">
        <v>109.0</v>
      </c>
      <c r="B11" s="2" t="s">
        <v>940</v>
      </c>
      <c r="C11" s="99"/>
      <c r="D11" s="2" t="s">
        <v>1094</v>
      </c>
      <c r="E11" s="99">
        <v>30.0</v>
      </c>
      <c r="F11" s="101"/>
      <c r="G11" s="101" t="s">
        <v>1095</v>
      </c>
      <c r="H11" s="91">
        <v>1.0</v>
      </c>
      <c r="I11" s="53"/>
      <c r="J11" s="53" t="str">
        <f t="shared" si="4"/>
        <v>我方加強</v>
      </c>
      <c r="K11" s="91" t="s">
        <v>1078</v>
      </c>
      <c r="L11" s="97" t="str">
        <f t="shared" ref="L11:L14" si="6">"1001,1002,1003"</f>
        <v>1001,1002,1003</v>
      </c>
      <c r="M11" s="91" t="s">
        <v>1097</v>
      </c>
      <c r="N11" s="53">
        <f t="shared" si="1"/>
        <v>-1</v>
      </c>
      <c r="O11" s="91">
        <v>1.0</v>
      </c>
      <c r="P11" s="91" t="s">
        <v>1075</v>
      </c>
      <c r="Q11" s="91" t="s">
        <v>640</v>
      </c>
      <c r="R11" s="91">
        <v>2005.0</v>
      </c>
      <c r="S11" s="91">
        <v>3.0</v>
      </c>
      <c r="T11" s="53" t="str">
        <f t="shared" si="2"/>
        <v/>
      </c>
      <c r="U11" s="91">
        <v>1.0</v>
      </c>
      <c r="V11" s="2">
        <v>70001.0</v>
      </c>
      <c r="W11" s="2">
        <v>1.0</v>
      </c>
      <c r="X11" s="2">
        <v>1.0</v>
      </c>
      <c r="Y11" s="50">
        <v>8000.0</v>
      </c>
      <c r="Z11" s="2">
        <v>100.0</v>
      </c>
      <c r="AA11" s="2">
        <v>1.0</v>
      </c>
    </row>
    <row r="12">
      <c r="A12" s="98">
        <v>110.0</v>
      </c>
      <c r="B12" s="2" t="s">
        <v>940</v>
      </c>
      <c r="C12" s="99"/>
      <c r="D12" s="2" t="s">
        <v>1100</v>
      </c>
      <c r="E12" s="99">
        <v>33.0</v>
      </c>
      <c r="F12" s="101"/>
      <c r="G12" s="101" t="s">
        <v>1102</v>
      </c>
      <c r="H12" s="91">
        <v>1.0</v>
      </c>
      <c r="I12" s="53"/>
      <c r="J12" s="53" t="str">
        <f t="shared" si="4"/>
        <v>我方加強</v>
      </c>
      <c r="K12" s="91" t="s">
        <v>1078</v>
      </c>
      <c r="L12" s="97" t="str">
        <f t="shared" si="6"/>
        <v>1001,1002,1003</v>
      </c>
      <c r="M12" s="91" t="s">
        <v>1103</v>
      </c>
      <c r="N12" s="53">
        <f t="shared" si="1"/>
        <v>-1</v>
      </c>
      <c r="O12" s="91">
        <v>1.0</v>
      </c>
      <c r="P12" s="91" t="s">
        <v>1080</v>
      </c>
      <c r="Q12" s="91" t="s">
        <v>640</v>
      </c>
      <c r="R12" s="91" t="str">
        <f>"2004,2004"</f>
        <v>2004,2004</v>
      </c>
      <c r="S12" s="91">
        <v>8.0</v>
      </c>
      <c r="T12" s="53" t="str">
        <f t="shared" si="2"/>
        <v/>
      </c>
      <c r="U12" s="91">
        <v>1.0</v>
      </c>
      <c r="V12" s="2">
        <v>70001.0</v>
      </c>
      <c r="W12" s="2">
        <v>1.0</v>
      </c>
      <c r="X12" s="2">
        <v>1.0</v>
      </c>
      <c r="Y12" s="50">
        <v>8000.0</v>
      </c>
      <c r="Z12" s="2">
        <v>100.0</v>
      </c>
      <c r="AA12" s="2">
        <v>1.0</v>
      </c>
    </row>
    <row r="13">
      <c r="A13" s="98">
        <v>111.0</v>
      </c>
      <c r="B13" s="2" t="s">
        <v>940</v>
      </c>
      <c r="C13" s="99"/>
      <c r="D13" s="2" t="s">
        <v>1106</v>
      </c>
      <c r="E13" s="99">
        <v>36.0</v>
      </c>
      <c r="F13" s="101"/>
      <c r="G13" s="101" t="s">
        <v>1108</v>
      </c>
      <c r="H13" s="91">
        <v>1.0</v>
      </c>
      <c r="I13" s="53"/>
      <c r="J13" s="53" t="str">
        <f t="shared" si="4"/>
        <v>我方加強</v>
      </c>
      <c r="K13" s="91" t="s">
        <v>1078</v>
      </c>
      <c r="L13" s="97" t="str">
        <f t="shared" si="6"/>
        <v>1001,1002,1003</v>
      </c>
      <c r="M13" s="91" t="s">
        <v>1109</v>
      </c>
      <c r="N13" s="53">
        <f t="shared" si="1"/>
        <v>-1</v>
      </c>
      <c r="O13" s="91">
        <v>1.0</v>
      </c>
      <c r="P13" s="91" t="s">
        <v>1062</v>
      </c>
      <c r="Q13" s="91" t="s">
        <v>573</v>
      </c>
      <c r="R13" s="91">
        <v>1001.0</v>
      </c>
      <c r="S13" s="91" t="s">
        <v>1111</v>
      </c>
      <c r="T13" s="53" t="str">
        <f t="shared" si="2"/>
        <v/>
      </c>
      <c r="U13" s="91">
        <v>1.0</v>
      </c>
      <c r="V13" s="2">
        <v>70001.0</v>
      </c>
      <c r="W13" s="2">
        <v>1.0</v>
      </c>
      <c r="X13" s="2">
        <v>1.0</v>
      </c>
      <c r="Y13" s="50">
        <v>8000.0</v>
      </c>
      <c r="Z13" s="2">
        <v>100.0</v>
      </c>
      <c r="AA13" s="2">
        <v>1.0</v>
      </c>
    </row>
    <row r="14">
      <c r="A14" s="98">
        <v>112.0</v>
      </c>
      <c r="B14" s="2" t="s">
        <v>940</v>
      </c>
      <c r="C14" s="99"/>
      <c r="D14" s="2" t="s">
        <v>1114</v>
      </c>
      <c r="E14" s="99">
        <v>1.0</v>
      </c>
      <c r="F14" s="101"/>
      <c r="G14" s="101" t="s">
        <v>1115</v>
      </c>
      <c r="H14" s="91">
        <v>1.0</v>
      </c>
      <c r="I14" s="53"/>
      <c r="J14" s="53" t="str">
        <f t="shared" si="4"/>
        <v>我方加強</v>
      </c>
      <c r="K14" s="91" t="s">
        <v>1078</v>
      </c>
      <c r="L14" s="97" t="str">
        <f t="shared" si="6"/>
        <v>1001,1002,1003</v>
      </c>
      <c r="M14" s="91" t="s">
        <v>1109</v>
      </c>
      <c r="N14" s="53">
        <f t="shared" si="1"/>
        <v>-1</v>
      </c>
      <c r="O14" s="91">
        <v>1.0</v>
      </c>
      <c r="P14" s="91" t="s">
        <v>1062</v>
      </c>
      <c r="Q14" s="91" t="s">
        <v>573</v>
      </c>
      <c r="R14" s="91">
        <v>1001.0</v>
      </c>
      <c r="S14" s="91" t="s">
        <v>1111</v>
      </c>
      <c r="T14" s="53" t="str">
        <f t="shared" si="2"/>
        <v/>
      </c>
      <c r="U14" s="91">
        <v>1.0</v>
      </c>
      <c r="V14" s="2">
        <v>70001.0</v>
      </c>
      <c r="W14" s="2">
        <v>1.0</v>
      </c>
      <c r="X14" s="2">
        <v>1.0</v>
      </c>
      <c r="Y14" s="50">
        <v>8000.0</v>
      </c>
      <c r="Z14" s="2">
        <v>100.0</v>
      </c>
      <c r="AA14" s="2">
        <v>1.0</v>
      </c>
    </row>
    <row r="15">
      <c r="A15" s="98">
        <v>113.0</v>
      </c>
      <c r="B15" s="2" t="s">
        <v>940</v>
      </c>
      <c r="C15" s="99"/>
      <c r="D15" s="2" t="s">
        <v>1119</v>
      </c>
      <c r="E15" s="99">
        <v>1.0</v>
      </c>
      <c r="F15" s="101"/>
      <c r="G15" s="101" t="s">
        <v>1121</v>
      </c>
      <c r="H15" s="91">
        <v>1.0</v>
      </c>
      <c r="I15" s="91"/>
      <c r="J15" s="91" t="s">
        <v>1122</v>
      </c>
      <c r="K15" s="91" t="s">
        <v>1027</v>
      </c>
      <c r="L15" s="102" t="str">
        <f>"5001,5002,5003"</f>
        <v>5001,5002,5003</v>
      </c>
      <c r="M15" s="91" t="s">
        <v>1123</v>
      </c>
      <c r="N15" s="91">
        <v>1.0</v>
      </c>
      <c r="O15" s="91"/>
      <c r="P15" s="91"/>
      <c r="Q15" s="91"/>
      <c r="R15" s="91"/>
      <c r="S15" s="91"/>
      <c r="T15" s="53"/>
      <c r="U15" s="91"/>
      <c r="V15" s="2"/>
      <c r="W15" s="2"/>
      <c r="X15" s="2"/>
      <c r="Y15" s="50"/>
      <c r="Z15" s="2"/>
      <c r="AA15" s="2"/>
    </row>
    <row r="16">
      <c r="A16" s="98">
        <v>114.0</v>
      </c>
      <c r="B16" s="2" t="s">
        <v>940</v>
      </c>
      <c r="C16" s="99"/>
      <c r="D16" s="2" t="s">
        <v>1126</v>
      </c>
      <c r="E16" s="99">
        <v>1.0</v>
      </c>
      <c r="F16" s="101"/>
      <c r="G16" s="101" t="s">
        <v>1121</v>
      </c>
      <c r="H16" s="91">
        <v>1.0</v>
      </c>
      <c r="I16" s="91"/>
      <c r="J16" s="91" t="s">
        <v>1127</v>
      </c>
      <c r="K16" s="91" t="s">
        <v>1027</v>
      </c>
      <c r="L16" s="102" t="str">
        <f>"5004,5005"</f>
        <v>5004,5005</v>
      </c>
      <c r="M16" s="91" t="s">
        <v>1123</v>
      </c>
      <c r="N16" s="91">
        <v>1.0</v>
      </c>
      <c r="O16" s="91"/>
      <c r="P16" s="91"/>
      <c r="Q16" s="91"/>
      <c r="R16" s="91"/>
      <c r="S16" s="91"/>
      <c r="T16" s="53"/>
      <c r="U16" s="91"/>
      <c r="V16" s="2"/>
      <c r="W16" s="2"/>
      <c r="X16" s="2"/>
      <c r="Y16" s="50"/>
      <c r="Z16" s="2"/>
      <c r="AA16" s="2"/>
    </row>
    <row r="18">
      <c r="A18" s="103" t="s">
        <v>990</v>
      </c>
      <c r="B18" s="103" t="s">
        <v>469</v>
      </c>
      <c r="C18" s="103" t="s">
        <v>991</v>
      </c>
      <c r="D18" s="103" t="s">
        <v>992</v>
      </c>
      <c r="E18" s="103" t="s">
        <v>173</v>
      </c>
      <c r="F18" s="2" t="s">
        <v>993</v>
      </c>
      <c r="G18" s="103" t="s">
        <v>994</v>
      </c>
      <c r="H18" s="103" t="s">
        <v>995</v>
      </c>
      <c r="I18" s="103" t="s">
        <v>1132</v>
      </c>
      <c r="J18" s="103" t="s">
        <v>998</v>
      </c>
      <c r="K18" s="103" t="s">
        <v>999</v>
      </c>
      <c r="L18" s="103" t="s">
        <v>1000</v>
      </c>
      <c r="M18" s="103" t="s">
        <v>1001</v>
      </c>
      <c r="N18" s="103" t="s">
        <v>1002</v>
      </c>
      <c r="O18" s="103" t="s">
        <v>1003</v>
      </c>
      <c r="P18" s="103" t="s">
        <v>1004</v>
      </c>
      <c r="Q18" s="103" t="s">
        <v>1005</v>
      </c>
      <c r="R18" s="103" t="s">
        <v>1007</v>
      </c>
      <c r="S18" s="103" t="s">
        <v>1008</v>
      </c>
      <c r="T18" s="103" t="s">
        <v>1009</v>
      </c>
      <c r="U18" s="103" t="s">
        <v>1010</v>
      </c>
      <c r="V18" s="103" t="s">
        <v>1011</v>
      </c>
      <c r="W18" s="103" t="s">
        <v>1012</v>
      </c>
      <c r="X18" s="103" t="s">
        <v>1014</v>
      </c>
      <c r="Y18" s="103" t="s">
        <v>1015</v>
      </c>
      <c r="Z18" s="103" t="s">
        <v>1017</v>
      </c>
      <c r="AA18" s="103" t="s">
        <v>1018</v>
      </c>
      <c r="AB18" s="104"/>
      <c r="AC18" s="104"/>
      <c r="AD18" s="104"/>
      <c r="AE18" s="104"/>
      <c r="AF18" s="104"/>
      <c r="AG18" s="104"/>
      <c r="AH18" s="104"/>
      <c r="AI18" s="104"/>
      <c r="AJ18" s="104"/>
    </row>
    <row r="19">
      <c r="A19" s="2">
        <v>100.0</v>
      </c>
      <c r="B19" s="2" t="s">
        <v>1136</v>
      </c>
      <c r="C19" s="2"/>
      <c r="D19" s="2" t="s">
        <v>1137</v>
      </c>
      <c r="E19" s="2">
        <v>100.0</v>
      </c>
      <c r="F19" s="2"/>
      <c r="G19" s="2" t="s">
        <v>1138</v>
      </c>
      <c r="H19" s="91"/>
      <c r="J19" s="53"/>
      <c r="K19" s="91"/>
      <c r="L19" s="97"/>
      <c r="M19" s="53"/>
      <c r="N19" s="53"/>
      <c r="O19" s="91"/>
      <c r="P19" s="91"/>
      <c r="Q19" s="91"/>
      <c r="R19" s="91"/>
      <c r="S19" s="91"/>
      <c r="T19" s="53"/>
      <c r="U19" s="91"/>
      <c r="Y19" s="50"/>
    </row>
    <row r="20">
      <c r="A20" s="2">
        <v>200.0</v>
      </c>
      <c r="B20" s="2" t="s">
        <v>1136</v>
      </c>
      <c r="C20" s="2">
        <v>1.0</v>
      </c>
      <c r="D20" s="35" t="str">
        <f>"1-1"</f>
        <v>1-1</v>
      </c>
      <c r="E20" s="2">
        <v>1.0</v>
      </c>
      <c r="F20" s="2"/>
      <c r="G20" s="2" t="s">
        <v>1141</v>
      </c>
      <c r="H20" s="91">
        <v>1.0</v>
      </c>
      <c r="I20" s="91">
        <v>1220.0</v>
      </c>
      <c r="J20" s="91" t="s">
        <v>1143</v>
      </c>
      <c r="K20" s="91" t="s">
        <v>573</v>
      </c>
      <c r="L20" s="100">
        <v>9001.0</v>
      </c>
      <c r="M20" s="53" t="str">
        <f>"3,7,9"</f>
        <v>3,7,9</v>
      </c>
      <c r="N20" s="53" t="str">
        <f t="shared" ref="N20:N79" si="7">if(K20="select_self",-1,if(K20="select_enemy",1,))</f>
        <v/>
      </c>
      <c r="O20" s="91">
        <f t="shared" ref="O20:O38" si="8">ROUND(RAND(),1)</f>
        <v>0.3</v>
      </c>
      <c r="P20" s="91" t="s">
        <v>1148</v>
      </c>
      <c r="Q20" s="91" t="s">
        <v>640</v>
      </c>
      <c r="R20" s="91">
        <v>9003.0</v>
      </c>
      <c r="S20" s="91" t="s">
        <v>1050</v>
      </c>
      <c r="T20" s="53" t="str">
        <f t="shared" ref="T20:T79" si="9">if(Q20="select_self",-1,if(Q20="select_enemy",1,))</f>
        <v/>
      </c>
      <c r="U20" s="91">
        <f t="shared" ref="U20:U79" si="10">ROUND(RAND(),1)</f>
        <v>0.9</v>
      </c>
      <c r="V20" s="2">
        <v>70001.0</v>
      </c>
      <c r="W20" s="2">
        <v>1.0</v>
      </c>
      <c r="X20" s="2">
        <v>1.0</v>
      </c>
      <c r="Y20" s="2">
        <v>70002.0</v>
      </c>
      <c r="Z20" s="2">
        <v>1.0</v>
      </c>
      <c r="AA20" s="2">
        <v>1.0</v>
      </c>
    </row>
    <row r="21">
      <c r="A21" s="2">
        <f t="shared" ref="A21:A79" si="11">A20+1</f>
        <v>201</v>
      </c>
      <c r="B21" s="2" t="s">
        <v>1136</v>
      </c>
      <c r="C21" s="2">
        <v>1.0</v>
      </c>
      <c r="D21" s="35" t="str">
        <f>"1-2"</f>
        <v>1-2</v>
      </c>
      <c r="E21" s="2">
        <v>1.0</v>
      </c>
      <c r="F21" s="2"/>
      <c r="G21" s="2" t="s">
        <v>1156</v>
      </c>
      <c r="H21" s="53"/>
      <c r="I21" s="53">
        <f t="shared" ref="I21:I79" si="12">I20+125</f>
        <v>1345</v>
      </c>
      <c r="J21" s="91" t="s">
        <v>1143</v>
      </c>
      <c r="K21" s="91" t="s">
        <v>573</v>
      </c>
      <c r="L21" s="100">
        <v>9002.0</v>
      </c>
      <c r="M21" s="53" t="str">
        <f>"5,7,11"</f>
        <v>5,7,11</v>
      </c>
      <c r="N21" s="53" t="str">
        <f t="shared" si="7"/>
        <v/>
      </c>
      <c r="O21" s="91">
        <f t="shared" si="8"/>
        <v>0.4</v>
      </c>
      <c r="P21" s="91" t="s">
        <v>1148</v>
      </c>
      <c r="Q21" s="91" t="s">
        <v>640</v>
      </c>
      <c r="R21" s="91">
        <v>9003.0</v>
      </c>
      <c r="S21" s="91" t="s">
        <v>1038</v>
      </c>
      <c r="T21" s="53" t="str">
        <f t="shared" si="9"/>
        <v/>
      </c>
      <c r="U21" s="91">
        <f t="shared" si="10"/>
        <v>0.9</v>
      </c>
      <c r="V21" s="2">
        <v>70001.0</v>
      </c>
      <c r="W21" s="2">
        <v>1.0</v>
      </c>
      <c r="X21" s="2">
        <v>1.0</v>
      </c>
      <c r="Y21" s="2">
        <v>70002.0</v>
      </c>
      <c r="Z21" s="2">
        <v>1.0</v>
      </c>
      <c r="AA21" s="2">
        <v>1.0</v>
      </c>
    </row>
    <row r="22">
      <c r="A22" s="2">
        <f t="shared" si="11"/>
        <v>202</v>
      </c>
      <c r="B22" s="2" t="s">
        <v>1136</v>
      </c>
      <c r="C22" s="2">
        <v>1.0</v>
      </c>
      <c r="D22" s="35" t="str">
        <f>"1-3"</f>
        <v>1-3</v>
      </c>
      <c r="E22" s="2">
        <f t="shared" ref="E22:E79" si="13">E20+1</f>
        <v>2</v>
      </c>
      <c r="F22" s="2"/>
      <c r="G22" s="2" t="s">
        <v>1162</v>
      </c>
      <c r="H22" s="91"/>
      <c r="I22" s="53">
        <f t="shared" si="12"/>
        <v>1470</v>
      </c>
      <c r="J22" s="91" t="s">
        <v>1143</v>
      </c>
      <c r="K22" s="91" t="s">
        <v>573</v>
      </c>
      <c r="L22" s="100">
        <v>9002.0</v>
      </c>
      <c r="M22" s="91" t="s">
        <v>1050</v>
      </c>
      <c r="N22" s="53" t="str">
        <f t="shared" si="7"/>
        <v/>
      </c>
      <c r="O22" s="91">
        <f t="shared" si="8"/>
        <v>0.8</v>
      </c>
      <c r="P22" s="91" t="s">
        <v>1148</v>
      </c>
      <c r="Q22" s="91" t="s">
        <v>640</v>
      </c>
      <c r="R22" s="91">
        <v>9004.0</v>
      </c>
      <c r="S22" s="91" t="s">
        <v>1054</v>
      </c>
      <c r="T22" s="53" t="str">
        <f t="shared" si="9"/>
        <v/>
      </c>
      <c r="U22" s="91">
        <f t="shared" si="10"/>
        <v>0.4</v>
      </c>
      <c r="V22" s="2">
        <v>70001.0</v>
      </c>
      <c r="W22" s="2">
        <v>1.0</v>
      </c>
      <c r="X22" s="2">
        <v>1.0</v>
      </c>
      <c r="Y22" s="2">
        <v>70002.0</v>
      </c>
      <c r="Z22" s="2">
        <v>1.0</v>
      </c>
      <c r="AA22" s="2">
        <v>1.0</v>
      </c>
    </row>
    <row r="23">
      <c r="A23" s="2">
        <f t="shared" si="11"/>
        <v>203</v>
      </c>
      <c r="B23" s="2" t="s">
        <v>1136</v>
      </c>
      <c r="C23" s="2">
        <v>1.0</v>
      </c>
      <c r="D23" s="35" t="str">
        <f>"1-4"</f>
        <v>1-4</v>
      </c>
      <c r="E23" s="2">
        <f t="shared" si="13"/>
        <v>2</v>
      </c>
      <c r="F23" s="2"/>
      <c r="G23" s="2" t="s">
        <v>1167</v>
      </c>
      <c r="H23" s="91"/>
      <c r="I23" s="53">
        <f t="shared" si="12"/>
        <v>1595</v>
      </c>
      <c r="J23" s="91" t="s">
        <v>1143</v>
      </c>
      <c r="K23" s="91" t="s">
        <v>573</v>
      </c>
      <c r="L23" s="91">
        <v>9001.0</v>
      </c>
      <c r="M23" s="91" t="s">
        <v>1063</v>
      </c>
      <c r="N23" s="53" t="str">
        <f t="shared" si="7"/>
        <v/>
      </c>
      <c r="O23" s="91">
        <f t="shared" si="8"/>
        <v>0.1</v>
      </c>
      <c r="P23" s="91" t="s">
        <v>1148</v>
      </c>
      <c r="Q23" s="91" t="s">
        <v>640</v>
      </c>
      <c r="R23" s="91">
        <v>9003.0</v>
      </c>
      <c r="S23" s="91" t="s">
        <v>1065</v>
      </c>
      <c r="T23" s="53" t="str">
        <f t="shared" si="9"/>
        <v/>
      </c>
      <c r="U23" s="91">
        <f t="shared" si="10"/>
        <v>1</v>
      </c>
      <c r="V23" s="2">
        <v>70001.0</v>
      </c>
      <c r="W23" s="2">
        <v>1.0</v>
      </c>
      <c r="X23" s="2">
        <v>1.0</v>
      </c>
      <c r="Y23" s="2">
        <v>70002.0</v>
      </c>
      <c r="Z23" s="2">
        <v>1.0</v>
      </c>
      <c r="AA23" s="2">
        <v>1.0</v>
      </c>
    </row>
    <row r="24">
      <c r="A24" s="2">
        <f t="shared" si="11"/>
        <v>204</v>
      </c>
      <c r="B24" s="2" t="s">
        <v>1136</v>
      </c>
      <c r="C24" s="2">
        <v>1.0</v>
      </c>
      <c r="D24" s="35" t="str">
        <f>"1-5"</f>
        <v>1-5</v>
      </c>
      <c r="E24" s="2">
        <f t="shared" si="13"/>
        <v>3</v>
      </c>
      <c r="F24" s="2"/>
      <c r="G24" s="2" t="s">
        <v>1172</v>
      </c>
      <c r="H24" s="53"/>
      <c r="I24" s="53">
        <f t="shared" si="12"/>
        <v>1720</v>
      </c>
      <c r="J24" s="91" t="s">
        <v>1143</v>
      </c>
      <c r="K24" s="91" t="s">
        <v>573</v>
      </c>
      <c r="L24" s="100">
        <v>9001.0</v>
      </c>
      <c r="M24" s="91" t="s">
        <v>1073</v>
      </c>
      <c r="N24" s="53" t="str">
        <f t="shared" si="7"/>
        <v/>
      </c>
      <c r="O24" s="91">
        <f t="shared" si="8"/>
        <v>0.5</v>
      </c>
      <c r="P24" s="91" t="s">
        <v>1148</v>
      </c>
      <c r="Q24" s="91" t="s">
        <v>640</v>
      </c>
      <c r="R24" s="91">
        <v>9004.0</v>
      </c>
      <c r="S24" s="91">
        <v>4.0</v>
      </c>
      <c r="T24" s="53" t="str">
        <f t="shared" si="9"/>
        <v/>
      </c>
      <c r="U24" s="91">
        <f t="shared" si="10"/>
        <v>0.9</v>
      </c>
      <c r="V24" s="2">
        <v>70001.0</v>
      </c>
      <c r="W24" s="2">
        <v>1.0</v>
      </c>
      <c r="X24" s="2">
        <v>1.0</v>
      </c>
      <c r="Y24" s="2">
        <v>70002.0</v>
      </c>
      <c r="Z24" s="2">
        <v>1.0</v>
      </c>
      <c r="AA24" s="2">
        <v>1.0</v>
      </c>
    </row>
    <row r="25">
      <c r="A25" s="2">
        <f t="shared" si="11"/>
        <v>205</v>
      </c>
      <c r="B25" s="2" t="s">
        <v>1136</v>
      </c>
      <c r="C25" s="2">
        <v>1.0</v>
      </c>
      <c r="D25" s="35" t="str">
        <f>"1-6"</f>
        <v>1-6</v>
      </c>
      <c r="E25" s="2">
        <f t="shared" si="13"/>
        <v>3</v>
      </c>
      <c r="F25" s="2"/>
      <c r="G25" s="2" t="s">
        <v>1175</v>
      </c>
      <c r="H25" s="53"/>
      <c r="I25" s="53">
        <f t="shared" si="12"/>
        <v>1845</v>
      </c>
      <c r="J25" s="91" t="s">
        <v>1143</v>
      </c>
      <c r="K25" s="91" t="s">
        <v>573</v>
      </c>
      <c r="L25" s="100">
        <v>9001.0</v>
      </c>
      <c r="M25" s="91" t="s">
        <v>1079</v>
      </c>
      <c r="N25" s="53" t="str">
        <f t="shared" si="7"/>
        <v/>
      </c>
      <c r="O25" s="91">
        <f t="shared" si="8"/>
        <v>0.7</v>
      </c>
      <c r="P25" s="91" t="s">
        <v>1148</v>
      </c>
      <c r="Q25" s="91" t="s">
        <v>640</v>
      </c>
      <c r="R25" s="91">
        <v>9004.0</v>
      </c>
      <c r="S25" s="91">
        <v>9.0</v>
      </c>
      <c r="T25" s="53" t="str">
        <f t="shared" si="9"/>
        <v/>
      </c>
      <c r="U25" s="91">
        <f t="shared" si="10"/>
        <v>0.1</v>
      </c>
      <c r="V25" s="2">
        <v>70001.0</v>
      </c>
      <c r="W25" s="2">
        <v>1.0</v>
      </c>
      <c r="X25" s="2">
        <v>1.0</v>
      </c>
      <c r="Y25" s="2">
        <v>70002.0</v>
      </c>
      <c r="Z25" s="2">
        <v>1.0</v>
      </c>
      <c r="AA25" s="2">
        <v>1.0</v>
      </c>
    </row>
    <row r="26">
      <c r="A26" s="2">
        <f t="shared" si="11"/>
        <v>206</v>
      </c>
      <c r="B26" s="2" t="s">
        <v>1136</v>
      </c>
      <c r="C26" s="2">
        <v>1.0</v>
      </c>
      <c r="D26" s="35" t="str">
        <f>"1-7"</f>
        <v>1-7</v>
      </c>
      <c r="E26" s="2">
        <f t="shared" si="13"/>
        <v>4</v>
      </c>
      <c r="F26" s="2"/>
      <c r="G26" s="2" t="s">
        <v>1180</v>
      </c>
      <c r="H26" s="53"/>
      <c r="I26" s="53">
        <f t="shared" si="12"/>
        <v>1970</v>
      </c>
      <c r="J26" s="91" t="s">
        <v>1143</v>
      </c>
      <c r="K26" s="91" t="s">
        <v>573</v>
      </c>
      <c r="L26" s="100">
        <v>9002.0</v>
      </c>
      <c r="M26" s="91" t="s">
        <v>1085</v>
      </c>
      <c r="N26" s="53" t="str">
        <f t="shared" si="7"/>
        <v/>
      </c>
      <c r="O26" s="91">
        <f t="shared" si="8"/>
        <v>0.1</v>
      </c>
      <c r="P26" s="91" t="s">
        <v>1148</v>
      </c>
      <c r="Q26" s="91" t="s">
        <v>640</v>
      </c>
      <c r="R26" s="91">
        <v>9003.0</v>
      </c>
      <c r="S26" s="91">
        <v>4.0</v>
      </c>
      <c r="T26" s="53" t="str">
        <f t="shared" si="9"/>
        <v/>
      </c>
      <c r="U26" s="91">
        <f t="shared" si="10"/>
        <v>0.4</v>
      </c>
      <c r="V26" s="2">
        <v>70001.0</v>
      </c>
      <c r="W26" s="2">
        <v>1.0</v>
      </c>
      <c r="X26" s="2">
        <v>1.0</v>
      </c>
      <c r="Y26" s="2">
        <v>70002.0</v>
      </c>
      <c r="Z26" s="2">
        <v>1.0</v>
      </c>
      <c r="AA26" s="2">
        <v>1.0</v>
      </c>
    </row>
    <row r="27">
      <c r="A27" s="2">
        <f t="shared" si="11"/>
        <v>207</v>
      </c>
      <c r="B27" s="2" t="s">
        <v>1136</v>
      </c>
      <c r="C27" s="2">
        <v>1.0</v>
      </c>
      <c r="D27" s="35" t="str">
        <f>"1-8"</f>
        <v>1-8</v>
      </c>
      <c r="E27" s="2">
        <f t="shared" si="13"/>
        <v>4</v>
      </c>
      <c r="F27" s="2"/>
      <c r="G27" s="2" t="s">
        <v>1187</v>
      </c>
      <c r="H27" s="53"/>
      <c r="I27" s="53">
        <f t="shared" si="12"/>
        <v>2095</v>
      </c>
      <c r="J27" s="91" t="s">
        <v>1143</v>
      </c>
      <c r="K27" s="91" t="s">
        <v>573</v>
      </c>
      <c r="L27" s="100">
        <v>9002.0</v>
      </c>
      <c r="M27" s="91" t="s">
        <v>1063</v>
      </c>
      <c r="N27" s="53" t="str">
        <f t="shared" si="7"/>
        <v/>
      </c>
      <c r="O27" s="91">
        <f t="shared" si="8"/>
        <v>0.3</v>
      </c>
      <c r="P27" s="91" t="s">
        <v>1148</v>
      </c>
      <c r="Q27" s="91" t="s">
        <v>640</v>
      </c>
      <c r="R27" s="91">
        <v>9003.0</v>
      </c>
      <c r="S27" s="91">
        <v>6.0</v>
      </c>
      <c r="T27" s="53" t="str">
        <f t="shared" si="9"/>
        <v/>
      </c>
      <c r="U27" s="91">
        <f t="shared" si="10"/>
        <v>0.2</v>
      </c>
      <c r="V27" s="2">
        <v>70001.0</v>
      </c>
      <c r="W27" s="2">
        <v>1.0</v>
      </c>
      <c r="X27" s="2">
        <v>1.0</v>
      </c>
      <c r="Y27" s="2">
        <v>70002.0</v>
      </c>
      <c r="Z27" s="2">
        <v>1.0</v>
      </c>
      <c r="AA27" s="2">
        <v>1.0</v>
      </c>
    </row>
    <row r="28">
      <c r="A28" s="2">
        <f t="shared" si="11"/>
        <v>208</v>
      </c>
      <c r="B28" s="2" t="s">
        <v>1136</v>
      </c>
      <c r="C28" s="2">
        <v>1.0</v>
      </c>
      <c r="D28" s="35" t="str">
        <f>"1-9"</f>
        <v>1-9</v>
      </c>
      <c r="E28" s="2">
        <f t="shared" si="13"/>
        <v>5</v>
      </c>
      <c r="F28" s="2"/>
      <c r="G28" s="2" t="s">
        <v>1191</v>
      </c>
      <c r="H28" s="53"/>
      <c r="I28" s="53">
        <f t="shared" si="12"/>
        <v>2220</v>
      </c>
      <c r="J28" s="91" t="s">
        <v>1143</v>
      </c>
      <c r="K28" s="91" t="s">
        <v>573</v>
      </c>
      <c r="L28" s="91">
        <v>9001.0</v>
      </c>
      <c r="M28" s="91" t="s">
        <v>1092</v>
      </c>
      <c r="N28" s="53" t="str">
        <f t="shared" si="7"/>
        <v/>
      </c>
      <c r="O28" s="91">
        <f t="shared" si="8"/>
        <v>0.5</v>
      </c>
      <c r="P28" s="91" t="s">
        <v>1148</v>
      </c>
      <c r="Q28" s="91" t="s">
        <v>640</v>
      </c>
      <c r="R28" s="91">
        <v>9004.0</v>
      </c>
      <c r="S28" s="91">
        <v>7.0</v>
      </c>
      <c r="T28" s="53" t="str">
        <f t="shared" si="9"/>
        <v/>
      </c>
      <c r="U28" s="91">
        <f t="shared" si="10"/>
        <v>0.4</v>
      </c>
      <c r="V28" s="2">
        <v>70001.0</v>
      </c>
      <c r="W28" s="2">
        <v>1.0</v>
      </c>
      <c r="X28" s="2">
        <v>1.0</v>
      </c>
      <c r="Y28" s="2">
        <v>70002.0</v>
      </c>
      <c r="Z28" s="2">
        <v>1.0</v>
      </c>
      <c r="AA28" s="2">
        <v>1.0</v>
      </c>
    </row>
    <row r="29">
      <c r="A29" s="2">
        <f t="shared" si="11"/>
        <v>209</v>
      </c>
      <c r="B29" s="2" t="s">
        <v>1136</v>
      </c>
      <c r="C29" s="2">
        <v>1.0</v>
      </c>
      <c r="D29" s="35" t="str">
        <f>"1-10"</f>
        <v>1-10</v>
      </c>
      <c r="E29" s="2">
        <f t="shared" si="13"/>
        <v>5</v>
      </c>
      <c r="F29" s="2"/>
      <c r="G29" s="2" t="s">
        <v>1195</v>
      </c>
      <c r="H29" s="53"/>
      <c r="I29" s="53">
        <f t="shared" si="12"/>
        <v>2345</v>
      </c>
      <c r="J29" s="91" t="s">
        <v>1143</v>
      </c>
      <c r="K29" s="91" t="s">
        <v>573</v>
      </c>
      <c r="L29" s="100">
        <v>9001.0</v>
      </c>
      <c r="M29" s="91" t="s">
        <v>1097</v>
      </c>
      <c r="N29" s="53" t="str">
        <f t="shared" si="7"/>
        <v/>
      </c>
      <c r="O29" s="91">
        <f t="shared" si="8"/>
        <v>0.4</v>
      </c>
      <c r="P29" s="91" t="s">
        <v>1148</v>
      </c>
      <c r="Q29" s="91" t="s">
        <v>640</v>
      </c>
      <c r="R29" s="91">
        <v>9003.0</v>
      </c>
      <c r="S29" s="91">
        <v>3.0</v>
      </c>
      <c r="T29" s="53" t="str">
        <f t="shared" si="9"/>
        <v/>
      </c>
      <c r="U29" s="91">
        <f t="shared" si="10"/>
        <v>0.1</v>
      </c>
      <c r="V29" s="2">
        <v>70001.0</v>
      </c>
      <c r="W29" s="2">
        <v>1.0</v>
      </c>
      <c r="X29" s="2">
        <v>1.0</v>
      </c>
      <c r="Y29" s="2">
        <v>70002.0</v>
      </c>
      <c r="Z29" s="2">
        <v>1.0</v>
      </c>
      <c r="AA29" s="2">
        <v>1.0</v>
      </c>
    </row>
    <row r="30">
      <c r="A30" s="2">
        <f t="shared" si="11"/>
        <v>210</v>
      </c>
      <c r="B30" s="2" t="s">
        <v>1136</v>
      </c>
      <c r="C30" s="2">
        <v>1.0</v>
      </c>
      <c r="D30" s="35" t="str">
        <f>"1-11"</f>
        <v>1-11</v>
      </c>
      <c r="E30" s="2">
        <f t="shared" si="13"/>
        <v>6</v>
      </c>
      <c r="F30" s="2"/>
      <c r="G30" s="2" t="s">
        <v>1199</v>
      </c>
      <c r="H30" s="53"/>
      <c r="I30" s="53">
        <f t="shared" si="12"/>
        <v>2470</v>
      </c>
      <c r="J30" s="91" t="s">
        <v>1143</v>
      </c>
      <c r="K30" s="91" t="s">
        <v>573</v>
      </c>
      <c r="L30" s="100">
        <v>9001.0</v>
      </c>
      <c r="M30" s="53" t="str">
        <f>"3,7,9"</f>
        <v>3,7,9</v>
      </c>
      <c r="N30" s="53" t="str">
        <f t="shared" si="7"/>
        <v/>
      </c>
      <c r="O30" s="91">
        <f t="shared" si="8"/>
        <v>0.8</v>
      </c>
      <c r="P30" s="91" t="s">
        <v>1148</v>
      </c>
      <c r="Q30" s="91" t="s">
        <v>640</v>
      </c>
      <c r="R30" s="91">
        <v>9004.0</v>
      </c>
      <c r="S30" s="91" t="s">
        <v>1050</v>
      </c>
      <c r="T30" s="53" t="str">
        <f t="shared" si="9"/>
        <v/>
      </c>
      <c r="U30" s="91">
        <f t="shared" si="10"/>
        <v>0.2</v>
      </c>
      <c r="V30" s="2">
        <v>70001.0</v>
      </c>
      <c r="W30" s="2">
        <v>1.0</v>
      </c>
      <c r="X30" s="2">
        <v>1.0</v>
      </c>
      <c r="Y30" s="2">
        <v>70002.0</v>
      </c>
      <c r="Z30" s="2">
        <v>1.0</v>
      </c>
      <c r="AA30" s="2">
        <v>1.0</v>
      </c>
    </row>
    <row r="31">
      <c r="A31" s="2">
        <f t="shared" si="11"/>
        <v>211</v>
      </c>
      <c r="B31" s="2" t="s">
        <v>1136</v>
      </c>
      <c r="C31" s="2">
        <v>1.0</v>
      </c>
      <c r="D31" s="35" t="str">
        <f>"1-12"</f>
        <v>1-12</v>
      </c>
      <c r="E31" s="2">
        <f t="shared" si="13"/>
        <v>6</v>
      </c>
      <c r="F31" s="2"/>
      <c r="G31" s="2" t="s">
        <v>1187</v>
      </c>
      <c r="H31" s="53"/>
      <c r="I31" s="53">
        <f t="shared" si="12"/>
        <v>2595</v>
      </c>
      <c r="J31" s="91" t="s">
        <v>1143</v>
      </c>
      <c r="K31" s="91" t="s">
        <v>573</v>
      </c>
      <c r="L31" s="100">
        <v>9002.0</v>
      </c>
      <c r="M31" s="53" t="str">
        <f>"5,7,11"</f>
        <v>5,7,11</v>
      </c>
      <c r="N31" s="53" t="str">
        <f t="shared" si="7"/>
        <v/>
      </c>
      <c r="O31" s="91">
        <f t="shared" si="8"/>
        <v>0.3</v>
      </c>
      <c r="P31" s="91" t="s">
        <v>1148</v>
      </c>
      <c r="Q31" s="91" t="s">
        <v>640</v>
      </c>
      <c r="R31" s="91">
        <v>9004.0</v>
      </c>
      <c r="S31" s="91" t="s">
        <v>1038</v>
      </c>
      <c r="T31" s="53" t="str">
        <f t="shared" si="9"/>
        <v/>
      </c>
      <c r="U31" s="91">
        <f t="shared" si="10"/>
        <v>0</v>
      </c>
      <c r="V31" s="2">
        <v>70001.0</v>
      </c>
      <c r="W31" s="2">
        <v>1.0</v>
      </c>
      <c r="X31" s="2">
        <v>1.0</v>
      </c>
      <c r="Y31" s="2">
        <v>70002.0</v>
      </c>
      <c r="Z31" s="2">
        <v>1.0</v>
      </c>
      <c r="AA31" s="2">
        <v>1.0</v>
      </c>
    </row>
    <row r="32">
      <c r="A32" s="2">
        <f t="shared" si="11"/>
        <v>212</v>
      </c>
      <c r="B32" s="2" t="s">
        <v>1136</v>
      </c>
      <c r="C32" s="2">
        <v>1.0</v>
      </c>
      <c r="D32" s="35" t="str">
        <f>"1-13"</f>
        <v>1-13</v>
      </c>
      <c r="E32" s="2">
        <f t="shared" si="13"/>
        <v>7</v>
      </c>
      <c r="F32" s="2"/>
      <c r="G32" s="2" t="s">
        <v>1208</v>
      </c>
      <c r="H32" s="91"/>
      <c r="I32" s="53">
        <f t="shared" si="12"/>
        <v>2720</v>
      </c>
      <c r="J32" s="91" t="s">
        <v>1143</v>
      </c>
      <c r="K32" s="91" t="s">
        <v>573</v>
      </c>
      <c r="L32" s="100">
        <v>9002.0</v>
      </c>
      <c r="M32" s="91" t="s">
        <v>1050</v>
      </c>
      <c r="N32" s="53" t="str">
        <f t="shared" si="7"/>
        <v/>
      </c>
      <c r="O32" s="91">
        <f t="shared" si="8"/>
        <v>0.1</v>
      </c>
      <c r="P32" s="91" t="s">
        <v>1148</v>
      </c>
      <c r="Q32" s="91" t="s">
        <v>640</v>
      </c>
      <c r="R32" s="91">
        <v>9003.0</v>
      </c>
      <c r="S32" s="91" t="s">
        <v>1054</v>
      </c>
      <c r="T32" s="53" t="str">
        <f t="shared" si="9"/>
        <v/>
      </c>
      <c r="U32" s="91">
        <f t="shared" si="10"/>
        <v>0.1</v>
      </c>
      <c r="V32" s="2">
        <v>70001.0</v>
      </c>
      <c r="W32" s="2">
        <v>1.0</v>
      </c>
      <c r="X32" s="2">
        <v>1.0</v>
      </c>
      <c r="Y32" s="2">
        <v>70002.0</v>
      </c>
      <c r="Z32" s="2">
        <v>1.0</v>
      </c>
      <c r="AA32" s="2">
        <v>1.0</v>
      </c>
    </row>
    <row r="33">
      <c r="A33" s="2">
        <f t="shared" si="11"/>
        <v>213</v>
      </c>
      <c r="B33" s="2" t="s">
        <v>1136</v>
      </c>
      <c r="C33" s="2">
        <v>1.0</v>
      </c>
      <c r="D33" s="35" t="str">
        <f>"1-14"</f>
        <v>1-14</v>
      </c>
      <c r="E33" s="2">
        <f t="shared" si="13"/>
        <v>7</v>
      </c>
      <c r="F33" s="2"/>
      <c r="G33" s="2" t="s">
        <v>1187</v>
      </c>
      <c r="H33" s="91"/>
      <c r="I33" s="53">
        <f t="shared" si="12"/>
        <v>2845</v>
      </c>
      <c r="J33" s="91" t="s">
        <v>1143</v>
      </c>
      <c r="K33" s="91" t="s">
        <v>573</v>
      </c>
      <c r="L33" s="91">
        <v>9001.0</v>
      </c>
      <c r="M33" s="91" t="s">
        <v>1063</v>
      </c>
      <c r="N33" s="53" t="str">
        <f t="shared" si="7"/>
        <v/>
      </c>
      <c r="O33" s="91">
        <f t="shared" si="8"/>
        <v>0.5</v>
      </c>
      <c r="P33" s="91" t="s">
        <v>1148</v>
      </c>
      <c r="Q33" s="91" t="s">
        <v>640</v>
      </c>
      <c r="R33" s="91">
        <v>9003.0</v>
      </c>
      <c r="S33" s="91" t="s">
        <v>1065</v>
      </c>
      <c r="T33" s="53" t="str">
        <f t="shared" si="9"/>
        <v/>
      </c>
      <c r="U33" s="91">
        <f t="shared" si="10"/>
        <v>0.4</v>
      </c>
      <c r="V33" s="2">
        <v>70001.0</v>
      </c>
      <c r="W33" s="2">
        <v>1.0</v>
      </c>
      <c r="X33" s="2">
        <v>1.0</v>
      </c>
      <c r="Y33" s="2">
        <v>70002.0</v>
      </c>
      <c r="Z33" s="2">
        <v>1.0</v>
      </c>
      <c r="AA33" s="2">
        <v>1.0</v>
      </c>
    </row>
    <row r="34">
      <c r="A34" s="2">
        <f t="shared" si="11"/>
        <v>214</v>
      </c>
      <c r="B34" s="2" t="s">
        <v>1136</v>
      </c>
      <c r="C34" s="2">
        <v>1.0</v>
      </c>
      <c r="D34" s="35" t="str">
        <f>"1-15"</f>
        <v>1-15</v>
      </c>
      <c r="E34" s="2">
        <f t="shared" si="13"/>
        <v>8</v>
      </c>
      <c r="F34" s="2"/>
      <c r="G34" s="2" t="s">
        <v>1216</v>
      </c>
      <c r="H34" s="53"/>
      <c r="I34" s="53">
        <f t="shared" si="12"/>
        <v>2970</v>
      </c>
      <c r="J34" s="91" t="s">
        <v>1143</v>
      </c>
      <c r="K34" s="91" t="s">
        <v>573</v>
      </c>
      <c r="L34" s="100">
        <v>9001.0</v>
      </c>
      <c r="M34" s="91" t="s">
        <v>1073</v>
      </c>
      <c r="N34" s="53" t="str">
        <f t="shared" si="7"/>
        <v/>
      </c>
      <c r="O34" s="91">
        <f t="shared" si="8"/>
        <v>0.9</v>
      </c>
      <c r="P34" s="91" t="s">
        <v>1148</v>
      </c>
      <c r="Q34" s="91" t="s">
        <v>640</v>
      </c>
      <c r="R34" s="91">
        <v>9004.0</v>
      </c>
      <c r="S34" s="91">
        <v>4.0</v>
      </c>
      <c r="T34" s="53" t="str">
        <f t="shared" si="9"/>
        <v/>
      </c>
      <c r="U34" s="91">
        <f t="shared" si="10"/>
        <v>0</v>
      </c>
      <c r="V34" s="2">
        <v>70001.0</v>
      </c>
      <c r="W34" s="2">
        <v>1.0</v>
      </c>
      <c r="X34" s="2">
        <v>1.0</v>
      </c>
      <c r="Y34" s="2">
        <v>70002.0</v>
      </c>
      <c r="Z34" s="2">
        <v>1.0</v>
      </c>
      <c r="AA34" s="2">
        <v>1.0</v>
      </c>
    </row>
    <row r="35">
      <c r="A35" s="2">
        <f t="shared" si="11"/>
        <v>215</v>
      </c>
      <c r="B35" s="2" t="s">
        <v>1136</v>
      </c>
      <c r="C35" s="2">
        <v>1.0</v>
      </c>
      <c r="D35" s="35" t="str">
        <f>"1-16"</f>
        <v>1-16</v>
      </c>
      <c r="E35" s="2">
        <f t="shared" si="13"/>
        <v>8</v>
      </c>
      <c r="F35" s="2"/>
      <c r="G35" s="2" t="s">
        <v>1221</v>
      </c>
      <c r="H35" s="53"/>
      <c r="I35" s="53">
        <f t="shared" si="12"/>
        <v>3095</v>
      </c>
      <c r="J35" s="91" t="s">
        <v>1143</v>
      </c>
      <c r="K35" s="91" t="s">
        <v>573</v>
      </c>
      <c r="L35" s="100">
        <v>9002.0</v>
      </c>
      <c r="M35" s="91" t="s">
        <v>1079</v>
      </c>
      <c r="N35" s="53" t="str">
        <f t="shared" si="7"/>
        <v/>
      </c>
      <c r="O35" s="91">
        <f t="shared" si="8"/>
        <v>0.4</v>
      </c>
      <c r="P35" s="91" t="s">
        <v>1148</v>
      </c>
      <c r="Q35" s="91" t="s">
        <v>640</v>
      </c>
      <c r="R35" s="91">
        <v>9003.0</v>
      </c>
      <c r="S35" s="91">
        <v>9.0</v>
      </c>
      <c r="T35" s="53" t="str">
        <f t="shared" si="9"/>
        <v/>
      </c>
      <c r="U35" s="91">
        <f t="shared" si="10"/>
        <v>0.1</v>
      </c>
      <c r="V35" s="2">
        <v>70001.0</v>
      </c>
      <c r="W35" s="2">
        <v>1.0</v>
      </c>
      <c r="X35" s="2">
        <v>1.0</v>
      </c>
      <c r="Y35" s="2">
        <v>70002.0</v>
      </c>
      <c r="Z35" s="2">
        <v>1.0</v>
      </c>
      <c r="AA35" s="2">
        <v>1.0</v>
      </c>
    </row>
    <row r="36">
      <c r="A36" s="2">
        <f t="shared" si="11"/>
        <v>216</v>
      </c>
      <c r="B36" s="2" t="s">
        <v>1136</v>
      </c>
      <c r="C36" s="2">
        <v>1.0</v>
      </c>
      <c r="D36" s="35" t="str">
        <f>"1-17"</f>
        <v>1-17</v>
      </c>
      <c r="E36" s="2">
        <f t="shared" si="13"/>
        <v>9</v>
      </c>
      <c r="F36" s="2"/>
      <c r="G36" s="2" t="s">
        <v>1221</v>
      </c>
      <c r="H36" s="53"/>
      <c r="I36" s="53">
        <f t="shared" si="12"/>
        <v>3220</v>
      </c>
      <c r="J36" s="91" t="s">
        <v>1143</v>
      </c>
      <c r="K36" s="91" t="s">
        <v>573</v>
      </c>
      <c r="L36" s="100">
        <v>9002.0</v>
      </c>
      <c r="M36" s="91" t="s">
        <v>1085</v>
      </c>
      <c r="N36" s="53" t="str">
        <f t="shared" si="7"/>
        <v/>
      </c>
      <c r="O36" s="91">
        <f t="shared" si="8"/>
        <v>0.9</v>
      </c>
      <c r="P36" s="91" t="s">
        <v>1148</v>
      </c>
      <c r="Q36" s="91" t="s">
        <v>640</v>
      </c>
      <c r="R36" s="91">
        <v>9004.0</v>
      </c>
      <c r="S36" s="91">
        <v>4.0</v>
      </c>
      <c r="T36" s="53" t="str">
        <f t="shared" si="9"/>
        <v/>
      </c>
      <c r="U36" s="91">
        <f t="shared" si="10"/>
        <v>0.6</v>
      </c>
      <c r="V36" s="2">
        <v>70001.0</v>
      </c>
      <c r="W36" s="2">
        <v>1.0</v>
      </c>
      <c r="X36" s="2">
        <v>1.0</v>
      </c>
      <c r="Y36" s="2">
        <v>70002.0</v>
      </c>
      <c r="Z36" s="2">
        <v>1.0</v>
      </c>
      <c r="AA36" s="2">
        <v>1.0</v>
      </c>
    </row>
    <row r="37">
      <c r="A37" s="2">
        <f t="shared" si="11"/>
        <v>217</v>
      </c>
      <c r="B37" s="2" t="s">
        <v>1136</v>
      </c>
      <c r="C37" s="2">
        <v>1.0</v>
      </c>
      <c r="D37" s="35" t="str">
        <f>"1-18"</f>
        <v>1-18</v>
      </c>
      <c r="E37" s="2">
        <f t="shared" si="13"/>
        <v>9</v>
      </c>
      <c r="F37" s="2"/>
      <c r="G37" s="2" t="s">
        <v>1226</v>
      </c>
      <c r="H37" s="53"/>
      <c r="I37" s="53">
        <f t="shared" si="12"/>
        <v>3345</v>
      </c>
      <c r="J37" s="91" t="s">
        <v>1143</v>
      </c>
      <c r="K37" s="91" t="s">
        <v>573</v>
      </c>
      <c r="L37" s="100">
        <v>9001.0</v>
      </c>
      <c r="M37" s="91" t="s">
        <v>1063</v>
      </c>
      <c r="N37" s="53" t="str">
        <f t="shared" si="7"/>
        <v/>
      </c>
      <c r="O37" s="91">
        <f t="shared" si="8"/>
        <v>0.5</v>
      </c>
      <c r="P37" s="91" t="s">
        <v>1148</v>
      </c>
      <c r="Q37" s="91" t="s">
        <v>640</v>
      </c>
      <c r="R37" s="91">
        <v>9004.0</v>
      </c>
      <c r="S37" s="91">
        <v>6.0</v>
      </c>
      <c r="T37" s="53" t="str">
        <f t="shared" si="9"/>
        <v/>
      </c>
      <c r="U37" s="91">
        <f t="shared" si="10"/>
        <v>0</v>
      </c>
      <c r="V37" s="2">
        <v>70001.0</v>
      </c>
      <c r="W37" s="2">
        <v>1.0</v>
      </c>
      <c r="X37" s="2">
        <v>1.0</v>
      </c>
      <c r="Y37" s="2">
        <v>70002.0</v>
      </c>
      <c r="Z37" s="2">
        <v>1.0</v>
      </c>
      <c r="AA37" s="2">
        <v>1.0</v>
      </c>
    </row>
    <row r="38">
      <c r="A38" s="2">
        <f t="shared" si="11"/>
        <v>218</v>
      </c>
      <c r="B38" s="2" t="s">
        <v>1136</v>
      </c>
      <c r="C38" s="2">
        <v>1.0</v>
      </c>
      <c r="D38" s="35" t="str">
        <f>"1-19"</f>
        <v>1-19</v>
      </c>
      <c r="E38" s="2">
        <f t="shared" si="13"/>
        <v>10</v>
      </c>
      <c r="F38" s="2"/>
      <c r="G38" s="2" t="s">
        <v>1230</v>
      </c>
      <c r="H38" s="53"/>
      <c r="I38" s="53">
        <f t="shared" si="12"/>
        <v>3470</v>
      </c>
      <c r="J38" s="91" t="s">
        <v>1143</v>
      </c>
      <c r="K38" s="91" t="s">
        <v>573</v>
      </c>
      <c r="L38" s="100">
        <v>9002.0</v>
      </c>
      <c r="M38" s="91" t="s">
        <v>1092</v>
      </c>
      <c r="N38" s="53" t="str">
        <f t="shared" si="7"/>
        <v/>
      </c>
      <c r="O38" s="91">
        <f t="shared" si="8"/>
        <v>1</v>
      </c>
      <c r="P38" s="91" t="s">
        <v>1148</v>
      </c>
      <c r="Q38" s="91" t="s">
        <v>640</v>
      </c>
      <c r="R38" s="91">
        <v>9003.0</v>
      </c>
      <c r="S38" s="91">
        <v>7.0</v>
      </c>
      <c r="T38" s="53" t="str">
        <f t="shared" si="9"/>
        <v/>
      </c>
      <c r="U38" s="91">
        <f t="shared" si="10"/>
        <v>0.7</v>
      </c>
      <c r="V38" s="2">
        <v>70001.0</v>
      </c>
      <c r="W38" s="2">
        <v>1.0</v>
      </c>
      <c r="X38" s="2">
        <v>1.0</v>
      </c>
      <c r="Y38" s="2">
        <v>70002.0</v>
      </c>
      <c r="Z38" s="2">
        <v>1.0</v>
      </c>
      <c r="AA38" s="2">
        <v>1.0</v>
      </c>
    </row>
    <row r="39">
      <c r="A39" s="109">
        <f t="shared" si="11"/>
        <v>219</v>
      </c>
      <c r="B39" s="109" t="s">
        <v>1136</v>
      </c>
      <c r="C39" s="109">
        <v>1.0</v>
      </c>
      <c r="D39" s="35" t="str">
        <f>"1-20"</f>
        <v>1-20</v>
      </c>
      <c r="E39" s="109">
        <f t="shared" si="13"/>
        <v>10</v>
      </c>
      <c r="F39" s="111"/>
      <c r="G39" s="111" t="s">
        <v>1235</v>
      </c>
      <c r="H39" s="112"/>
      <c r="I39" s="112">
        <f t="shared" si="12"/>
        <v>3595</v>
      </c>
      <c r="J39" s="114" t="s">
        <v>1143</v>
      </c>
      <c r="K39" s="114" t="s">
        <v>573</v>
      </c>
      <c r="L39" s="115">
        <v>9002.0</v>
      </c>
      <c r="M39" s="114" t="s">
        <v>1092</v>
      </c>
      <c r="N39" s="112" t="str">
        <f t="shared" si="7"/>
        <v/>
      </c>
      <c r="O39" s="114">
        <v>0.3</v>
      </c>
      <c r="P39" s="114" t="s">
        <v>1148</v>
      </c>
      <c r="Q39" s="114" t="s">
        <v>640</v>
      </c>
      <c r="R39" s="114">
        <v>9003.0</v>
      </c>
      <c r="S39" s="114">
        <v>7.0</v>
      </c>
      <c r="T39" s="112" t="str">
        <f t="shared" si="9"/>
        <v/>
      </c>
      <c r="U39" s="91">
        <f t="shared" si="10"/>
        <v>0</v>
      </c>
      <c r="V39" s="109">
        <v>70001.0</v>
      </c>
      <c r="W39" s="109">
        <v>1.0</v>
      </c>
      <c r="X39" s="109">
        <v>1.0</v>
      </c>
      <c r="Y39" s="109">
        <v>70002.0</v>
      </c>
      <c r="Z39" s="109">
        <v>1.0</v>
      </c>
      <c r="AA39" s="109">
        <v>1.0</v>
      </c>
      <c r="AB39" s="116"/>
      <c r="AC39" s="116"/>
      <c r="AD39" s="116"/>
      <c r="AE39" s="116"/>
      <c r="AF39" s="116"/>
      <c r="AG39" s="116"/>
      <c r="AH39" s="116"/>
      <c r="AI39" s="116"/>
      <c r="AJ39" s="116"/>
    </row>
    <row r="40">
      <c r="A40" s="2">
        <f t="shared" si="11"/>
        <v>220</v>
      </c>
      <c r="B40" s="2" t="s">
        <v>1136</v>
      </c>
      <c r="C40" s="2">
        <v>2.0</v>
      </c>
      <c r="D40" s="35" t="str">
        <f>"2-1"</f>
        <v>2-1</v>
      </c>
      <c r="E40" s="2">
        <f t="shared" si="13"/>
        <v>11</v>
      </c>
      <c r="F40" s="2"/>
      <c r="G40" s="2" t="s">
        <v>1240</v>
      </c>
      <c r="H40" s="53"/>
      <c r="I40" s="53">
        <f t="shared" si="12"/>
        <v>3720</v>
      </c>
      <c r="J40" s="91" t="s">
        <v>1242</v>
      </c>
      <c r="K40" s="91" t="s">
        <v>573</v>
      </c>
      <c r="L40" s="91">
        <v>9005.0</v>
      </c>
      <c r="M40" s="91" t="s">
        <v>1079</v>
      </c>
      <c r="N40" s="53" t="str">
        <f t="shared" si="7"/>
        <v/>
      </c>
      <c r="O40" s="91">
        <f t="shared" ref="O40:O58" si="14">ROUND(RAND(),1)</f>
        <v>0.9</v>
      </c>
      <c r="P40" s="91" t="s">
        <v>1148</v>
      </c>
      <c r="Q40" s="91" t="s">
        <v>640</v>
      </c>
      <c r="R40" s="91">
        <v>9008.0</v>
      </c>
      <c r="S40" s="91" t="s">
        <v>1073</v>
      </c>
      <c r="T40" s="53" t="str">
        <f t="shared" si="9"/>
        <v/>
      </c>
      <c r="U40" s="91">
        <f t="shared" si="10"/>
        <v>0.5</v>
      </c>
      <c r="V40" s="2">
        <v>70001.0</v>
      </c>
      <c r="W40" s="2">
        <v>1.0</v>
      </c>
      <c r="X40" s="2">
        <v>1.0</v>
      </c>
      <c r="Y40" s="2">
        <v>70002.0</v>
      </c>
      <c r="Z40" s="2">
        <v>1.0</v>
      </c>
      <c r="AA40" s="2">
        <v>1.0</v>
      </c>
    </row>
    <row r="41">
      <c r="A41" s="2">
        <f t="shared" si="11"/>
        <v>221</v>
      </c>
      <c r="B41" s="2" t="s">
        <v>1136</v>
      </c>
      <c r="C41" s="2">
        <v>2.0</v>
      </c>
      <c r="D41" s="35" t="str">
        <f>"2-2"</f>
        <v>2-2</v>
      </c>
      <c r="E41" s="2">
        <f t="shared" si="13"/>
        <v>11</v>
      </c>
      <c r="F41" s="2"/>
      <c r="G41" s="2" t="s">
        <v>1246</v>
      </c>
      <c r="H41" s="53"/>
      <c r="I41" s="53">
        <f t="shared" si="12"/>
        <v>3845</v>
      </c>
      <c r="J41" s="91" t="s">
        <v>1242</v>
      </c>
      <c r="K41" s="91" t="s">
        <v>573</v>
      </c>
      <c r="L41" s="91">
        <v>9005.0</v>
      </c>
      <c r="M41" s="91" t="s">
        <v>1085</v>
      </c>
      <c r="N41" s="53" t="str">
        <f t="shared" si="7"/>
        <v/>
      </c>
      <c r="O41" s="91">
        <f t="shared" si="14"/>
        <v>0.1</v>
      </c>
      <c r="P41" s="91" t="s">
        <v>1148</v>
      </c>
      <c r="Q41" s="91" t="s">
        <v>640</v>
      </c>
      <c r="R41" s="91">
        <v>9007.0</v>
      </c>
      <c r="S41" s="91" t="s">
        <v>1079</v>
      </c>
      <c r="T41" s="53" t="str">
        <f t="shared" si="9"/>
        <v/>
      </c>
      <c r="U41" s="91">
        <f t="shared" si="10"/>
        <v>0.1</v>
      </c>
      <c r="V41" s="2">
        <v>70001.0</v>
      </c>
      <c r="W41" s="2">
        <v>1.0</v>
      </c>
      <c r="X41" s="2">
        <v>1.0</v>
      </c>
      <c r="Y41" s="2">
        <v>70002.0</v>
      </c>
      <c r="Z41" s="2">
        <v>1.0</v>
      </c>
      <c r="AA41" s="2">
        <v>1.0</v>
      </c>
    </row>
    <row r="42">
      <c r="A42" s="2">
        <f t="shared" si="11"/>
        <v>222</v>
      </c>
      <c r="B42" s="2" t="s">
        <v>1136</v>
      </c>
      <c r="C42" s="2">
        <v>2.0</v>
      </c>
      <c r="D42" s="35" t="str">
        <f>"2-3"</f>
        <v>2-3</v>
      </c>
      <c r="E42" s="2">
        <f t="shared" si="13"/>
        <v>12</v>
      </c>
      <c r="F42" s="2"/>
      <c r="G42" s="2" t="s">
        <v>1246</v>
      </c>
      <c r="H42" s="53"/>
      <c r="I42" s="53">
        <f t="shared" si="12"/>
        <v>3970</v>
      </c>
      <c r="J42" s="91" t="s">
        <v>1242</v>
      </c>
      <c r="K42" s="91" t="s">
        <v>573</v>
      </c>
      <c r="L42" s="91">
        <v>9005.0</v>
      </c>
      <c r="M42" s="91" t="s">
        <v>1063</v>
      </c>
      <c r="N42" s="53" t="str">
        <f t="shared" si="7"/>
        <v/>
      </c>
      <c r="O42" s="91">
        <f t="shared" si="14"/>
        <v>0.1</v>
      </c>
      <c r="P42" s="91" t="s">
        <v>1148</v>
      </c>
      <c r="Q42" s="91" t="s">
        <v>640</v>
      </c>
      <c r="R42" s="91">
        <v>9007.0</v>
      </c>
      <c r="S42" s="91" t="s">
        <v>1085</v>
      </c>
      <c r="T42" s="53" t="str">
        <f t="shared" si="9"/>
        <v/>
      </c>
      <c r="U42" s="91">
        <f t="shared" si="10"/>
        <v>0.9</v>
      </c>
      <c r="V42" s="2">
        <v>70001.0</v>
      </c>
      <c r="W42" s="2">
        <v>1.0</v>
      </c>
      <c r="X42" s="2">
        <v>1.0</v>
      </c>
      <c r="Y42" s="2">
        <v>70002.0</v>
      </c>
      <c r="Z42" s="2">
        <v>1.0</v>
      </c>
      <c r="AA42" s="2">
        <v>1.0</v>
      </c>
    </row>
    <row r="43">
      <c r="A43" s="2">
        <f t="shared" si="11"/>
        <v>223</v>
      </c>
      <c r="B43" s="2" t="s">
        <v>1136</v>
      </c>
      <c r="C43" s="2">
        <v>2.0</v>
      </c>
      <c r="D43" s="35" t="str">
        <f>"2-4"</f>
        <v>2-4</v>
      </c>
      <c r="E43" s="2">
        <f t="shared" si="13"/>
        <v>12</v>
      </c>
      <c r="F43" s="2"/>
      <c r="G43" s="2" t="s">
        <v>1246</v>
      </c>
      <c r="H43" s="53"/>
      <c r="I43" s="53">
        <f t="shared" si="12"/>
        <v>4095</v>
      </c>
      <c r="J43" s="91" t="s">
        <v>1242</v>
      </c>
      <c r="K43" s="91" t="s">
        <v>573</v>
      </c>
      <c r="L43" s="91">
        <v>9005.0</v>
      </c>
      <c r="M43" s="91" t="s">
        <v>1092</v>
      </c>
      <c r="N43" s="53" t="str">
        <f t="shared" si="7"/>
        <v/>
      </c>
      <c r="O43" s="91">
        <f t="shared" si="14"/>
        <v>0.9</v>
      </c>
      <c r="P43" s="91" t="s">
        <v>1148</v>
      </c>
      <c r="Q43" s="91" t="s">
        <v>640</v>
      </c>
      <c r="R43" s="91">
        <v>9006.0</v>
      </c>
      <c r="S43" s="91" t="s">
        <v>1063</v>
      </c>
      <c r="T43" s="53" t="str">
        <f t="shared" si="9"/>
        <v/>
      </c>
      <c r="U43" s="91">
        <f t="shared" si="10"/>
        <v>0.8</v>
      </c>
      <c r="V43" s="2">
        <v>70001.0</v>
      </c>
      <c r="W43" s="2">
        <v>1.0</v>
      </c>
      <c r="X43" s="2">
        <v>1.0</v>
      </c>
      <c r="Y43" s="2">
        <v>70002.0</v>
      </c>
      <c r="Z43" s="2">
        <v>1.0</v>
      </c>
      <c r="AA43" s="2">
        <v>1.0</v>
      </c>
    </row>
    <row r="44">
      <c r="A44" s="2">
        <f t="shared" si="11"/>
        <v>224</v>
      </c>
      <c r="B44" s="2" t="s">
        <v>1136</v>
      </c>
      <c r="C44" s="2">
        <v>2.0</v>
      </c>
      <c r="D44" s="35" t="str">
        <f>"2-5"</f>
        <v>2-5</v>
      </c>
      <c r="E44" s="2">
        <f t="shared" si="13"/>
        <v>13</v>
      </c>
      <c r="F44" s="2"/>
      <c r="G44" s="2" t="s">
        <v>1246</v>
      </c>
      <c r="H44" s="53"/>
      <c r="I44" s="53">
        <f t="shared" si="12"/>
        <v>4220</v>
      </c>
      <c r="J44" s="91" t="s">
        <v>1242</v>
      </c>
      <c r="K44" s="91" t="s">
        <v>573</v>
      </c>
      <c r="L44" s="91">
        <v>9005.0</v>
      </c>
      <c r="M44" s="91" t="s">
        <v>1097</v>
      </c>
      <c r="N44" s="53" t="str">
        <f t="shared" si="7"/>
        <v/>
      </c>
      <c r="O44" s="91">
        <f t="shared" si="14"/>
        <v>0.1</v>
      </c>
      <c r="P44" s="91" t="s">
        <v>1148</v>
      </c>
      <c r="Q44" s="91" t="s">
        <v>640</v>
      </c>
      <c r="R44" s="91">
        <v>9008.0</v>
      </c>
      <c r="S44" s="91" t="s">
        <v>1092</v>
      </c>
      <c r="T44" s="53" t="str">
        <f t="shared" si="9"/>
        <v/>
      </c>
      <c r="U44" s="91">
        <f t="shared" si="10"/>
        <v>0.5</v>
      </c>
      <c r="V44" s="2">
        <v>70001.0</v>
      </c>
      <c r="W44" s="2">
        <v>1.0</v>
      </c>
      <c r="X44" s="2">
        <v>1.0</v>
      </c>
      <c r="Y44" s="2">
        <v>70002.0</v>
      </c>
      <c r="Z44" s="2">
        <v>1.0</v>
      </c>
      <c r="AA44" s="2">
        <v>1.0</v>
      </c>
    </row>
    <row r="45">
      <c r="A45" s="2">
        <f t="shared" si="11"/>
        <v>225</v>
      </c>
      <c r="B45" s="2" t="s">
        <v>1136</v>
      </c>
      <c r="C45" s="2">
        <v>2.0</v>
      </c>
      <c r="D45" s="35" t="str">
        <f>"2-6"</f>
        <v>2-6</v>
      </c>
      <c r="E45" s="2">
        <f t="shared" si="13"/>
        <v>13</v>
      </c>
      <c r="F45" s="2"/>
      <c r="G45" s="2" t="s">
        <v>1246</v>
      </c>
      <c r="H45" s="53"/>
      <c r="I45" s="53">
        <f t="shared" si="12"/>
        <v>4345</v>
      </c>
      <c r="J45" s="91" t="s">
        <v>1242</v>
      </c>
      <c r="K45" s="91" t="s">
        <v>573</v>
      </c>
      <c r="L45" s="91">
        <v>9005.0</v>
      </c>
      <c r="M45" s="53" t="str">
        <f>"3,7,9"</f>
        <v>3,7,9</v>
      </c>
      <c r="N45" s="53" t="str">
        <f t="shared" si="7"/>
        <v/>
      </c>
      <c r="O45" s="91">
        <f t="shared" si="14"/>
        <v>0.3</v>
      </c>
      <c r="P45" s="91" t="s">
        <v>1148</v>
      </c>
      <c r="Q45" s="91" t="s">
        <v>640</v>
      </c>
      <c r="R45" s="91">
        <v>9007.0</v>
      </c>
      <c r="S45" s="91" t="s">
        <v>1097</v>
      </c>
      <c r="T45" s="53" t="str">
        <f t="shared" si="9"/>
        <v/>
      </c>
      <c r="U45" s="91">
        <f t="shared" si="10"/>
        <v>0.1</v>
      </c>
      <c r="V45" s="2">
        <v>70001.0</v>
      </c>
      <c r="W45" s="2">
        <v>1.0</v>
      </c>
      <c r="X45" s="2">
        <v>1.0</v>
      </c>
      <c r="Y45" s="2">
        <v>70002.0</v>
      </c>
      <c r="Z45" s="2">
        <v>1.0</v>
      </c>
      <c r="AA45" s="2">
        <v>1.0</v>
      </c>
    </row>
    <row r="46">
      <c r="A46" s="2">
        <f t="shared" si="11"/>
        <v>226</v>
      </c>
      <c r="B46" s="2" t="s">
        <v>1136</v>
      </c>
      <c r="C46" s="2">
        <v>2.0</v>
      </c>
      <c r="D46" s="35" t="str">
        <f>"2-7"</f>
        <v>2-7</v>
      </c>
      <c r="E46" s="2">
        <f t="shared" si="13"/>
        <v>14</v>
      </c>
      <c r="F46" s="2"/>
      <c r="G46" s="2" t="s">
        <v>1246</v>
      </c>
      <c r="H46" s="53"/>
      <c r="I46" s="53">
        <f t="shared" si="12"/>
        <v>4470</v>
      </c>
      <c r="J46" s="91" t="s">
        <v>1242</v>
      </c>
      <c r="K46" s="91" t="s">
        <v>573</v>
      </c>
      <c r="L46" s="91">
        <v>9005.0</v>
      </c>
      <c r="M46" s="53" t="str">
        <f>"5,7,11"</f>
        <v>5,7,11</v>
      </c>
      <c r="N46" s="53" t="str">
        <f t="shared" si="7"/>
        <v/>
      </c>
      <c r="O46" s="91">
        <f t="shared" si="14"/>
        <v>0.1</v>
      </c>
      <c r="P46" s="91" t="s">
        <v>1148</v>
      </c>
      <c r="Q46" s="91" t="s">
        <v>640</v>
      </c>
      <c r="R46" s="91">
        <v>9006.0</v>
      </c>
      <c r="S46" s="53" t="str">
        <f>"3,7,9"</f>
        <v>3,7,9</v>
      </c>
      <c r="T46" s="53" t="str">
        <f t="shared" si="9"/>
        <v/>
      </c>
      <c r="U46" s="91">
        <f t="shared" si="10"/>
        <v>0.1</v>
      </c>
      <c r="V46" s="2">
        <v>70001.0</v>
      </c>
      <c r="W46" s="2">
        <v>1.0</v>
      </c>
      <c r="X46" s="2">
        <v>1.0</v>
      </c>
      <c r="Y46" s="2">
        <v>70002.0</v>
      </c>
      <c r="Z46" s="2">
        <v>1.0</v>
      </c>
      <c r="AA46" s="2">
        <v>1.0</v>
      </c>
    </row>
    <row r="47">
      <c r="A47" s="2">
        <f t="shared" si="11"/>
        <v>227</v>
      </c>
      <c r="B47" s="2" t="s">
        <v>1136</v>
      </c>
      <c r="C47" s="2">
        <v>2.0</v>
      </c>
      <c r="D47" s="35" t="str">
        <f>"2-8"</f>
        <v>2-8</v>
      </c>
      <c r="E47" s="2">
        <f t="shared" si="13"/>
        <v>14</v>
      </c>
      <c r="F47" s="2"/>
      <c r="G47" s="2" t="s">
        <v>1246</v>
      </c>
      <c r="H47" s="53"/>
      <c r="I47" s="53">
        <f t="shared" si="12"/>
        <v>4595</v>
      </c>
      <c r="J47" s="91" t="s">
        <v>1242</v>
      </c>
      <c r="K47" s="91" t="s">
        <v>573</v>
      </c>
      <c r="L47" s="91">
        <v>9005.0</v>
      </c>
      <c r="M47" s="91" t="s">
        <v>1050</v>
      </c>
      <c r="N47" s="53" t="str">
        <f t="shared" si="7"/>
        <v/>
      </c>
      <c r="O47" s="91">
        <f t="shared" si="14"/>
        <v>1</v>
      </c>
      <c r="P47" s="91" t="s">
        <v>1148</v>
      </c>
      <c r="Q47" s="91" t="s">
        <v>640</v>
      </c>
      <c r="R47" s="91">
        <v>9008.0</v>
      </c>
      <c r="S47" s="53" t="str">
        <f>"5,7,11"</f>
        <v>5,7,11</v>
      </c>
      <c r="T47" s="53" t="str">
        <f t="shared" si="9"/>
        <v/>
      </c>
      <c r="U47" s="91">
        <f t="shared" si="10"/>
        <v>0.4</v>
      </c>
      <c r="V47" s="2">
        <v>70001.0</v>
      </c>
      <c r="W47" s="2">
        <v>1.0</v>
      </c>
      <c r="X47" s="2">
        <v>1.0</v>
      </c>
      <c r="Y47" s="2">
        <v>70002.0</v>
      </c>
      <c r="Z47" s="2">
        <v>1.0</v>
      </c>
      <c r="AA47" s="2">
        <v>1.0</v>
      </c>
    </row>
    <row r="48">
      <c r="A48" s="2">
        <f t="shared" si="11"/>
        <v>228</v>
      </c>
      <c r="B48" s="2" t="s">
        <v>1136</v>
      </c>
      <c r="C48" s="2">
        <v>2.0</v>
      </c>
      <c r="D48" s="35" t="str">
        <f>"2-9"</f>
        <v>2-9</v>
      </c>
      <c r="E48" s="2">
        <f t="shared" si="13"/>
        <v>15</v>
      </c>
      <c r="F48" s="2"/>
      <c r="G48" s="2" t="s">
        <v>1246</v>
      </c>
      <c r="H48" s="53"/>
      <c r="I48" s="53">
        <f t="shared" si="12"/>
        <v>4720</v>
      </c>
      <c r="J48" s="91" t="s">
        <v>1242</v>
      </c>
      <c r="K48" s="91" t="s">
        <v>573</v>
      </c>
      <c r="L48" s="91">
        <v>9005.0</v>
      </c>
      <c r="M48" s="91" t="s">
        <v>1267</v>
      </c>
      <c r="N48" s="53" t="str">
        <f t="shared" si="7"/>
        <v/>
      </c>
      <c r="O48" s="91">
        <f t="shared" si="14"/>
        <v>0.9</v>
      </c>
      <c r="P48" s="91" t="s">
        <v>1148</v>
      </c>
      <c r="Q48" s="91" t="s">
        <v>640</v>
      </c>
      <c r="R48" s="91">
        <v>9007.0</v>
      </c>
      <c r="S48" s="91" t="s">
        <v>1050</v>
      </c>
      <c r="T48" s="53" t="str">
        <f t="shared" si="9"/>
        <v/>
      </c>
      <c r="U48" s="91">
        <f t="shared" si="10"/>
        <v>0.5</v>
      </c>
      <c r="V48" s="2">
        <v>70001.0</v>
      </c>
      <c r="W48" s="2">
        <v>1.0</v>
      </c>
      <c r="X48" s="2">
        <v>1.0</v>
      </c>
      <c r="Y48" s="2">
        <v>70002.0</v>
      </c>
      <c r="Z48" s="2">
        <v>1.0</v>
      </c>
      <c r="AA48" s="2">
        <v>1.0</v>
      </c>
    </row>
    <row r="49">
      <c r="A49" s="2">
        <f t="shared" si="11"/>
        <v>229</v>
      </c>
      <c r="B49" s="2" t="s">
        <v>1136</v>
      </c>
      <c r="C49" s="2">
        <v>2.0</v>
      </c>
      <c r="D49" s="35" t="str">
        <f>"2-10"</f>
        <v>2-10</v>
      </c>
      <c r="E49" s="2">
        <f t="shared" si="13"/>
        <v>15</v>
      </c>
      <c r="F49" s="2"/>
      <c r="G49" s="2" t="s">
        <v>1246</v>
      </c>
      <c r="H49" s="53"/>
      <c r="I49" s="53">
        <f t="shared" si="12"/>
        <v>4845</v>
      </c>
      <c r="J49" s="91" t="s">
        <v>1242</v>
      </c>
      <c r="K49" s="91" t="s">
        <v>573</v>
      </c>
      <c r="L49" s="91">
        <v>9005.0</v>
      </c>
      <c r="M49" s="91" t="s">
        <v>1073</v>
      </c>
      <c r="N49" s="53" t="str">
        <f t="shared" si="7"/>
        <v/>
      </c>
      <c r="O49" s="91">
        <f t="shared" si="14"/>
        <v>0.7</v>
      </c>
      <c r="P49" s="91" t="s">
        <v>1148</v>
      </c>
      <c r="Q49" s="91" t="s">
        <v>640</v>
      </c>
      <c r="R49" s="91">
        <v>9007.0</v>
      </c>
      <c r="S49" s="91" t="s">
        <v>1063</v>
      </c>
      <c r="T49" s="53" t="str">
        <f t="shared" si="9"/>
        <v/>
      </c>
      <c r="U49" s="91">
        <f t="shared" si="10"/>
        <v>1</v>
      </c>
      <c r="V49" s="2">
        <v>70001.0</v>
      </c>
      <c r="W49" s="2">
        <v>1.0</v>
      </c>
      <c r="X49" s="2">
        <v>1.0</v>
      </c>
      <c r="Y49" s="2">
        <v>70002.0</v>
      </c>
      <c r="Z49" s="2">
        <v>1.0</v>
      </c>
      <c r="AA49" s="2">
        <v>1.0</v>
      </c>
    </row>
    <row r="50">
      <c r="A50" s="2">
        <f t="shared" si="11"/>
        <v>230</v>
      </c>
      <c r="B50" s="2" t="s">
        <v>1136</v>
      </c>
      <c r="C50" s="2">
        <v>2.0</v>
      </c>
      <c r="D50" s="35" t="str">
        <f>"2-11"</f>
        <v>2-11</v>
      </c>
      <c r="E50" s="2">
        <f t="shared" si="13"/>
        <v>16</v>
      </c>
      <c r="F50" s="2"/>
      <c r="G50" s="2" t="s">
        <v>1246</v>
      </c>
      <c r="H50" s="53"/>
      <c r="I50" s="53">
        <f t="shared" si="12"/>
        <v>4970</v>
      </c>
      <c r="J50" s="91" t="s">
        <v>1242</v>
      </c>
      <c r="K50" s="91" t="s">
        <v>573</v>
      </c>
      <c r="L50" s="91">
        <v>9005.0</v>
      </c>
      <c r="M50" s="91" t="s">
        <v>1079</v>
      </c>
      <c r="N50" s="53" t="str">
        <f t="shared" si="7"/>
        <v/>
      </c>
      <c r="O50" s="91">
        <f t="shared" si="14"/>
        <v>0.6</v>
      </c>
      <c r="P50" s="91" t="s">
        <v>1148</v>
      </c>
      <c r="Q50" s="91" t="s">
        <v>640</v>
      </c>
      <c r="R50" s="91">
        <v>9007.0</v>
      </c>
      <c r="S50" s="91" t="s">
        <v>1073</v>
      </c>
      <c r="T50" s="53" t="str">
        <f t="shared" si="9"/>
        <v/>
      </c>
      <c r="U50" s="91">
        <f t="shared" si="10"/>
        <v>0.4</v>
      </c>
      <c r="V50" s="2">
        <v>70001.0</v>
      </c>
      <c r="W50" s="2">
        <v>1.0</v>
      </c>
      <c r="X50" s="2">
        <v>1.0</v>
      </c>
      <c r="Y50" s="2">
        <v>70002.0</v>
      </c>
      <c r="Z50" s="2">
        <v>1.0</v>
      </c>
      <c r="AA50" s="2">
        <v>1.0</v>
      </c>
    </row>
    <row r="51">
      <c r="A51" s="2">
        <f t="shared" si="11"/>
        <v>231</v>
      </c>
      <c r="B51" s="2" t="s">
        <v>1136</v>
      </c>
      <c r="C51" s="2">
        <v>2.0</v>
      </c>
      <c r="D51" s="35" t="str">
        <f>"2-12"</f>
        <v>2-12</v>
      </c>
      <c r="E51" s="2">
        <f t="shared" si="13"/>
        <v>16</v>
      </c>
      <c r="F51" s="2"/>
      <c r="G51" s="2" t="s">
        <v>1246</v>
      </c>
      <c r="H51" s="53"/>
      <c r="I51" s="53">
        <f t="shared" si="12"/>
        <v>5095</v>
      </c>
      <c r="J51" s="91" t="s">
        <v>1242</v>
      </c>
      <c r="K51" s="91" t="s">
        <v>573</v>
      </c>
      <c r="L51" s="91">
        <v>9005.0</v>
      </c>
      <c r="M51" s="91" t="s">
        <v>1085</v>
      </c>
      <c r="N51" s="53" t="str">
        <f t="shared" si="7"/>
        <v/>
      </c>
      <c r="O51" s="91">
        <f t="shared" si="14"/>
        <v>0.7</v>
      </c>
      <c r="P51" s="91" t="s">
        <v>1148</v>
      </c>
      <c r="Q51" s="91" t="s">
        <v>640</v>
      </c>
      <c r="R51" s="91">
        <v>9006.0</v>
      </c>
      <c r="S51" s="91" t="s">
        <v>1079</v>
      </c>
      <c r="T51" s="53" t="str">
        <f t="shared" si="9"/>
        <v/>
      </c>
      <c r="U51" s="91">
        <f t="shared" si="10"/>
        <v>0.2</v>
      </c>
      <c r="V51" s="2">
        <v>70001.0</v>
      </c>
      <c r="W51" s="2">
        <v>1.0</v>
      </c>
      <c r="X51" s="2">
        <v>1.0</v>
      </c>
      <c r="Y51" s="2">
        <v>70002.0</v>
      </c>
      <c r="Z51" s="2">
        <v>1.0</v>
      </c>
      <c r="AA51" s="2">
        <v>1.0</v>
      </c>
    </row>
    <row r="52">
      <c r="A52" s="2">
        <f t="shared" si="11"/>
        <v>232</v>
      </c>
      <c r="B52" s="2" t="s">
        <v>1136</v>
      </c>
      <c r="C52" s="2">
        <v>2.0</v>
      </c>
      <c r="D52" s="35" t="str">
        <f>"2-13"</f>
        <v>2-13</v>
      </c>
      <c r="E52" s="2">
        <f t="shared" si="13"/>
        <v>17</v>
      </c>
      <c r="F52" s="2"/>
      <c r="G52" s="2" t="s">
        <v>1246</v>
      </c>
      <c r="H52" s="53"/>
      <c r="I52" s="53">
        <f t="shared" si="12"/>
        <v>5220</v>
      </c>
      <c r="J52" s="91" t="s">
        <v>1242</v>
      </c>
      <c r="K52" s="91" t="s">
        <v>573</v>
      </c>
      <c r="L52" s="91">
        <v>9005.0</v>
      </c>
      <c r="M52" s="91" t="s">
        <v>1063</v>
      </c>
      <c r="N52" s="53" t="str">
        <f t="shared" si="7"/>
        <v/>
      </c>
      <c r="O52" s="91">
        <f t="shared" si="14"/>
        <v>0.4</v>
      </c>
      <c r="P52" s="91" t="s">
        <v>1148</v>
      </c>
      <c r="Q52" s="91" t="s">
        <v>640</v>
      </c>
      <c r="R52" s="91">
        <v>9007.0</v>
      </c>
      <c r="S52" s="91" t="s">
        <v>1085</v>
      </c>
      <c r="T52" s="53" t="str">
        <f t="shared" si="9"/>
        <v/>
      </c>
      <c r="U52" s="91">
        <f t="shared" si="10"/>
        <v>0.9</v>
      </c>
      <c r="V52" s="2">
        <v>70001.0</v>
      </c>
      <c r="W52" s="2">
        <v>1.0</v>
      </c>
      <c r="X52" s="2">
        <v>1.0</v>
      </c>
      <c r="Y52" s="2">
        <v>70002.0</v>
      </c>
      <c r="Z52" s="2">
        <v>1.0</v>
      </c>
      <c r="AA52" s="2">
        <v>1.0</v>
      </c>
    </row>
    <row r="53">
      <c r="A53" s="2">
        <f t="shared" si="11"/>
        <v>233</v>
      </c>
      <c r="B53" s="2" t="s">
        <v>1136</v>
      </c>
      <c r="C53" s="2">
        <v>2.0</v>
      </c>
      <c r="D53" s="35" t="str">
        <f>"2-14"</f>
        <v>2-14</v>
      </c>
      <c r="E53" s="2">
        <f t="shared" si="13"/>
        <v>17</v>
      </c>
      <c r="F53" s="2"/>
      <c r="G53" s="2" t="s">
        <v>1246</v>
      </c>
      <c r="H53" s="53"/>
      <c r="I53" s="53">
        <f t="shared" si="12"/>
        <v>5345</v>
      </c>
      <c r="J53" s="91" t="s">
        <v>1242</v>
      </c>
      <c r="K53" s="91" t="s">
        <v>573</v>
      </c>
      <c r="L53" s="91">
        <v>9005.0</v>
      </c>
      <c r="M53" s="91" t="s">
        <v>1283</v>
      </c>
      <c r="N53" s="53" t="str">
        <f t="shared" si="7"/>
        <v/>
      </c>
      <c r="O53" s="91">
        <f t="shared" si="14"/>
        <v>0.9</v>
      </c>
      <c r="P53" s="91" t="s">
        <v>1148</v>
      </c>
      <c r="Q53" s="91" t="s">
        <v>640</v>
      </c>
      <c r="R53" s="91">
        <v>9007.0</v>
      </c>
      <c r="S53" s="91" t="s">
        <v>1063</v>
      </c>
      <c r="T53" s="53" t="str">
        <f t="shared" si="9"/>
        <v/>
      </c>
      <c r="U53" s="91">
        <f t="shared" si="10"/>
        <v>0.9</v>
      </c>
      <c r="V53" s="2">
        <v>70001.0</v>
      </c>
      <c r="W53" s="2">
        <v>1.0</v>
      </c>
      <c r="X53" s="2">
        <v>1.0</v>
      </c>
      <c r="Y53" s="2">
        <v>70002.0</v>
      </c>
      <c r="Z53" s="2">
        <v>1.0</v>
      </c>
      <c r="AA53" s="2">
        <v>1.0</v>
      </c>
    </row>
    <row r="54">
      <c r="A54" s="2">
        <f t="shared" si="11"/>
        <v>234</v>
      </c>
      <c r="B54" s="2" t="s">
        <v>1136</v>
      </c>
      <c r="C54" s="2">
        <v>2.0</v>
      </c>
      <c r="D54" s="35" t="str">
        <f>"2-15"</f>
        <v>2-15</v>
      </c>
      <c r="E54" s="2">
        <f t="shared" si="13"/>
        <v>18</v>
      </c>
      <c r="F54" s="2"/>
      <c r="G54" s="2" t="s">
        <v>1246</v>
      </c>
      <c r="H54" s="53"/>
      <c r="I54" s="53">
        <f t="shared" si="12"/>
        <v>5470</v>
      </c>
      <c r="J54" s="91" t="s">
        <v>1242</v>
      </c>
      <c r="K54" s="91" t="s">
        <v>573</v>
      </c>
      <c r="L54" s="91">
        <v>9005.0</v>
      </c>
      <c r="M54" s="91" t="s">
        <v>1289</v>
      </c>
      <c r="N54" s="53" t="str">
        <f t="shared" si="7"/>
        <v/>
      </c>
      <c r="O54" s="91">
        <f t="shared" si="14"/>
        <v>0.4</v>
      </c>
      <c r="P54" s="91" t="s">
        <v>1148</v>
      </c>
      <c r="Q54" s="91" t="s">
        <v>640</v>
      </c>
      <c r="R54" s="91">
        <v>9007.0</v>
      </c>
      <c r="S54" s="91" t="s">
        <v>1092</v>
      </c>
      <c r="T54" s="53" t="str">
        <f t="shared" si="9"/>
        <v/>
      </c>
      <c r="U54" s="91">
        <f t="shared" si="10"/>
        <v>0.8</v>
      </c>
      <c r="V54" s="2">
        <v>70001.0</v>
      </c>
      <c r="W54" s="2">
        <v>1.0</v>
      </c>
      <c r="X54" s="2">
        <v>1.0</v>
      </c>
      <c r="Y54" s="2">
        <v>70002.0</v>
      </c>
      <c r="Z54" s="2">
        <v>1.0</v>
      </c>
      <c r="AA54" s="2">
        <v>1.0</v>
      </c>
    </row>
    <row r="55">
      <c r="A55" s="2">
        <f t="shared" si="11"/>
        <v>235</v>
      </c>
      <c r="B55" s="2" t="s">
        <v>1136</v>
      </c>
      <c r="C55" s="2">
        <v>2.0</v>
      </c>
      <c r="D55" s="35" t="str">
        <f>"2-16"</f>
        <v>2-16</v>
      </c>
      <c r="E55" s="2">
        <f t="shared" si="13"/>
        <v>18</v>
      </c>
      <c r="F55" s="2"/>
      <c r="G55" s="2" t="s">
        <v>1246</v>
      </c>
      <c r="H55" s="53"/>
      <c r="I55" s="53">
        <f t="shared" si="12"/>
        <v>5595</v>
      </c>
      <c r="J55" s="91" t="s">
        <v>1242</v>
      </c>
      <c r="K55" s="91" t="s">
        <v>573</v>
      </c>
      <c r="L55" s="91">
        <v>9005.0</v>
      </c>
      <c r="M55" s="91" t="s">
        <v>1073</v>
      </c>
      <c r="N55" s="53" t="str">
        <f t="shared" si="7"/>
        <v/>
      </c>
      <c r="O55" s="91">
        <f t="shared" si="14"/>
        <v>0.2</v>
      </c>
      <c r="P55" s="91" t="s">
        <v>1148</v>
      </c>
      <c r="Q55" s="91" t="s">
        <v>640</v>
      </c>
      <c r="R55" s="91">
        <v>9008.0</v>
      </c>
      <c r="S55" s="91" t="s">
        <v>1073</v>
      </c>
      <c r="T55" s="53" t="str">
        <f t="shared" si="9"/>
        <v/>
      </c>
      <c r="U55" s="91">
        <f t="shared" si="10"/>
        <v>0.6</v>
      </c>
      <c r="V55" s="2">
        <v>70001.0</v>
      </c>
      <c r="W55" s="2">
        <v>1.0</v>
      </c>
      <c r="X55" s="2">
        <v>1.0</v>
      </c>
      <c r="Y55" s="2">
        <v>70002.0</v>
      </c>
      <c r="Z55" s="2">
        <v>1.0</v>
      </c>
      <c r="AA55" s="2">
        <v>1.0</v>
      </c>
    </row>
    <row r="56">
      <c r="A56" s="2">
        <f t="shared" si="11"/>
        <v>236</v>
      </c>
      <c r="B56" s="2" t="s">
        <v>1136</v>
      </c>
      <c r="C56" s="2">
        <v>2.0</v>
      </c>
      <c r="D56" s="35" t="str">
        <f>"2-17"</f>
        <v>2-17</v>
      </c>
      <c r="E56" s="2">
        <f t="shared" si="13"/>
        <v>19</v>
      </c>
      <c r="F56" s="2"/>
      <c r="G56" s="2" t="s">
        <v>1246</v>
      </c>
      <c r="H56" s="53"/>
      <c r="I56" s="53">
        <f t="shared" si="12"/>
        <v>5720</v>
      </c>
      <c r="J56" s="91" t="s">
        <v>1242</v>
      </c>
      <c r="K56" s="91" t="s">
        <v>573</v>
      </c>
      <c r="L56" s="91">
        <v>9005.0</v>
      </c>
      <c r="M56" s="91" t="s">
        <v>1079</v>
      </c>
      <c r="N56" s="53" t="str">
        <f t="shared" si="7"/>
        <v/>
      </c>
      <c r="O56" s="91">
        <f t="shared" si="14"/>
        <v>0.9</v>
      </c>
      <c r="P56" s="91" t="s">
        <v>1148</v>
      </c>
      <c r="Q56" s="91" t="s">
        <v>640</v>
      </c>
      <c r="R56" s="91">
        <v>9008.0</v>
      </c>
      <c r="S56" s="91" t="s">
        <v>1079</v>
      </c>
      <c r="T56" s="53" t="str">
        <f t="shared" si="9"/>
        <v/>
      </c>
      <c r="U56" s="91">
        <f t="shared" si="10"/>
        <v>0.4</v>
      </c>
      <c r="V56" s="2">
        <v>70001.0</v>
      </c>
      <c r="W56" s="2">
        <v>1.0</v>
      </c>
      <c r="X56" s="2">
        <v>1.0</v>
      </c>
      <c r="Y56" s="2">
        <v>70002.0</v>
      </c>
      <c r="Z56" s="2">
        <v>1.0</v>
      </c>
      <c r="AA56" s="2">
        <v>1.0</v>
      </c>
    </row>
    <row r="57">
      <c r="A57" s="2">
        <f t="shared" si="11"/>
        <v>237</v>
      </c>
      <c r="B57" s="2" t="s">
        <v>1136</v>
      </c>
      <c r="C57" s="2">
        <v>2.0</v>
      </c>
      <c r="D57" s="35" t="str">
        <f>"2-18"</f>
        <v>2-18</v>
      </c>
      <c r="E57" s="2">
        <f t="shared" si="13"/>
        <v>19</v>
      </c>
      <c r="F57" s="2"/>
      <c r="G57" s="2" t="s">
        <v>1246</v>
      </c>
      <c r="H57" s="53"/>
      <c r="I57" s="53">
        <f t="shared" si="12"/>
        <v>5845</v>
      </c>
      <c r="J57" s="91" t="s">
        <v>1242</v>
      </c>
      <c r="K57" s="91" t="s">
        <v>573</v>
      </c>
      <c r="L57" s="91">
        <v>9005.0</v>
      </c>
      <c r="M57" s="91" t="s">
        <v>1085</v>
      </c>
      <c r="N57" s="53" t="str">
        <f t="shared" si="7"/>
        <v/>
      </c>
      <c r="O57" s="91">
        <f t="shared" si="14"/>
        <v>0.9</v>
      </c>
      <c r="P57" s="91" t="s">
        <v>1148</v>
      </c>
      <c r="Q57" s="91" t="s">
        <v>640</v>
      </c>
      <c r="R57" s="91">
        <v>9007.0</v>
      </c>
      <c r="S57" s="91" t="s">
        <v>1085</v>
      </c>
      <c r="T57" s="53" t="str">
        <f t="shared" si="9"/>
        <v/>
      </c>
      <c r="U57" s="91">
        <f t="shared" si="10"/>
        <v>0.1</v>
      </c>
      <c r="V57" s="2">
        <v>70001.0</v>
      </c>
      <c r="W57" s="2">
        <v>1.0</v>
      </c>
      <c r="X57" s="2">
        <v>1.0</v>
      </c>
      <c r="Y57" s="2">
        <v>70002.0</v>
      </c>
      <c r="Z57" s="2">
        <v>1.0</v>
      </c>
      <c r="AA57" s="2">
        <v>1.0</v>
      </c>
    </row>
    <row r="58">
      <c r="A58" s="2">
        <f t="shared" si="11"/>
        <v>238</v>
      </c>
      <c r="B58" s="2" t="s">
        <v>1136</v>
      </c>
      <c r="C58" s="2">
        <v>2.0</v>
      </c>
      <c r="D58" s="35" t="str">
        <f>"2-19"</f>
        <v>2-19</v>
      </c>
      <c r="E58" s="2">
        <f t="shared" si="13"/>
        <v>20</v>
      </c>
      <c r="F58" s="2"/>
      <c r="G58" s="2" t="s">
        <v>1246</v>
      </c>
      <c r="H58" s="53"/>
      <c r="I58" s="53">
        <f t="shared" si="12"/>
        <v>5970</v>
      </c>
      <c r="J58" s="91" t="s">
        <v>1242</v>
      </c>
      <c r="K58" s="91" t="s">
        <v>573</v>
      </c>
      <c r="L58" s="91">
        <v>9005.0</v>
      </c>
      <c r="M58" s="91" t="s">
        <v>1063</v>
      </c>
      <c r="N58" s="53" t="str">
        <f t="shared" si="7"/>
        <v/>
      </c>
      <c r="O58" s="91">
        <f t="shared" si="14"/>
        <v>0.8</v>
      </c>
      <c r="P58" s="91" t="s">
        <v>1148</v>
      </c>
      <c r="Q58" s="91" t="s">
        <v>640</v>
      </c>
      <c r="R58" s="91">
        <v>9007.0</v>
      </c>
      <c r="S58" s="91" t="s">
        <v>1063</v>
      </c>
      <c r="T58" s="53" t="str">
        <f t="shared" si="9"/>
        <v/>
      </c>
      <c r="U58" s="91">
        <f t="shared" si="10"/>
        <v>0.6</v>
      </c>
      <c r="V58" s="2">
        <v>70001.0</v>
      </c>
      <c r="W58" s="2">
        <v>1.0</v>
      </c>
      <c r="X58" s="2">
        <v>1.0</v>
      </c>
      <c r="Y58" s="2">
        <v>70002.0</v>
      </c>
      <c r="Z58" s="2">
        <v>1.0</v>
      </c>
      <c r="AA58" s="2">
        <v>1.0</v>
      </c>
    </row>
    <row r="59">
      <c r="A59" s="119">
        <f t="shared" si="11"/>
        <v>239</v>
      </c>
      <c r="B59" s="119" t="s">
        <v>1136</v>
      </c>
      <c r="C59" s="119">
        <v>2.0</v>
      </c>
      <c r="D59" s="35" t="str">
        <f>"2-20"</f>
        <v>2-20</v>
      </c>
      <c r="E59" s="119">
        <f t="shared" si="13"/>
        <v>20</v>
      </c>
      <c r="F59" s="120"/>
      <c r="G59" s="120" t="s">
        <v>1305</v>
      </c>
      <c r="H59" s="121"/>
      <c r="I59" s="121">
        <f t="shared" si="12"/>
        <v>6095</v>
      </c>
      <c r="J59" s="91" t="s">
        <v>1242</v>
      </c>
      <c r="K59" s="122" t="s">
        <v>573</v>
      </c>
      <c r="L59" s="123">
        <v>9005.0</v>
      </c>
      <c r="M59" s="122" t="s">
        <v>1085</v>
      </c>
      <c r="N59" s="121" t="str">
        <f t="shared" si="7"/>
        <v/>
      </c>
      <c r="O59" s="122">
        <v>0.2</v>
      </c>
      <c r="P59" s="122" t="s">
        <v>1148</v>
      </c>
      <c r="Q59" s="122" t="s">
        <v>640</v>
      </c>
      <c r="R59" s="91">
        <v>9006.0</v>
      </c>
      <c r="S59" s="91" t="s">
        <v>1092</v>
      </c>
      <c r="T59" s="121" t="str">
        <f t="shared" si="9"/>
        <v/>
      </c>
      <c r="U59" s="91">
        <f t="shared" si="10"/>
        <v>0.5</v>
      </c>
      <c r="V59" s="119">
        <v>70001.0</v>
      </c>
      <c r="W59" s="119">
        <v>1.0</v>
      </c>
      <c r="X59" s="119">
        <v>1.0</v>
      </c>
      <c r="Y59" s="119">
        <v>70002.0</v>
      </c>
      <c r="Z59" s="119">
        <v>1.0</v>
      </c>
      <c r="AA59" s="119">
        <v>1.0</v>
      </c>
      <c r="AB59" s="124"/>
      <c r="AC59" s="124"/>
      <c r="AD59" s="124"/>
      <c r="AE59" s="124"/>
      <c r="AF59" s="124"/>
      <c r="AG59" s="124"/>
      <c r="AH59" s="124"/>
      <c r="AI59" s="124"/>
      <c r="AJ59" s="124"/>
    </row>
    <row r="60">
      <c r="A60" s="2">
        <f t="shared" si="11"/>
        <v>240</v>
      </c>
      <c r="B60" s="2" t="s">
        <v>1136</v>
      </c>
      <c r="C60" s="2">
        <v>3.0</v>
      </c>
      <c r="D60" s="35" t="str">
        <f>"3-1"</f>
        <v>3-1</v>
      </c>
      <c r="E60" s="2">
        <f t="shared" si="13"/>
        <v>21</v>
      </c>
      <c r="F60" s="2"/>
      <c r="G60" s="2" t="s">
        <v>1311</v>
      </c>
      <c r="H60" s="53"/>
      <c r="I60" s="53">
        <f t="shared" si="12"/>
        <v>6220</v>
      </c>
      <c r="J60" s="91" t="s">
        <v>1242</v>
      </c>
      <c r="K60" s="91" t="s">
        <v>573</v>
      </c>
      <c r="L60" s="100">
        <v>9009.0</v>
      </c>
      <c r="M60" s="91" t="s">
        <v>1079</v>
      </c>
      <c r="N60" s="53" t="str">
        <f t="shared" si="7"/>
        <v/>
      </c>
      <c r="O60" s="91">
        <f t="shared" ref="O60:O79" si="15">ROUND(RAND(),1)</f>
        <v>0.4</v>
      </c>
      <c r="P60" s="91" t="s">
        <v>1148</v>
      </c>
      <c r="Q60" s="91" t="s">
        <v>640</v>
      </c>
      <c r="R60" s="91">
        <v>9011.0</v>
      </c>
      <c r="S60" s="91" t="s">
        <v>1097</v>
      </c>
      <c r="T60" s="53" t="str">
        <f t="shared" si="9"/>
        <v/>
      </c>
      <c r="U60" s="91">
        <f t="shared" si="10"/>
        <v>0.8</v>
      </c>
      <c r="V60" s="2">
        <v>70001.0</v>
      </c>
      <c r="W60" s="2">
        <v>1.0</v>
      </c>
      <c r="X60" s="2">
        <v>1.0</v>
      </c>
      <c r="Y60" s="2">
        <v>70002.0</v>
      </c>
      <c r="Z60" s="2">
        <v>1.0</v>
      </c>
      <c r="AA60" s="2">
        <v>1.0</v>
      </c>
    </row>
    <row r="61">
      <c r="A61" s="2">
        <f t="shared" si="11"/>
        <v>241</v>
      </c>
      <c r="B61" s="2" t="s">
        <v>1136</v>
      </c>
      <c r="C61" s="2">
        <v>3.0</v>
      </c>
      <c r="D61" s="35" t="str">
        <f>"3-2"</f>
        <v>3-2</v>
      </c>
      <c r="E61" s="2">
        <f t="shared" si="13"/>
        <v>21</v>
      </c>
      <c r="F61" s="2"/>
      <c r="G61" s="2" t="s">
        <v>1316</v>
      </c>
      <c r="H61" s="53"/>
      <c r="I61" s="53">
        <f t="shared" si="12"/>
        <v>6345</v>
      </c>
      <c r="J61" s="91" t="s">
        <v>1242</v>
      </c>
      <c r="K61" s="91" t="s">
        <v>573</v>
      </c>
      <c r="L61" s="100">
        <v>9009.0</v>
      </c>
      <c r="M61" s="91" t="s">
        <v>1085</v>
      </c>
      <c r="N61" s="53" t="str">
        <f t="shared" si="7"/>
        <v/>
      </c>
      <c r="O61" s="91">
        <f t="shared" si="15"/>
        <v>0.1</v>
      </c>
      <c r="P61" s="91" t="s">
        <v>1148</v>
      </c>
      <c r="Q61" s="91" t="s">
        <v>640</v>
      </c>
      <c r="R61" s="91">
        <v>9011.0</v>
      </c>
      <c r="S61" s="53" t="str">
        <f>"3,7,9"</f>
        <v>3,7,9</v>
      </c>
      <c r="T61" s="53" t="str">
        <f t="shared" si="9"/>
        <v/>
      </c>
      <c r="U61" s="91">
        <f t="shared" si="10"/>
        <v>0.8</v>
      </c>
      <c r="V61" s="2">
        <v>70001.0</v>
      </c>
      <c r="W61" s="2">
        <v>1.0</v>
      </c>
      <c r="X61" s="2">
        <v>1.0</v>
      </c>
      <c r="Y61" s="2">
        <v>70002.0</v>
      </c>
      <c r="Z61" s="2">
        <v>1.0</v>
      </c>
      <c r="AA61" s="2">
        <v>1.0</v>
      </c>
    </row>
    <row r="62">
      <c r="A62" s="2">
        <f t="shared" si="11"/>
        <v>242</v>
      </c>
      <c r="B62" s="2" t="s">
        <v>1136</v>
      </c>
      <c r="C62" s="2">
        <v>3.0</v>
      </c>
      <c r="D62" s="35" t="str">
        <f>"3-3"</f>
        <v>3-3</v>
      </c>
      <c r="E62" s="2">
        <f t="shared" si="13"/>
        <v>22</v>
      </c>
      <c r="F62" s="2"/>
      <c r="G62" s="2" t="s">
        <v>1311</v>
      </c>
      <c r="H62" s="53"/>
      <c r="I62" s="53">
        <f t="shared" si="12"/>
        <v>6470</v>
      </c>
      <c r="J62" s="91" t="s">
        <v>1242</v>
      </c>
      <c r="K62" s="91" t="s">
        <v>573</v>
      </c>
      <c r="L62" s="100">
        <v>9009.0</v>
      </c>
      <c r="M62" s="91" t="s">
        <v>1063</v>
      </c>
      <c r="N62" s="53" t="str">
        <f t="shared" si="7"/>
        <v/>
      </c>
      <c r="O62" s="91">
        <f t="shared" si="15"/>
        <v>0.1</v>
      </c>
      <c r="P62" s="91" t="s">
        <v>1148</v>
      </c>
      <c r="Q62" s="91" t="s">
        <v>640</v>
      </c>
      <c r="R62" s="91">
        <v>9012.0</v>
      </c>
      <c r="S62" s="53" t="str">
        <f>"5,7,11"</f>
        <v>5,7,11</v>
      </c>
      <c r="T62" s="53" t="str">
        <f t="shared" si="9"/>
        <v/>
      </c>
      <c r="U62" s="91">
        <f t="shared" si="10"/>
        <v>0.2</v>
      </c>
      <c r="V62" s="2">
        <v>70001.0</v>
      </c>
      <c r="W62" s="2">
        <v>1.0</v>
      </c>
      <c r="X62" s="2">
        <v>1.0</v>
      </c>
      <c r="Y62" s="2">
        <v>70002.0</v>
      </c>
      <c r="Z62" s="2">
        <v>1.0</v>
      </c>
      <c r="AA62" s="2">
        <v>1.0</v>
      </c>
    </row>
    <row r="63">
      <c r="A63" s="2">
        <f t="shared" si="11"/>
        <v>243</v>
      </c>
      <c r="B63" s="2" t="s">
        <v>1136</v>
      </c>
      <c r="C63" s="2">
        <v>3.0</v>
      </c>
      <c r="D63" s="35" t="str">
        <f>"3-4"</f>
        <v>3-4</v>
      </c>
      <c r="E63" s="2">
        <f t="shared" si="13"/>
        <v>22</v>
      </c>
      <c r="F63" s="2"/>
      <c r="G63" s="2" t="s">
        <v>1311</v>
      </c>
      <c r="H63" s="53"/>
      <c r="I63" s="53">
        <f t="shared" si="12"/>
        <v>6595</v>
      </c>
      <c r="J63" s="91" t="s">
        <v>1242</v>
      </c>
      <c r="K63" s="91" t="s">
        <v>573</v>
      </c>
      <c r="L63" s="100">
        <v>9009.0</v>
      </c>
      <c r="M63" s="91" t="s">
        <v>1092</v>
      </c>
      <c r="N63" s="53" t="str">
        <f t="shared" si="7"/>
        <v/>
      </c>
      <c r="O63" s="91">
        <f t="shared" si="15"/>
        <v>0.3</v>
      </c>
      <c r="P63" s="91" t="s">
        <v>1148</v>
      </c>
      <c r="Q63" s="91" t="s">
        <v>640</v>
      </c>
      <c r="R63" s="91">
        <v>9010.0</v>
      </c>
      <c r="S63" s="91" t="s">
        <v>1050</v>
      </c>
      <c r="T63" s="53" t="str">
        <f t="shared" si="9"/>
        <v/>
      </c>
      <c r="U63" s="91">
        <f t="shared" si="10"/>
        <v>0.2</v>
      </c>
      <c r="V63" s="2">
        <v>70001.0</v>
      </c>
      <c r="W63" s="2">
        <v>1.0</v>
      </c>
      <c r="X63" s="2">
        <v>1.0</v>
      </c>
      <c r="Y63" s="2">
        <v>70002.0</v>
      </c>
      <c r="Z63" s="2">
        <v>1.0</v>
      </c>
      <c r="AA63" s="2">
        <v>1.0</v>
      </c>
    </row>
    <row r="64">
      <c r="A64" s="2">
        <f t="shared" si="11"/>
        <v>244</v>
      </c>
      <c r="B64" s="2" t="s">
        <v>1136</v>
      </c>
      <c r="C64" s="2">
        <v>3.0</v>
      </c>
      <c r="D64" s="35" t="str">
        <f>"3-5"</f>
        <v>3-5</v>
      </c>
      <c r="E64" s="2">
        <f t="shared" si="13"/>
        <v>23</v>
      </c>
      <c r="F64" s="2"/>
      <c r="G64" s="2" t="s">
        <v>1316</v>
      </c>
      <c r="H64" s="53"/>
      <c r="I64" s="53">
        <f t="shared" si="12"/>
        <v>6720</v>
      </c>
      <c r="J64" s="91" t="s">
        <v>1242</v>
      </c>
      <c r="K64" s="91" t="s">
        <v>573</v>
      </c>
      <c r="L64" s="100">
        <v>9009.0</v>
      </c>
      <c r="M64" s="91" t="s">
        <v>1097</v>
      </c>
      <c r="N64" s="53" t="str">
        <f t="shared" si="7"/>
        <v/>
      </c>
      <c r="O64" s="91">
        <f t="shared" si="15"/>
        <v>0.8</v>
      </c>
      <c r="P64" s="91" t="s">
        <v>1148</v>
      </c>
      <c r="Q64" s="91" t="s">
        <v>640</v>
      </c>
      <c r="R64" s="91">
        <v>9011.0</v>
      </c>
      <c r="S64" s="91" t="s">
        <v>1063</v>
      </c>
      <c r="T64" s="53" t="str">
        <f t="shared" si="9"/>
        <v/>
      </c>
      <c r="U64" s="91">
        <f t="shared" si="10"/>
        <v>0.5</v>
      </c>
      <c r="V64" s="2">
        <v>70001.0</v>
      </c>
      <c r="W64" s="2">
        <v>1.0</v>
      </c>
      <c r="X64" s="2">
        <v>1.0</v>
      </c>
      <c r="Y64" s="2">
        <v>70002.0</v>
      </c>
      <c r="Z64" s="2">
        <v>1.0</v>
      </c>
      <c r="AA64" s="2">
        <v>1.0</v>
      </c>
    </row>
    <row r="65">
      <c r="A65" s="2">
        <f t="shared" si="11"/>
        <v>245</v>
      </c>
      <c r="B65" s="2" t="s">
        <v>1136</v>
      </c>
      <c r="C65" s="2">
        <v>3.0</v>
      </c>
      <c r="D65" s="35" t="str">
        <f>"3-6"</f>
        <v>3-6</v>
      </c>
      <c r="E65" s="2">
        <f t="shared" si="13"/>
        <v>23</v>
      </c>
      <c r="F65" s="2"/>
      <c r="G65" s="2" t="s">
        <v>1311</v>
      </c>
      <c r="H65" s="53"/>
      <c r="I65" s="53">
        <f t="shared" si="12"/>
        <v>6845</v>
      </c>
      <c r="J65" s="91" t="s">
        <v>1242</v>
      </c>
      <c r="K65" s="91" t="s">
        <v>573</v>
      </c>
      <c r="L65" s="100">
        <v>9009.0</v>
      </c>
      <c r="M65" s="53" t="str">
        <f>"3,7,9"</f>
        <v>3,7,9</v>
      </c>
      <c r="N65" s="53" t="str">
        <f t="shared" si="7"/>
        <v/>
      </c>
      <c r="O65" s="91">
        <f t="shared" si="15"/>
        <v>0.2</v>
      </c>
      <c r="P65" s="91" t="s">
        <v>1148</v>
      </c>
      <c r="Q65" s="91" t="s">
        <v>640</v>
      </c>
      <c r="R65" s="91">
        <v>9010.0</v>
      </c>
      <c r="S65" s="91" t="s">
        <v>1073</v>
      </c>
      <c r="T65" s="53" t="str">
        <f t="shared" si="9"/>
        <v/>
      </c>
      <c r="U65" s="91">
        <f t="shared" si="10"/>
        <v>0.4</v>
      </c>
      <c r="V65" s="2">
        <v>70001.0</v>
      </c>
      <c r="W65" s="2">
        <v>1.0</v>
      </c>
      <c r="X65" s="2">
        <v>1.0</v>
      </c>
      <c r="Y65" s="2">
        <v>70002.0</v>
      </c>
      <c r="Z65" s="2">
        <v>1.0</v>
      </c>
      <c r="AA65" s="2">
        <v>1.0</v>
      </c>
    </row>
    <row r="66">
      <c r="A66" s="2">
        <f t="shared" si="11"/>
        <v>246</v>
      </c>
      <c r="B66" s="2" t="s">
        <v>1136</v>
      </c>
      <c r="C66" s="2">
        <v>3.0</v>
      </c>
      <c r="D66" s="35" t="str">
        <f>"3-7"</f>
        <v>3-7</v>
      </c>
      <c r="E66" s="2">
        <f t="shared" si="13"/>
        <v>24</v>
      </c>
      <c r="F66" s="2"/>
      <c r="G66" s="2" t="s">
        <v>1311</v>
      </c>
      <c r="H66" s="53"/>
      <c r="I66" s="53">
        <f t="shared" si="12"/>
        <v>6970</v>
      </c>
      <c r="J66" s="91" t="s">
        <v>1242</v>
      </c>
      <c r="K66" s="91" t="s">
        <v>573</v>
      </c>
      <c r="L66" s="100">
        <v>9009.0</v>
      </c>
      <c r="M66" s="53" t="str">
        <f>"5,7,11"</f>
        <v>5,7,11</v>
      </c>
      <c r="N66" s="53" t="str">
        <f t="shared" si="7"/>
        <v/>
      </c>
      <c r="O66" s="91">
        <f t="shared" si="15"/>
        <v>0.1</v>
      </c>
      <c r="P66" s="91" t="s">
        <v>1148</v>
      </c>
      <c r="Q66" s="91" t="s">
        <v>640</v>
      </c>
      <c r="R66" s="91">
        <v>9010.0</v>
      </c>
      <c r="S66" s="91" t="s">
        <v>1073</v>
      </c>
      <c r="T66" s="53" t="str">
        <f t="shared" si="9"/>
        <v/>
      </c>
      <c r="U66" s="91">
        <f t="shared" si="10"/>
        <v>0.7</v>
      </c>
      <c r="V66" s="2">
        <v>70001.0</v>
      </c>
      <c r="W66" s="2">
        <v>1.0</v>
      </c>
      <c r="X66" s="2">
        <v>1.0</v>
      </c>
      <c r="Y66" s="2">
        <v>70002.0</v>
      </c>
      <c r="Z66" s="2">
        <v>1.0</v>
      </c>
      <c r="AA66" s="2">
        <v>1.0</v>
      </c>
    </row>
    <row r="67">
      <c r="A67" s="2">
        <f t="shared" si="11"/>
        <v>247</v>
      </c>
      <c r="B67" s="2" t="s">
        <v>1136</v>
      </c>
      <c r="C67" s="2">
        <v>3.0</v>
      </c>
      <c r="D67" s="35" t="str">
        <f>"3-8"</f>
        <v>3-8</v>
      </c>
      <c r="E67" s="2">
        <f t="shared" si="13"/>
        <v>24</v>
      </c>
      <c r="F67" s="2"/>
      <c r="G67" s="2" t="s">
        <v>1316</v>
      </c>
      <c r="H67" s="53"/>
      <c r="I67" s="53">
        <f t="shared" si="12"/>
        <v>7095</v>
      </c>
      <c r="J67" s="91" t="s">
        <v>1242</v>
      </c>
      <c r="K67" s="91" t="s">
        <v>573</v>
      </c>
      <c r="L67" s="100">
        <v>9009.0</v>
      </c>
      <c r="M67" s="91" t="s">
        <v>1050</v>
      </c>
      <c r="N67" s="53" t="str">
        <f t="shared" si="7"/>
        <v/>
      </c>
      <c r="O67" s="91">
        <f t="shared" si="15"/>
        <v>0.9</v>
      </c>
      <c r="P67" s="91" t="s">
        <v>1148</v>
      </c>
      <c r="Q67" s="91" t="s">
        <v>640</v>
      </c>
      <c r="R67" s="91">
        <v>9011.0</v>
      </c>
      <c r="S67" s="91" t="s">
        <v>1079</v>
      </c>
      <c r="T67" s="53" t="str">
        <f t="shared" si="9"/>
        <v/>
      </c>
      <c r="U67" s="91">
        <f t="shared" si="10"/>
        <v>0.1</v>
      </c>
      <c r="V67" s="2">
        <v>70001.0</v>
      </c>
      <c r="W67" s="2">
        <v>1.0</v>
      </c>
      <c r="X67" s="2">
        <v>1.0</v>
      </c>
      <c r="Y67" s="2">
        <v>70002.0</v>
      </c>
      <c r="Z67" s="2">
        <v>1.0</v>
      </c>
      <c r="AA67" s="2">
        <v>1.0</v>
      </c>
    </row>
    <row r="68">
      <c r="A68" s="2">
        <f t="shared" si="11"/>
        <v>248</v>
      </c>
      <c r="B68" s="2" t="s">
        <v>1136</v>
      </c>
      <c r="C68" s="2">
        <v>3.0</v>
      </c>
      <c r="D68" s="35" t="str">
        <f>"3-9"</f>
        <v>3-9</v>
      </c>
      <c r="E68" s="2">
        <f t="shared" si="13"/>
        <v>25</v>
      </c>
      <c r="F68" s="2"/>
      <c r="G68" s="2" t="s">
        <v>1311</v>
      </c>
      <c r="H68" s="53"/>
      <c r="I68" s="53">
        <f t="shared" si="12"/>
        <v>7220</v>
      </c>
      <c r="J68" s="91" t="s">
        <v>1242</v>
      </c>
      <c r="K68" s="91" t="s">
        <v>573</v>
      </c>
      <c r="L68" s="100">
        <v>9009.0</v>
      </c>
      <c r="M68" s="91" t="s">
        <v>1267</v>
      </c>
      <c r="N68" s="53" t="str">
        <f t="shared" si="7"/>
        <v/>
      </c>
      <c r="O68" s="91">
        <f t="shared" si="15"/>
        <v>0.7</v>
      </c>
      <c r="P68" s="91" t="s">
        <v>1148</v>
      </c>
      <c r="Q68" s="91" t="s">
        <v>640</v>
      </c>
      <c r="R68" s="91">
        <v>9012.0</v>
      </c>
      <c r="S68" s="91" t="s">
        <v>1085</v>
      </c>
      <c r="T68" s="53" t="str">
        <f t="shared" si="9"/>
        <v/>
      </c>
      <c r="U68" s="91">
        <f t="shared" si="10"/>
        <v>0.9</v>
      </c>
      <c r="V68" s="2">
        <v>70001.0</v>
      </c>
      <c r="W68" s="2">
        <v>1.0</v>
      </c>
      <c r="X68" s="2">
        <v>1.0</v>
      </c>
      <c r="Y68" s="2">
        <v>70002.0</v>
      </c>
      <c r="Z68" s="2">
        <v>1.0</v>
      </c>
      <c r="AA68" s="2">
        <v>1.0</v>
      </c>
    </row>
    <row r="69">
      <c r="A69" s="2">
        <f t="shared" si="11"/>
        <v>249</v>
      </c>
      <c r="B69" s="2" t="s">
        <v>1136</v>
      </c>
      <c r="C69" s="2">
        <v>3.0</v>
      </c>
      <c r="D69" s="35" t="str">
        <f>"3-10"</f>
        <v>3-10</v>
      </c>
      <c r="E69" s="2">
        <f t="shared" si="13"/>
        <v>25</v>
      </c>
      <c r="F69" s="2"/>
      <c r="G69" s="2" t="s">
        <v>1311</v>
      </c>
      <c r="H69" s="53"/>
      <c r="I69" s="53">
        <f t="shared" si="12"/>
        <v>7345</v>
      </c>
      <c r="J69" s="91" t="s">
        <v>1242</v>
      </c>
      <c r="K69" s="91" t="s">
        <v>573</v>
      </c>
      <c r="L69" s="100">
        <v>9009.0</v>
      </c>
      <c r="M69" s="91" t="s">
        <v>1079</v>
      </c>
      <c r="N69" s="53" t="str">
        <f t="shared" si="7"/>
        <v/>
      </c>
      <c r="O69" s="91">
        <f t="shared" si="15"/>
        <v>0.1</v>
      </c>
      <c r="P69" s="91" t="s">
        <v>1148</v>
      </c>
      <c r="Q69" s="91" t="s">
        <v>640</v>
      </c>
      <c r="R69" s="91">
        <v>9010.0</v>
      </c>
      <c r="S69" s="91" t="s">
        <v>1063</v>
      </c>
      <c r="T69" s="53" t="str">
        <f t="shared" si="9"/>
        <v/>
      </c>
      <c r="U69" s="91">
        <f t="shared" si="10"/>
        <v>0.6</v>
      </c>
      <c r="V69" s="2">
        <v>70001.0</v>
      </c>
      <c r="W69" s="2">
        <v>1.0</v>
      </c>
      <c r="X69" s="2">
        <v>1.0</v>
      </c>
      <c r="Y69" s="2">
        <v>70002.0</v>
      </c>
      <c r="Z69" s="2">
        <v>1.0</v>
      </c>
      <c r="AA69" s="2">
        <v>1.0</v>
      </c>
    </row>
    <row r="70">
      <c r="A70" s="2">
        <f t="shared" si="11"/>
        <v>250</v>
      </c>
      <c r="B70" s="2" t="s">
        <v>1136</v>
      </c>
      <c r="C70" s="2">
        <v>3.0</v>
      </c>
      <c r="D70" s="35" t="str">
        <f>"3-11"</f>
        <v>3-11</v>
      </c>
      <c r="E70" s="2">
        <f t="shared" si="13"/>
        <v>26</v>
      </c>
      <c r="F70" s="2"/>
      <c r="G70" s="2" t="s">
        <v>1316</v>
      </c>
      <c r="H70" s="53"/>
      <c r="I70" s="53">
        <f t="shared" si="12"/>
        <v>7470</v>
      </c>
      <c r="J70" s="91" t="s">
        <v>1242</v>
      </c>
      <c r="K70" s="91" t="s">
        <v>573</v>
      </c>
      <c r="L70" s="100">
        <v>9009.0</v>
      </c>
      <c r="M70" s="91" t="s">
        <v>1085</v>
      </c>
      <c r="N70" s="53" t="str">
        <f t="shared" si="7"/>
        <v/>
      </c>
      <c r="O70" s="91">
        <f t="shared" si="15"/>
        <v>0.4</v>
      </c>
      <c r="P70" s="91" t="s">
        <v>1148</v>
      </c>
      <c r="Q70" s="91" t="s">
        <v>640</v>
      </c>
      <c r="R70" s="91">
        <v>9011.0</v>
      </c>
      <c r="S70" s="91" t="s">
        <v>1092</v>
      </c>
      <c r="T70" s="53" t="str">
        <f t="shared" si="9"/>
        <v/>
      </c>
      <c r="U70" s="91">
        <f t="shared" si="10"/>
        <v>0.9</v>
      </c>
      <c r="V70" s="2">
        <v>70001.0</v>
      </c>
      <c r="W70" s="2">
        <v>1.0</v>
      </c>
      <c r="X70" s="2">
        <v>1.0</v>
      </c>
      <c r="Y70" s="2">
        <v>70002.0</v>
      </c>
      <c r="Z70" s="2">
        <v>1.0</v>
      </c>
      <c r="AA70" s="2">
        <v>1.0</v>
      </c>
    </row>
    <row r="71">
      <c r="A71" s="2">
        <f t="shared" si="11"/>
        <v>251</v>
      </c>
      <c r="B71" s="2" t="s">
        <v>1136</v>
      </c>
      <c r="C71" s="2">
        <v>3.0</v>
      </c>
      <c r="D71" s="35" t="str">
        <f>"3-12"</f>
        <v>3-12</v>
      </c>
      <c r="E71" s="2">
        <f t="shared" si="13"/>
        <v>26</v>
      </c>
      <c r="F71" s="2"/>
      <c r="G71" s="2" t="s">
        <v>1311</v>
      </c>
      <c r="H71" s="53"/>
      <c r="I71" s="53">
        <f t="shared" si="12"/>
        <v>7595</v>
      </c>
      <c r="J71" s="91" t="s">
        <v>1242</v>
      </c>
      <c r="K71" s="91" t="s">
        <v>573</v>
      </c>
      <c r="L71" s="100">
        <v>9009.0</v>
      </c>
      <c r="M71" s="91" t="s">
        <v>1063</v>
      </c>
      <c r="N71" s="53" t="str">
        <f t="shared" si="7"/>
        <v/>
      </c>
      <c r="O71" s="91">
        <f t="shared" si="15"/>
        <v>0</v>
      </c>
      <c r="P71" s="91" t="s">
        <v>1148</v>
      </c>
      <c r="Q71" s="91" t="s">
        <v>640</v>
      </c>
      <c r="R71" s="91">
        <v>9012.0</v>
      </c>
      <c r="S71" s="91" t="s">
        <v>1097</v>
      </c>
      <c r="T71" s="53" t="str">
        <f t="shared" si="9"/>
        <v/>
      </c>
      <c r="U71" s="91">
        <f t="shared" si="10"/>
        <v>0.8</v>
      </c>
      <c r="V71" s="2">
        <v>70001.0</v>
      </c>
      <c r="W71" s="2">
        <v>1.0</v>
      </c>
      <c r="X71" s="2">
        <v>1.0</v>
      </c>
      <c r="Y71" s="2">
        <v>70002.0</v>
      </c>
      <c r="Z71" s="2">
        <v>1.0</v>
      </c>
      <c r="AA71" s="2">
        <v>1.0</v>
      </c>
    </row>
    <row r="72">
      <c r="A72" s="2">
        <f t="shared" si="11"/>
        <v>252</v>
      </c>
      <c r="B72" s="2" t="s">
        <v>1136</v>
      </c>
      <c r="C72" s="2">
        <v>3.0</v>
      </c>
      <c r="D72" s="35" t="str">
        <f>"3-13"</f>
        <v>3-13</v>
      </c>
      <c r="E72" s="2">
        <f t="shared" si="13"/>
        <v>27</v>
      </c>
      <c r="F72" s="2"/>
      <c r="G72" s="2" t="s">
        <v>1311</v>
      </c>
      <c r="H72" s="53"/>
      <c r="I72" s="53">
        <f t="shared" si="12"/>
        <v>7720</v>
      </c>
      <c r="J72" s="91" t="s">
        <v>1242</v>
      </c>
      <c r="K72" s="91" t="s">
        <v>573</v>
      </c>
      <c r="L72" s="100">
        <v>9009.0</v>
      </c>
      <c r="M72" s="91" t="s">
        <v>1092</v>
      </c>
      <c r="N72" s="53" t="str">
        <f t="shared" si="7"/>
        <v/>
      </c>
      <c r="O72" s="91">
        <f t="shared" si="15"/>
        <v>0.9</v>
      </c>
      <c r="P72" s="91" t="s">
        <v>1148</v>
      </c>
      <c r="Q72" s="91" t="s">
        <v>640</v>
      </c>
      <c r="R72" s="91">
        <v>9010.0</v>
      </c>
      <c r="S72" s="53" t="str">
        <f>"3,7,9"</f>
        <v>3,7,9</v>
      </c>
      <c r="T72" s="53" t="str">
        <f t="shared" si="9"/>
        <v/>
      </c>
      <c r="U72" s="91">
        <f t="shared" si="10"/>
        <v>1</v>
      </c>
      <c r="V72" s="2">
        <v>70001.0</v>
      </c>
      <c r="W72" s="2">
        <v>1.0</v>
      </c>
      <c r="X72" s="2">
        <v>1.0</v>
      </c>
      <c r="Y72" s="2">
        <v>70002.0</v>
      </c>
      <c r="Z72" s="2">
        <v>1.0</v>
      </c>
      <c r="AA72" s="2">
        <v>1.0</v>
      </c>
    </row>
    <row r="73">
      <c r="A73" s="2">
        <f t="shared" si="11"/>
        <v>253</v>
      </c>
      <c r="B73" s="2" t="s">
        <v>1136</v>
      </c>
      <c r="C73" s="2">
        <v>3.0</v>
      </c>
      <c r="D73" s="35" t="str">
        <f>"3-14"</f>
        <v>3-14</v>
      </c>
      <c r="E73" s="2">
        <f t="shared" si="13"/>
        <v>27</v>
      </c>
      <c r="F73" s="2"/>
      <c r="G73" s="2" t="s">
        <v>1316</v>
      </c>
      <c r="H73" s="53"/>
      <c r="I73" s="53">
        <f t="shared" si="12"/>
        <v>7845</v>
      </c>
      <c r="J73" s="91" t="s">
        <v>1242</v>
      </c>
      <c r="K73" s="91" t="s">
        <v>573</v>
      </c>
      <c r="L73" s="100">
        <v>9009.0</v>
      </c>
      <c r="M73" s="91" t="s">
        <v>1063</v>
      </c>
      <c r="N73" s="53" t="str">
        <f t="shared" si="7"/>
        <v/>
      </c>
      <c r="O73" s="91">
        <f t="shared" si="15"/>
        <v>0.8</v>
      </c>
      <c r="P73" s="91" t="s">
        <v>1148</v>
      </c>
      <c r="Q73" s="91" t="s">
        <v>640</v>
      </c>
      <c r="R73" s="91">
        <v>9010.0</v>
      </c>
      <c r="S73" s="53" t="str">
        <f>"5,7,11"</f>
        <v>5,7,11</v>
      </c>
      <c r="T73" s="53" t="str">
        <f t="shared" si="9"/>
        <v/>
      </c>
      <c r="U73" s="91">
        <f t="shared" si="10"/>
        <v>0.3</v>
      </c>
      <c r="V73" s="2">
        <v>70001.0</v>
      </c>
      <c r="W73" s="2">
        <v>1.0</v>
      </c>
      <c r="X73" s="2">
        <v>1.0</v>
      </c>
      <c r="Y73" s="2">
        <v>70002.0</v>
      </c>
      <c r="Z73" s="2">
        <v>1.0</v>
      </c>
      <c r="AA73" s="2">
        <v>1.0</v>
      </c>
    </row>
    <row r="74">
      <c r="A74" s="2">
        <f t="shared" si="11"/>
        <v>254</v>
      </c>
      <c r="B74" s="2" t="s">
        <v>1136</v>
      </c>
      <c r="C74" s="2">
        <v>3.0</v>
      </c>
      <c r="D74" s="35" t="str">
        <f>"3-15"</f>
        <v>3-15</v>
      </c>
      <c r="E74" s="2">
        <f t="shared" si="13"/>
        <v>28</v>
      </c>
      <c r="F74" s="2"/>
      <c r="G74" s="2" t="s">
        <v>1311</v>
      </c>
      <c r="H74" s="53"/>
      <c r="I74" s="53">
        <f t="shared" si="12"/>
        <v>7970</v>
      </c>
      <c r="J74" s="91" t="s">
        <v>1242</v>
      </c>
      <c r="K74" s="91" t="s">
        <v>573</v>
      </c>
      <c r="L74" s="100">
        <v>9009.0</v>
      </c>
      <c r="M74" s="91" t="s">
        <v>1092</v>
      </c>
      <c r="N74" s="53" t="str">
        <f t="shared" si="7"/>
        <v/>
      </c>
      <c r="O74" s="91">
        <f t="shared" si="15"/>
        <v>0.4</v>
      </c>
      <c r="P74" s="91" t="s">
        <v>1148</v>
      </c>
      <c r="Q74" s="91" t="s">
        <v>640</v>
      </c>
      <c r="R74" s="91">
        <v>9011.0</v>
      </c>
      <c r="S74" s="91" t="s">
        <v>1050</v>
      </c>
      <c r="T74" s="53" t="str">
        <f t="shared" si="9"/>
        <v/>
      </c>
      <c r="U74" s="91">
        <f t="shared" si="10"/>
        <v>0.2</v>
      </c>
      <c r="V74" s="2">
        <v>70001.0</v>
      </c>
      <c r="W74" s="2">
        <v>1.0</v>
      </c>
      <c r="X74" s="2">
        <v>1.0</v>
      </c>
      <c r="Y74" s="2">
        <v>70002.0</v>
      </c>
      <c r="Z74" s="2">
        <v>1.0</v>
      </c>
      <c r="AA74" s="2">
        <v>1.0</v>
      </c>
    </row>
    <row r="75">
      <c r="A75" s="2">
        <f t="shared" si="11"/>
        <v>255</v>
      </c>
      <c r="B75" s="2" t="s">
        <v>1136</v>
      </c>
      <c r="C75" s="2">
        <v>3.0</v>
      </c>
      <c r="D75" s="35" t="str">
        <f>"3-16"</f>
        <v>3-16</v>
      </c>
      <c r="E75" s="2">
        <f t="shared" si="13"/>
        <v>28</v>
      </c>
      <c r="F75" s="2"/>
      <c r="G75" s="2" t="s">
        <v>1360</v>
      </c>
      <c r="H75" s="53"/>
      <c r="I75" s="53">
        <f t="shared" si="12"/>
        <v>8095</v>
      </c>
      <c r="J75" s="91" t="s">
        <v>1242</v>
      </c>
      <c r="K75" s="91" t="s">
        <v>573</v>
      </c>
      <c r="L75" s="100">
        <v>9009.0</v>
      </c>
      <c r="M75" s="91" t="s">
        <v>1097</v>
      </c>
      <c r="N75" s="53" t="str">
        <f t="shared" si="7"/>
        <v/>
      </c>
      <c r="O75" s="91">
        <f t="shared" si="15"/>
        <v>1</v>
      </c>
      <c r="P75" s="91" t="s">
        <v>1148</v>
      </c>
      <c r="Q75" s="91" t="s">
        <v>640</v>
      </c>
      <c r="R75" s="91">
        <v>9012.0</v>
      </c>
      <c r="S75" s="91" t="s">
        <v>1063</v>
      </c>
      <c r="T75" s="53" t="str">
        <f t="shared" si="9"/>
        <v/>
      </c>
      <c r="U75" s="91">
        <f t="shared" si="10"/>
        <v>0.7</v>
      </c>
      <c r="V75" s="2">
        <v>70001.0</v>
      </c>
      <c r="W75" s="2">
        <v>1.0</v>
      </c>
      <c r="X75" s="2">
        <v>1.0</v>
      </c>
      <c r="Y75" s="2">
        <v>70002.0</v>
      </c>
      <c r="Z75" s="2">
        <v>1.0</v>
      </c>
      <c r="AA75" s="2">
        <v>1.0</v>
      </c>
    </row>
    <row r="76">
      <c r="A76" s="2">
        <f t="shared" si="11"/>
        <v>256</v>
      </c>
      <c r="B76" s="2" t="s">
        <v>1136</v>
      </c>
      <c r="C76" s="2">
        <v>3.0</v>
      </c>
      <c r="D76" s="35" t="str">
        <f>"3-17"</f>
        <v>3-17</v>
      </c>
      <c r="E76" s="2">
        <f t="shared" si="13"/>
        <v>29</v>
      </c>
      <c r="F76" s="2"/>
      <c r="G76" s="2" t="s">
        <v>1311</v>
      </c>
      <c r="H76" s="53"/>
      <c r="I76" s="53">
        <f t="shared" si="12"/>
        <v>8220</v>
      </c>
      <c r="J76" s="91" t="s">
        <v>1242</v>
      </c>
      <c r="K76" s="91" t="s">
        <v>573</v>
      </c>
      <c r="L76" s="100">
        <v>9009.0</v>
      </c>
      <c r="M76" s="53" t="str">
        <f>"3,7,9"</f>
        <v>3,7,9</v>
      </c>
      <c r="N76" s="53" t="str">
        <f t="shared" si="7"/>
        <v/>
      </c>
      <c r="O76" s="91">
        <f t="shared" si="15"/>
        <v>0.8</v>
      </c>
      <c r="P76" s="91" t="s">
        <v>1148</v>
      </c>
      <c r="Q76" s="91" t="s">
        <v>640</v>
      </c>
      <c r="R76" s="91">
        <v>9010.0</v>
      </c>
      <c r="S76" s="91" t="s">
        <v>1073</v>
      </c>
      <c r="T76" s="53" t="str">
        <f t="shared" si="9"/>
        <v/>
      </c>
      <c r="U76" s="91">
        <f t="shared" si="10"/>
        <v>0.7</v>
      </c>
      <c r="V76" s="2">
        <v>70001.0</v>
      </c>
      <c r="W76" s="2">
        <v>1.0</v>
      </c>
      <c r="X76" s="2">
        <v>1.0</v>
      </c>
      <c r="Y76" s="2">
        <v>70002.0</v>
      </c>
      <c r="Z76" s="2">
        <v>1.0</v>
      </c>
      <c r="AA76" s="2">
        <v>1.0</v>
      </c>
    </row>
    <row r="77">
      <c r="A77" s="2">
        <f t="shared" si="11"/>
        <v>257</v>
      </c>
      <c r="B77" s="2" t="s">
        <v>1136</v>
      </c>
      <c r="C77" s="2">
        <v>3.0</v>
      </c>
      <c r="D77" s="35" t="str">
        <f>"3-18"</f>
        <v>3-18</v>
      </c>
      <c r="E77" s="2">
        <f t="shared" si="13"/>
        <v>29</v>
      </c>
      <c r="F77" s="2"/>
      <c r="G77" s="2" t="s">
        <v>1316</v>
      </c>
      <c r="H77" s="53"/>
      <c r="I77" s="53">
        <f t="shared" si="12"/>
        <v>8345</v>
      </c>
      <c r="J77" s="91" t="s">
        <v>1242</v>
      </c>
      <c r="K77" s="91" t="s">
        <v>573</v>
      </c>
      <c r="L77" s="100">
        <v>9009.0</v>
      </c>
      <c r="M77" s="53" t="str">
        <f>"5,7,11"</f>
        <v>5,7,11</v>
      </c>
      <c r="N77" s="53" t="str">
        <f t="shared" si="7"/>
        <v/>
      </c>
      <c r="O77" s="91">
        <f t="shared" si="15"/>
        <v>0.5</v>
      </c>
      <c r="P77" s="91" t="s">
        <v>1148</v>
      </c>
      <c r="Q77" s="91" t="s">
        <v>640</v>
      </c>
      <c r="R77" s="91">
        <v>9011.0</v>
      </c>
      <c r="S77" s="91" t="s">
        <v>1079</v>
      </c>
      <c r="T77" s="53" t="str">
        <f t="shared" si="9"/>
        <v/>
      </c>
      <c r="U77" s="91">
        <f t="shared" si="10"/>
        <v>0.8</v>
      </c>
      <c r="V77" s="2">
        <v>70001.0</v>
      </c>
      <c r="W77" s="2">
        <v>1.0</v>
      </c>
      <c r="X77" s="2">
        <v>1.0</v>
      </c>
      <c r="Y77" s="2">
        <v>70002.0</v>
      </c>
      <c r="Z77" s="2">
        <v>1.0</v>
      </c>
      <c r="AA77" s="2">
        <v>1.0</v>
      </c>
    </row>
    <row r="78">
      <c r="A78" s="2">
        <f t="shared" si="11"/>
        <v>258</v>
      </c>
      <c r="B78" s="2" t="s">
        <v>1136</v>
      </c>
      <c r="C78" s="2">
        <v>3.0</v>
      </c>
      <c r="D78" s="35" t="str">
        <f>"3-19"</f>
        <v>3-19</v>
      </c>
      <c r="E78" s="2">
        <f t="shared" si="13"/>
        <v>30</v>
      </c>
      <c r="F78" s="2"/>
      <c r="G78" s="2" t="s">
        <v>1311</v>
      </c>
      <c r="H78" s="53"/>
      <c r="I78" s="53">
        <f t="shared" si="12"/>
        <v>8470</v>
      </c>
      <c r="J78" s="91" t="s">
        <v>1242</v>
      </c>
      <c r="K78" s="91" t="s">
        <v>573</v>
      </c>
      <c r="L78" s="100">
        <v>9009.0</v>
      </c>
      <c r="M78" s="91" t="s">
        <v>1050</v>
      </c>
      <c r="N78" s="53" t="str">
        <f t="shared" si="7"/>
        <v/>
      </c>
      <c r="O78" s="91">
        <f t="shared" si="15"/>
        <v>0.8</v>
      </c>
      <c r="P78" s="91" t="s">
        <v>1148</v>
      </c>
      <c r="Q78" s="91" t="s">
        <v>640</v>
      </c>
      <c r="R78" s="91">
        <v>9010.0</v>
      </c>
      <c r="S78" s="91" t="s">
        <v>1085</v>
      </c>
      <c r="T78" s="53" t="str">
        <f t="shared" si="9"/>
        <v/>
      </c>
      <c r="U78" s="91">
        <f t="shared" si="10"/>
        <v>0.7</v>
      </c>
      <c r="V78" s="2">
        <v>70001.0</v>
      </c>
      <c r="W78" s="2">
        <v>1.0</v>
      </c>
      <c r="X78" s="2">
        <v>1.0</v>
      </c>
      <c r="Y78" s="2">
        <v>70002.0</v>
      </c>
      <c r="Z78" s="2">
        <v>1.0</v>
      </c>
      <c r="AA78" s="2">
        <v>1.0</v>
      </c>
    </row>
    <row r="79">
      <c r="A79" s="2">
        <f t="shared" si="11"/>
        <v>259</v>
      </c>
      <c r="B79" s="2" t="s">
        <v>1136</v>
      </c>
      <c r="C79" s="2">
        <v>3.0</v>
      </c>
      <c r="D79" s="35" t="str">
        <f>"3-20"</f>
        <v>3-20</v>
      </c>
      <c r="E79" s="2">
        <f t="shared" si="13"/>
        <v>30</v>
      </c>
      <c r="F79" s="101"/>
      <c r="G79" s="101" t="s">
        <v>1367</v>
      </c>
      <c r="H79" s="53"/>
      <c r="I79" s="53">
        <f t="shared" si="12"/>
        <v>8595</v>
      </c>
      <c r="J79" s="91" t="s">
        <v>1242</v>
      </c>
      <c r="K79" s="91" t="s">
        <v>573</v>
      </c>
      <c r="L79" s="100">
        <v>9009.0</v>
      </c>
      <c r="M79" s="91" t="s">
        <v>1038</v>
      </c>
      <c r="N79" s="53" t="str">
        <f t="shared" si="7"/>
        <v/>
      </c>
      <c r="O79" s="91">
        <f t="shared" si="15"/>
        <v>0.7</v>
      </c>
      <c r="P79" s="91" t="s">
        <v>1148</v>
      </c>
      <c r="Q79" s="91" t="s">
        <v>640</v>
      </c>
      <c r="R79" s="91">
        <v>9010.0</v>
      </c>
      <c r="S79" s="91" t="s">
        <v>1063</v>
      </c>
      <c r="T79" s="53" t="str">
        <f t="shared" si="9"/>
        <v/>
      </c>
      <c r="U79" s="91">
        <f t="shared" si="10"/>
        <v>0.2</v>
      </c>
      <c r="V79" s="2">
        <v>70001.0</v>
      </c>
      <c r="W79" s="2">
        <v>1.0</v>
      </c>
      <c r="X79" s="2">
        <v>1.0</v>
      </c>
      <c r="Y79" s="2">
        <v>70002.0</v>
      </c>
      <c r="Z79" s="2">
        <v>1.0</v>
      </c>
      <c r="AA79" s="2">
        <v>1.0</v>
      </c>
    </row>
    <row r="81">
      <c r="A81" s="127" t="s">
        <v>990</v>
      </c>
      <c r="B81" s="127" t="s">
        <v>469</v>
      </c>
      <c r="C81" s="127" t="s">
        <v>991</v>
      </c>
      <c r="D81" s="127" t="s">
        <v>992</v>
      </c>
      <c r="E81" s="127" t="s">
        <v>173</v>
      </c>
      <c r="F81" s="2" t="s">
        <v>993</v>
      </c>
      <c r="G81" s="127" t="s">
        <v>994</v>
      </c>
      <c r="H81" s="127" t="s">
        <v>995</v>
      </c>
      <c r="I81" s="127" t="s">
        <v>997</v>
      </c>
      <c r="J81" s="127" t="s">
        <v>998</v>
      </c>
      <c r="K81" s="127" t="s">
        <v>999</v>
      </c>
      <c r="L81" s="127" t="s">
        <v>1000</v>
      </c>
      <c r="M81" s="127" t="s">
        <v>1001</v>
      </c>
      <c r="N81" s="127" t="s">
        <v>1002</v>
      </c>
      <c r="O81" s="127" t="s">
        <v>1003</v>
      </c>
      <c r="P81" s="127" t="s">
        <v>1004</v>
      </c>
      <c r="Q81" s="127" t="s">
        <v>1005</v>
      </c>
      <c r="R81" s="127" t="s">
        <v>1007</v>
      </c>
      <c r="S81" s="127" t="s">
        <v>1008</v>
      </c>
      <c r="T81" s="127" t="s">
        <v>1009</v>
      </c>
      <c r="U81" s="127" t="s">
        <v>1010</v>
      </c>
      <c r="V81" s="127" t="s">
        <v>1011</v>
      </c>
      <c r="W81" s="127" t="s">
        <v>1012</v>
      </c>
      <c r="X81" s="127" t="s">
        <v>1014</v>
      </c>
      <c r="Y81" s="127" t="s">
        <v>1015</v>
      </c>
      <c r="Z81" s="127" t="s">
        <v>1017</v>
      </c>
      <c r="AA81" s="127" t="s">
        <v>1018</v>
      </c>
      <c r="AB81" s="5"/>
      <c r="AC81" s="5"/>
      <c r="AD81" s="5"/>
      <c r="AE81" s="5"/>
      <c r="AF81" s="5"/>
      <c r="AG81" s="5"/>
      <c r="AH81" s="5"/>
      <c r="AI81" s="5"/>
      <c r="AJ81" s="5"/>
    </row>
    <row r="82">
      <c r="A82" s="129">
        <v>600.0</v>
      </c>
      <c r="B82" s="2" t="s">
        <v>1373</v>
      </c>
      <c r="D82" s="2" t="s">
        <v>1374</v>
      </c>
      <c r="E82" s="2">
        <v>20.0</v>
      </c>
      <c r="F82" s="120">
        <v>56.0</v>
      </c>
      <c r="G82" s="120" t="s">
        <v>1305</v>
      </c>
      <c r="H82" s="91">
        <v>1.0</v>
      </c>
      <c r="I82" s="53"/>
      <c r="J82" s="91"/>
      <c r="K82" s="91"/>
      <c r="L82" s="100"/>
      <c r="M82" s="91"/>
      <c r="N82" s="53"/>
      <c r="O82" s="91"/>
      <c r="P82" s="91"/>
      <c r="Q82" s="91"/>
      <c r="R82" s="91"/>
      <c r="S82" s="91"/>
      <c r="T82" s="53"/>
      <c r="U82" s="91"/>
      <c r="V82" s="43">
        <v>8000.0</v>
      </c>
      <c r="W82" s="2">
        <v>1000.0</v>
      </c>
    </row>
    <row r="83">
      <c r="A83" s="129">
        <v>600.0</v>
      </c>
      <c r="B83" s="2" t="s">
        <v>1373</v>
      </c>
      <c r="D83" s="2" t="s">
        <v>1374</v>
      </c>
      <c r="E83" s="2">
        <v>20.0</v>
      </c>
      <c r="F83" s="120">
        <v>56.0</v>
      </c>
      <c r="G83" s="111" t="s">
        <v>1235</v>
      </c>
      <c r="H83" s="91">
        <v>1.0</v>
      </c>
      <c r="I83" s="53"/>
      <c r="J83" s="91"/>
      <c r="K83" s="91"/>
      <c r="L83" s="100"/>
      <c r="M83" s="91"/>
      <c r="N83" s="53"/>
      <c r="O83" s="91"/>
      <c r="P83" s="91"/>
      <c r="Q83" s="91"/>
      <c r="R83" s="91"/>
      <c r="S83" s="91"/>
      <c r="T83" s="53"/>
      <c r="U83" s="91"/>
      <c r="V83" s="43">
        <v>8000.0</v>
      </c>
      <c r="W83" s="2">
        <v>1000.0</v>
      </c>
    </row>
    <row r="84">
      <c r="A84" s="129">
        <v>600.0</v>
      </c>
      <c r="B84" s="2" t="s">
        <v>1373</v>
      </c>
      <c r="D84" s="2" t="s">
        <v>1374</v>
      </c>
      <c r="E84" s="2">
        <v>20.0</v>
      </c>
      <c r="F84" s="120">
        <v>56.0</v>
      </c>
      <c r="G84" s="101" t="s">
        <v>1367</v>
      </c>
      <c r="H84" s="91">
        <v>1.0</v>
      </c>
      <c r="I84" s="53"/>
      <c r="J84" s="91"/>
      <c r="K84" s="91"/>
      <c r="L84" s="100"/>
      <c r="M84" s="91"/>
      <c r="N84" s="53"/>
      <c r="O84" s="91"/>
      <c r="P84" s="91"/>
      <c r="Q84" s="91"/>
      <c r="R84" s="91"/>
      <c r="S84" s="91"/>
      <c r="T84" s="53"/>
      <c r="U84" s="91"/>
      <c r="V84" s="43">
        <v>8000.0</v>
      </c>
      <c r="W84" s="2">
        <v>1000.0</v>
      </c>
    </row>
    <row r="85">
      <c r="A85" s="129">
        <v>600.0</v>
      </c>
      <c r="B85" s="2" t="s">
        <v>1373</v>
      </c>
      <c r="D85" s="2" t="s">
        <v>1374</v>
      </c>
      <c r="E85" s="2">
        <v>20.0</v>
      </c>
      <c r="F85" s="120">
        <v>56.0</v>
      </c>
      <c r="G85" s="101" t="s">
        <v>1367</v>
      </c>
      <c r="H85" s="91">
        <v>1.0</v>
      </c>
      <c r="I85" s="53"/>
      <c r="K85" s="91"/>
      <c r="L85" s="100"/>
      <c r="M85" s="91"/>
      <c r="N85" s="53"/>
      <c r="O85" s="91"/>
      <c r="P85" s="91"/>
      <c r="Q85" s="91"/>
      <c r="R85" s="91"/>
      <c r="S85" s="91"/>
      <c r="T85" s="53"/>
      <c r="U85" s="91"/>
      <c r="V85" s="43">
        <v>8000.0</v>
      </c>
      <c r="W85" s="2">
        <v>1000.0</v>
      </c>
    </row>
    <row r="86">
      <c r="A86" s="129">
        <v>600.0</v>
      </c>
      <c r="B86" s="2" t="s">
        <v>1373</v>
      </c>
      <c r="D86" s="2" t="s">
        <v>1374</v>
      </c>
      <c r="E86" s="2">
        <v>20.0</v>
      </c>
      <c r="F86" s="120">
        <v>56.0</v>
      </c>
      <c r="G86" s="120" t="s">
        <v>1305</v>
      </c>
      <c r="H86" s="91">
        <v>1.0</v>
      </c>
      <c r="I86" s="53"/>
      <c r="J86" s="91"/>
      <c r="K86" s="91"/>
      <c r="L86" s="100"/>
      <c r="M86" s="91"/>
      <c r="N86" s="53"/>
      <c r="O86" s="91"/>
      <c r="P86" s="91"/>
      <c r="Q86" s="91"/>
      <c r="R86" s="91"/>
      <c r="S86" s="91"/>
      <c r="T86" s="53"/>
      <c r="U86" s="91"/>
      <c r="V86" s="43">
        <v>8000.0</v>
      </c>
      <c r="W86" s="2">
        <v>1000.0</v>
      </c>
    </row>
    <row r="87">
      <c r="A87" s="129">
        <v>600.0</v>
      </c>
      <c r="B87" s="2" t="s">
        <v>1373</v>
      </c>
      <c r="D87" s="2" t="s">
        <v>1374</v>
      </c>
      <c r="E87" s="2">
        <v>20.0</v>
      </c>
      <c r="F87" s="120">
        <v>56.0</v>
      </c>
      <c r="G87" s="101" t="s">
        <v>1367</v>
      </c>
      <c r="H87" s="91">
        <v>1.0</v>
      </c>
      <c r="I87" s="53"/>
      <c r="J87" s="91"/>
      <c r="K87" s="91"/>
      <c r="L87" s="100"/>
      <c r="M87" s="91"/>
      <c r="N87" s="53"/>
      <c r="O87" s="91"/>
      <c r="P87" s="91"/>
      <c r="Q87" s="91"/>
      <c r="R87" s="91"/>
      <c r="S87" s="91"/>
      <c r="T87" s="53"/>
      <c r="U87" s="91"/>
      <c r="V87" s="43">
        <v>8000.0</v>
      </c>
      <c r="W87" s="2">
        <v>1000.0</v>
      </c>
    </row>
    <row r="88">
      <c r="A88" s="129">
        <v>600.0</v>
      </c>
      <c r="B88" s="2" t="s">
        <v>1373</v>
      </c>
      <c r="D88" s="2" t="s">
        <v>1374</v>
      </c>
      <c r="E88" s="2">
        <v>20.0</v>
      </c>
      <c r="F88" s="120">
        <v>56.0</v>
      </c>
      <c r="G88" s="101" t="s">
        <v>1367</v>
      </c>
      <c r="H88" s="91">
        <v>1.0</v>
      </c>
      <c r="I88" s="53"/>
      <c r="K88" s="91"/>
      <c r="L88" s="100"/>
      <c r="M88" s="91"/>
      <c r="N88" s="53"/>
      <c r="O88" s="91"/>
      <c r="P88" s="91"/>
      <c r="Q88" s="91"/>
      <c r="R88" s="91"/>
      <c r="S88" s="91"/>
      <c r="T88" s="53"/>
      <c r="U88" s="91"/>
      <c r="V88" s="43">
        <v>8000.0</v>
      </c>
      <c r="W88" s="2">
        <v>1000.0</v>
      </c>
    </row>
    <row r="89">
      <c r="A89" s="129">
        <v>600.0</v>
      </c>
      <c r="B89" s="2" t="s">
        <v>1373</v>
      </c>
      <c r="D89" s="2" t="s">
        <v>1374</v>
      </c>
      <c r="E89" s="2">
        <v>20.0</v>
      </c>
      <c r="F89" s="120">
        <v>56.0</v>
      </c>
      <c r="G89" s="120" t="s">
        <v>1305</v>
      </c>
      <c r="H89" s="91">
        <v>1.0</v>
      </c>
      <c r="I89" s="53"/>
      <c r="J89" s="91"/>
      <c r="K89" s="91"/>
      <c r="L89" s="100"/>
      <c r="M89" s="91"/>
      <c r="N89" s="53"/>
      <c r="O89" s="91"/>
      <c r="P89" s="91"/>
      <c r="Q89" s="91"/>
      <c r="R89" s="91"/>
      <c r="S89" s="91"/>
      <c r="T89" s="53"/>
      <c r="U89" s="91"/>
      <c r="V89" s="43">
        <v>8000.0</v>
      </c>
      <c r="W89" s="2">
        <v>1000.0</v>
      </c>
    </row>
    <row r="90">
      <c r="A90" s="2">
        <v>601.0</v>
      </c>
      <c r="B90" s="2" t="s">
        <v>1373</v>
      </c>
      <c r="D90" s="2" t="s">
        <v>1374</v>
      </c>
      <c r="E90" s="2">
        <v>50.0</v>
      </c>
      <c r="F90" s="120">
        <v>56.0</v>
      </c>
      <c r="G90" s="120" t="s">
        <v>1385</v>
      </c>
      <c r="H90" s="91">
        <v>1.0</v>
      </c>
      <c r="I90" s="53"/>
      <c r="J90" s="91"/>
      <c r="K90" s="91"/>
      <c r="L90" s="100"/>
      <c r="M90" s="91"/>
      <c r="N90" s="53"/>
      <c r="O90" s="91"/>
      <c r="P90" s="91"/>
      <c r="Q90" s="91"/>
      <c r="R90" s="91"/>
      <c r="S90" s="91"/>
      <c r="T90" s="53"/>
      <c r="U90" s="91"/>
      <c r="V90" s="43">
        <v>8000.0</v>
      </c>
      <c r="W90" s="2">
        <v>1000.0</v>
      </c>
    </row>
    <row r="91">
      <c r="A91" s="2">
        <v>601.0</v>
      </c>
      <c r="B91" s="2" t="s">
        <v>1373</v>
      </c>
      <c r="D91" s="2" t="s">
        <v>1374</v>
      </c>
      <c r="E91" s="2">
        <v>50.0</v>
      </c>
      <c r="F91" s="120">
        <v>56.0</v>
      </c>
      <c r="G91" s="111" t="s">
        <v>1388</v>
      </c>
      <c r="H91" s="91">
        <v>1.0</v>
      </c>
      <c r="I91" s="53"/>
      <c r="J91" s="91"/>
      <c r="K91" s="91"/>
      <c r="L91" s="100"/>
      <c r="M91" s="91"/>
      <c r="N91" s="53"/>
      <c r="O91" s="91"/>
      <c r="P91" s="91"/>
      <c r="Q91" s="91"/>
      <c r="R91" s="91"/>
      <c r="S91" s="91"/>
      <c r="T91" s="53"/>
      <c r="U91" s="91"/>
      <c r="V91" s="43">
        <v>8000.0</v>
      </c>
      <c r="W91" s="2">
        <v>1000.0</v>
      </c>
    </row>
    <row r="92">
      <c r="A92" s="2">
        <v>601.0</v>
      </c>
      <c r="B92" s="2" t="s">
        <v>1373</v>
      </c>
      <c r="D92" s="2" t="s">
        <v>1374</v>
      </c>
      <c r="E92" s="2">
        <v>50.0</v>
      </c>
      <c r="F92" s="120">
        <v>56.0</v>
      </c>
      <c r="G92" s="101" t="s">
        <v>1390</v>
      </c>
      <c r="H92" s="91">
        <v>1.0</v>
      </c>
      <c r="I92" s="53"/>
      <c r="J92" s="91"/>
      <c r="K92" s="91"/>
      <c r="L92" s="100"/>
      <c r="M92" s="91"/>
      <c r="N92" s="53"/>
      <c r="O92" s="91"/>
      <c r="P92" s="91"/>
      <c r="Q92" s="91"/>
      <c r="R92" s="91"/>
      <c r="S92" s="91"/>
      <c r="T92" s="53"/>
      <c r="U92" s="91"/>
      <c r="V92" s="43">
        <v>8000.0</v>
      </c>
      <c r="W92" s="2">
        <v>1000.0</v>
      </c>
    </row>
    <row r="93">
      <c r="A93" s="2">
        <v>601.0</v>
      </c>
      <c r="B93" s="2" t="s">
        <v>1373</v>
      </c>
      <c r="D93" s="2" t="s">
        <v>1374</v>
      </c>
      <c r="E93" s="2">
        <v>50.0</v>
      </c>
      <c r="F93" s="120">
        <v>56.0</v>
      </c>
      <c r="G93" s="101" t="s">
        <v>1390</v>
      </c>
      <c r="H93" s="91">
        <v>1.0</v>
      </c>
      <c r="I93" s="53"/>
      <c r="K93" s="91"/>
      <c r="L93" s="100"/>
      <c r="M93" s="91"/>
      <c r="N93" s="53"/>
      <c r="O93" s="91"/>
      <c r="P93" s="91"/>
      <c r="Q93" s="91"/>
      <c r="R93" s="91"/>
      <c r="S93" s="91"/>
      <c r="T93" s="53"/>
      <c r="U93" s="91"/>
      <c r="V93" s="43">
        <v>8000.0</v>
      </c>
      <c r="W93" s="2">
        <v>1000.0</v>
      </c>
    </row>
    <row r="94">
      <c r="A94" s="2">
        <v>601.0</v>
      </c>
      <c r="B94" s="2" t="s">
        <v>1373</v>
      </c>
      <c r="D94" s="2" t="s">
        <v>1374</v>
      </c>
      <c r="E94" s="2">
        <v>50.0</v>
      </c>
      <c r="F94" s="120">
        <v>56.0</v>
      </c>
      <c r="G94" s="120" t="s">
        <v>1385</v>
      </c>
      <c r="H94" s="91">
        <v>1.0</v>
      </c>
      <c r="I94" s="53"/>
      <c r="J94" s="91"/>
      <c r="K94" s="91"/>
      <c r="L94" s="100"/>
      <c r="M94" s="91"/>
      <c r="N94" s="53"/>
      <c r="O94" s="91"/>
      <c r="P94" s="91"/>
      <c r="Q94" s="91"/>
      <c r="R94" s="91"/>
      <c r="S94" s="91"/>
      <c r="T94" s="53"/>
      <c r="U94" s="91"/>
      <c r="V94" s="43">
        <v>8000.0</v>
      </c>
      <c r="W94" s="2">
        <v>1000.0</v>
      </c>
    </row>
    <row r="95">
      <c r="A95" s="2">
        <v>601.0</v>
      </c>
      <c r="B95" s="2" t="s">
        <v>1373</v>
      </c>
      <c r="D95" s="2" t="s">
        <v>1374</v>
      </c>
      <c r="E95" s="2">
        <v>50.0</v>
      </c>
      <c r="F95" s="120">
        <v>56.0</v>
      </c>
      <c r="G95" s="101" t="s">
        <v>1390</v>
      </c>
      <c r="H95" s="91">
        <v>1.0</v>
      </c>
      <c r="I95" s="53"/>
      <c r="J95" s="91"/>
      <c r="K95" s="91"/>
      <c r="L95" s="100"/>
      <c r="M95" s="91"/>
      <c r="N95" s="53"/>
      <c r="O95" s="91"/>
      <c r="P95" s="91"/>
      <c r="Q95" s="91"/>
      <c r="R95" s="91"/>
      <c r="S95" s="91"/>
      <c r="T95" s="53"/>
      <c r="U95" s="91"/>
      <c r="V95" s="43">
        <v>8000.0</v>
      </c>
      <c r="W95" s="2">
        <v>1000.0</v>
      </c>
    </row>
    <row r="96">
      <c r="A96" s="2">
        <v>601.0</v>
      </c>
      <c r="B96" s="2" t="s">
        <v>1373</v>
      </c>
      <c r="D96" s="2" t="s">
        <v>1374</v>
      </c>
      <c r="E96" s="2">
        <v>50.0</v>
      </c>
      <c r="F96" s="120">
        <v>56.0</v>
      </c>
      <c r="G96" s="101" t="s">
        <v>1390</v>
      </c>
      <c r="H96" s="91">
        <v>1.0</v>
      </c>
      <c r="I96" s="53"/>
      <c r="K96" s="91"/>
      <c r="L96" s="100"/>
      <c r="M96" s="91"/>
      <c r="N96" s="53"/>
      <c r="O96" s="91"/>
      <c r="P96" s="91"/>
      <c r="Q96" s="91"/>
      <c r="R96" s="91"/>
      <c r="S96" s="91"/>
      <c r="T96" s="53"/>
      <c r="U96" s="91"/>
      <c r="V96" s="43">
        <v>8000.0</v>
      </c>
      <c r="W96" s="2">
        <v>1000.0</v>
      </c>
    </row>
    <row r="97">
      <c r="A97" s="2">
        <v>601.0</v>
      </c>
      <c r="B97" s="2" t="s">
        <v>1373</v>
      </c>
      <c r="D97" s="2" t="s">
        <v>1374</v>
      </c>
      <c r="E97" s="2">
        <v>50.0</v>
      </c>
      <c r="F97" s="120">
        <v>56.0</v>
      </c>
      <c r="G97" s="120" t="s">
        <v>1385</v>
      </c>
      <c r="H97" s="91">
        <v>1.0</v>
      </c>
      <c r="I97" s="53"/>
      <c r="J97" s="91"/>
      <c r="K97" s="91"/>
      <c r="L97" s="100"/>
      <c r="M97" s="91"/>
      <c r="N97" s="53"/>
      <c r="O97" s="91"/>
      <c r="P97" s="91"/>
      <c r="Q97" s="91"/>
      <c r="R97" s="91"/>
      <c r="S97" s="91"/>
      <c r="T97" s="53"/>
      <c r="U97" s="91"/>
      <c r="V97" s="43">
        <v>8000.0</v>
      </c>
      <c r="W97" s="2">
        <v>1000.0</v>
      </c>
    </row>
    <row r="98">
      <c r="A98" s="2">
        <v>602.0</v>
      </c>
      <c r="B98" s="2" t="s">
        <v>1373</v>
      </c>
      <c r="D98" s="2" t="s">
        <v>1374</v>
      </c>
      <c r="E98" s="2">
        <v>75.0</v>
      </c>
      <c r="F98" s="120">
        <v>56.0</v>
      </c>
      <c r="G98" s="120" t="s">
        <v>1399</v>
      </c>
      <c r="H98" s="91">
        <v>1.0</v>
      </c>
      <c r="I98" s="53"/>
      <c r="J98" s="91"/>
      <c r="K98" s="91"/>
      <c r="L98" s="100"/>
      <c r="M98" s="91"/>
      <c r="N98" s="53"/>
      <c r="O98" s="91"/>
      <c r="P98" s="91"/>
      <c r="Q98" s="91"/>
      <c r="R98" s="91"/>
      <c r="S98" s="91"/>
      <c r="T98" s="53"/>
      <c r="U98" s="91"/>
      <c r="V98" s="43">
        <v>8000.0</v>
      </c>
      <c r="W98" s="2">
        <v>1000.0</v>
      </c>
    </row>
    <row r="99">
      <c r="A99" s="2">
        <v>602.0</v>
      </c>
      <c r="B99" s="2" t="s">
        <v>1373</v>
      </c>
      <c r="D99" s="2" t="s">
        <v>1374</v>
      </c>
      <c r="E99" s="2">
        <v>75.0</v>
      </c>
      <c r="F99" s="120">
        <v>56.0</v>
      </c>
      <c r="G99" s="111" t="s">
        <v>1400</v>
      </c>
      <c r="H99" s="91">
        <v>1.0</v>
      </c>
      <c r="I99" s="53"/>
      <c r="J99" s="91"/>
      <c r="K99" s="91"/>
      <c r="L99" s="100"/>
      <c r="M99" s="91"/>
      <c r="N99" s="53"/>
      <c r="O99" s="91"/>
      <c r="P99" s="91"/>
      <c r="Q99" s="91"/>
      <c r="R99" s="91"/>
      <c r="S99" s="91"/>
      <c r="T99" s="53"/>
      <c r="U99" s="91"/>
      <c r="V99" s="43">
        <v>8000.0</v>
      </c>
      <c r="W99" s="2">
        <v>1000.0</v>
      </c>
    </row>
    <row r="100">
      <c r="A100" s="2">
        <v>602.0</v>
      </c>
      <c r="B100" s="2" t="s">
        <v>1373</v>
      </c>
      <c r="D100" s="2" t="s">
        <v>1374</v>
      </c>
      <c r="E100" s="2">
        <v>75.0</v>
      </c>
      <c r="F100" s="120">
        <v>56.0</v>
      </c>
      <c r="G100" s="101" t="s">
        <v>1403</v>
      </c>
      <c r="H100" s="91">
        <v>1.0</v>
      </c>
      <c r="I100" s="53"/>
      <c r="J100" s="91"/>
      <c r="K100" s="91"/>
      <c r="L100" s="100"/>
      <c r="M100" s="91"/>
      <c r="N100" s="53"/>
      <c r="O100" s="91"/>
      <c r="P100" s="91"/>
      <c r="Q100" s="91"/>
      <c r="R100" s="91"/>
      <c r="S100" s="91"/>
      <c r="T100" s="53"/>
      <c r="U100" s="91"/>
      <c r="V100" s="43">
        <v>8000.0</v>
      </c>
      <c r="W100" s="2">
        <v>1000.0</v>
      </c>
    </row>
    <row r="101">
      <c r="A101" s="2">
        <v>602.0</v>
      </c>
      <c r="B101" s="2" t="s">
        <v>1373</v>
      </c>
      <c r="D101" s="2" t="s">
        <v>1374</v>
      </c>
      <c r="E101" s="2">
        <v>75.0</v>
      </c>
      <c r="F101" s="120">
        <v>56.0</v>
      </c>
      <c r="G101" s="101" t="s">
        <v>1403</v>
      </c>
      <c r="H101" s="91">
        <v>1.0</v>
      </c>
      <c r="I101" s="53"/>
      <c r="K101" s="91"/>
      <c r="L101" s="100"/>
      <c r="M101" s="91"/>
      <c r="N101" s="53"/>
      <c r="O101" s="91"/>
      <c r="P101" s="91"/>
      <c r="Q101" s="91"/>
      <c r="R101" s="91"/>
      <c r="S101" s="91"/>
      <c r="T101" s="53"/>
      <c r="U101" s="91"/>
      <c r="V101" s="43">
        <v>8000.0</v>
      </c>
      <c r="W101" s="2">
        <v>1000.0</v>
      </c>
    </row>
    <row r="102">
      <c r="A102" s="2">
        <v>602.0</v>
      </c>
      <c r="B102" s="2" t="s">
        <v>1373</v>
      </c>
      <c r="D102" s="2" t="s">
        <v>1374</v>
      </c>
      <c r="E102" s="2">
        <v>75.0</v>
      </c>
      <c r="F102" s="120">
        <v>56.0</v>
      </c>
      <c r="G102" s="120" t="s">
        <v>1399</v>
      </c>
      <c r="H102" s="91">
        <v>1.0</v>
      </c>
      <c r="I102" s="53"/>
      <c r="J102" s="91"/>
      <c r="K102" s="91"/>
      <c r="L102" s="100"/>
      <c r="M102" s="91"/>
      <c r="N102" s="53"/>
      <c r="O102" s="91"/>
      <c r="P102" s="91"/>
      <c r="Q102" s="91"/>
      <c r="R102" s="91"/>
      <c r="S102" s="91"/>
      <c r="T102" s="53"/>
      <c r="U102" s="91"/>
      <c r="V102" s="43">
        <v>8000.0</v>
      </c>
      <c r="W102" s="2">
        <v>1000.0</v>
      </c>
    </row>
    <row r="103">
      <c r="A103" s="2">
        <v>602.0</v>
      </c>
      <c r="B103" s="2" t="s">
        <v>1373</v>
      </c>
      <c r="D103" s="2" t="s">
        <v>1374</v>
      </c>
      <c r="E103" s="2">
        <v>75.0</v>
      </c>
      <c r="F103" s="120">
        <v>56.0</v>
      </c>
      <c r="G103" s="101" t="s">
        <v>1403</v>
      </c>
      <c r="H103" s="91">
        <v>1.0</v>
      </c>
      <c r="I103" s="53"/>
      <c r="J103" s="91"/>
      <c r="K103" s="91"/>
      <c r="L103" s="100"/>
      <c r="M103" s="91"/>
      <c r="N103" s="53"/>
      <c r="O103" s="91"/>
      <c r="P103" s="91"/>
      <c r="Q103" s="91"/>
      <c r="R103" s="91"/>
      <c r="S103" s="91"/>
      <c r="T103" s="53"/>
      <c r="U103" s="91"/>
      <c r="V103" s="43">
        <v>8000.0</v>
      </c>
      <c r="W103" s="2">
        <v>1000.0</v>
      </c>
    </row>
    <row r="104">
      <c r="A104" s="2">
        <v>602.0</v>
      </c>
      <c r="B104" s="2" t="s">
        <v>1373</v>
      </c>
      <c r="D104" s="2" t="s">
        <v>1374</v>
      </c>
      <c r="E104" s="2">
        <v>75.0</v>
      </c>
      <c r="F104" s="120">
        <v>56.0</v>
      </c>
      <c r="G104" s="101" t="s">
        <v>1403</v>
      </c>
      <c r="H104" s="91">
        <v>1.0</v>
      </c>
      <c r="I104" s="53"/>
      <c r="K104" s="91"/>
      <c r="L104" s="100"/>
      <c r="M104" s="91"/>
      <c r="N104" s="53"/>
      <c r="O104" s="91"/>
      <c r="P104" s="91"/>
      <c r="Q104" s="91"/>
      <c r="R104" s="91"/>
      <c r="S104" s="91"/>
      <c r="T104" s="53"/>
      <c r="U104" s="91"/>
      <c r="V104" s="43">
        <v>8000.0</v>
      </c>
      <c r="W104" s="2">
        <v>1000.0</v>
      </c>
    </row>
    <row r="105">
      <c r="A105" s="2">
        <v>602.0</v>
      </c>
      <c r="B105" s="2" t="s">
        <v>1373</v>
      </c>
      <c r="D105" s="2" t="s">
        <v>1374</v>
      </c>
      <c r="E105" s="2">
        <v>75.0</v>
      </c>
      <c r="F105" s="120">
        <v>56.0</v>
      </c>
      <c r="G105" s="120" t="s">
        <v>1399</v>
      </c>
      <c r="H105" s="91">
        <v>1.0</v>
      </c>
      <c r="I105" s="53"/>
      <c r="J105" s="91"/>
      <c r="K105" s="91"/>
      <c r="L105" s="100"/>
      <c r="M105" s="91"/>
      <c r="N105" s="53"/>
      <c r="O105" s="91"/>
      <c r="P105" s="91"/>
      <c r="Q105" s="91"/>
      <c r="R105" s="91"/>
      <c r="S105" s="91"/>
      <c r="T105" s="53"/>
      <c r="U105" s="91"/>
      <c r="V105" s="43">
        <v>8000.0</v>
      </c>
      <c r="W105" s="2">
        <v>1000.0</v>
      </c>
    </row>
    <row r="106">
      <c r="A106" s="2">
        <v>603.0</v>
      </c>
      <c r="B106" s="2" t="s">
        <v>1373</v>
      </c>
      <c r="D106" s="2" t="s">
        <v>1374</v>
      </c>
      <c r="E106" s="2">
        <v>100.0</v>
      </c>
      <c r="F106" s="120">
        <v>56.0</v>
      </c>
      <c r="G106" s="120" t="s">
        <v>1410</v>
      </c>
      <c r="H106" s="91">
        <v>1.0</v>
      </c>
      <c r="I106" s="53"/>
      <c r="J106" s="91"/>
      <c r="K106" s="91"/>
      <c r="L106" s="100"/>
      <c r="M106" s="91"/>
      <c r="N106" s="53"/>
      <c r="O106" s="91"/>
      <c r="P106" s="91"/>
      <c r="Q106" s="91"/>
      <c r="R106" s="91"/>
      <c r="S106" s="91"/>
      <c r="T106" s="53"/>
      <c r="U106" s="91"/>
      <c r="V106" s="43">
        <v>8000.0</v>
      </c>
      <c r="W106" s="2">
        <v>1000.0</v>
      </c>
    </row>
    <row r="107">
      <c r="A107" s="2">
        <v>603.0</v>
      </c>
      <c r="B107" s="2" t="s">
        <v>1373</v>
      </c>
      <c r="D107" s="2" t="s">
        <v>1374</v>
      </c>
      <c r="E107" s="2">
        <v>100.0</v>
      </c>
      <c r="F107" s="120">
        <v>56.0</v>
      </c>
      <c r="G107" s="111" t="s">
        <v>1412</v>
      </c>
      <c r="H107" s="91">
        <v>1.0</v>
      </c>
      <c r="I107" s="53"/>
      <c r="J107" s="91"/>
      <c r="K107" s="91"/>
      <c r="L107" s="100"/>
      <c r="M107" s="91"/>
      <c r="N107" s="53"/>
      <c r="O107" s="91"/>
      <c r="P107" s="91"/>
      <c r="Q107" s="91"/>
      <c r="R107" s="91"/>
      <c r="S107" s="91"/>
      <c r="T107" s="53"/>
      <c r="U107" s="91"/>
      <c r="V107" s="43">
        <v>8000.0</v>
      </c>
      <c r="W107" s="2">
        <v>1000.0</v>
      </c>
    </row>
    <row r="108">
      <c r="A108" s="2">
        <v>603.0</v>
      </c>
      <c r="B108" s="2" t="s">
        <v>1373</v>
      </c>
      <c r="D108" s="2" t="s">
        <v>1374</v>
      </c>
      <c r="E108" s="2">
        <v>100.0</v>
      </c>
      <c r="F108" s="120">
        <v>56.0</v>
      </c>
      <c r="G108" s="101" t="s">
        <v>1417</v>
      </c>
      <c r="H108" s="91">
        <v>1.0</v>
      </c>
      <c r="I108" s="53"/>
      <c r="J108" s="91"/>
      <c r="K108" s="91"/>
      <c r="L108" s="100"/>
      <c r="M108" s="91"/>
      <c r="N108" s="53"/>
      <c r="O108" s="91"/>
      <c r="P108" s="91"/>
      <c r="Q108" s="91"/>
      <c r="R108" s="91"/>
      <c r="S108" s="91"/>
      <c r="T108" s="53"/>
      <c r="U108" s="91"/>
      <c r="V108" s="43">
        <v>8000.0</v>
      </c>
      <c r="W108" s="2">
        <v>1000.0</v>
      </c>
    </row>
    <row r="109">
      <c r="A109" s="2">
        <v>603.0</v>
      </c>
      <c r="B109" s="2" t="s">
        <v>1373</v>
      </c>
      <c r="D109" s="2" t="s">
        <v>1374</v>
      </c>
      <c r="E109" s="2">
        <v>100.0</v>
      </c>
      <c r="F109" s="120">
        <v>56.0</v>
      </c>
      <c r="G109" s="101" t="s">
        <v>1417</v>
      </c>
      <c r="H109" s="91">
        <v>1.0</v>
      </c>
      <c r="I109" s="53"/>
      <c r="K109" s="91"/>
      <c r="L109" s="100"/>
      <c r="M109" s="91"/>
      <c r="N109" s="53"/>
      <c r="O109" s="91"/>
      <c r="P109" s="91"/>
      <c r="Q109" s="91"/>
      <c r="R109" s="91"/>
      <c r="S109" s="91"/>
      <c r="T109" s="53"/>
      <c r="U109" s="91"/>
      <c r="V109" s="43">
        <v>8000.0</v>
      </c>
      <c r="W109" s="2">
        <v>1000.0</v>
      </c>
    </row>
    <row r="110">
      <c r="A110" s="2">
        <v>603.0</v>
      </c>
      <c r="B110" s="2" t="s">
        <v>1373</v>
      </c>
      <c r="D110" s="2" t="s">
        <v>1374</v>
      </c>
      <c r="E110" s="2">
        <v>100.0</v>
      </c>
      <c r="F110" s="120">
        <v>56.0</v>
      </c>
      <c r="G110" s="120" t="s">
        <v>1410</v>
      </c>
      <c r="H110" s="91">
        <v>1.0</v>
      </c>
      <c r="I110" s="53"/>
      <c r="J110" s="91"/>
      <c r="K110" s="91"/>
      <c r="L110" s="100"/>
      <c r="M110" s="91"/>
      <c r="N110" s="53"/>
      <c r="O110" s="91"/>
      <c r="P110" s="91"/>
      <c r="Q110" s="91"/>
      <c r="R110" s="91"/>
      <c r="S110" s="91"/>
      <c r="T110" s="53"/>
      <c r="U110" s="91"/>
      <c r="V110" s="43">
        <v>8000.0</v>
      </c>
      <c r="W110" s="2">
        <v>1000.0</v>
      </c>
    </row>
    <row r="111">
      <c r="A111" s="2">
        <v>603.0</v>
      </c>
      <c r="B111" s="2" t="s">
        <v>1373</v>
      </c>
      <c r="D111" s="2" t="s">
        <v>1374</v>
      </c>
      <c r="E111" s="2">
        <v>100.0</v>
      </c>
      <c r="F111" s="120">
        <v>56.0</v>
      </c>
      <c r="G111" s="101" t="s">
        <v>1417</v>
      </c>
      <c r="H111" s="91">
        <v>1.0</v>
      </c>
      <c r="I111" s="53"/>
      <c r="J111" s="91"/>
      <c r="K111" s="91"/>
      <c r="L111" s="100"/>
      <c r="M111" s="91"/>
      <c r="N111" s="53"/>
      <c r="O111" s="91"/>
      <c r="P111" s="91"/>
      <c r="Q111" s="91"/>
      <c r="R111" s="91"/>
      <c r="S111" s="91"/>
      <c r="T111" s="53"/>
      <c r="U111" s="91"/>
      <c r="V111" s="43">
        <v>8000.0</v>
      </c>
      <c r="W111" s="2">
        <v>1000.0</v>
      </c>
    </row>
    <row r="112">
      <c r="A112" s="2">
        <v>603.0</v>
      </c>
      <c r="B112" s="2" t="s">
        <v>1373</v>
      </c>
      <c r="D112" s="2" t="s">
        <v>1374</v>
      </c>
      <c r="E112" s="2">
        <v>100.0</v>
      </c>
      <c r="F112" s="120">
        <v>56.0</v>
      </c>
      <c r="G112" s="101" t="s">
        <v>1417</v>
      </c>
      <c r="H112" s="91">
        <v>1.0</v>
      </c>
      <c r="I112" s="53"/>
      <c r="K112" s="91"/>
      <c r="L112" s="100"/>
      <c r="M112" s="91"/>
      <c r="N112" s="53"/>
      <c r="O112" s="91"/>
      <c r="P112" s="91"/>
      <c r="Q112" s="91"/>
      <c r="R112" s="91"/>
      <c r="S112" s="91"/>
      <c r="T112" s="53"/>
      <c r="U112" s="91"/>
      <c r="V112" s="43">
        <v>8000.0</v>
      </c>
      <c r="W112" s="2">
        <v>1000.0</v>
      </c>
    </row>
    <row r="113">
      <c r="A113" s="2">
        <v>603.0</v>
      </c>
      <c r="B113" s="2" t="s">
        <v>1373</v>
      </c>
      <c r="D113" s="2" t="s">
        <v>1374</v>
      </c>
      <c r="E113" s="2">
        <v>100.0</v>
      </c>
      <c r="F113" s="120">
        <v>56.0</v>
      </c>
      <c r="G113" s="120" t="s">
        <v>1410</v>
      </c>
      <c r="H113" s="91">
        <v>1.0</v>
      </c>
      <c r="I113" s="53"/>
      <c r="J113" s="91"/>
      <c r="K113" s="91"/>
      <c r="L113" s="100"/>
      <c r="M113" s="91"/>
      <c r="N113" s="53"/>
      <c r="O113" s="91"/>
      <c r="P113" s="91"/>
      <c r="Q113" s="91"/>
      <c r="R113" s="91"/>
      <c r="S113" s="91"/>
      <c r="T113" s="53"/>
      <c r="U113" s="91"/>
      <c r="V113" s="43">
        <v>8000.0</v>
      </c>
      <c r="W113" s="2">
        <v>1000.0</v>
      </c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</row>
    <row r="122">
      <c r="A122" s="2" t="s">
        <v>990</v>
      </c>
      <c r="B122" s="2" t="s">
        <v>469</v>
      </c>
      <c r="C122" s="2" t="s">
        <v>991</v>
      </c>
      <c r="D122" s="2" t="s">
        <v>992</v>
      </c>
      <c r="E122" s="2" t="s">
        <v>173</v>
      </c>
      <c r="F122" s="2" t="s">
        <v>993</v>
      </c>
      <c r="G122" s="2" t="s">
        <v>994</v>
      </c>
      <c r="H122" s="2" t="s">
        <v>995</v>
      </c>
      <c r="I122" s="2" t="s">
        <v>997</v>
      </c>
      <c r="J122" s="2" t="s">
        <v>998</v>
      </c>
      <c r="K122" s="2" t="s">
        <v>999</v>
      </c>
      <c r="L122" s="2" t="s">
        <v>1000</v>
      </c>
      <c r="M122" s="2" t="s">
        <v>1001</v>
      </c>
      <c r="N122" s="2" t="s">
        <v>1002</v>
      </c>
      <c r="O122" s="2" t="s">
        <v>1003</v>
      </c>
      <c r="P122" s="2" t="s">
        <v>1004</v>
      </c>
      <c r="Q122" s="2" t="s">
        <v>1005</v>
      </c>
      <c r="R122" s="2" t="s">
        <v>1007</v>
      </c>
      <c r="S122" s="2" t="s">
        <v>1008</v>
      </c>
      <c r="T122" s="2" t="s">
        <v>1009</v>
      </c>
      <c r="U122" s="2" t="s">
        <v>1010</v>
      </c>
      <c r="V122" s="2" t="s">
        <v>1011</v>
      </c>
      <c r="W122" s="2" t="s">
        <v>1012</v>
      </c>
      <c r="X122" s="2" t="s">
        <v>1014</v>
      </c>
      <c r="Y122" s="2" t="s">
        <v>1015</v>
      </c>
      <c r="Z122" s="2" t="s">
        <v>1017</v>
      </c>
      <c r="AA122" s="2" t="s">
        <v>1018</v>
      </c>
    </row>
    <row r="123">
      <c r="A123" s="2">
        <v>700.0</v>
      </c>
      <c r="B123" s="2" t="s">
        <v>943</v>
      </c>
      <c r="D123" s="2" t="s">
        <v>1434</v>
      </c>
      <c r="F123" s="101"/>
      <c r="G123" s="101" t="s">
        <v>1435</v>
      </c>
      <c r="I123" s="53">
        <f t="shared" ref="I123:I124" si="16">I79</f>
        <v>8595</v>
      </c>
      <c r="J123" s="91" t="s">
        <v>1242</v>
      </c>
      <c r="K123" s="91" t="s">
        <v>573</v>
      </c>
      <c r="L123" s="100">
        <v>9009.0</v>
      </c>
      <c r="M123" s="91" t="s">
        <v>1038</v>
      </c>
      <c r="N123" s="53" t="str">
        <f t="shared" ref="N123:N124" si="17">if(K123="select_self",-1,if(K123="select_enemy",1,))</f>
        <v/>
      </c>
      <c r="O123" s="91">
        <f t="shared" ref="O123:O124" si="18">ROUND(RAND(),1)</f>
        <v>0</v>
      </c>
      <c r="P123" s="91" t="s">
        <v>1148</v>
      </c>
      <c r="Q123" s="91" t="s">
        <v>640</v>
      </c>
      <c r="R123" s="91">
        <v>9010.0</v>
      </c>
      <c r="S123" s="91" t="s">
        <v>1063</v>
      </c>
      <c r="T123" s="53" t="str">
        <f t="shared" ref="T123:T124" si="19">if(Q123="select_self",-1,if(Q123="select_enemy",1,))</f>
        <v/>
      </c>
      <c r="U123" s="91">
        <f t="shared" ref="U123:U124" si="20">ROUND(RAND(),1)</f>
        <v>0.1</v>
      </c>
      <c r="V123" s="2">
        <v>70001.0</v>
      </c>
      <c r="W123" s="2">
        <v>1.0</v>
      </c>
      <c r="X123" s="2">
        <v>1.0</v>
      </c>
      <c r="Y123" s="2">
        <v>70002.0</v>
      </c>
      <c r="Z123" s="2">
        <v>1.0</v>
      </c>
      <c r="AA123" s="2">
        <v>1.0</v>
      </c>
    </row>
    <row r="124">
      <c r="A124" s="2">
        <v>701.0</v>
      </c>
      <c r="B124" s="2" t="s">
        <v>943</v>
      </c>
      <c r="D124" s="2" t="s">
        <v>1443</v>
      </c>
      <c r="F124" s="101"/>
      <c r="G124" s="101" t="s">
        <v>1444</v>
      </c>
      <c r="I124" s="53" t="str">
        <f t="shared" si="16"/>
        <v/>
      </c>
      <c r="J124" s="91" t="s">
        <v>1242</v>
      </c>
      <c r="K124" s="91" t="s">
        <v>573</v>
      </c>
      <c r="L124" s="100">
        <v>9009.0</v>
      </c>
      <c r="M124" s="91" t="s">
        <v>1038</v>
      </c>
      <c r="N124" s="53" t="str">
        <f t="shared" si="17"/>
        <v/>
      </c>
      <c r="O124" s="91">
        <f t="shared" si="18"/>
        <v>0.9</v>
      </c>
      <c r="P124" s="91" t="s">
        <v>1148</v>
      </c>
      <c r="Q124" s="91" t="s">
        <v>640</v>
      </c>
      <c r="R124" s="91">
        <v>9010.0</v>
      </c>
      <c r="S124" s="91" t="s">
        <v>1063</v>
      </c>
      <c r="T124" s="53" t="str">
        <f t="shared" si="19"/>
        <v/>
      </c>
      <c r="U124" s="91">
        <f t="shared" si="20"/>
        <v>0.6</v>
      </c>
      <c r="V124" s="2">
        <v>70001.0</v>
      </c>
      <c r="W124" s="2">
        <v>1.0</v>
      </c>
      <c r="X124" s="2">
        <v>1.0</v>
      </c>
      <c r="Y124" s="2">
        <v>70002.0</v>
      </c>
      <c r="Z124" s="2">
        <v>1.0</v>
      </c>
      <c r="AA124" s="2">
        <v>1.0</v>
      </c>
    </row>
    <row r="129">
      <c r="A129" s="2" t="s">
        <v>990</v>
      </c>
      <c r="B129" s="2" t="s">
        <v>469</v>
      </c>
      <c r="C129" s="2" t="s">
        <v>991</v>
      </c>
      <c r="D129" s="2" t="s">
        <v>992</v>
      </c>
      <c r="E129" s="2" t="s">
        <v>173</v>
      </c>
      <c r="F129" s="2" t="s">
        <v>993</v>
      </c>
      <c r="G129" s="2" t="s">
        <v>994</v>
      </c>
      <c r="H129" s="2" t="s">
        <v>995</v>
      </c>
      <c r="I129" s="2" t="s">
        <v>997</v>
      </c>
      <c r="J129" s="2" t="s">
        <v>998</v>
      </c>
      <c r="K129" s="2" t="s">
        <v>999</v>
      </c>
      <c r="L129" s="2" t="s">
        <v>1000</v>
      </c>
      <c r="M129" s="2" t="s">
        <v>1001</v>
      </c>
      <c r="N129" s="2" t="s">
        <v>1002</v>
      </c>
      <c r="O129" s="2" t="s">
        <v>1003</v>
      </c>
      <c r="P129" s="2" t="s">
        <v>1004</v>
      </c>
      <c r="Q129" s="2" t="s">
        <v>1005</v>
      </c>
      <c r="R129" s="2" t="s">
        <v>1007</v>
      </c>
      <c r="S129" s="2" t="s">
        <v>1008</v>
      </c>
      <c r="T129" s="2" t="s">
        <v>1009</v>
      </c>
      <c r="U129" s="2" t="s">
        <v>1010</v>
      </c>
      <c r="V129" s="2" t="s">
        <v>1011</v>
      </c>
      <c r="W129" s="2" t="s">
        <v>1012</v>
      </c>
      <c r="X129" s="2" t="s">
        <v>1014</v>
      </c>
      <c r="Y129" s="2" t="s">
        <v>1015</v>
      </c>
      <c r="Z129" s="2" t="s">
        <v>1017</v>
      </c>
      <c r="AA129" s="2" t="s">
        <v>1018</v>
      </c>
    </row>
    <row r="130">
      <c r="A130" s="2">
        <v>801.0</v>
      </c>
      <c r="B130" s="2" t="s">
        <v>1450</v>
      </c>
      <c r="C130" s="2">
        <v>3.0</v>
      </c>
      <c r="D130" s="2" t="s">
        <v>1451</v>
      </c>
      <c r="F130" s="101"/>
      <c r="G130" s="101" t="s">
        <v>1367</v>
      </c>
      <c r="H130" s="53"/>
      <c r="I130" s="53"/>
      <c r="K130" s="91"/>
      <c r="L130" s="100"/>
      <c r="M130" s="91"/>
      <c r="N130" s="53"/>
      <c r="O130" s="91"/>
      <c r="P130" s="91"/>
      <c r="Q130" s="91"/>
      <c r="R130" s="91"/>
      <c r="S130" s="91"/>
      <c r="T130" s="53"/>
      <c r="U130" s="91"/>
      <c r="V130" s="43">
        <v>8000.0</v>
      </c>
      <c r="W130" s="2">
        <v>1000.0</v>
      </c>
    </row>
    <row r="131">
      <c r="A131" s="2">
        <v>802.0</v>
      </c>
      <c r="B131" s="2" t="s">
        <v>1450</v>
      </c>
      <c r="C131" s="2">
        <v>3.0</v>
      </c>
      <c r="D131" s="2" t="s">
        <v>1452</v>
      </c>
      <c r="F131" s="120"/>
      <c r="G131" s="120" t="s">
        <v>1305</v>
      </c>
      <c r="H131" s="53"/>
      <c r="I131" s="53"/>
      <c r="J131" s="91"/>
      <c r="K131" s="91"/>
      <c r="L131" s="100"/>
      <c r="M131" s="91"/>
      <c r="N131" s="53"/>
      <c r="O131" s="91"/>
      <c r="P131" s="91"/>
      <c r="Q131" s="91"/>
      <c r="R131" s="91"/>
      <c r="S131" s="91"/>
      <c r="T131" s="53"/>
      <c r="U131" s="91"/>
      <c r="V131" s="43">
        <v>8000.0</v>
      </c>
      <c r="W131" s="2">
        <v>1000.0</v>
      </c>
    </row>
    <row r="132">
      <c r="A132" s="2">
        <v>803.0</v>
      </c>
      <c r="B132" s="2" t="s">
        <v>1450</v>
      </c>
      <c r="C132" s="2">
        <v>3.0</v>
      </c>
      <c r="D132" s="2" t="s">
        <v>1454</v>
      </c>
      <c r="F132" s="111"/>
      <c r="G132" s="111" t="s">
        <v>1235</v>
      </c>
      <c r="H132" s="53"/>
      <c r="I132" s="53"/>
      <c r="J132" s="91"/>
      <c r="K132" s="91"/>
      <c r="L132" s="100"/>
      <c r="M132" s="91"/>
      <c r="N132" s="53"/>
      <c r="O132" s="91"/>
      <c r="P132" s="91"/>
      <c r="Q132" s="91"/>
      <c r="R132" s="91"/>
      <c r="S132" s="91"/>
      <c r="T132" s="53"/>
      <c r="U132" s="91"/>
      <c r="V132" s="43">
        <v>8000.0</v>
      </c>
      <c r="W132" s="2">
        <v>1000.0</v>
      </c>
    </row>
    <row r="133">
      <c r="A133" s="2">
        <v>804.0</v>
      </c>
      <c r="B133" s="2" t="s">
        <v>1450</v>
      </c>
      <c r="C133" s="2">
        <v>3.0</v>
      </c>
      <c r="D133" s="2" t="s">
        <v>1457</v>
      </c>
      <c r="F133" s="101"/>
      <c r="G133" s="101" t="s">
        <v>1367</v>
      </c>
      <c r="H133" s="53"/>
      <c r="I133" s="53"/>
      <c r="J133" s="91"/>
      <c r="K133" s="91"/>
      <c r="L133" s="100"/>
      <c r="M133" s="91"/>
      <c r="N133" s="53"/>
      <c r="O133" s="91"/>
      <c r="P133" s="91"/>
      <c r="Q133" s="91"/>
      <c r="R133" s="91"/>
      <c r="S133" s="91"/>
      <c r="T133" s="53"/>
      <c r="U133" s="91"/>
      <c r="V133" s="43">
        <v>8000.0</v>
      </c>
      <c r="W133" s="2">
        <v>1000.0</v>
      </c>
    </row>
    <row r="134">
      <c r="A134" s="2">
        <f t="shared" ref="A134:A145" si="21">A133+1</f>
        <v>805</v>
      </c>
      <c r="B134" s="2" t="s">
        <v>1460</v>
      </c>
      <c r="C134" s="2">
        <v>3.0</v>
      </c>
      <c r="D134" s="2" t="s">
        <v>1461</v>
      </c>
      <c r="F134" s="101"/>
      <c r="G134" s="101" t="s">
        <v>1367</v>
      </c>
      <c r="H134" s="53"/>
      <c r="I134" s="53"/>
      <c r="K134" s="91"/>
      <c r="L134" s="100"/>
      <c r="M134" s="91"/>
      <c r="N134" s="53"/>
      <c r="O134" s="91"/>
      <c r="P134" s="91"/>
      <c r="Q134" s="91"/>
      <c r="R134" s="91"/>
      <c r="S134" s="91"/>
      <c r="T134" s="53"/>
      <c r="U134" s="91"/>
      <c r="V134" s="43">
        <v>8000.0</v>
      </c>
      <c r="W134" s="2">
        <v>1000.0</v>
      </c>
    </row>
    <row r="135">
      <c r="A135" s="2">
        <f t="shared" si="21"/>
        <v>806</v>
      </c>
      <c r="B135" s="2" t="s">
        <v>1460</v>
      </c>
      <c r="C135" s="2">
        <v>3.0</v>
      </c>
      <c r="D135" s="2" t="s">
        <v>1462</v>
      </c>
      <c r="F135" s="120"/>
      <c r="G135" s="120" t="s">
        <v>1305</v>
      </c>
      <c r="H135" s="53"/>
      <c r="I135" s="53"/>
      <c r="J135" s="91"/>
      <c r="K135" s="91"/>
      <c r="L135" s="100"/>
      <c r="M135" s="91"/>
      <c r="N135" s="53"/>
      <c r="O135" s="91"/>
      <c r="P135" s="91"/>
      <c r="Q135" s="91"/>
      <c r="R135" s="91"/>
      <c r="S135" s="91"/>
      <c r="T135" s="53"/>
      <c r="U135" s="91"/>
      <c r="V135" s="43">
        <v>8000.0</v>
      </c>
      <c r="W135" s="2">
        <v>1000.0</v>
      </c>
    </row>
    <row r="136">
      <c r="A136" s="2">
        <f t="shared" si="21"/>
        <v>807</v>
      </c>
      <c r="B136" s="2" t="s">
        <v>1460</v>
      </c>
      <c r="C136" s="2">
        <v>3.0</v>
      </c>
      <c r="D136" s="2" t="s">
        <v>1465</v>
      </c>
      <c r="F136" s="111"/>
      <c r="G136" s="111" t="s">
        <v>1235</v>
      </c>
      <c r="H136" s="53"/>
      <c r="I136" s="53"/>
      <c r="J136" s="91"/>
      <c r="K136" s="91"/>
      <c r="L136" s="100"/>
      <c r="M136" s="91"/>
      <c r="N136" s="53"/>
      <c r="O136" s="91"/>
      <c r="P136" s="91"/>
      <c r="Q136" s="91"/>
      <c r="R136" s="91"/>
      <c r="S136" s="91"/>
      <c r="T136" s="53"/>
      <c r="U136" s="91"/>
      <c r="V136" s="43">
        <v>8000.0</v>
      </c>
      <c r="W136" s="2">
        <v>1000.0</v>
      </c>
    </row>
    <row r="137">
      <c r="A137" s="2">
        <f t="shared" si="21"/>
        <v>808</v>
      </c>
      <c r="B137" s="2" t="s">
        <v>1460</v>
      </c>
      <c r="C137" s="2">
        <v>3.0</v>
      </c>
      <c r="D137" s="2" t="s">
        <v>1467</v>
      </c>
      <c r="F137" s="101"/>
      <c r="G137" s="101" t="s">
        <v>1367</v>
      </c>
      <c r="H137" s="53"/>
      <c r="I137" s="53"/>
      <c r="J137" s="91"/>
      <c r="K137" s="91"/>
      <c r="L137" s="100"/>
      <c r="M137" s="91"/>
      <c r="N137" s="53"/>
      <c r="O137" s="91"/>
      <c r="P137" s="91"/>
      <c r="Q137" s="91"/>
      <c r="R137" s="91"/>
      <c r="S137" s="91"/>
      <c r="T137" s="53"/>
      <c r="U137" s="91"/>
      <c r="V137" s="43">
        <v>8000.0</v>
      </c>
      <c r="W137" s="2">
        <v>1000.0</v>
      </c>
    </row>
    <row r="138">
      <c r="A138" s="2">
        <f t="shared" si="21"/>
        <v>809</v>
      </c>
      <c r="B138" s="2" t="s">
        <v>1470</v>
      </c>
      <c r="C138" s="2">
        <v>3.0</v>
      </c>
      <c r="D138" s="2" t="s">
        <v>1471</v>
      </c>
      <c r="F138" s="101"/>
      <c r="G138" s="101" t="s">
        <v>1367</v>
      </c>
      <c r="H138" s="53"/>
      <c r="I138" s="53"/>
      <c r="K138" s="91"/>
      <c r="L138" s="100"/>
      <c r="M138" s="91"/>
      <c r="N138" s="53"/>
      <c r="O138" s="91"/>
      <c r="P138" s="91"/>
      <c r="Q138" s="91"/>
      <c r="R138" s="91"/>
      <c r="S138" s="91"/>
      <c r="T138" s="53"/>
      <c r="U138" s="91"/>
      <c r="V138" s="43">
        <v>8000.0</v>
      </c>
      <c r="W138" s="2">
        <v>1000.0</v>
      </c>
    </row>
    <row r="139">
      <c r="A139" s="2">
        <f t="shared" si="21"/>
        <v>810</v>
      </c>
      <c r="B139" s="2" t="s">
        <v>1470</v>
      </c>
      <c r="C139" s="2">
        <v>3.0</v>
      </c>
      <c r="D139" s="2" t="s">
        <v>1472</v>
      </c>
      <c r="F139" s="120"/>
      <c r="G139" s="120" t="s">
        <v>1305</v>
      </c>
      <c r="H139" s="53"/>
      <c r="I139" s="53"/>
      <c r="J139" s="91"/>
      <c r="K139" s="91"/>
      <c r="L139" s="100"/>
      <c r="M139" s="91"/>
      <c r="N139" s="53"/>
      <c r="O139" s="91"/>
      <c r="P139" s="91"/>
      <c r="Q139" s="91"/>
      <c r="R139" s="91"/>
      <c r="S139" s="91"/>
      <c r="T139" s="53"/>
      <c r="U139" s="91"/>
      <c r="V139" s="43">
        <v>8000.0</v>
      </c>
      <c r="W139" s="2">
        <v>1000.0</v>
      </c>
    </row>
    <row r="140">
      <c r="A140" s="2">
        <f t="shared" si="21"/>
        <v>811</v>
      </c>
      <c r="B140" s="2" t="s">
        <v>1470</v>
      </c>
      <c r="C140" s="2">
        <v>3.0</v>
      </c>
      <c r="D140" s="2" t="s">
        <v>1474</v>
      </c>
      <c r="F140" s="111"/>
      <c r="G140" s="111" t="s">
        <v>1235</v>
      </c>
      <c r="H140" s="53"/>
      <c r="I140" s="53"/>
      <c r="J140" s="91"/>
      <c r="K140" s="91"/>
      <c r="L140" s="100"/>
      <c r="M140" s="91"/>
      <c r="N140" s="53"/>
      <c r="O140" s="91"/>
      <c r="P140" s="91"/>
      <c r="Q140" s="91"/>
      <c r="R140" s="91"/>
      <c r="S140" s="91"/>
      <c r="T140" s="53"/>
      <c r="U140" s="91"/>
      <c r="V140" s="43">
        <v>8000.0</v>
      </c>
      <c r="W140" s="2">
        <v>1000.0</v>
      </c>
    </row>
    <row r="141">
      <c r="A141" s="2">
        <f t="shared" si="21"/>
        <v>812</v>
      </c>
      <c r="B141" s="2" t="s">
        <v>1470</v>
      </c>
      <c r="C141" s="2">
        <v>3.0</v>
      </c>
      <c r="D141" s="2" t="s">
        <v>1477</v>
      </c>
      <c r="F141" s="101"/>
      <c r="G141" s="101" t="s">
        <v>1367</v>
      </c>
      <c r="H141" s="53"/>
      <c r="I141" s="53"/>
      <c r="J141" s="91"/>
      <c r="K141" s="91"/>
      <c r="L141" s="100"/>
      <c r="M141" s="91"/>
      <c r="N141" s="53"/>
      <c r="O141" s="91"/>
      <c r="P141" s="91"/>
      <c r="Q141" s="91"/>
      <c r="R141" s="91"/>
      <c r="S141" s="91"/>
      <c r="T141" s="53"/>
      <c r="U141" s="91"/>
      <c r="V141" s="43">
        <v>8000.0</v>
      </c>
      <c r="W141" s="2">
        <v>1000.0</v>
      </c>
    </row>
    <row r="142">
      <c r="A142" s="2">
        <f t="shared" si="21"/>
        <v>813</v>
      </c>
      <c r="B142" s="2" t="s">
        <v>1479</v>
      </c>
      <c r="C142" s="2">
        <v>3.0</v>
      </c>
      <c r="D142" s="2" t="s">
        <v>1481</v>
      </c>
      <c r="F142" s="101"/>
      <c r="G142" s="101"/>
      <c r="H142" s="53"/>
      <c r="I142" s="53"/>
      <c r="J142" s="2" t="s">
        <v>1482</v>
      </c>
      <c r="K142" s="91" t="s">
        <v>1078</v>
      </c>
      <c r="L142" s="100">
        <v>1001.0</v>
      </c>
      <c r="M142" s="91" t="str">
        <f t="shared" ref="M142:M145" si="22">"1,2,3,4,5,6,7,8,9,10,11,12,13,14,15,16,17,18,19,20"</f>
        <v>1,2,3,4,5,6,7,8,9,10,11,12,13,14,15,16,17,18,19,20</v>
      </c>
      <c r="N142" s="53"/>
      <c r="O142" s="91"/>
      <c r="P142" s="91"/>
      <c r="Q142" s="91"/>
      <c r="R142" s="91"/>
      <c r="S142" s="91"/>
      <c r="T142" s="53"/>
      <c r="U142" s="91"/>
      <c r="V142" s="43">
        <v>8000.0</v>
      </c>
      <c r="W142" s="2">
        <v>1000.0</v>
      </c>
    </row>
    <row r="143">
      <c r="A143" s="2">
        <f t="shared" si="21"/>
        <v>814</v>
      </c>
      <c r="B143" s="2" t="s">
        <v>1479</v>
      </c>
      <c r="C143" s="2">
        <v>3.0</v>
      </c>
      <c r="D143" s="2" t="s">
        <v>1484</v>
      </c>
      <c r="F143" s="120"/>
      <c r="G143" s="120"/>
      <c r="H143" s="53"/>
      <c r="I143" s="53"/>
      <c r="J143" s="2" t="s">
        <v>1482</v>
      </c>
      <c r="K143" s="91" t="s">
        <v>1078</v>
      </c>
      <c r="L143" s="100">
        <v>1002.0</v>
      </c>
      <c r="M143" s="91" t="str">
        <f t="shared" si="22"/>
        <v>1,2,3,4,5,6,7,8,9,10,11,12,13,14,15,16,17,18,19,20</v>
      </c>
      <c r="N143" s="53"/>
      <c r="O143" s="91"/>
      <c r="P143" s="91"/>
      <c r="Q143" s="91"/>
      <c r="R143" s="91"/>
      <c r="S143" s="91"/>
      <c r="T143" s="53"/>
      <c r="U143" s="91"/>
      <c r="V143" s="43">
        <v>8000.0</v>
      </c>
      <c r="W143" s="2">
        <v>1000.0</v>
      </c>
    </row>
    <row r="144">
      <c r="A144" s="2">
        <f t="shared" si="21"/>
        <v>815</v>
      </c>
      <c r="B144" s="2" t="s">
        <v>1479</v>
      </c>
      <c r="C144" s="2">
        <v>3.0</v>
      </c>
      <c r="D144" s="2" t="s">
        <v>1487</v>
      </c>
      <c r="F144" s="111"/>
      <c r="G144" s="111"/>
      <c r="H144" s="53"/>
      <c r="I144" s="53"/>
      <c r="J144" s="2" t="s">
        <v>1482</v>
      </c>
      <c r="K144" s="91" t="s">
        <v>1078</v>
      </c>
      <c r="L144" s="100">
        <v>1003.0</v>
      </c>
      <c r="M144" s="91" t="str">
        <f t="shared" si="22"/>
        <v>1,2,3,4,5,6,7,8,9,10,11,12,13,14,15,16,17,18,19,20</v>
      </c>
      <c r="N144" s="53"/>
      <c r="O144" s="91"/>
      <c r="P144" s="91"/>
      <c r="Q144" s="91"/>
      <c r="R144" s="91"/>
      <c r="S144" s="91"/>
      <c r="T144" s="53"/>
      <c r="U144" s="91"/>
      <c r="V144" s="43">
        <v>8000.0</v>
      </c>
      <c r="W144" s="2">
        <v>1000.0</v>
      </c>
    </row>
    <row r="145">
      <c r="A145" s="2">
        <f t="shared" si="21"/>
        <v>816</v>
      </c>
      <c r="B145" s="2" t="s">
        <v>1479</v>
      </c>
      <c r="C145" s="2">
        <v>3.0</v>
      </c>
      <c r="D145" s="2" t="s">
        <v>1488</v>
      </c>
      <c r="F145" s="101"/>
      <c r="G145" s="101"/>
      <c r="H145" s="53"/>
      <c r="I145" s="53"/>
      <c r="J145" s="2" t="s">
        <v>1482</v>
      </c>
      <c r="K145" s="91" t="s">
        <v>1078</v>
      </c>
      <c r="L145" s="100">
        <v>1004.0</v>
      </c>
      <c r="M145" s="91" t="str">
        <f t="shared" si="22"/>
        <v>1,2,3,4,5,6,7,8,9,10,11,12,13,14,15,16,17,18,19,20</v>
      </c>
      <c r="N145" s="53"/>
      <c r="O145" s="91"/>
      <c r="P145" s="91"/>
      <c r="Q145" s="91"/>
      <c r="R145" s="91"/>
      <c r="S145" s="91"/>
      <c r="T145" s="53"/>
      <c r="U145" s="91"/>
      <c r="V145" s="43">
        <v>8000.0</v>
      </c>
      <c r="W145" s="2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3" t="s">
        <v>1566</v>
      </c>
      <c r="B1" s="3" t="s">
        <v>1567</v>
      </c>
      <c r="C1" s="3" t="s">
        <v>1568</v>
      </c>
      <c r="D1" s="3" t="s">
        <v>1569</v>
      </c>
      <c r="E1" s="2"/>
      <c r="F1" s="2"/>
    </row>
    <row r="2">
      <c r="A2" s="4" t="s">
        <v>1570</v>
      </c>
      <c r="B2" s="14" t="str">
        <f>"{map_red},{map_blue},{map_purple},{map_yellow}"</f>
        <v>{map_red},{map_blue},{map_purple},{map_yellow}</v>
      </c>
      <c r="C2" s="4">
        <v>600.0</v>
      </c>
      <c r="D2" s="14"/>
    </row>
    <row r="3">
      <c r="A3" s="4" t="s">
        <v>1571</v>
      </c>
      <c r="B3" s="14" t="str">
        <f>"{map_blue},{map_purple},{map_red},{map_yellow}"</f>
        <v>{map_blue},{map_purple},{map_red},{map_yellow}</v>
      </c>
      <c r="C3" s="2">
        <v>600.0</v>
      </c>
      <c r="D3" s="14"/>
    </row>
    <row r="4">
      <c r="A4" s="4" t="s">
        <v>1572</v>
      </c>
      <c r="B4" s="14" t="str">
        <f>"{map_red},{map_blue},{map_purple},{0}"</f>
        <v>{map_red},{map_blue},{map_purple},{0}</v>
      </c>
      <c r="C4" s="4">
        <v>1500.0</v>
      </c>
      <c r="D4" s="14"/>
    </row>
    <row r="5">
      <c r="A5" s="4" t="s">
        <v>1574</v>
      </c>
      <c r="B5" s="14" t="str">
        <f>"{map_red},{0},{map_purple},{map_yellow}"</f>
        <v>{map_red},{0},{map_purple},{map_yellow}</v>
      </c>
      <c r="C5" s="4">
        <v>2000.0</v>
      </c>
      <c r="D5" s="14"/>
    </row>
    <row r="6">
      <c r="A6" s="4" t="s">
        <v>1576</v>
      </c>
      <c r="B6" s="14" t="str">
        <f>"{map_red},{map_blue},{0},{map_yellow}"</f>
        <v>{map_red},{map_blue},{0},{map_yellow}</v>
      </c>
      <c r="C6" s="4">
        <v>2000.0</v>
      </c>
      <c r="D6" s="14"/>
    </row>
    <row r="7">
      <c r="A7" s="4" t="s">
        <v>1577</v>
      </c>
      <c r="B7" s="14" t="str">
        <f>"{map_yellow},{0},{map_blue},{0}"</f>
        <v>{map_yellow},{0},{map_blue},{0}</v>
      </c>
      <c r="C7" s="4">
        <v>1500.0</v>
      </c>
      <c r="D7" s="14"/>
    </row>
    <row r="8">
      <c r="A8" s="4" t="s">
        <v>1580</v>
      </c>
      <c r="B8" s="14" t="str">
        <f>"{map_red},{0},{map_purple},{0}"</f>
        <v>{map_red},{0},{map_purple},{0}</v>
      </c>
      <c r="C8" s="4">
        <v>1000.0</v>
      </c>
      <c r="D8" s="14"/>
    </row>
    <row r="9">
      <c r="A9" s="4" t="s">
        <v>1581</v>
      </c>
      <c r="B9" s="14" t="str">
        <f>"{0},{0},{map_purple},{map_yellow}"</f>
        <v>{0},{0},{map_purple},{map_yellow}</v>
      </c>
      <c r="C9" s="4">
        <v>800.0</v>
      </c>
      <c r="D9" s="14"/>
    </row>
    <row r="10">
      <c r="A10" s="4" t="s">
        <v>1583</v>
      </c>
      <c r="B10" s="14" t="str">
        <f>"{0},{0},{map_blue},{0}"</f>
        <v>{0},{0},{map_blue},{0}</v>
      </c>
      <c r="C10" s="4"/>
      <c r="D10" s="4">
        <v>1.0</v>
      </c>
    </row>
    <row r="11">
      <c r="A11" s="4" t="s">
        <v>1585</v>
      </c>
      <c r="B11" s="14" t="str">
        <f>"{0},{0},{map_red},{0}"</f>
        <v>{0},{0},{map_red},{0}</v>
      </c>
      <c r="C11" s="4"/>
      <c r="D11" s="4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91" t="s">
        <v>990</v>
      </c>
      <c r="B1" s="91" t="s">
        <v>469</v>
      </c>
      <c r="C1" s="91" t="s">
        <v>1625</v>
      </c>
      <c r="D1" s="2" t="s">
        <v>934</v>
      </c>
      <c r="E1" s="2" t="s">
        <v>1627</v>
      </c>
    </row>
    <row r="2">
      <c r="A2" s="91"/>
      <c r="B2" s="91" t="s">
        <v>1629</v>
      </c>
      <c r="C2" s="91"/>
      <c r="D2" s="2" t="s">
        <v>1631</v>
      </c>
      <c r="E2" s="133" t="s">
        <v>1632</v>
      </c>
    </row>
    <row r="3">
      <c r="A3" s="91">
        <v>100.0</v>
      </c>
      <c r="B3" s="91" t="s">
        <v>1634</v>
      </c>
      <c r="C3" s="91" t="s">
        <v>1635</v>
      </c>
      <c r="D3" s="2" t="s">
        <v>1636</v>
      </c>
      <c r="E3" s="133" t="s">
        <v>1637</v>
      </c>
    </row>
    <row r="4">
      <c r="A4" s="91"/>
      <c r="B4" s="91" t="s">
        <v>1629</v>
      </c>
      <c r="C4" s="91"/>
      <c r="D4" s="2" t="s">
        <v>1639</v>
      </c>
      <c r="E4" s="2" t="s">
        <v>1641</v>
      </c>
    </row>
    <row r="5">
      <c r="A5" s="91">
        <v>100.0</v>
      </c>
      <c r="B5" s="91" t="s">
        <v>1634</v>
      </c>
      <c r="C5" s="91" t="s">
        <v>1643</v>
      </c>
      <c r="D5" s="2" t="s">
        <v>1644</v>
      </c>
      <c r="E5" s="134" t="s">
        <v>1645</v>
      </c>
    </row>
    <row r="6">
      <c r="A6" s="91">
        <v>100.0</v>
      </c>
      <c r="B6" s="91" t="s">
        <v>1634</v>
      </c>
      <c r="C6" s="91" t="s">
        <v>1643</v>
      </c>
      <c r="D6" s="2" t="s">
        <v>1647</v>
      </c>
      <c r="E6" s="135" t="s">
        <v>1648</v>
      </c>
    </row>
    <row r="7">
      <c r="A7" s="53"/>
      <c r="B7" s="91" t="s">
        <v>1629</v>
      </c>
      <c r="C7" s="91"/>
      <c r="D7" s="2" t="s">
        <v>1650</v>
      </c>
      <c r="E7" s="2" t="s">
        <v>1651</v>
      </c>
    </row>
    <row r="8">
      <c r="A8" s="91">
        <v>100.0</v>
      </c>
      <c r="B8" s="91" t="s">
        <v>1634</v>
      </c>
      <c r="C8" s="91" t="s">
        <v>1643</v>
      </c>
      <c r="D8" s="2" t="s">
        <v>1652</v>
      </c>
      <c r="E8" s="136" t="s">
        <v>1653</v>
      </c>
    </row>
    <row r="9">
      <c r="A9" s="91"/>
      <c r="B9" s="91" t="s">
        <v>1629</v>
      </c>
      <c r="C9" s="91"/>
      <c r="D9" s="2" t="s">
        <v>1656</v>
      </c>
      <c r="E9" s="2" t="s">
        <v>1657</v>
      </c>
    </row>
    <row r="10">
      <c r="A10" s="91"/>
      <c r="B10" s="91" t="s">
        <v>1629</v>
      </c>
      <c r="C10" s="91"/>
      <c r="D10" s="2" t="s">
        <v>1659</v>
      </c>
      <c r="E10" s="2" t="s">
        <v>1660</v>
      </c>
    </row>
    <row r="11">
      <c r="A11" s="91"/>
      <c r="B11" s="91" t="s">
        <v>1629</v>
      </c>
      <c r="C11" s="91"/>
      <c r="D11" s="2" t="s">
        <v>1661</v>
      </c>
      <c r="E11" s="2" t="s">
        <v>1662</v>
      </c>
    </row>
    <row r="12">
      <c r="A12" s="91">
        <v>200.0</v>
      </c>
      <c r="B12" s="91" t="s">
        <v>1634</v>
      </c>
      <c r="C12" s="91" t="s">
        <v>1635</v>
      </c>
      <c r="D12" s="2" t="s">
        <v>1663</v>
      </c>
    </row>
    <row r="13">
      <c r="A13" s="91">
        <v>209.0</v>
      </c>
      <c r="B13" s="91" t="s">
        <v>1634</v>
      </c>
      <c r="C13" s="91" t="s">
        <v>1643</v>
      </c>
      <c r="D13" s="2" t="s">
        <v>1665</v>
      </c>
    </row>
    <row r="14">
      <c r="A14" s="91"/>
      <c r="B14" s="127" t="s">
        <v>1634</v>
      </c>
      <c r="C14" s="127" t="s">
        <v>1643</v>
      </c>
      <c r="D14" s="2" t="s">
        <v>1666</v>
      </c>
    </row>
    <row r="15">
      <c r="B15" s="5" t="s">
        <v>1634</v>
      </c>
      <c r="C15" s="38" t="s">
        <v>1635</v>
      </c>
      <c r="D15" s="2" t="s">
        <v>1668</v>
      </c>
    </row>
    <row r="16">
      <c r="A16" s="91"/>
      <c r="B16" s="5" t="s">
        <v>1634</v>
      </c>
      <c r="C16" s="5" t="s">
        <v>1643</v>
      </c>
      <c r="D16" s="2" t="s">
        <v>1670</v>
      </c>
    </row>
    <row r="17">
      <c r="A17" s="91"/>
      <c r="B17" s="5" t="s">
        <v>1634</v>
      </c>
      <c r="C17" s="5" t="s">
        <v>1643</v>
      </c>
      <c r="D17" s="2" t="s">
        <v>1671</v>
      </c>
    </row>
    <row r="18">
      <c r="A18" s="91" t="s">
        <v>1672</v>
      </c>
      <c r="B18" s="5" t="s">
        <v>1634</v>
      </c>
      <c r="C18" s="5" t="s">
        <v>1643</v>
      </c>
      <c r="D18" s="2" t="s">
        <v>1674</v>
      </c>
    </row>
    <row r="19">
      <c r="A19" s="91"/>
      <c r="B19" s="5" t="s">
        <v>1634</v>
      </c>
      <c r="C19" s="38" t="s">
        <v>1643</v>
      </c>
      <c r="D19" s="2" t="s">
        <v>1676</v>
      </c>
    </row>
    <row r="20">
      <c r="A20" s="91"/>
      <c r="B20" s="5" t="s">
        <v>1634</v>
      </c>
      <c r="C20" s="38" t="s">
        <v>1643</v>
      </c>
      <c r="D20" s="2" t="s">
        <v>1677</v>
      </c>
    </row>
    <row r="21">
      <c r="A21" s="91"/>
      <c r="B21" s="5" t="s">
        <v>1634</v>
      </c>
      <c r="C21" s="38" t="s">
        <v>1635</v>
      </c>
      <c r="D21" s="2" t="s">
        <v>1678</v>
      </c>
    </row>
    <row r="22">
      <c r="A22" s="91"/>
      <c r="B22" s="5" t="s">
        <v>1634</v>
      </c>
      <c r="C22" s="38" t="s">
        <v>1643</v>
      </c>
      <c r="D22" s="2" t="s">
        <v>1679</v>
      </c>
    </row>
    <row r="23">
      <c r="A23" s="91"/>
      <c r="B23" s="5" t="s">
        <v>1634</v>
      </c>
      <c r="C23" s="38" t="s">
        <v>1643</v>
      </c>
      <c r="D23" s="2" t="s">
        <v>1681</v>
      </c>
    </row>
    <row r="24">
      <c r="A24" s="91" t="s">
        <v>1682</v>
      </c>
      <c r="B24" s="5" t="s">
        <v>1634</v>
      </c>
      <c r="C24" s="38" t="s">
        <v>1635</v>
      </c>
      <c r="D24" s="2" t="s">
        <v>1683</v>
      </c>
    </row>
    <row r="25">
      <c r="A25" s="91"/>
      <c r="B25" s="5" t="s">
        <v>1634</v>
      </c>
      <c r="C25" s="38" t="s">
        <v>1643</v>
      </c>
      <c r="D25" s="2" t="s">
        <v>1686</v>
      </c>
    </row>
    <row r="26">
      <c r="A26" s="91"/>
      <c r="B26" s="5" t="s">
        <v>1634</v>
      </c>
      <c r="C26" s="38" t="s">
        <v>1643</v>
      </c>
      <c r="D26" s="2" t="s">
        <v>1687</v>
      </c>
    </row>
    <row r="27">
      <c r="A27" s="91"/>
      <c r="B27" s="5" t="s">
        <v>1634</v>
      </c>
      <c r="C27" s="38" t="s">
        <v>1643</v>
      </c>
      <c r="D27" s="2" t="s">
        <v>1689</v>
      </c>
    </row>
    <row r="28">
      <c r="A28" s="91"/>
      <c r="B28" s="5" t="s">
        <v>1634</v>
      </c>
      <c r="C28" s="38" t="s">
        <v>1643</v>
      </c>
      <c r="D28" s="2" t="s">
        <v>1690</v>
      </c>
    </row>
    <row r="29">
      <c r="A29" s="91"/>
      <c r="B29" s="5" t="s">
        <v>1634</v>
      </c>
      <c r="C29" s="38" t="s">
        <v>1643</v>
      </c>
      <c r="D29" s="2" t="s">
        <v>1691</v>
      </c>
    </row>
    <row r="30">
      <c r="A30" s="91" t="s">
        <v>1692</v>
      </c>
      <c r="B30" s="5" t="s">
        <v>1634</v>
      </c>
      <c r="C30" s="38" t="s">
        <v>1643</v>
      </c>
      <c r="D30" s="2" t="s">
        <v>1694</v>
      </c>
    </row>
    <row r="31">
      <c r="A31" s="91"/>
      <c r="B31" s="5" t="s">
        <v>1634</v>
      </c>
      <c r="C31" s="38" t="s">
        <v>1643</v>
      </c>
      <c r="D31" s="2" t="s">
        <v>1696</v>
      </c>
    </row>
    <row r="32">
      <c r="A32" s="91"/>
      <c r="B32" s="5" t="s">
        <v>1634</v>
      </c>
      <c r="C32" s="38" t="s">
        <v>1643</v>
      </c>
      <c r="D32" s="2" t="s">
        <v>1698</v>
      </c>
    </row>
    <row r="33">
      <c r="A33" s="91"/>
      <c r="B33" s="5" t="s">
        <v>1634</v>
      </c>
      <c r="C33" s="38" t="s">
        <v>1643</v>
      </c>
      <c r="D33" s="2" t="s">
        <v>1699</v>
      </c>
    </row>
    <row r="34">
      <c r="A34" s="91"/>
      <c r="B34" s="5" t="s">
        <v>1634</v>
      </c>
      <c r="C34" s="38" t="s">
        <v>1643</v>
      </c>
      <c r="D34" s="2" t="s">
        <v>1700</v>
      </c>
    </row>
    <row r="35">
      <c r="A35" s="91"/>
      <c r="B35" s="5" t="s">
        <v>1634</v>
      </c>
      <c r="C35" s="38" t="s">
        <v>1643</v>
      </c>
      <c r="D35" s="2" t="s">
        <v>1701</v>
      </c>
    </row>
    <row r="36">
      <c r="A36" s="91" t="s">
        <v>1702</v>
      </c>
      <c r="B36" s="5" t="s">
        <v>1634</v>
      </c>
      <c r="C36" s="38" t="s">
        <v>1635</v>
      </c>
      <c r="D36" s="2" t="s">
        <v>1704</v>
      </c>
    </row>
    <row r="37">
      <c r="A37" s="91"/>
      <c r="B37" s="5" t="s">
        <v>1634</v>
      </c>
      <c r="C37" s="38" t="s">
        <v>1643</v>
      </c>
      <c r="D37" s="2" t="s">
        <v>1706</v>
      </c>
    </row>
    <row r="38">
      <c r="A38" s="91"/>
      <c r="B38" s="5" t="s">
        <v>1634</v>
      </c>
      <c r="C38" s="38" t="s">
        <v>1643</v>
      </c>
      <c r="D38" s="2" t="s">
        <v>1708</v>
      </c>
    </row>
    <row r="39">
      <c r="A39" s="91"/>
      <c r="B39" s="5" t="s">
        <v>1634</v>
      </c>
      <c r="C39" s="38" t="s">
        <v>1643</v>
      </c>
      <c r="D39" s="2" t="s">
        <v>1709</v>
      </c>
    </row>
    <row r="40">
      <c r="A40" s="91"/>
      <c r="B40" s="5" t="s">
        <v>1634</v>
      </c>
      <c r="C40" s="38" t="s">
        <v>1643</v>
      </c>
      <c r="D40" s="2" t="s">
        <v>1710</v>
      </c>
    </row>
    <row r="41">
      <c r="A41" s="91"/>
      <c r="B41" s="5" t="s">
        <v>1634</v>
      </c>
      <c r="C41" s="38" t="s">
        <v>1643</v>
      </c>
      <c r="D41" s="2" t="s">
        <v>1712</v>
      </c>
    </row>
    <row r="42">
      <c r="A42" s="91" t="s">
        <v>1713</v>
      </c>
      <c r="B42" s="5" t="s">
        <v>1634</v>
      </c>
      <c r="C42" s="38" t="s">
        <v>1643</v>
      </c>
      <c r="D42" s="2" t="s">
        <v>1714</v>
      </c>
    </row>
    <row r="43">
      <c r="A43" s="91"/>
      <c r="B43" s="5" t="s">
        <v>1634</v>
      </c>
      <c r="C43" s="38" t="s">
        <v>1643</v>
      </c>
      <c r="D43" s="2" t="s">
        <v>1716</v>
      </c>
    </row>
    <row r="44">
      <c r="A44" s="91"/>
      <c r="B44" s="5" t="s">
        <v>1634</v>
      </c>
      <c r="C44" s="38" t="s">
        <v>1643</v>
      </c>
      <c r="D44" s="2" t="s">
        <v>1717</v>
      </c>
    </row>
    <row r="45">
      <c r="A45" s="91"/>
      <c r="B45" s="5" t="s">
        <v>1634</v>
      </c>
      <c r="C45" s="38" t="s">
        <v>1643</v>
      </c>
      <c r="D45" s="2" t="s">
        <v>1719</v>
      </c>
    </row>
    <row r="46">
      <c r="A46" s="91"/>
      <c r="B46" s="5" t="s">
        <v>1634</v>
      </c>
      <c r="C46" s="38" t="s">
        <v>1643</v>
      </c>
      <c r="D46" s="2" t="s">
        <v>1720</v>
      </c>
    </row>
    <row r="47">
      <c r="A47" s="91"/>
      <c r="B47" s="5" t="s">
        <v>1634</v>
      </c>
      <c r="C47" s="38" t="s">
        <v>1643</v>
      </c>
      <c r="D47" s="2" t="s">
        <v>1701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2" t="s">
        <v>173</v>
      </c>
      <c r="B1" s="2" t="s">
        <v>1730</v>
      </c>
      <c r="C1" s="2" t="s">
        <v>1731</v>
      </c>
      <c r="D1" s="2" t="s">
        <v>1732</v>
      </c>
      <c r="E1" s="2" t="s">
        <v>1733</v>
      </c>
    </row>
    <row r="2">
      <c r="A2" s="2">
        <v>10.0</v>
      </c>
      <c r="B2" s="137">
        <f t="shared" ref="B2:B122" si="1">(0.4-A2*0.001)/7</f>
        <v>0.05571428571</v>
      </c>
      <c r="C2" s="39">
        <f t="shared" ref="C2:C122" si="2">D2-4</f>
        <v>7</v>
      </c>
      <c r="D2" s="39">
        <f t="shared" ref="D2:D122" si="3">11+ROUND(A2*0.04,0)</f>
        <v>11</v>
      </c>
      <c r="E2" s="39">
        <f t="shared" ref="E2:E122" si="4">round(C2/3,0)</f>
        <v>2</v>
      </c>
    </row>
    <row r="3">
      <c r="A3" s="2">
        <v>11.0</v>
      </c>
      <c r="B3" s="137">
        <f t="shared" si="1"/>
        <v>0.05557142857</v>
      </c>
      <c r="C3" s="39">
        <f t="shared" si="2"/>
        <v>7</v>
      </c>
      <c r="D3" s="39">
        <f t="shared" si="3"/>
        <v>11</v>
      </c>
      <c r="E3" s="39">
        <f t="shared" si="4"/>
        <v>2</v>
      </c>
    </row>
    <row r="4">
      <c r="A4" s="2">
        <v>12.0</v>
      </c>
      <c r="B4" s="137">
        <f t="shared" si="1"/>
        <v>0.05542857143</v>
      </c>
      <c r="C4" s="39">
        <f t="shared" si="2"/>
        <v>7</v>
      </c>
      <c r="D4" s="39">
        <f t="shared" si="3"/>
        <v>11</v>
      </c>
      <c r="E4" s="39">
        <f t="shared" si="4"/>
        <v>2</v>
      </c>
    </row>
    <row r="5">
      <c r="A5" s="2">
        <v>13.0</v>
      </c>
      <c r="B5" s="137">
        <f t="shared" si="1"/>
        <v>0.05528571429</v>
      </c>
      <c r="C5" s="39">
        <f t="shared" si="2"/>
        <v>8</v>
      </c>
      <c r="D5" s="39">
        <f t="shared" si="3"/>
        <v>12</v>
      </c>
      <c r="E5" s="39">
        <f t="shared" si="4"/>
        <v>3</v>
      </c>
    </row>
    <row r="6">
      <c r="A6" s="2">
        <v>14.0</v>
      </c>
      <c r="B6" s="137">
        <f t="shared" si="1"/>
        <v>0.05514285714</v>
      </c>
      <c r="C6" s="39">
        <f t="shared" si="2"/>
        <v>8</v>
      </c>
      <c r="D6" s="39">
        <f t="shared" si="3"/>
        <v>12</v>
      </c>
      <c r="E6" s="39">
        <f t="shared" si="4"/>
        <v>3</v>
      </c>
    </row>
    <row r="7">
      <c r="A7" s="2">
        <v>15.0</v>
      </c>
      <c r="B7" s="137">
        <f t="shared" si="1"/>
        <v>0.055</v>
      </c>
      <c r="C7" s="39">
        <f t="shared" si="2"/>
        <v>8</v>
      </c>
      <c r="D7" s="39">
        <f t="shared" si="3"/>
        <v>12</v>
      </c>
      <c r="E7" s="39">
        <f t="shared" si="4"/>
        <v>3</v>
      </c>
    </row>
    <row r="8">
      <c r="A8" s="2">
        <v>16.0</v>
      </c>
      <c r="B8" s="137">
        <f t="shared" si="1"/>
        <v>0.05485714286</v>
      </c>
      <c r="C8" s="39">
        <f t="shared" si="2"/>
        <v>8</v>
      </c>
      <c r="D8" s="39">
        <f t="shared" si="3"/>
        <v>12</v>
      </c>
      <c r="E8" s="39">
        <f t="shared" si="4"/>
        <v>3</v>
      </c>
    </row>
    <row r="9">
      <c r="A9" s="2">
        <v>17.0</v>
      </c>
      <c r="B9" s="137">
        <f t="shared" si="1"/>
        <v>0.05471428571</v>
      </c>
      <c r="C9" s="39">
        <f t="shared" si="2"/>
        <v>8</v>
      </c>
      <c r="D9" s="39">
        <f t="shared" si="3"/>
        <v>12</v>
      </c>
      <c r="E9" s="39">
        <f t="shared" si="4"/>
        <v>3</v>
      </c>
    </row>
    <row r="10">
      <c r="A10" s="2">
        <v>18.0</v>
      </c>
      <c r="B10" s="137">
        <f t="shared" si="1"/>
        <v>0.05457142857</v>
      </c>
      <c r="C10" s="39">
        <f t="shared" si="2"/>
        <v>8</v>
      </c>
      <c r="D10" s="39">
        <f t="shared" si="3"/>
        <v>12</v>
      </c>
      <c r="E10" s="39">
        <f t="shared" si="4"/>
        <v>3</v>
      </c>
    </row>
    <row r="11">
      <c r="A11" s="2">
        <v>19.0</v>
      </c>
      <c r="B11" s="137">
        <f t="shared" si="1"/>
        <v>0.05442857143</v>
      </c>
      <c r="C11" s="39">
        <f t="shared" si="2"/>
        <v>8</v>
      </c>
      <c r="D11" s="39">
        <f t="shared" si="3"/>
        <v>12</v>
      </c>
      <c r="E11" s="39">
        <f t="shared" si="4"/>
        <v>3</v>
      </c>
    </row>
    <row r="12">
      <c r="A12" s="2">
        <v>20.0</v>
      </c>
      <c r="B12" s="137">
        <f t="shared" si="1"/>
        <v>0.05428571429</v>
      </c>
      <c r="C12" s="39">
        <f t="shared" si="2"/>
        <v>8</v>
      </c>
      <c r="D12" s="39">
        <f t="shared" si="3"/>
        <v>12</v>
      </c>
      <c r="E12" s="39">
        <f t="shared" si="4"/>
        <v>3</v>
      </c>
    </row>
    <row r="13">
      <c r="A13" s="2">
        <v>21.0</v>
      </c>
      <c r="B13" s="137">
        <f t="shared" si="1"/>
        <v>0.05414285714</v>
      </c>
      <c r="C13" s="39">
        <f t="shared" si="2"/>
        <v>8</v>
      </c>
      <c r="D13" s="39">
        <f t="shared" si="3"/>
        <v>12</v>
      </c>
      <c r="E13" s="39">
        <f t="shared" si="4"/>
        <v>3</v>
      </c>
    </row>
    <row r="14">
      <c r="A14" s="2">
        <v>22.0</v>
      </c>
      <c r="B14" s="137">
        <f t="shared" si="1"/>
        <v>0.054</v>
      </c>
      <c r="C14" s="39">
        <f t="shared" si="2"/>
        <v>8</v>
      </c>
      <c r="D14" s="39">
        <f t="shared" si="3"/>
        <v>12</v>
      </c>
      <c r="E14" s="39">
        <f t="shared" si="4"/>
        <v>3</v>
      </c>
    </row>
    <row r="15">
      <c r="A15" s="2">
        <v>23.0</v>
      </c>
      <c r="B15" s="137">
        <f t="shared" si="1"/>
        <v>0.05385714286</v>
      </c>
      <c r="C15" s="39">
        <f t="shared" si="2"/>
        <v>8</v>
      </c>
      <c r="D15" s="39">
        <f t="shared" si="3"/>
        <v>12</v>
      </c>
      <c r="E15" s="39">
        <f t="shared" si="4"/>
        <v>3</v>
      </c>
    </row>
    <row r="16">
      <c r="A16" s="2">
        <v>24.0</v>
      </c>
      <c r="B16" s="137">
        <f t="shared" si="1"/>
        <v>0.05371428571</v>
      </c>
      <c r="C16" s="39">
        <f t="shared" si="2"/>
        <v>8</v>
      </c>
      <c r="D16" s="39">
        <f t="shared" si="3"/>
        <v>12</v>
      </c>
      <c r="E16" s="39">
        <f t="shared" si="4"/>
        <v>3</v>
      </c>
    </row>
    <row r="17">
      <c r="A17" s="2">
        <v>25.0</v>
      </c>
      <c r="B17" s="137">
        <f t="shared" si="1"/>
        <v>0.05357142857</v>
      </c>
      <c r="C17" s="39">
        <f t="shared" si="2"/>
        <v>8</v>
      </c>
      <c r="D17" s="39">
        <f t="shared" si="3"/>
        <v>12</v>
      </c>
      <c r="E17" s="39">
        <f t="shared" si="4"/>
        <v>3</v>
      </c>
    </row>
    <row r="18">
      <c r="A18" s="2">
        <v>26.0</v>
      </c>
      <c r="B18" s="137">
        <f t="shared" si="1"/>
        <v>0.05342857143</v>
      </c>
      <c r="C18" s="39">
        <f t="shared" si="2"/>
        <v>8</v>
      </c>
      <c r="D18" s="39">
        <f t="shared" si="3"/>
        <v>12</v>
      </c>
      <c r="E18" s="39">
        <f t="shared" si="4"/>
        <v>3</v>
      </c>
    </row>
    <row r="19">
      <c r="A19" s="2">
        <v>27.0</v>
      </c>
      <c r="B19" s="137">
        <f t="shared" si="1"/>
        <v>0.05328571429</v>
      </c>
      <c r="C19" s="39">
        <f t="shared" si="2"/>
        <v>8</v>
      </c>
      <c r="D19" s="39">
        <f t="shared" si="3"/>
        <v>12</v>
      </c>
      <c r="E19" s="39">
        <f t="shared" si="4"/>
        <v>3</v>
      </c>
    </row>
    <row r="20">
      <c r="A20" s="2">
        <v>28.0</v>
      </c>
      <c r="B20" s="137">
        <f t="shared" si="1"/>
        <v>0.05314285714</v>
      </c>
      <c r="C20" s="39">
        <f t="shared" si="2"/>
        <v>8</v>
      </c>
      <c r="D20" s="39">
        <f t="shared" si="3"/>
        <v>12</v>
      </c>
      <c r="E20" s="39">
        <f t="shared" si="4"/>
        <v>3</v>
      </c>
    </row>
    <row r="21">
      <c r="A21" s="2">
        <v>29.0</v>
      </c>
      <c r="B21" s="137">
        <f t="shared" si="1"/>
        <v>0.053</v>
      </c>
      <c r="C21" s="39">
        <f t="shared" si="2"/>
        <v>8</v>
      </c>
      <c r="D21" s="39">
        <f t="shared" si="3"/>
        <v>12</v>
      </c>
      <c r="E21" s="39">
        <f t="shared" si="4"/>
        <v>3</v>
      </c>
    </row>
    <row r="22">
      <c r="A22" s="2">
        <v>30.0</v>
      </c>
      <c r="B22" s="137">
        <f t="shared" si="1"/>
        <v>0.05285714286</v>
      </c>
      <c r="C22" s="39">
        <f t="shared" si="2"/>
        <v>8</v>
      </c>
      <c r="D22" s="39">
        <f t="shared" si="3"/>
        <v>12</v>
      </c>
      <c r="E22" s="39">
        <f t="shared" si="4"/>
        <v>3</v>
      </c>
    </row>
    <row r="23">
      <c r="A23" s="2">
        <v>31.0</v>
      </c>
      <c r="B23" s="137">
        <f t="shared" si="1"/>
        <v>0.05271428571</v>
      </c>
      <c r="C23" s="39">
        <f t="shared" si="2"/>
        <v>8</v>
      </c>
      <c r="D23" s="39">
        <f t="shared" si="3"/>
        <v>12</v>
      </c>
      <c r="E23" s="39">
        <f t="shared" si="4"/>
        <v>3</v>
      </c>
    </row>
    <row r="24">
      <c r="A24" s="2">
        <v>32.0</v>
      </c>
      <c r="B24" s="137">
        <f t="shared" si="1"/>
        <v>0.05257142857</v>
      </c>
      <c r="C24" s="39">
        <f t="shared" si="2"/>
        <v>8</v>
      </c>
      <c r="D24" s="39">
        <f t="shared" si="3"/>
        <v>12</v>
      </c>
      <c r="E24" s="39">
        <f t="shared" si="4"/>
        <v>3</v>
      </c>
    </row>
    <row r="25">
      <c r="A25" s="2">
        <v>33.0</v>
      </c>
      <c r="B25" s="137">
        <f t="shared" si="1"/>
        <v>0.05242857143</v>
      </c>
      <c r="C25" s="39">
        <f t="shared" si="2"/>
        <v>8</v>
      </c>
      <c r="D25" s="39">
        <f t="shared" si="3"/>
        <v>12</v>
      </c>
      <c r="E25" s="39">
        <f t="shared" si="4"/>
        <v>3</v>
      </c>
    </row>
    <row r="26">
      <c r="A26" s="2">
        <v>34.0</v>
      </c>
      <c r="B26" s="137">
        <f t="shared" si="1"/>
        <v>0.05228571429</v>
      </c>
      <c r="C26" s="39">
        <f t="shared" si="2"/>
        <v>8</v>
      </c>
      <c r="D26" s="39">
        <f t="shared" si="3"/>
        <v>12</v>
      </c>
      <c r="E26" s="39">
        <f t="shared" si="4"/>
        <v>3</v>
      </c>
    </row>
    <row r="27">
      <c r="A27" s="2">
        <v>35.0</v>
      </c>
      <c r="B27" s="137">
        <f t="shared" si="1"/>
        <v>0.05214285714</v>
      </c>
      <c r="C27" s="39">
        <f t="shared" si="2"/>
        <v>8</v>
      </c>
      <c r="D27" s="39">
        <f t="shared" si="3"/>
        <v>12</v>
      </c>
      <c r="E27" s="39">
        <f t="shared" si="4"/>
        <v>3</v>
      </c>
    </row>
    <row r="28">
      <c r="A28" s="2">
        <v>36.0</v>
      </c>
      <c r="B28" s="137">
        <f t="shared" si="1"/>
        <v>0.052</v>
      </c>
      <c r="C28" s="39">
        <f t="shared" si="2"/>
        <v>8</v>
      </c>
      <c r="D28" s="39">
        <f t="shared" si="3"/>
        <v>12</v>
      </c>
      <c r="E28" s="39">
        <f t="shared" si="4"/>
        <v>3</v>
      </c>
    </row>
    <row r="29">
      <c r="A29" s="2">
        <v>37.0</v>
      </c>
      <c r="B29" s="137">
        <f t="shared" si="1"/>
        <v>0.05185714286</v>
      </c>
      <c r="C29" s="39">
        <f t="shared" si="2"/>
        <v>8</v>
      </c>
      <c r="D29" s="39">
        <f t="shared" si="3"/>
        <v>12</v>
      </c>
      <c r="E29" s="39">
        <f t="shared" si="4"/>
        <v>3</v>
      </c>
    </row>
    <row r="30">
      <c r="A30" s="2">
        <v>38.0</v>
      </c>
      <c r="B30" s="137">
        <f t="shared" si="1"/>
        <v>0.05171428571</v>
      </c>
      <c r="C30" s="39">
        <f t="shared" si="2"/>
        <v>9</v>
      </c>
      <c r="D30" s="39">
        <f t="shared" si="3"/>
        <v>13</v>
      </c>
      <c r="E30" s="39">
        <f t="shared" si="4"/>
        <v>3</v>
      </c>
    </row>
    <row r="31">
      <c r="A31" s="2">
        <v>39.0</v>
      </c>
      <c r="B31" s="137">
        <f t="shared" si="1"/>
        <v>0.05157142857</v>
      </c>
      <c r="C31" s="39">
        <f t="shared" si="2"/>
        <v>9</v>
      </c>
      <c r="D31" s="39">
        <f t="shared" si="3"/>
        <v>13</v>
      </c>
      <c r="E31" s="39">
        <f t="shared" si="4"/>
        <v>3</v>
      </c>
    </row>
    <row r="32">
      <c r="A32" s="2">
        <v>40.0</v>
      </c>
      <c r="B32" s="137">
        <f t="shared" si="1"/>
        <v>0.05142857143</v>
      </c>
      <c r="C32" s="39">
        <f t="shared" si="2"/>
        <v>9</v>
      </c>
      <c r="D32" s="39">
        <f t="shared" si="3"/>
        <v>13</v>
      </c>
      <c r="E32" s="39">
        <f t="shared" si="4"/>
        <v>3</v>
      </c>
    </row>
    <row r="33">
      <c r="A33" s="2">
        <v>41.0</v>
      </c>
      <c r="B33" s="137">
        <f t="shared" si="1"/>
        <v>0.05128571429</v>
      </c>
      <c r="C33" s="39">
        <f t="shared" si="2"/>
        <v>9</v>
      </c>
      <c r="D33" s="39">
        <f t="shared" si="3"/>
        <v>13</v>
      </c>
      <c r="E33" s="39">
        <f t="shared" si="4"/>
        <v>3</v>
      </c>
    </row>
    <row r="34">
      <c r="A34" s="2">
        <v>42.0</v>
      </c>
      <c r="B34" s="137">
        <f t="shared" si="1"/>
        <v>0.05114285714</v>
      </c>
      <c r="C34" s="39">
        <f t="shared" si="2"/>
        <v>9</v>
      </c>
      <c r="D34" s="39">
        <f t="shared" si="3"/>
        <v>13</v>
      </c>
      <c r="E34" s="39">
        <f t="shared" si="4"/>
        <v>3</v>
      </c>
    </row>
    <row r="35">
      <c r="A35" s="2">
        <v>43.0</v>
      </c>
      <c r="B35" s="137">
        <f t="shared" si="1"/>
        <v>0.051</v>
      </c>
      <c r="C35" s="39">
        <f t="shared" si="2"/>
        <v>9</v>
      </c>
      <c r="D35" s="39">
        <f t="shared" si="3"/>
        <v>13</v>
      </c>
      <c r="E35" s="39">
        <f t="shared" si="4"/>
        <v>3</v>
      </c>
    </row>
    <row r="36">
      <c r="A36" s="2">
        <v>44.0</v>
      </c>
      <c r="B36" s="137">
        <f t="shared" si="1"/>
        <v>0.05085714286</v>
      </c>
      <c r="C36" s="39">
        <f t="shared" si="2"/>
        <v>9</v>
      </c>
      <c r="D36" s="39">
        <f t="shared" si="3"/>
        <v>13</v>
      </c>
      <c r="E36" s="39">
        <f t="shared" si="4"/>
        <v>3</v>
      </c>
    </row>
    <row r="37">
      <c r="A37" s="2">
        <v>45.0</v>
      </c>
      <c r="B37" s="137">
        <f t="shared" si="1"/>
        <v>0.05071428571</v>
      </c>
      <c r="C37" s="39">
        <f t="shared" si="2"/>
        <v>9</v>
      </c>
      <c r="D37" s="39">
        <f t="shared" si="3"/>
        <v>13</v>
      </c>
      <c r="E37" s="39">
        <f t="shared" si="4"/>
        <v>3</v>
      </c>
    </row>
    <row r="38">
      <c r="A38" s="2">
        <v>46.0</v>
      </c>
      <c r="B38" s="137">
        <f t="shared" si="1"/>
        <v>0.05057142857</v>
      </c>
      <c r="C38" s="39">
        <f t="shared" si="2"/>
        <v>9</v>
      </c>
      <c r="D38" s="39">
        <f t="shared" si="3"/>
        <v>13</v>
      </c>
      <c r="E38" s="39">
        <f t="shared" si="4"/>
        <v>3</v>
      </c>
    </row>
    <row r="39">
      <c r="A39" s="2">
        <v>47.0</v>
      </c>
      <c r="B39" s="137">
        <f t="shared" si="1"/>
        <v>0.05042857143</v>
      </c>
      <c r="C39" s="39">
        <f t="shared" si="2"/>
        <v>9</v>
      </c>
      <c r="D39" s="39">
        <f t="shared" si="3"/>
        <v>13</v>
      </c>
      <c r="E39" s="39">
        <f t="shared" si="4"/>
        <v>3</v>
      </c>
    </row>
    <row r="40">
      <c r="A40" s="2">
        <v>48.0</v>
      </c>
      <c r="B40" s="137">
        <f t="shared" si="1"/>
        <v>0.05028571429</v>
      </c>
      <c r="C40" s="39">
        <f t="shared" si="2"/>
        <v>9</v>
      </c>
      <c r="D40" s="39">
        <f t="shared" si="3"/>
        <v>13</v>
      </c>
      <c r="E40" s="39">
        <f t="shared" si="4"/>
        <v>3</v>
      </c>
    </row>
    <row r="41">
      <c r="A41" s="2">
        <v>49.0</v>
      </c>
      <c r="B41" s="137">
        <f t="shared" si="1"/>
        <v>0.05014285714</v>
      </c>
      <c r="C41" s="39">
        <f t="shared" si="2"/>
        <v>9</v>
      </c>
      <c r="D41" s="39">
        <f t="shared" si="3"/>
        <v>13</v>
      </c>
      <c r="E41" s="39">
        <f t="shared" si="4"/>
        <v>3</v>
      </c>
    </row>
    <row r="42">
      <c r="A42" s="2">
        <v>50.0</v>
      </c>
      <c r="B42" s="137">
        <f t="shared" si="1"/>
        <v>0.05</v>
      </c>
      <c r="C42" s="39">
        <f t="shared" si="2"/>
        <v>9</v>
      </c>
      <c r="D42" s="39">
        <f t="shared" si="3"/>
        <v>13</v>
      </c>
      <c r="E42" s="39">
        <f t="shared" si="4"/>
        <v>3</v>
      </c>
    </row>
    <row r="43">
      <c r="A43" s="2">
        <v>51.0</v>
      </c>
      <c r="B43" s="137">
        <f t="shared" si="1"/>
        <v>0.04985714286</v>
      </c>
      <c r="C43" s="39">
        <f t="shared" si="2"/>
        <v>9</v>
      </c>
      <c r="D43" s="39">
        <f t="shared" si="3"/>
        <v>13</v>
      </c>
      <c r="E43" s="39">
        <f t="shared" si="4"/>
        <v>3</v>
      </c>
    </row>
    <row r="44">
      <c r="A44" s="2">
        <v>52.0</v>
      </c>
      <c r="B44" s="137">
        <f t="shared" si="1"/>
        <v>0.04971428571</v>
      </c>
      <c r="C44" s="39">
        <f t="shared" si="2"/>
        <v>9</v>
      </c>
      <c r="D44" s="39">
        <f t="shared" si="3"/>
        <v>13</v>
      </c>
      <c r="E44" s="39">
        <f t="shared" si="4"/>
        <v>3</v>
      </c>
    </row>
    <row r="45">
      <c r="A45" s="2">
        <v>53.0</v>
      </c>
      <c r="B45" s="137">
        <f t="shared" si="1"/>
        <v>0.04957142857</v>
      </c>
      <c r="C45" s="39">
        <f t="shared" si="2"/>
        <v>9</v>
      </c>
      <c r="D45" s="39">
        <f t="shared" si="3"/>
        <v>13</v>
      </c>
      <c r="E45" s="39">
        <f t="shared" si="4"/>
        <v>3</v>
      </c>
    </row>
    <row r="46">
      <c r="A46" s="2">
        <v>54.0</v>
      </c>
      <c r="B46" s="137">
        <f t="shared" si="1"/>
        <v>0.04942857143</v>
      </c>
      <c r="C46" s="39">
        <f t="shared" si="2"/>
        <v>9</v>
      </c>
      <c r="D46" s="39">
        <f t="shared" si="3"/>
        <v>13</v>
      </c>
      <c r="E46" s="39">
        <f t="shared" si="4"/>
        <v>3</v>
      </c>
    </row>
    <row r="47">
      <c r="A47" s="2">
        <v>55.0</v>
      </c>
      <c r="B47" s="137">
        <f t="shared" si="1"/>
        <v>0.04928571429</v>
      </c>
      <c r="C47" s="39">
        <f t="shared" si="2"/>
        <v>9</v>
      </c>
      <c r="D47" s="39">
        <f t="shared" si="3"/>
        <v>13</v>
      </c>
      <c r="E47" s="39">
        <f t="shared" si="4"/>
        <v>3</v>
      </c>
    </row>
    <row r="48">
      <c r="A48" s="2">
        <v>56.0</v>
      </c>
      <c r="B48" s="137">
        <f t="shared" si="1"/>
        <v>0.04914285714</v>
      </c>
      <c r="C48" s="39">
        <f t="shared" si="2"/>
        <v>9</v>
      </c>
      <c r="D48" s="39">
        <f t="shared" si="3"/>
        <v>13</v>
      </c>
      <c r="E48" s="39">
        <f t="shared" si="4"/>
        <v>3</v>
      </c>
    </row>
    <row r="49">
      <c r="A49" s="2">
        <v>57.0</v>
      </c>
      <c r="B49" s="137">
        <f t="shared" si="1"/>
        <v>0.049</v>
      </c>
      <c r="C49" s="39">
        <f t="shared" si="2"/>
        <v>9</v>
      </c>
      <c r="D49" s="39">
        <f t="shared" si="3"/>
        <v>13</v>
      </c>
      <c r="E49" s="39">
        <f t="shared" si="4"/>
        <v>3</v>
      </c>
    </row>
    <row r="50">
      <c r="A50" s="2">
        <v>58.0</v>
      </c>
      <c r="B50" s="137">
        <f t="shared" si="1"/>
        <v>0.04885714286</v>
      </c>
      <c r="C50" s="39">
        <f t="shared" si="2"/>
        <v>9</v>
      </c>
      <c r="D50" s="39">
        <f t="shared" si="3"/>
        <v>13</v>
      </c>
      <c r="E50" s="39">
        <f t="shared" si="4"/>
        <v>3</v>
      </c>
    </row>
    <row r="51">
      <c r="A51" s="2">
        <v>59.0</v>
      </c>
      <c r="B51" s="137">
        <f t="shared" si="1"/>
        <v>0.04871428571</v>
      </c>
      <c r="C51" s="39">
        <f t="shared" si="2"/>
        <v>9</v>
      </c>
      <c r="D51" s="39">
        <f t="shared" si="3"/>
        <v>13</v>
      </c>
      <c r="E51" s="39">
        <f t="shared" si="4"/>
        <v>3</v>
      </c>
    </row>
    <row r="52">
      <c r="A52" s="2">
        <v>60.0</v>
      </c>
      <c r="B52" s="137">
        <f t="shared" si="1"/>
        <v>0.04857142857</v>
      </c>
      <c r="C52" s="39">
        <f t="shared" si="2"/>
        <v>9</v>
      </c>
      <c r="D52" s="39">
        <f t="shared" si="3"/>
        <v>13</v>
      </c>
      <c r="E52" s="39">
        <f t="shared" si="4"/>
        <v>3</v>
      </c>
    </row>
    <row r="53">
      <c r="A53" s="2">
        <v>61.0</v>
      </c>
      <c r="B53" s="137">
        <f t="shared" si="1"/>
        <v>0.04842857143</v>
      </c>
      <c r="C53" s="39">
        <f t="shared" si="2"/>
        <v>9</v>
      </c>
      <c r="D53" s="39">
        <f t="shared" si="3"/>
        <v>13</v>
      </c>
      <c r="E53" s="39">
        <f t="shared" si="4"/>
        <v>3</v>
      </c>
    </row>
    <row r="54">
      <c r="A54" s="2">
        <v>62.0</v>
      </c>
      <c r="B54" s="137">
        <f t="shared" si="1"/>
        <v>0.04828571429</v>
      </c>
      <c r="C54" s="39">
        <f t="shared" si="2"/>
        <v>9</v>
      </c>
      <c r="D54" s="39">
        <f t="shared" si="3"/>
        <v>13</v>
      </c>
      <c r="E54" s="39">
        <f t="shared" si="4"/>
        <v>3</v>
      </c>
    </row>
    <row r="55">
      <c r="A55" s="2">
        <v>63.0</v>
      </c>
      <c r="B55" s="137">
        <f t="shared" si="1"/>
        <v>0.04814285714</v>
      </c>
      <c r="C55" s="39">
        <f t="shared" si="2"/>
        <v>10</v>
      </c>
      <c r="D55" s="39">
        <f t="shared" si="3"/>
        <v>14</v>
      </c>
      <c r="E55" s="39">
        <f t="shared" si="4"/>
        <v>3</v>
      </c>
    </row>
    <row r="56">
      <c r="A56" s="2">
        <v>64.0</v>
      </c>
      <c r="B56" s="137">
        <f t="shared" si="1"/>
        <v>0.048</v>
      </c>
      <c r="C56" s="39">
        <f t="shared" si="2"/>
        <v>10</v>
      </c>
      <c r="D56" s="39">
        <f t="shared" si="3"/>
        <v>14</v>
      </c>
      <c r="E56" s="39">
        <f t="shared" si="4"/>
        <v>3</v>
      </c>
    </row>
    <row r="57">
      <c r="A57" s="2">
        <v>65.0</v>
      </c>
      <c r="B57" s="137">
        <f t="shared" si="1"/>
        <v>0.04785714286</v>
      </c>
      <c r="C57" s="39">
        <f t="shared" si="2"/>
        <v>10</v>
      </c>
      <c r="D57" s="39">
        <f t="shared" si="3"/>
        <v>14</v>
      </c>
      <c r="E57" s="39">
        <f t="shared" si="4"/>
        <v>3</v>
      </c>
    </row>
    <row r="58">
      <c r="A58" s="2">
        <v>66.0</v>
      </c>
      <c r="B58" s="137">
        <f t="shared" si="1"/>
        <v>0.04771428571</v>
      </c>
      <c r="C58" s="39">
        <f t="shared" si="2"/>
        <v>10</v>
      </c>
      <c r="D58" s="39">
        <f t="shared" si="3"/>
        <v>14</v>
      </c>
      <c r="E58" s="39">
        <f t="shared" si="4"/>
        <v>3</v>
      </c>
    </row>
    <row r="59">
      <c r="A59" s="2">
        <v>67.0</v>
      </c>
      <c r="B59" s="137">
        <f t="shared" si="1"/>
        <v>0.04757142857</v>
      </c>
      <c r="C59" s="39">
        <f t="shared" si="2"/>
        <v>10</v>
      </c>
      <c r="D59" s="39">
        <f t="shared" si="3"/>
        <v>14</v>
      </c>
      <c r="E59" s="39">
        <f t="shared" si="4"/>
        <v>3</v>
      </c>
    </row>
    <row r="60">
      <c r="A60" s="2">
        <v>68.0</v>
      </c>
      <c r="B60" s="137">
        <f t="shared" si="1"/>
        <v>0.04742857143</v>
      </c>
      <c r="C60" s="39">
        <f t="shared" si="2"/>
        <v>10</v>
      </c>
      <c r="D60" s="39">
        <f t="shared" si="3"/>
        <v>14</v>
      </c>
      <c r="E60" s="39">
        <f t="shared" si="4"/>
        <v>3</v>
      </c>
    </row>
    <row r="61">
      <c r="A61" s="2">
        <v>69.0</v>
      </c>
      <c r="B61" s="137">
        <f t="shared" si="1"/>
        <v>0.04728571429</v>
      </c>
      <c r="C61" s="39">
        <f t="shared" si="2"/>
        <v>10</v>
      </c>
      <c r="D61" s="39">
        <f t="shared" si="3"/>
        <v>14</v>
      </c>
      <c r="E61" s="39">
        <f t="shared" si="4"/>
        <v>3</v>
      </c>
    </row>
    <row r="62">
      <c r="A62" s="2">
        <v>70.0</v>
      </c>
      <c r="B62" s="137">
        <f t="shared" si="1"/>
        <v>0.04714285714</v>
      </c>
      <c r="C62" s="39">
        <f t="shared" si="2"/>
        <v>10</v>
      </c>
      <c r="D62" s="39">
        <f t="shared" si="3"/>
        <v>14</v>
      </c>
      <c r="E62" s="39">
        <f t="shared" si="4"/>
        <v>3</v>
      </c>
    </row>
    <row r="63">
      <c r="A63" s="2">
        <v>71.0</v>
      </c>
      <c r="B63" s="137">
        <f t="shared" si="1"/>
        <v>0.047</v>
      </c>
      <c r="C63" s="39">
        <f t="shared" si="2"/>
        <v>10</v>
      </c>
      <c r="D63" s="39">
        <f t="shared" si="3"/>
        <v>14</v>
      </c>
      <c r="E63" s="39">
        <f t="shared" si="4"/>
        <v>3</v>
      </c>
    </row>
    <row r="64">
      <c r="A64" s="2">
        <v>72.0</v>
      </c>
      <c r="B64" s="137">
        <f t="shared" si="1"/>
        <v>0.04685714286</v>
      </c>
      <c r="C64" s="39">
        <f t="shared" si="2"/>
        <v>10</v>
      </c>
      <c r="D64" s="39">
        <f t="shared" si="3"/>
        <v>14</v>
      </c>
      <c r="E64" s="39">
        <f t="shared" si="4"/>
        <v>3</v>
      </c>
    </row>
    <row r="65">
      <c r="A65" s="2">
        <v>73.0</v>
      </c>
      <c r="B65" s="137">
        <f t="shared" si="1"/>
        <v>0.04671428571</v>
      </c>
      <c r="C65" s="39">
        <f t="shared" si="2"/>
        <v>10</v>
      </c>
      <c r="D65" s="39">
        <f t="shared" si="3"/>
        <v>14</v>
      </c>
      <c r="E65" s="39">
        <f t="shared" si="4"/>
        <v>3</v>
      </c>
    </row>
    <row r="66">
      <c r="A66" s="2">
        <v>74.0</v>
      </c>
      <c r="B66" s="137">
        <f t="shared" si="1"/>
        <v>0.04657142857</v>
      </c>
      <c r="C66" s="39">
        <f t="shared" si="2"/>
        <v>10</v>
      </c>
      <c r="D66" s="39">
        <f t="shared" si="3"/>
        <v>14</v>
      </c>
      <c r="E66" s="39">
        <f t="shared" si="4"/>
        <v>3</v>
      </c>
    </row>
    <row r="67">
      <c r="A67" s="2">
        <v>75.0</v>
      </c>
      <c r="B67" s="137">
        <f t="shared" si="1"/>
        <v>0.04642857143</v>
      </c>
      <c r="C67" s="39">
        <f t="shared" si="2"/>
        <v>10</v>
      </c>
      <c r="D67" s="39">
        <f t="shared" si="3"/>
        <v>14</v>
      </c>
      <c r="E67" s="39">
        <f t="shared" si="4"/>
        <v>3</v>
      </c>
    </row>
    <row r="68">
      <c r="A68" s="2">
        <v>76.0</v>
      </c>
      <c r="B68" s="137">
        <f t="shared" si="1"/>
        <v>0.04628571429</v>
      </c>
      <c r="C68" s="39">
        <f t="shared" si="2"/>
        <v>10</v>
      </c>
      <c r="D68" s="39">
        <f t="shared" si="3"/>
        <v>14</v>
      </c>
      <c r="E68" s="39">
        <f t="shared" si="4"/>
        <v>3</v>
      </c>
    </row>
    <row r="69">
      <c r="A69" s="2">
        <v>77.0</v>
      </c>
      <c r="B69" s="137">
        <f t="shared" si="1"/>
        <v>0.04614285714</v>
      </c>
      <c r="C69" s="39">
        <f t="shared" si="2"/>
        <v>10</v>
      </c>
      <c r="D69" s="39">
        <f t="shared" si="3"/>
        <v>14</v>
      </c>
      <c r="E69" s="39">
        <f t="shared" si="4"/>
        <v>3</v>
      </c>
    </row>
    <row r="70">
      <c r="A70" s="2">
        <v>78.0</v>
      </c>
      <c r="B70" s="137">
        <f t="shared" si="1"/>
        <v>0.046</v>
      </c>
      <c r="C70" s="39">
        <f t="shared" si="2"/>
        <v>10</v>
      </c>
      <c r="D70" s="39">
        <f t="shared" si="3"/>
        <v>14</v>
      </c>
      <c r="E70" s="39">
        <f t="shared" si="4"/>
        <v>3</v>
      </c>
    </row>
    <row r="71">
      <c r="A71" s="2">
        <v>79.0</v>
      </c>
      <c r="B71" s="137">
        <f t="shared" si="1"/>
        <v>0.04585714286</v>
      </c>
      <c r="C71" s="39">
        <f t="shared" si="2"/>
        <v>10</v>
      </c>
      <c r="D71" s="39">
        <f t="shared" si="3"/>
        <v>14</v>
      </c>
      <c r="E71" s="39">
        <f t="shared" si="4"/>
        <v>3</v>
      </c>
    </row>
    <row r="72">
      <c r="A72" s="2">
        <v>80.0</v>
      </c>
      <c r="B72" s="137">
        <f t="shared" si="1"/>
        <v>0.04571428571</v>
      </c>
      <c r="C72" s="39">
        <f t="shared" si="2"/>
        <v>10</v>
      </c>
      <c r="D72" s="39">
        <f t="shared" si="3"/>
        <v>14</v>
      </c>
      <c r="E72" s="39">
        <f t="shared" si="4"/>
        <v>3</v>
      </c>
    </row>
    <row r="73">
      <c r="A73" s="2">
        <v>81.0</v>
      </c>
      <c r="B73" s="137">
        <f t="shared" si="1"/>
        <v>0.04557142857</v>
      </c>
      <c r="C73" s="39">
        <f t="shared" si="2"/>
        <v>10</v>
      </c>
      <c r="D73" s="39">
        <f t="shared" si="3"/>
        <v>14</v>
      </c>
      <c r="E73" s="39">
        <f t="shared" si="4"/>
        <v>3</v>
      </c>
    </row>
    <row r="74">
      <c r="A74" s="2">
        <v>82.0</v>
      </c>
      <c r="B74" s="137">
        <f t="shared" si="1"/>
        <v>0.04542857143</v>
      </c>
      <c r="C74" s="39">
        <f t="shared" si="2"/>
        <v>10</v>
      </c>
      <c r="D74" s="39">
        <f t="shared" si="3"/>
        <v>14</v>
      </c>
      <c r="E74" s="39">
        <f t="shared" si="4"/>
        <v>3</v>
      </c>
    </row>
    <row r="75">
      <c r="A75" s="2">
        <v>83.0</v>
      </c>
      <c r="B75" s="137">
        <f t="shared" si="1"/>
        <v>0.04528571429</v>
      </c>
      <c r="C75" s="39">
        <f t="shared" si="2"/>
        <v>10</v>
      </c>
      <c r="D75" s="39">
        <f t="shared" si="3"/>
        <v>14</v>
      </c>
      <c r="E75" s="39">
        <f t="shared" si="4"/>
        <v>3</v>
      </c>
    </row>
    <row r="76">
      <c r="A76" s="2">
        <v>84.0</v>
      </c>
      <c r="B76" s="137">
        <f t="shared" si="1"/>
        <v>0.04514285714</v>
      </c>
      <c r="C76" s="39">
        <f t="shared" si="2"/>
        <v>10</v>
      </c>
      <c r="D76" s="39">
        <f t="shared" si="3"/>
        <v>14</v>
      </c>
      <c r="E76" s="39">
        <f t="shared" si="4"/>
        <v>3</v>
      </c>
    </row>
    <row r="77">
      <c r="A77" s="2">
        <v>85.0</v>
      </c>
      <c r="B77" s="137">
        <f t="shared" si="1"/>
        <v>0.045</v>
      </c>
      <c r="C77" s="39">
        <f t="shared" si="2"/>
        <v>10</v>
      </c>
      <c r="D77" s="39">
        <f t="shared" si="3"/>
        <v>14</v>
      </c>
      <c r="E77" s="39">
        <f t="shared" si="4"/>
        <v>3</v>
      </c>
    </row>
    <row r="78">
      <c r="A78" s="2">
        <v>86.0</v>
      </c>
      <c r="B78" s="137">
        <f t="shared" si="1"/>
        <v>0.04485714286</v>
      </c>
      <c r="C78" s="39">
        <f t="shared" si="2"/>
        <v>10</v>
      </c>
      <c r="D78" s="39">
        <f t="shared" si="3"/>
        <v>14</v>
      </c>
      <c r="E78" s="39">
        <f t="shared" si="4"/>
        <v>3</v>
      </c>
    </row>
    <row r="79">
      <c r="A79" s="2">
        <v>87.0</v>
      </c>
      <c r="B79" s="137">
        <f t="shared" si="1"/>
        <v>0.04471428571</v>
      </c>
      <c r="C79" s="39">
        <f t="shared" si="2"/>
        <v>10</v>
      </c>
      <c r="D79" s="39">
        <f t="shared" si="3"/>
        <v>14</v>
      </c>
      <c r="E79" s="39">
        <f t="shared" si="4"/>
        <v>3</v>
      </c>
    </row>
    <row r="80">
      <c r="A80" s="2">
        <v>88.0</v>
      </c>
      <c r="B80" s="137">
        <f t="shared" si="1"/>
        <v>0.04457142857</v>
      </c>
      <c r="C80" s="39">
        <f t="shared" si="2"/>
        <v>11</v>
      </c>
      <c r="D80" s="39">
        <f t="shared" si="3"/>
        <v>15</v>
      </c>
      <c r="E80" s="39">
        <f t="shared" si="4"/>
        <v>4</v>
      </c>
    </row>
    <row r="81">
      <c r="A81" s="2">
        <v>89.0</v>
      </c>
      <c r="B81" s="137">
        <f t="shared" si="1"/>
        <v>0.04442857143</v>
      </c>
      <c r="C81" s="39">
        <f t="shared" si="2"/>
        <v>11</v>
      </c>
      <c r="D81" s="39">
        <f t="shared" si="3"/>
        <v>15</v>
      </c>
      <c r="E81" s="39">
        <f t="shared" si="4"/>
        <v>4</v>
      </c>
    </row>
    <row r="82">
      <c r="A82" s="2">
        <v>90.0</v>
      </c>
      <c r="B82" s="137">
        <f t="shared" si="1"/>
        <v>0.04428571429</v>
      </c>
      <c r="C82" s="39">
        <f t="shared" si="2"/>
        <v>11</v>
      </c>
      <c r="D82" s="39">
        <f t="shared" si="3"/>
        <v>15</v>
      </c>
      <c r="E82" s="39">
        <f t="shared" si="4"/>
        <v>4</v>
      </c>
    </row>
    <row r="83">
      <c r="A83" s="2">
        <v>91.0</v>
      </c>
      <c r="B83" s="137">
        <f t="shared" si="1"/>
        <v>0.04414285714</v>
      </c>
      <c r="C83" s="39">
        <f t="shared" si="2"/>
        <v>11</v>
      </c>
      <c r="D83" s="39">
        <f t="shared" si="3"/>
        <v>15</v>
      </c>
      <c r="E83" s="39">
        <f t="shared" si="4"/>
        <v>4</v>
      </c>
    </row>
    <row r="84">
      <c r="A84" s="2">
        <v>92.0</v>
      </c>
      <c r="B84" s="137">
        <f t="shared" si="1"/>
        <v>0.044</v>
      </c>
      <c r="C84" s="39">
        <f t="shared" si="2"/>
        <v>11</v>
      </c>
      <c r="D84" s="39">
        <f t="shared" si="3"/>
        <v>15</v>
      </c>
      <c r="E84" s="39">
        <f t="shared" si="4"/>
        <v>4</v>
      </c>
    </row>
    <row r="85">
      <c r="A85" s="2">
        <v>93.0</v>
      </c>
      <c r="B85" s="137">
        <f t="shared" si="1"/>
        <v>0.04385714286</v>
      </c>
      <c r="C85" s="39">
        <f t="shared" si="2"/>
        <v>11</v>
      </c>
      <c r="D85" s="39">
        <f t="shared" si="3"/>
        <v>15</v>
      </c>
      <c r="E85" s="39">
        <f t="shared" si="4"/>
        <v>4</v>
      </c>
    </row>
    <row r="86">
      <c r="A86" s="2">
        <v>94.0</v>
      </c>
      <c r="B86" s="137">
        <f t="shared" si="1"/>
        <v>0.04371428571</v>
      </c>
      <c r="C86" s="39">
        <f t="shared" si="2"/>
        <v>11</v>
      </c>
      <c r="D86" s="39">
        <f t="shared" si="3"/>
        <v>15</v>
      </c>
      <c r="E86" s="39">
        <f t="shared" si="4"/>
        <v>4</v>
      </c>
    </row>
    <row r="87">
      <c r="A87" s="2">
        <v>95.0</v>
      </c>
      <c r="B87" s="137">
        <f t="shared" si="1"/>
        <v>0.04357142857</v>
      </c>
      <c r="C87" s="39">
        <f t="shared" si="2"/>
        <v>11</v>
      </c>
      <c r="D87" s="39">
        <f t="shared" si="3"/>
        <v>15</v>
      </c>
      <c r="E87" s="39">
        <f t="shared" si="4"/>
        <v>4</v>
      </c>
    </row>
    <row r="88">
      <c r="A88" s="2">
        <v>96.0</v>
      </c>
      <c r="B88" s="137">
        <f t="shared" si="1"/>
        <v>0.04342857143</v>
      </c>
      <c r="C88" s="39">
        <f t="shared" si="2"/>
        <v>11</v>
      </c>
      <c r="D88" s="39">
        <f t="shared" si="3"/>
        <v>15</v>
      </c>
      <c r="E88" s="39">
        <f t="shared" si="4"/>
        <v>4</v>
      </c>
    </row>
    <row r="89">
      <c r="A89" s="2">
        <v>97.0</v>
      </c>
      <c r="B89" s="137">
        <f t="shared" si="1"/>
        <v>0.04328571429</v>
      </c>
      <c r="C89" s="39">
        <f t="shared" si="2"/>
        <v>11</v>
      </c>
      <c r="D89" s="39">
        <f t="shared" si="3"/>
        <v>15</v>
      </c>
      <c r="E89" s="39">
        <f t="shared" si="4"/>
        <v>4</v>
      </c>
    </row>
    <row r="90">
      <c r="A90" s="2">
        <v>98.0</v>
      </c>
      <c r="B90" s="137">
        <f t="shared" si="1"/>
        <v>0.04314285714</v>
      </c>
      <c r="C90" s="39">
        <f t="shared" si="2"/>
        <v>11</v>
      </c>
      <c r="D90" s="39">
        <f t="shared" si="3"/>
        <v>15</v>
      </c>
      <c r="E90" s="39">
        <f t="shared" si="4"/>
        <v>4</v>
      </c>
    </row>
    <row r="91">
      <c r="A91" s="2">
        <v>99.0</v>
      </c>
      <c r="B91" s="137">
        <f t="shared" si="1"/>
        <v>0.043</v>
      </c>
      <c r="C91" s="39">
        <f t="shared" si="2"/>
        <v>11</v>
      </c>
      <c r="D91" s="39">
        <f t="shared" si="3"/>
        <v>15</v>
      </c>
      <c r="E91" s="39">
        <f t="shared" si="4"/>
        <v>4</v>
      </c>
    </row>
    <row r="92">
      <c r="A92" s="2">
        <v>100.0</v>
      </c>
      <c r="B92" s="137">
        <f t="shared" si="1"/>
        <v>0.04285714286</v>
      </c>
      <c r="C92" s="39">
        <f t="shared" si="2"/>
        <v>11</v>
      </c>
      <c r="D92" s="39">
        <f t="shared" si="3"/>
        <v>15</v>
      </c>
      <c r="E92" s="39">
        <f t="shared" si="4"/>
        <v>4</v>
      </c>
    </row>
    <row r="93">
      <c r="A93" s="2">
        <v>101.0</v>
      </c>
      <c r="B93" s="137">
        <f t="shared" si="1"/>
        <v>0.04271428571</v>
      </c>
      <c r="C93" s="39">
        <f t="shared" si="2"/>
        <v>11</v>
      </c>
      <c r="D93" s="39">
        <f t="shared" si="3"/>
        <v>15</v>
      </c>
      <c r="E93" s="39">
        <f t="shared" si="4"/>
        <v>4</v>
      </c>
    </row>
    <row r="94">
      <c r="A94" s="2">
        <v>102.0</v>
      </c>
      <c r="B94" s="137">
        <f t="shared" si="1"/>
        <v>0.04257142857</v>
      </c>
      <c r="C94" s="39">
        <f t="shared" si="2"/>
        <v>11</v>
      </c>
      <c r="D94" s="39">
        <f t="shared" si="3"/>
        <v>15</v>
      </c>
      <c r="E94" s="39">
        <f t="shared" si="4"/>
        <v>4</v>
      </c>
    </row>
    <row r="95">
      <c r="A95" s="2">
        <v>103.0</v>
      </c>
      <c r="B95" s="137">
        <f t="shared" si="1"/>
        <v>0.04242857143</v>
      </c>
      <c r="C95" s="39">
        <f t="shared" si="2"/>
        <v>11</v>
      </c>
      <c r="D95" s="39">
        <f t="shared" si="3"/>
        <v>15</v>
      </c>
      <c r="E95" s="39">
        <f t="shared" si="4"/>
        <v>4</v>
      </c>
    </row>
    <row r="96">
      <c r="A96" s="2">
        <v>104.0</v>
      </c>
      <c r="B96" s="137">
        <f t="shared" si="1"/>
        <v>0.04228571429</v>
      </c>
      <c r="C96" s="39">
        <f t="shared" si="2"/>
        <v>11</v>
      </c>
      <c r="D96" s="39">
        <f t="shared" si="3"/>
        <v>15</v>
      </c>
      <c r="E96" s="39">
        <f t="shared" si="4"/>
        <v>4</v>
      </c>
    </row>
    <row r="97">
      <c r="A97" s="2">
        <v>105.0</v>
      </c>
      <c r="B97" s="137">
        <f t="shared" si="1"/>
        <v>0.04214285714</v>
      </c>
      <c r="C97" s="39">
        <f t="shared" si="2"/>
        <v>11</v>
      </c>
      <c r="D97" s="39">
        <f t="shared" si="3"/>
        <v>15</v>
      </c>
      <c r="E97" s="39">
        <f t="shared" si="4"/>
        <v>4</v>
      </c>
    </row>
    <row r="98">
      <c r="A98" s="2">
        <v>106.0</v>
      </c>
      <c r="B98" s="137">
        <f t="shared" si="1"/>
        <v>0.042</v>
      </c>
      <c r="C98" s="39">
        <f t="shared" si="2"/>
        <v>11</v>
      </c>
      <c r="D98" s="39">
        <f t="shared" si="3"/>
        <v>15</v>
      </c>
      <c r="E98" s="39">
        <f t="shared" si="4"/>
        <v>4</v>
      </c>
    </row>
    <row r="99">
      <c r="A99" s="2">
        <v>107.0</v>
      </c>
      <c r="B99" s="137">
        <f t="shared" si="1"/>
        <v>0.04185714286</v>
      </c>
      <c r="C99" s="39">
        <f t="shared" si="2"/>
        <v>11</v>
      </c>
      <c r="D99" s="39">
        <f t="shared" si="3"/>
        <v>15</v>
      </c>
      <c r="E99" s="39">
        <f t="shared" si="4"/>
        <v>4</v>
      </c>
    </row>
    <row r="100">
      <c r="A100" s="2">
        <v>108.0</v>
      </c>
      <c r="B100" s="137">
        <f t="shared" si="1"/>
        <v>0.04171428571</v>
      </c>
      <c r="C100" s="39">
        <f t="shared" si="2"/>
        <v>11</v>
      </c>
      <c r="D100" s="39">
        <f t="shared" si="3"/>
        <v>15</v>
      </c>
      <c r="E100" s="39">
        <f t="shared" si="4"/>
        <v>4</v>
      </c>
    </row>
    <row r="101">
      <c r="A101" s="2">
        <v>109.0</v>
      </c>
      <c r="B101" s="137">
        <f t="shared" si="1"/>
        <v>0.04157142857</v>
      </c>
      <c r="C101" s="39">
        <f t="shared" si="2"/>
        <v>11</v>
      </c>
      <c r="D101" s="39">
        <f t="shared" si="3"/>
        <v>15</v>
      </c>
      <c r="E101" s="39">
        <f t="shared" si="4"/>
        <v>4</v>
      </c>
    </row>
    <row r="102">
      <c r="A102" s="2">
        <v>110.0</v>
      </c>
      <c r="B102" s="137">
        <f t="shared" si="1"/>
        <v>0.04142857143</v>
      </c>
      <c r="C102" s="39">
        <f t="shared" si="2"/>
        <v>11</v>
      </c>
      <c r="D102" s="39">
        <f t="shared" si="3"/>
        <v>15</v>
      </c>
      <c r="E102" s="39">
        <f t="shared" si="4"/>
        <v>4</v>
      </c>
    </row>
    <row r="103">
      <c r="A103" s="2">
        <v>111.0</v>
      </c>
      <c r="B103" s="137">
        <f t="shared" si="1"/>
        <v>0.04128571429</v>
      </c>
      <c r="C103" s="39">
        <f t="shared" si="2"/>
        <v>11</v>
      </c>
      <c r="D103" s="39">
        <f t="shared" si="3"/>
        <v>15</v>
      </c>
      <c r="E103" s="39">
        <f t="shared" si="4"/>
        <v>4</v>
      </c>
    </row>
    <row r="104">
      <c r="A104" s="2">
        <v>112.0</v>
      </c>
      <c r="B104" s="137">
        <f t="shared" si="1"/>
        <v>0.04114285714</v>
      </c>
      <c r="C104" s="39">
        <f t="shared" si="2"/>
        <v>11</v>
      </c>
      <c r="D104" s="39">
        <f t="shared" si="3"/>
        <v>15</v>
      </c>
      <c r="E104" s="39">
        <f t="shared" si="4"/>
        <v>4</v>
      </c>
    </row>
    <row r="105">
      <c r="A105" s="2">
        <v>113.0</v>
      </c>
      <c r="B105" s="137">
        <f t="shared" si="1"/>
        <v>0.041</v>
      </c>
      <c r="C105" s="39">
        <f t="shared" si="2"/>
        <v>12</v>
      </c>
      <c r="D105" s="39">
        <f t="shared" si="3"/>
        <v>16</v>
      </c>
      <c r="E105" s="39">
        <f t="shared" si="4"/>
        <v>4</v>
      </c>
    </row>
    <row r="106">
      <c r="A106" s="2">
        <v>114.0</v>
      </c>
      <c r="B106" s="137">
        <f t="shared" si="1"/>
        <v>0.04085714286</v>
      </c>
      <c r="C106" s="39">
        <f t="shared" si="2"/>
        <v>12</v>
      </c>
      <c r="D106" s="39">
        <f t="shared" si="3"/>
        <v>16</v>
      </c>
      <c r="E106" s="39">
        <f t="shared" si="4"/>
        <v>4</v>
      </c>
    </row>
    <row r="107">
      <c r="A107" s="2">
        <v>115.0</v>
      </c>
      <c r="B107" s="137">
        <f t="shared" si="1"/>
        <v>0.04071428571</v>
      </c>
      <c r="C107" s="39">
        <f t="shared" si="2"/>
        <v>12</v>
      </c>
      <c r="D107" s="39">
        <f t="shared" si="3"/>
        <v>16</v>
      </c>
      <c r="E107" s="39">
        <f t="shared" si="4"/>
        <v>4</v>
      </c>
    </row>
    <row r="108">
      <c r="A108" s="2">
        <v>116.0</v>
      </c>
      <c r="B108" s="137">
        <f t="shared" si="1"/>
        <v>0.04057142857</v>
      </c>
      <c r="C108" s="39">
        <f t="shared" si="2"/>
        <v>12</v>
      </c>
      <c r="D108" s="39">
        <f t="shared" si="3"/>
        <v>16</v>
      </c>
      <c r="E108" s="39">
        <f t="shared" si="4"/>
        <v>4</v>
      </c>
    </row>
    <row r="109">
      <c r="A109" s="2">
        <v>117.0</v>
      </c>
      <c r="B109" s="137">
        <f t="shared" si="1"/>
        <v>0.04042857143</v>
      </c>
      <c r="C109" s="39">
        <f t="shared" si="2"/>
        <v>12</v>
      </c>
      <c r="D109" s="39">
        <f t="shared" si="3"/>
        <v>16</v>
      </c>
      <c r="E109" s="39">
        <f t="shared" si="4"/>
        <v>4</v>
      </c>
    </row>
    <row r="110">
      <c r="A110" s="2">
        <v>118.0</v>
      </c>
      <c r="B110" s="137">
        <f t="shared" si="1"/>
        <v>0.04028571429</v>
      </c>
      <c r="C110" s="39">
        <f t="shared" si="2"/>
        <v>12</v>
      </c>
      <c r="D110" s="39">
        <f t="shared" si="3"/>
        <v>16</v>
      </c>
      <c r="E110" s="39">
        <f t="shared" si="4"/>
        <v>4</v>
      </c>
    </row>
    <row r="111">
      <c r="A111" s="2">
        <v>119.0</v>
      </c>
      <c r="B111" s="137">
        <f t="shared" si="1"/>
        <v>0.04014285714</v>
      </c>
      <c r="C111" s="39">
        <f t="shared" si="2"/>
        <v>12</v>
      </c>
      <c r="D111" s="39">
        <f t="shared" si="3"/>
        <v>16</v>
      </c>
      <c r="E111" s="39">
        <f t="shared" si="4"/>
        <v>4</v>
      </c>
    </row>
    <row r="112">
      <c r="A112" s="2">
        <v>120.0</v>
      </c>
      <c r="B112" s="137">
        <f t="shared" si="1"/>
        <v>0.04</v>
      </c>
      <c r="C112" s="39">
        <f t="shared" si="2"/>
        <v>12</v>
      </c>
      <c r="D112" s="39">
        <f t="shared" si="3"/>
        <v>16</v>
      </c>
      <c r="E112" s="39">
        <f t="shared" si="4"/>
        <v>4</v>
      </c>
    </row>
    <row r="113">
      <c r="A113" s="2">
        <v>121.0</v>
      </c>
      <c r="B113" s="137">
        <f t="shared" si="1"/>
        <v>0.03985714286</v>
      </c>
      <c r="C113" s="39">
        <f t="shared" si="2"/>
        <v>12</v>
      </c>
      <c r="D113" s="39">
        <f t="shared" si="3"/>
        <v>16</v>
      </c>
      <c r="E113" s="39">
        <f t="shared" si="4"/>
        <v>4</v>
      </c>
    </row>
    <row r="114">
      <c r="A114" s="2">
        <v>122.0</v>
      </c>
      <c r="B114" s="137">
        <f t="shared" si="1"/>
        <v>0.03971428571</v>
      </c>
      <c r="C114" s="39">
        <f t="shared" si="2"/>
        <v>12</v>
      </c>
      <c r="D114" s="39">
        <f t="shared" si="3"/>
        <v>16</v>
      </c>
      <c r="E114" s="39">
        <f t="shared" si="4"/>
        <v>4</v>
      </c>
    </row>
    <row r="115">
      <c r="A115" s="2">
        <v>123.0</v>
      </c>
      <c r="B115" s="137">
        <f t="shared" si="1"/>
        <v>0.03957142857</v>
      </c>
      <c r="C115" s="39">
        <f t="shared" si="2"/>
        <v>12</v>
      </c>
      <c r="D115" s="39">
        <f t="shared" si="3"/>
        <v>16</v>
      </c>
      <c r="E115" s="39">
        <f t="shared" si="4"/>
        <v>4</v>
      </c>
    </row>
    <row r="116">
      <c r="A116" s="2">
        <v>124.0</v>
      </c>
      <c r="B116" s="137">
        <f t="shared" si="1"/>
        <v>0.03942857143</v>
      </c>
      <c r="C116" s="39">
        <f t="shared" si="2"/>
        <v>12</v>
      </c>
      <c r="D116" s="39">
        <f t="shared" si="3"/>
        <v>16</v>
      </c>
      <c r="E116" s="39">
        <f t="shared" si="4"/>
        <v>4</v>
      </c>
    </row>
    <row r="117">
      <c r="A117" s="2">
        <v>125.0</v>
      </c>
      <c r="B117" s="137">
        <f t="shared" si="1"/>
        <v>0.03928571429</v>
      </c>
      <c r="C117" s="39">
        <f t="shared" si="2"/>
        <v>12</v>
      </c>
      <c r="D117" s="39">
        <f t="shared" si="3"/>
        <v>16</v>
      </c>
      <c r="E117" s="39">
        <f t="shared" si="4"/>
        <v>4</v>
      </c>
    </row>
    <row r="118">
      <c r="A118" s="2">
        <v>126.0</v>
      </c>
      <c r="B118" s="137">
        <f t="shared" si="1"/>
        <v>0.03914285714</v>
      </c>
      <c r="C118" s="39">
        <f t="shared" si="2"/>
        <v>12</v>
      </c>
      <c r="D118" s="39">
        <f t="shared" si="3"/>
        <v>16</v>
      </c>
      <c r="E118" s="39">
        <f t="shared" si="4"/>
        <v>4</v>
      </c>
    </row>
    <row r="119">
      <c r="A119" s="2">
        <v>127.0</v>
      </c>
      <c r="B119" s="137">
        <f t="shared" si="1"/>
        <v>0.039</v>
      </c>
      <c r="C119" s="39">
        <f t="shared" si="2"/>
        <v>12</v>
      </c>
      <c r="D119" s="39">
        <f t="shared" si="3"/>
        <v>16</v>
      </c>
      <c r="E119" s="39">
        <f t="shared" si="4"/>
        <v>4</v>
      </c>
    </row>
    <row r="120">
      <c r="A120" s="2">
        <v>128.0</v>
      </c>
      <c r="B120" s="137">
        <f t="shared" si="1"/>
        <v>0.03885714286</v>
      </c>
      <c r="C120" s="39">
        <f t="shared" si="2"/>
        <v>12</v>
      </c>
      <c r="D120" s="39">
        <f t="shared" si="3"/>
        <v>16</v>
      </c>
      <c r="E120" s="39">
        <f t="shared" si="4"/>
        <v>4</v>
      </c>
    </row>
    <row r="121">
      <c r="A121" s="2">
        <v>129.0</v>
      </c>
      <c r="B121" s="137">
        <f t="shared" si="1"/>
        <v>0.03871428571</v>
      </c>
      <c r="C121" s="39">
        <f t="shared" si="2"/>
        <v>12</v>
      </c>
      <c r="D121" s="39">
        <f t="shared" si="3"/>
        <v>16</v>
      </c>
      <c r="E121" s="39">
        <f t="shared" si="4"/>
        <v>4</v>
      </c>
    </row>
    <row r="122">
      <c r="A122" s="2">
        <v>130.0</v>
      </c>
      <c r="B122" s="137">
        <f t="shared" si="1"/>
        <v>0.03857142857</v>
      </c>
      <c r="C122" s="39">
        <f t="shared" si="2"/>
        <v>12</v>
      </c>
      <c r="D122" s="39">
        <f t="shared" si="3"/>
        <v>16</v>
      </c>
      <c r="E122" s="39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1"/>
    </row>
    <row r="2">
      <c r="A2" s="40" t="s">
        <v>1764</v>
      </c>
      <c r="B2" s="40" t="s">
        <v>469</v>
      </c>
      <c r="C2" s="40" t="s">
        <v>934</v>
      </c>
      <c r="D2" s="40" t="s">
        <v>676</v>
      </c>
      <c r="E2" s="40" t="s">
        <v>538</v>
      </c>
      <c r="F2" s="40" t="s">
        <v>68</v>
      </c>
      <c r="G2" s="40" t="s">
        <v>250</v>
      </c>
      <c r="H2" s="40" t="s">
        <v>252</v>
      </c>
      <c r="I2" s="40" t="s">
        <v>254</v>
      </c>
      <c r="J2" s="40" t="s">
        <v>256</v>
      </c>
      <c r="K2" s="40" t="s">
        <v>73</v>
      </c>
      <c r="L2" s="40" t="s">
        <v>265</v>
      </c>
      <c r="M2" s="40" t="s">
        <v>1767</v>
      </c>
      <c r="N2" s="40" t="s">
        <v>1768</v>
      </c>
      <c r="O2" s="40" t="s">
        <v>1769</v>
      </c>
      <c r="P2" s="56" t="s">
        <v>1770</v>
      </c>
      <c r="Q2" s="56" t="s">
        <v>1771</v>
      </c>
      <c r="R2" s="56" t="s">
        <v>1772</v>
      </c>
    </row>
    <row r="3">
      <c r="A3" s="4"/>
      <c r="B3" s="43"/>
      <c r="C3" s="43"/>
      <c r="D3" s="43"/>
      <c r="E3" s="4"/>
      <c r="F3" s="14"/>
      <c r="G3" s="43"/>
      <c r="H3" s="14"/>
      <c r="I3" s="14"/>
      <c r="J3" s="14"/>
      <c r="K3" s="14"/>
      <c r="L3" s="14"/>
      <c r="M3" s="14"/>
      <c r="N3" s="43"/>
      <c r="O3" s="43"/>
      <c r="P3" s="63"/>
      <c r="Q3" s="63"/>
      <c r="R3" s="63"/>
    </row>
    <row r="4">
      <c r="A4" s="4">
        <v>70001.0</v>
      </c>
      <c r="B4" s="43" t="s">
        <v>1775</v>
      </c>
      <c r="C4" s="43" t="s">
        <v>1093</v>
      </c>
      <c r="D4" s="43" t="s">
        <v>43</v>
      </c>
      <c r="E4" s="4"/>
      <c r="F4" s="14"/>
      <c r="G4" s="43">
        <v>5.0</v>
      </c>
      <c r="H4" s="14"/>
      <c r="I4" s="14"/>
      <c r="J4" s="14"/>
      <c r="K4" s="14"/>
      <c r="L4" s="14"/>
      <c r="M4" s="14"/>
      <c r="N4" s="43"/>
      <c r="O4" s="43">
        <v>7001.0</v>
      </c>
      <c r="P4" s="63">
        <v>700.0</v>
      </c>
      <c r="Q4" s="63">
        <v>700.0</v>
      </c>
      <c r="R4" s="63"/>
    </row>
    <row r="5">
      <c r="A5" s="4">
        <v>70002.0</v>
      </c>
      <c r="B5" s="43" t="s">
        <v>1775</v>
      </c>
      <c r="C5" s="43" t="s">
        <v>1101</v>
      </c>
      <c r="D5" s="43" t="s">
        <v>43</v>
      </c>
      <c r="E5" s="4"/>
      <c r="F5" s="14"/>
      <c r="G5" s="57">
        <f t="shared" ref="G5:G7" si="1">G4+10</f>
        <v>15</v>
      </c>
      <c r="H5" s="14"/>
      <c r="I5" s="14"/>
      <c r="J5" s="14"/>
      <c r="K5" s="14"/>
      <c r="L5" s="14"/>
      <c r="M5" s="14" t="str">
        <f t="shared" ref="M5:M13" si="2">A4&amp;","&amp;A4&amp;","&amp;A4&amp;","&amp;A4</f>
        <v>70001,70001,70001,70001</v>
      </c>
      <c r="N5" s="43">
        <v>0.9</v>
      </c>
      <c r="O5" s="43">
        <v>7002.0</v>
      </c>
      <c r="P5" s="63">
        <v>700.0</v>
      </c>
      <c r="Q5" s="63">
        <v>700.0</v>
      </c>
      <c r="R5" s="63"/>
    </row>
    <row r="6">
      <c r="A6" s="4">
        <v>70003.0</v>
      </c>
      <c r="B6" s="43" t="s">
        <v>1775</v>
      </c>
      <c r="C6" s="43" t="s">
        <v>1107</v>
      </c>
      <c r="D6" s="43" t="s">
        <v>43</v>
      </c>
      <c r="E6" s="4"/>
      <c r="F6" s="14"/>
      <c r="G6" s="57">
        <f t="shared" si="1"/>
        <v>25</v>
      </c>
      <c r="H6" s="14"/>
      <c r="I6" s="14"/>
      <c r="J6" s="14"/>
      <c r="K6" s="14"/>
      <c r="L6" s="14"/>
      <c r="M6" s="14" t="str">
        <f t="shared" si="2"/>
        <v>70002,70002,70002,70002</v>
      </c>
      <c r="N6" s="43">
        <v>0.8</v>
      </c>
      <c r="O6" s="43">
        <v>7003.0</v>
      </c>
      <c r="P6" s="63">
        <v>700.0</v>
      </c>
      <c r="Q6" s="63">
        <v>700.0</v>
      </c>
      <c r="R6" s="63"/>
    </row>
    <row r="7">
      <c r="A7" s="4">
        <v>70004.0</v>
      </c>
      <c r="B7" s="43" t="s">
        <v>1775</v>
      </c>
      <c r="C7" s="43" t="s">
        <v>1112</v>
      </c>
      <c r="D7" s="43" t="s">
        <v>33</v>
      </c>
      <c r="E7" s="4"/>
      <c r="F7" s="14"/>
      <c r="G7" s="57">
        <f t="shared" si="1"/>
        <v>35</v>
      </c>
      <c r="H7" s="14"/>
      <c r="I7" s="14"/>
      <c r="J7" s="14"/>
      <c r="K7" s="14"/>
      <c r="L7" s="14"/>
      <c r="M7" s="14" t="str">
        <f t="shared" si="2"/>
        <v>70003,70003,70003,70003</v>
      </c>
      <c r="N7" s="43">
        <f t="shared" ref="N7:N9" si="3">N6-0.2</f>
        <v>0.6</v>
      </c>
      <c r="O7" s="43">
        <v>7004.0</v>
      </c>
      <c r="P7" s="63">
        <v>700.0</v>
      </c>
      <c r="Q7" s="63">
        <v>700.0</v>
      </c>
      <c r="R7" s="63"/>
    </row>
    <row r="8">
      <c r="A8" s="4">
        <v>70005.0</v>
      </c>
      <c r="B8" s="43" t="s">
        <v>1775</v>
      </c>
      <c r="C8" s="43" t="s">
        <v>1116</v>
      </c>
      <c r="D8" s="43" t="s">
        <v>33</v>
      </c>
      <c r="E8" s="4"/>
      <c r="F8" s="14"/>
      <c r="G8" s="57">
        <f t="shared" ref="G8:G10" si="4">G7+20</f>
        <v>55</v>
      </c>
      <c r="H8" s="14"/>
      <c r="I8" s="14"/>
      <c r="J8" s="14"/>
      <c r="K8" s="14"/>
      <c r="L8" s="14"/>
      <c r="M8" s="14" t="str">
        <f t="shared" si="2"/>
        <v>70004,70004,70004,70004</v>
      </c>
      <c r="N8" s="43">
        <f t="shared" si="3"/>
        <v>0.4</v>
      </c>
      <c r="O8" s="43">
        <v>7005.0</v>
      </c>
      <c r="P8" s="63">
        <v>700.0</v>
      </c>
      <c r="Q8" s="63">
        <v>700.0</v>
      </c>
      <c r="R8" s="63"/>
    </row>
    <row r="9">
      <c r="A9" s="4">
        <v>70006.0</v>
      </c>
      <c r="B9" s="43" t="s">
        <v>1775</v>
      </c>
      <c r="C9" s="43" t="s">
        <v>1120</v>
      </c>
      <c r="D9" s="43" t="s">
        <v>33</v>
      </c>
      <c r="E9" s="4"/>
      <c r="F9" s="14"/>
      <c r="G9" s="57">
        <f t="shared" si="4"/>
        <v>75</v>
      </c>
      <c r="H9" s="14"/>
      <c r="I9" s="14"/>
      <c r="J9" s="14"/>
      <c r="K9" s="14"/>
      <c r="L9" s="14"/>
      <c r="M9" s="14" t="str">
        <f t="shared" si="2"/>
        <v>70005,70005,70005,70005</v>
      </c>
      <c r="N9" s="43">
        <f t="shared" si="3"/>
        <v>0.2</v>
      </c>
      <c r="O9" s="43">
        <v>7006.0</v>
      </c>
      <c r="P9" s="63">
        <v>700.0</v>
      </c>
      <c r="Q9" s="63">
        <v>700.0</v>
      </c>
      <c r="R9" s="63"/>
    </row>
    <row r="10">
      <c r="A10" s="4">
        <v>70007.0</v>
      </c>
      <c r="B10" s="43" t="s">
        <v>1775</v>
      </c>
      <c r="C10" s="43" t="s">
        <v>1124</v>
      </c>
      <c r="D10" s="43" t="s">
        <v>33</v>
      </c>
      <c r="E10" s="4"/>
      <c r="F10" s="14"/>
      <c r="G10" s="57">
        <f t="shared" si="4"/>
        <v>95</v>
      </c>
      <c r="H10" s="14"/>
      <c r="I10" s="14"/>
      <c r="J10" s="14"/>
      <c r="K10" s="14"/>
      <c r="L10" s="14"/>
      <c r="M10" s="14" t="str">
        <f t="shared" si="2"/>
        <v>70006,70006,70006,70006</v>
      </c>
      <c r="N10" s="43">
        <v>0.2</v>
      </c>
      <c r="O10" s="43">
        <v>7007.0</v>
      </c>
      <c r="P10" s="63">
        <v>700.0</v>
      </c>
      <c r="Q10" s="63">
        <v>700.0</v>
      </c>
      <c r="R10" s="63"/>
    </row>
    <row r="11">
      <c r="A11" s="4">
        <v>70008.0</v>
      </c>
      <c r="B11" s="43" t="s">
        <v>1775</v>
      </c>
      <c r="C11" s="43" t="s">
        <v>1129</v>
      </c>
      <c r="D11" s="43" t="s">
        <v>15</v>
      </c>
      <c r="E11" s="4"/>
      <c r="F11" s="14"/>
      <c r="G11" s="57">
        <f t="shared" ref="G11:G13" si="5">G10+45</f>
        <v>140</v>
      </c>
      <c r="H11" s="14"/>
      <c r="I11" s="14"/>
      <c r="J11" s="14"/>
      <c r="K11" s="14"/>
      <c r="L11" s="14"/>
      <c r="M11" s="14" t="str">
        <f t="shared" si="2"/>
        <v>70007,70007,70007,70007</v>
      </c>
      <c r="N11" s="43">
        <v>0.2</v>
      </c>
      <c r="O11" s="43">
        <v>7008.0</v>
      </c>
      <c r="P11" s="63">
        <v>700.0</v>
      </c>
      <c r="Q11" s="63">
        <v>700.0</v>
      </c>
      <c r="R11" s="63"/>
    </row>
    <row r="12">
      <c r="A12" s="4">
        <v>70009.0</v>
      </c>
      <c r="B12" s="43" t="s">
        <v>1775</v>
      </c>
      <c r="C12" s="43" t="s">
        <v>1133</v>
      </c>
      <c r="D12" s="43" t="s">
        <v>15</v>
      </c>
      <c r="E12" s="4"/>
      <c r="F12" s="14"/>
      <c r="G12" s="57">
        <f t="shared" si="5"/>
        <v>185</v>
      </c>
      <c r="H12" s="14"/>
      <c r="I12" s="14"/>
      <c r="J12" s="14"/>
      <c r="K12" s="14"/>
      <c r="L12" s="14"/>
      <c r="M12" s="14" t="str">
        <f t="shared" si="2"/>
        <v>70008,70008,70008,70008</v>
      </c>
      <c r="N12" s="43">
        <v>0.2</v>
      </c>
      <c r="O12" s="43">
        <v>7009.0</v>
      </c>
      <c r="P12" s="63">
        <v>700.0</v>
      </c>
      <c r="Q12" s="63">
        <v>700.0</v>
      </c>
      <c r="R12" s="63"/>
    </row>
    <row r="13">
      <c r="A13" s="4">
        <v>70010.0</v>
      </c>
      <c r="B13" s="43" t="s">
        <v>1775</v>
      </c>
      <c r="C13" s="43" t="s">
        <v>1135</v>
      </c>
      <c r="D13" s="43" t="s">
        <v>15</v>
      </c>
      <c r="E13" s="4"/>
      <c r="F13" s="14"/>
      <c r="G13" s="57">
        <f t="shared" si="5"/>
        <v>230</v>
      </c>
      <c r="H13" s="14"/>
      <c r="I13" s="14"/>
      <c r="J13" s="14"/>
      <c r="K13" s="14"/>
      <c r="L13" s="14"/>
      <c r="M13" s="14" t="str">
        <f t="shared" si="2"/>
        <v>70009,70009,70009,70009</v>
      </c>
      <c r="N13" s="43">
        <v>0.2</v>
      </c>
      <c r="O13" s="43">
        <v>7010.0</v>
      </c>
      <c r="P13" s="63">
        <v>700.0</v>
      </c>
      <c r="Q13" s="63">
        <v>700.0</v>
      </c>
      <c r="R13" s="63"/>
    </row>
    <row r="14">
      <c r="A14" s="4">
        <v>70011.0</v>
      </c>
      <c r="B14" s="43" t="s">
        <v>1775</v>
      </c>
      <c r="C14" s="43" t="s">
        <v>1140</v>
      </c>
      <c r="D14" s="43" t="s">
        <v>43</v>
      </c>
      <c r="E14" s="4"/>
      <c r="F14" s="14"/>
      <c r="G14" s="14"/>
      <c r="H14" s="43">
        <v>8.0</v>
      </c>
      <c r="I14" s="14"/>
      <c r="J14" s="14"/>
      <c r="K14" s="14"/>
      <c r="L14" s="14"/>
      <c r="M14" s="14"/>
      <c r="N14" s="43"/>
      <c r="O14" s="43">
        <v>7011.0</v>
      </c>
      <c r="P14" s="63">
        <v>700.0</v>
      </c>
      <c r="Q14" s="63">
        <v>700.0</v>
      </c>
      <c r="R14" s="63"/>
    </row>
    <row r="15">
      <c r="A15" s="4">
        <v>70012.0</v>
      </c>
      <c r="B15" s="43" t="s">
        <v>1775</v>
      </c>
      <c r="C15" s="43" t="s">
        <v>1146</v>
      </c>
      <c r="D15" s="43" t="s">
        <v>43</v>
      </c>
      <c r="E15" s="4"/>
      <c r="F15" s="14"/>
      <c r="G15" s="14"/>
      <c r="H15" s="57">
        <f t="shared" ref="H15:H17" si="6">H14+11</f>
        <v>19</v>
      </c>
      <c r="I15" s="14"/>
      <c r="J15" s="14"/>
      <c r="K15" s="14"/>
      <c r="L15" s="14"/>
      <c r="M15" s="14" t="str">
        <f t="shared" ref="M15:M23" si="7">A14&amp;","&amp;A14&amp;","&amp;A14&amp;","&amp;A14</f>
        <v>70011,70011,70011,70011</v>
      </c>
      <c r="N15" s="43">
        <v>0.9</v>
      </c>
      <c r="O15" s="43">
        <v>7012.0</v>
      </c>
      <c r="P15" s="63">
        <v>700.0</v>
      </c>
      <c r="Q15" s="63">
        <v>700.0</v>
      </c>
      <c r="R15" s="63"/>
    </row>
    <row r="16">
      <c r="A16" s="4">
        <v>70013.0</v>
      </c>
      <c r="B16" s="43" t="s">
        <v>1775</v>
      </c>
      <c r="C16" s="43" t="s">
        <v>1151</v>
      </c>
      <c r="D16" s="43" t="s">
        <v>43</v>
      </c>
      <c r="E16" s="4"/>
      <c r="F16" s="14"/>
      <c r="G16" s="14"/>
      <c r="H16" s="57">
        <f t="shared" si="6"/>
        <v>30</v>
      </c>
      <c r="I16" s="14"/>
      <c r="J16" s="14"/>
      <c r="K16" s="14"/>
      <c r="L16" s="14"/>
      <c r="M16" s="14" t="str">
        <f t="shared" si="7"/>
        <v>70012,70012,70012,70012</v>
      </c>
      <c r="N16" s="43">
        <v>0.8</v>
      </c>
      <c r="O16" s="43">
        <v>7013.0</v>
      </c>
      <c r="P16" s="63">
        <v>700.0</v>
      </c>
      <c r="Q16" s="63">
        <v>700.0</v>
      </c>
      <c r="R16" s="63"/>
    </row>
    <row r="17">
      <c r="A17" s="4">
        <v>70014.0</v>
      </c>
      <c r="B17" s="43" t="s">
        <v>1775</v>
      </c>
      <c r="C17" s="43" t="s">
        <v>1154</v>
      </c>
      <c r="D17" s="43" t="s">
        <v>33</v>
      </c>
      <c r="E17" s="4"/>
      <c r="F17" s="14"/>
      <c r="G17" s="14"/>
      <c r="H17" s="57">
        <f t="shared" si="6"/>
        <v>41</v>
      </c>
      <c r="I17" s="14"/>
      <c r="J17" s="14"/>
      <c r="K17" s="14"/>
      <c r="L17" s="14"/>
      <c r="M17" s="14" t="str">
        <f t="shared" si="7"/>
        <v>70013,70013,70013,70013</v>
      </c>
      <c r="N17" s="43">
        <f t="shared" ref="N17:N19" si="8">N16-0.2</f>
        <v>0.6</v>
      </c>
      <c r="O17" s="43">
        <v>7014.0</v>
      </c>
      <c r="P17" s="63">
        <v>700.0</v>
      </c>
      <c r="Q17" s="63">
        <v>700.0</v>
      </c>
      <c r="R17" s="63"/>
    </row>
    <row r="18">
      <c r="A18" s="4">
        <v>70015.0</v>
      </c>
      <c r="B18" s="43" t="s">
        <v>1775</v>
      </c>
      <c r="C18" s="43" t="s">
        <v>1158</v>
      </c>
      <c r="D18" s="43" t="s">
        <v>33</v>
      </c>
      <c r="E18" s="4"/>
      <c r="F18" s="14"/>
      <c r="G18" s="14"/>
      <c r="H18" s="57">
        <f t="shared" ref="H18:H20" si="9">H17+23</f>
        <v>64</v>
      </c>
      <c r="I18" s="14"/>
      <c r="J18" s="14"/>
      <c r="K18" s="14"/>
      <c r="L18" s="14"/>
      <c r="M18" s="14" t="str">
        <f t="shared" si="7"/>
        <v>70014,70014,70014,70014</v>
      </c>
      <c r="N18" s="43">
        <f t="shared" si="8"/>
        <v>0.4</v>
      </c>
      <c r="O18" s="43">
        <v>7015.0</v>
      </c>
      <c r="P18" s="63">
        <v>700.0</v>
      </c>
      <c r="Q18" s="63">
        <v>700.0</v>
      </c>
      <c r="R18" s="63"/>
    </row>
    <row r="19">
      <c r="A19" s="4">
        <v>70016.0</v>
      </c>
      <c r="B19" s="43" t="s">
        <v>1775</v>
      </c>
      <c r="C19" s="43" t="s">
        <v>1159</v>
      </c>
      <c r="D19" s="43" t="s">
        <v>33</v>
      </c>
      <c r="E19" s="4"/>
      <c r="F19" s="14"/>
      <c r="G19" s="14"/>
      <c r="H19" s="57">
        <f t="shared" si="9"/>
        <v>87</v>
      </c>
      <c r="I19" s="14"/>
      <c r="J19" s="14"/>
      <c r="K19" s="14"/>
      <c r="L19" s="14"/>
      <c r="M19" s="14" t="str">
        <f t="shared" si="7"/>
        <v>70015,70015,70015,70015</v>
      </c>
      <c r="N19" s="43">
        <f t="shared" si="8"/>
        <v>0.2</v>
      </c>
      <c r="O19" s="43">
        <v>7016.0</v>
      </c>
      <c r="P19" s="63">
        <v>700.0</v>
      </c>
      <c r="Q19" s="63">
        <v>700.0</v>
      </c>
      <c r="R19" s="63"/>
    </row>
    <row r="20">
      <c r="A20" s="4">
        <v>70017.0</v>
      </c>
      <c r="B20" s="43" t="s">
        <v>1775</v>
      </c>
      <c r="C20" s="43" t="s">
        <v>1164</v>
      </c>
      <c r="D20" s="43" t="s">
        <v>33</v>
      </c>
      <c r="E20" s="4"/>
      <c r="F20" s="14"/>
      <c r="G20" s="14"/>
      <c r="H20" s="57">
        <f t="shared" si="9"/>
        <v>110</v>
      </c>
      <c r="I20" s="14"/>
      <c r="J20" s="14"/>
      <c r="K20" s="14"/>
      <c r="L20" s="14"/>
      <c r="M20" s="14" t="str">
        <f t="shared" si="7"/>
        <v>70016,70016,70016,70016</v>
      </c>
      <c r="N20" s="43">
        <v>0.2</v>
      </c>
      <c r="O20" s="43">
        <v>7017.0</v>
      </c>
      <c r="P20" s="63">
        <v>700.0</v>
      </c>
      <c r="Q20" s="63">
        <v>700.0</v>
      </c>
      <c r="R20" s="63"/>
    </row>
    <row r="21">
      <c r="A21" s="4">
        <v>70018.0</v>
      </c>
      <c r="B21" s="43" t="s">
        <v>1775</v>
      </c>
      <c r="C21" s="43" t="s">
        <v>1168</v>
      </c>
      <c r="D21" s="43" t="s">
        <v>15</v>
      </c>
      <c r="E21" s="4"/>
      <c r="F21" s="14"/>
      <c r="G21" s="14"/>
      <c r="H21" s="57">
        <f t="shared" ref="H21:H22" si="10">H20+48</f>
        <v>158</v>
      </c>
      <c r="I21" s="14"/>
      <c r="J21" s="14"/>
      <c r="K21" s="14"/>
      <c r="L21" s="14"/>
      <c r="M21" s="14" t="str">
        <f t="shared" si="7"/>
        <v>70017,70017,70017,70017</v>
      </c>
      <c r="N21" s="43">
        <v>0.2</v>
      </c>
      <c r="O21" s="43">
        <v>7018.0</v>
      </c>
      <c r="P21" s="63">
        <v>700.0</v>
      </c>
      <c r="Q21" s="63">
        <v>700.0</v>
      </c>
      <c r="R21" s="63"/>
    </row>
    <row r="22">
      <c r="A22" s="4">
        <v>70019.0</v>
      </c>
      <c r="B22" s="43" t="s">
        <v>1775</v>
      </c>
      <c r="C22" s="43" t="s">
        <v>1170</v>
      </c>
      <c r="D22" s="43" t="s">
        <v>15</v>
      </c>
      <c r="E22" s="4"/>
      <c r="F22" s="14"/>
      <c r="G22" s="14"/>
      <c r="H22" s="57">
        <f t="shared" si="10"/>
        <v>206</v>
      </c>
      <c r="I22" s="14"/>
      <c r="J22" s="14"/>
      <c r="K22" s="14"/>
      <c r="L22" s="14"/>
      <c r="M22" s="14" t="str">
        <f t="shared" si="7"/>
        <v>70018,70018,70018,70018</v>
      </c>
      <c r="N22" s="43">
        <v>0.2</v>
      </c>
      <c r="O22" s="43">
        <v>7019.0</v>
      </c>
      <c r="P22" s="63">
        <v>700.0</v>
      </c>
      <c r="Q22" s="63">
        <v>700.0</v>
      </c>
      <c r="R22" s="63"/>
    </row>
    <row r="23">
      <c r="A23" s="4">
        <v>70020.0</v>
      </c>
      <c r="B23" s="43" t="s">
        <v>1775</v>
      </c>
      <c r="C23" s="43" t="s">
        <v>1173</v>
      </c>
      <c r="D23" s="43" t="s">
        <v>15</v>
      </c>
      <c r="E23" s="4"/>
      <c r="F23" s="14"/>
      <c r="G23" s="14"/>
      <c r="H23" s="43">
        <v>255.0</v>
      </c>
      <c r="I23" s="14"/>
      <c r="J23" s="14"/>
      <c r="K23" s="14"/>
      <c r="L23" s="14"/>
      <c r="M23" s="14" t="str">
        <f t="shared" si="7"/>
        <v>70019,70019,70019,70019</v>
      </c>
      <c r="N23" s="43">
        <v>0.2</v>
      </c>
      <c r="O23" s="43">
        <v>7020.0</v>
      </c>
      <c r="P23" s="63">
        <v>700.0</v>
      </c>
      <c r="Q23" s="63">
        <v>700.0</v>
      </c>
      <c r="R23" s="63"/>
    </row>
    <row r="24">
      <c r="A24" s="4">
        <v>70021.0</v>
      </c>
      <c r="B24" s="43" t="s">
        <v>1775</v>
      </c>
      <c r="C24" s="43" t="s">
        <v>1174</v>
      </c>
      <c r="D24" s="43" t="s">
        <v>43</v>
      </c>
      <c r="E24" s="4"/>
      <c r="F24" s="14"/>
      <c r="G24" s="14"/>
      <c r="H24" s="14"/>
      <c r="I24" s="14"/>
      <c r="J24" s="43">
        <v>16.0</v>
      </c>
      <c r="K24" s="14"/>
      <c r="L24" s="14"/>
      <c r="M24" s="14"/>
      <c r="N24" s="43"/>
      <c r="O24" s="43">
        <v>7021.0</v>
      </c>
      <c r="P24" s="63">
        <v>700.0</v>
      </c>
      <c r="Q24" s="63">
        <v>700.0</v>
      </c>
      <c r="R24" s="63"/>
    </row>
    <row r="25">
      <c r="A25" s="4">
        <v>70022.0</v>
      </c>
      <c r="B25" s="43" t="s">
        <v>1775</v>
      </c>
      <c r="C25" s="43" t="s">
        <v>1178</v>
      </c>
      <c r="D25" s="43" t="s">
        <v>43</v>
      </c>
      <c r="E25" s="4"/>
      <c r="F25" s="14"/>
      <c r="G25" s="14"/>
      <c r="H25" s="14"/>
      <c r="I25" s="14"/>
      <c r="J25" s="57">
        <f t="shared" ref="J25:J27" si="11">J24+11</f>
        <v>27</v>
      </c>
      <c r="K25" s="14"/>
      <c r="L25" s="14"/>
      <c r="M25" s="14" t="str">
        <f t="shared" ref="M25:M33" si="12">A24&amp;","&amp;A24&amp;","&amp;A24&amp;","&amp;A24</f>
        <v>70021,70021,70021,70021</v>
      </c>
      <c r="N25" s="43">
        <v>0.9</v>
      </c>
      <c r="O25" s="43">
        <f t="shared" ref="O25:O83" si="13">O24+1</f>
        <v>7022</v>
      </c>
      <c r="P25" s="63">
        <v>700.0</v>
      </c>
      <c r="Q25" s="63">
        <v>700.0</v>
      </c>
      <c r="R25" s="63"/>
    </row>
    <row r="26">
      <c r="A26" s="4">
        <v>70023.0</v>
      </c>
      <c r="B26" s="43" t="s">
        <v>1775</v>
      </c>
      <c r="C26" s="43" t="s">
        <v>1184</v>
      </c>
      <c r="D26" s="43" t="s">
        <v>43</v>
      </c>
      <c r="E26" s="4"/>
      <c r="F26" s="14"/>
      <c r="G26" s="14"/>
      <c r="H26" s="14"/>
      <c r="I26" s="14"/>
      <c r="J26" s="57">
        <f t="shared" si="11"/>
        <v>38</v>
      </c>
      <c r="K26" s="14"/>
      <c r="L26" s="14"/>
      <c r="M26" s="14" t="str">
        <f t="shared" si="12"/>
        <v>70022,70022,70022,70022</v>
      </c>
      <c r="N26" s="43">
        <v>0.8</v>
      </c>
      <c r="O26" s="43">
        <f t="shared" si="13"/>
        <v>7023</v>
      </c>
      <c r="P26" s="63">
        <v>700.0</v>
      </c>
      <c r="Q26" s="63">
        <v>700.0</v>
      </c>
      <c r="R26" s="63"/>
    </row>
    <row r="27">
      <c r="A27" s="4">
        <v>70024.0</v>
      </c>
      <c r="B27" s="43" t="s">
        <v>1775</v>
      </c>
      <c r="C27" s="43" t="s">
        <v>1186</v>
      </c>
      <c r="D27" s="43" t="s">
        <v>33</v>
      </c>
      <c r="E27" s="4"/>
      <c r="F27" s="14"/>
      <c r="G27" s="14"/>
      <c r="H27" s="14"/>
      <c r="I27" s="14"/>
      <c r="J27" s="57">
        <f t="shared" si="11"/>
        <v>49</v>
      </c>
      <c r="K27" s="14"/>
      <c r="L27" s="14"/>
      <c r="M27" s="14" t="str">
        <f t="shared" si="12"/>
        <v>70023,70023,70023,70023</v>
      </c>
      <c r="N27" s="43">
        <f t="shared" ref="N27:N29" si="14">N26-0.2</f>
        <v>0.6</v>
      </c>
      <c r="O27" s="43">
        <f t="shared" si="13"/>
        <v>7024</v>
      </c>
      <c r="P27" s="63">
        <v>700.0</v>
      </c>
      <c r="Q27" s="63">
        <v>700.0</v>
      </c>
      <c r="R27" s="63"/>
    </row>
    <row r="28">
      <c r="A28" s="4">
        <v>70025.0</v>
      </c>
      <c r="B28" s="43" t="s">
        <v>1775</v>
      </c>
      <c r="C28" s="43" t="s">
        <v>1189</v>
      </c>
      <c r="D28" s="43" t="s">
        <v>33</v>
      </c>
      <c r="E28" s="4"/>
      <c r="F28" s="14"/>
      <c r="G28" s="14"/>
      <c r="H28" s="14"/>
      <c r="I28" s="14"/>
      <c r="J28" s="57">
        <f t="shared" ref="J28:J30" si="15">J27+23</f>
        <v>72</v>
      </c>
      <c r="K28" s="14"/>
      <c r="L28" s="14"/>
      <c r="M28" s="14" t="str">
        <f t="shared" si="12"/>
        <v>70024,70024,70024,70024</v>
      </c>
      <c r="N28" s="43">
        <f t="shared" si="14"/>
        <v>0.4</v>
      </c>
      <c r="O28" s="43">
        <f t="shared" si="13"/>
        <v>7025</v>
      </c>
      <c r="P28" s="63">
        <v>700.0</v>
      </c>
      <c r="Q28" s="63">
        <v>700.0</v>
      </c>
      <c r="R28" s="63"/>
    </row>
    <row r="29">
      <c r="A29" s="4">
        <v>70026.0</v>
      </c>
      <c r="B29" s="43" t="s">
        <v>1775</v>
      </c>
      <c r="C29" s="43" t="s">
        <v>1192</v>
      </c>
      <c r="D29" s="43" t="s">
        <v>33</v>
      </c>
      <c r="E29" s="4"/>
      <c r="F29" s="14"/>
      <c r="G29" s="14"/>
      <c r="H29" s="14"/>
      <c r="I29" s="14"/>
      <c r="J29" s="57">
        <f t="shared" si="15"/>
        <v>95</v>
      </c>
      <c r="K29" s="14"/>
      <c r="L29" s="14"/>
      <c r="M29" s="14" t="str">
        <f t="shared" si="12"/>
        <v>70025,70025,70025,70025</v>
      </c>
      <c r="N29" s="43">
        <f t="shared" si="14"/>
        <v>0.2</v>
      </c>
      <c r="O29" s="43">
        <f t="shared" si="13"/>
        <v>7026</v>
      </c>
      <c r="P29" s="63">
        <v>700.0</v>
      </c>
      <c r="Q29" s="63">
        <v>700.0</v>
      </c>
      <c r="R29" s="63"/>
    </row>
    <row r="30">
      <c r="A30" s="4">
        <v>70027.0</v>
      </c>
      <c r="B30" s="43" t="s">
        <v>1775</v>
      </c>
      <c r="C30" s="43" t="s">
        <v>1193</v>
      </c>
      <c r="D30" s="43" t="s">
        <v>33</v>
      </c>
      <c r="E30" s="4"/>
      <c r="F30" s="14"/>
      <c r="G30" s="14"/>
      <c r="H30" s="14"/>
      <c r="I30" s="14"/>
      <c r="J30" s="57">
        <f t="shared" si="15"/>
        <v>118</v>
      </c>
      <c r="K30" s="14"/>
      <c r="L30" s="14"/>
      <c r="M30" s="14" t="str">
        <f t="shared" si="12"/>
        <v>70026,70026,70026,70026</v>
      </c>
      <c r="N30" s="43">
        <v>0.2</v>
      </c>
      <c r="O30" s="43">
        <f t="shared" si="13"/>
        <v>7027</v>
      </c>
      <c r="P30" s="63">
        <v>700.0</v>
      </c>
      <c r="Q30" s="63">
        <v>700.0</v>
      </c>
      <c r="R30" s="63"/>
    </row>
    <row r="31">
      <c r="A31" s="4">
        <v>70028.0</v>
      </c>
      <c r="B31" s="43" t="s">
        <v>1775</v>
      </c>
      <c r="C31" s="43" t="s">
        <v>1198</v>
      </c>
      <c r="D31" s="43" t="s">
        <v>15</v>
      </c>
      <c r="E31" s="4"/>
      <c r="F31" s="14"/>
      <c r="G31" s="14"/>
      <c r="H31" s="14"/>
      <c r="I31" s="14"/>
      <c r="J31" s="57">
        <f t="shared" ref="J31:J32" si="16">J30+48</f>
        <v>166</v>
      </c>
      <c r="K31" s="14"/>
      <c r="L31" s="14"/>
      <c r="M31" s="14" t="str">
        <f t="shared" si="12"/>
        <v>70027,70027,70027,70027</v>
      </c>
      <c r="N31" s="43">
        <v>0.2</v>
      </c>
      <c r="O31" s="43">
        <f t="shared" si="13"/>
        <v>7028</v>
      </c>
      <c r="P31" s="63">
        <v>700.0</v>
      </c>
      <c r="Q31" s="63">
        <v>700.0</v>
      </c>
      <c r="R31" s="63"/>
    </row>
    <row r="32">
      <c r="A32" s="4">
        <v>70029.0</v>
      </c>
      <c r="B32" s="43" t="s">
        <v>1775</v>
      </c>
      <c r="C32" s="43" t="s">
        <v>1201</v>
      </c>
      <c r="D32" s="43" t="s">
        <v>15</v>
      </c>
      <c r="E32" s="4"/>
      <c r="F32" s="14"/>
      <c r="G32" s="14"/>
      <c r="H32" s="14"/>
      <c r="I32" s="14"/>
      <c r="J32" s="57">
        <f t="shared" si="16"/>
        <v>214</v>
      </c>
      <c r="K32" s="14"/>
      <c r="L32" s="14"/>
      <c r="M32" s="14" t="str">
        <f t="shared" si="12"/>
        <v>70028,70028,70028,70028</v>
      </c>
      <c r="N32" s="43">
        <v>0.2</v>
      </c>
      <c r="O32" s="43">
        <f t="shared" si="13"/>
        <v>7029</v>
      </c>
      <c r="P32" s="63">
        <v>700.0</v>
      </c>
      <c r="Q32" s="63">
        <v>700.0</v>
      </c>
      <c r="R32" s="63"/>
    </row>
    <row r="33">
      <c r="A33" s="4">
        <v>70030.0</v>
      </c>
      <c r="B33" s="43" t="s">
        <v>1775</v>
      </c>
      <c r="C33" s="43" t="s">
        <v>1203</v>
      </c>
      <c r="D33" s="43" t="s">
        <v>15</v>
      </c>
      <c r="E33" s="4"/>
      <c r="F33" s="14"/>
      <c r="G33" s="14"/>
      <c r="H33" s="14"/>
      <c r="I33" s="14"/>
      <c r="J33" s="43">
        <v>265.0</v>
      </c>
      <c r="K33" s="14"/>
      <c r="L33" s="14"/>
      <c r="M33" s="14" t="str">
        <f t="shared" si="12"/>
        <v>70029,70029,70029,70029</v>
      </c>
      <c r="N33" s="43">
        <v>0.2</v>
      </c>
      <c r="O33" s="43">
        <f t="shared" si="13"/>
        <v>7030</v>
      </c>
      <c r="P33" s="63">
        <v>700.0</v>
      </c>
      <c r="Q33" s="63">
        <v>700.0</v>
      </c>
      <c r="R33" s="63"/>
    </row>
    <row r="34">
      <c r="A34" s="4">
        <v>70031.0</v>
      </c>
      <c r="B34" s="43" t="s">
        <v>1775</v>
      </c>
      <c r="C34" s="43" t="s">
        <v>1204</v>
      </c>
      <c r="D34" s="43" t="s">
        <v>43</v>
      </c>
      <c r="E34" s="4"/>
      <c r="F34" s="14"/>
      <c r="G34" s="14"/>
      <c r="H34" s="14"/>
      <c r="I34" s="43">
        <v>10.0</v>
      </c>
      <c r="J34" s="14"/>
      <c r="K34" s="14"/>
      <c r="L34" s="14"/>
      <c r="M34" s="14"/>
      <c r="N34" s="43"/>
      <c r="O34" s="43">
        <f t="shared" si="13"/>
        <v>7031</v>
      </c>
      <c r="P34" s="63">
        <v>700.0</v>
      </c>
      <c r="Q34" s="63">
        <v>700.0</v>
      </c>
      <c r="R34" s="63"/>
    </row>
    <row r="35">
      <c r="A35" s="4">
        <v>70032.0</v>
      </c>
      <c r="B35" s="43" t="s">
        <v>1775</v>
      </c>
      <c r="C35" s="43" t="s">
        <v>1207</v>
      </c>
      <c r="D35" s="43" t="s">
        <v>43</v>
      </c>
      <c r="E35" s="4"/>
      <c r="F35" s="14"/>
      <c r="G35" s="14"/>
      <c r="H35" s="14"/>
      <c r="I35" s="57">
        <f t="shared" ref="I35:I37" si="17">I34+10</f>
        <v>20</v>
      </c>
      <c r="J35" s="14"/>
      <c r="K35" s="14"/>
      <c r="L35" s="14"/>
      <c r="M35" s="14" t="str">
        <f t="shared" ref="M35:M43" si="18">A34&amp;","&amp;A34&amp;","&amp;A34&amp;","&amp;A34</f>
        <v>70031,70031,70031,70031</v>
      </c>
      <c r="N35" s="43">
        <v>0.9</v>
      </c>
      <c r="O35" s="43">
        <f t="shared" si="13"/>
        <v>7032</v>
      </c>
      <c r="P35" s="63">
        <v>700.0</v>
      </c>
      <c r="Q35" s="63">
        <v>700.0</v>
      </c>
      <c r="R35" s="63"/>
    </row>
    <row r="36">
      <c r="A36" s="4">
        <v>70033.0</v>
      </c>
      <c r="B36" s="43" t="s">
        <v>1775</v>
      </c>
      <c r="C36" s="43" t="s">
        <v>1211</v>
      </c>
      <c r="D36" s="43" t="s">
        <v>43</v>
      </c>
      <c r="E36" s="4"/>
      <c r="F36" s="14"/>
      <c r="G36" s="14"/>
      <c r="H36" s="14"/>
      <c r="I36" s="57">
        <f t="shared" si="17"/>
        <v>30</v>
      </c>
      <c r="J36" s="14"/>
      <c r="K36" s="14"/>
      <c r="L36" s="14"/>
      <c r="M36" s="14" t="str">
        <f t="shared" si="18"/>
        <v>70032,70032,70032,70032</v>
      </c>
      <c r="N36" s="43">
        <v>0.8</v>
      </c>
      <c r="O36" s="43">
        <f t="shared" si="13"/>
        <v>7033</v>
      </c>
      <c r="P36" s="63">
        <v>700.0</v>
      </c>
      <c r="Q36" s="63">
        <v>700.0</v>
      </c>
      <c r="R36" s="63"/>
    </row>
    <row r="37">
      <c r="A37" s="4">
        <v>70034.0</v>
      </c>
      <c r="B37" s="43" t="s">
        <v>1775</v>
      </c>
      <c r="C37" s="43" t="s">
        <v>1212</v>
      </c>
      <c r="D37" s="43" t="s">
        <v>33</v>
      </c>
      <c r="E37" s="4"/>
      <c r="F37" s="14"/>
      <c r="G37" s="14"/>
      <c r="H37" s="14"/>
      <c r="I37" s="57">
        <f t="shared" si="17"/>
        <v>40</v>
      </c>
      <c r="J37" s="14"/>
      <c r="K37" s="14"/>
      <c r="L37" s="14"/>
      <c r="M37" s="14" t="str">
        <f t="shared" si="18"/>
        <v>70033,70033,70033,70033</v>
      </c>
      <c r="N37" s="43">
        <f t="shared" ref="N37:N39" si="19">N36-0.2</f>
        <v>0.6</v>
      </c>
      <c r="O37" s="43">
        <f t="shared" si="13"/>
        <v>7034</v>
      </c>
      <c r="P37" s="63">
        <v>700.0</v>
      </c>
      <c r="Q37" s="63">
        <v>700.0</v>
      </c>
      <c r="R37" s="63"/>
    </row>
    <row r="38">
      <c r="A38" s="4">
        <v>70035.0</v>
      </c>
      <c r="B38" s="43" t="s">
        <v>1775</v>
      </c>
      <c r="C38" s="43" t="s">
        <v>1214</v>
      </c>
      <c r="D38" s="43" t="s">
        <v>33</v>
      </c>
      <c r="E38" s="4"/>
      <c r="F38" s="14"/>
      <c r="G38" s="14"/>
      <c r="H38" s="14"/>
      <c r="I38" s="57">
        <f t="shared" ref="I38:I40" si="20">I37+20</f>
        <v>60</v>
      </c>
      <c r="J38" s="14"/>
      <c r="K38" s="14"/>
      <c r="L38" s="14"/>
      <c r="M38" s="14" t="str">
        <f t="shared" si="18"/>
        <v>70034,70034,70034,70034</v>
      </c>
      <c r="N38" s="43">
        <f t="shared" si="19"/>
        <v>0.4</v>
      </c>
      <c r="O38" s="43">
        <f t="shared" si="13"/>
        <v>7035</v>
      </c>
      <c r="P38" s="63">
        <v>700.0</v>
      </c>
      <c r="Q38" s="63">
        <v>700.0</v>
      </c>
      <c r="R38" s="63"/>
    </row>
    <row r="39">
      <c r="A39" s="4">
        <v>70036.0</v>
      </c>
      <c r="B39" s="43" t="s">
        <v>1775</v>
      </c>
      <c r="C39" s="43" t="s">
        <v>1217</v>
      </c>
      <c r="D39" s="43" t="s">
        <v>33</v>
      </c>
      <c r="E39" s="4"/>
      <c r="F39" s="14"/>
      <c r="G39" s="14"/>
      <c r="H39" s="14"/>
      <c r="I39" s="57">
        <f t="shared" si="20"/>
        <v>80</v>
      </c>
      <c r="J39" s="14"/>
      <c r="K39" s="14"/>
      <c r="L39" s="14"/>
      <c r="M39" s="14" t="str">
        <f t="shared" si="18"/>
        <v>70035,70035,70035,70035</v>
      </c>
      <c r="N39" s="43">
        <f t="shared" si="19"/>
        <v>0.2</v>
      </c>
      <c r="O39" s="43">
        <f t="shared" si="13"/>
        <v>7036</v>
      </c>
      <c r="P39" s="63">
        <v>700.0</v>
      </c>
      <c r="Q39" s="63">
        <v>700.0</v>
      </c>
      <c r="R39" s="63"/>
    </row>
    <row r="40">
      <c r="A40" s="4">
        <v>70037.0</v>
      </c>
      <c r="B40" s="43" t="s">
        <v>1775</v>
      </c>
      <c r="C40" s="43" t="s">
        <v>1220</v>
      </c>
      <c r="D40" s="43" t="s">
        <v>33</v>
      </c>
      <c r="E40" s="4"/>
      <c r="F40" s="14"/>
      <c r="G40" s="14"/>
      <c r="H40" s="14"/>
      <c r="I40" s="57">
        <f t="shared" si="20"/>
        <v>100</v>
      </c>
      <c r="J40" s="14"/>
      <c r="K40" s="14"/>
      <c r="L40" s="14"/>
      <c r="M40" s="14" t="str">
        <f t="shared" si="18"/>
        <v>70036,70036,70036,70036</v>
      </c>
      <c r="N40" s="43">
        <v>0.2</v>
      </c>
      <c r="O40" s="43">
        <f t="shared" si="13"/>
        <v>7037</v>
      </c>
      <c r="P40" s="63">
        <v>700.0</v>
      </c>
      <c r="Q40" s="63">
        <v>700.0</v>
      </c>
      <c r="R40" s="63"/>
    </row>
    <row r="41">
      <c r="A41" s="4">
        <v>70038.0</v>
      </c>
      <c r="B41" s="43" t="s">
        <v>1775</v>
      </c>
      <c r="C41" s="43" t="s">
        <v>1222</v>
      </c>
      <c r="D41" s="43" t="s">
        <v>15</v>
      </c>
      <c r="E41" s="4"/>
      <c r="F41" s="14"/>
      <c r="G41" s="14"/>
      <c r="H41" s="14"/>
      <c r="I41" s="57">
        <f t="shared" ref="I41:I43" si="21">I40+45</f>
        <v>145</v>
      </c>
      <c r="J41" s="14"/>
      <c r="K41" s="14"/>
      <c r="L41" s="14"/>
      <c r="M41" s="14" t="str">
        <f t="shared" si="18"/>
        <v>70037,70037,70037,70037</v>
      </c>
      <c r="N41" s="43">
        <v>0.2</v>
      </c>
      <c r="O41" s="43">
        <f t="shared" si="13"/>
        <v>7038</v>
      </c>
      <c r="P41" s="63">
        <v>700.0</v>
      </c>
      <c r="Q41" s="63">
        <v>700.0</v>
      </c>
      <c r="R41" s="63"/>
    </row>
    <row r="42">
      <c r="A42" s="4">
        <v>70039.0</v>
      </c>
      <c r="B42" s="43" t="s">
        <v>1775</v>
      </c>
      <c r="C42" s="43" t="s">
        <v>1223</v>
      </c>
      <c r="D42" s="43" t="s">
        <v>15</v>
      </c>
      <c r="E42" s="4"/>
      <c r="F42" s="14"/>
      <c r="G42" s="14"/>
      <c r="H42" s="14"/>
      <c r="I42" s="57">
        <f t="shared" si="21"/>
        <v>190</v>
      </c>
      <c r="J42" s="14"/>
      <c r="K42" s="14"/>
      <c r="L42" s="14"/>
      <c r="M42" s="14" t="str">
        <f t="shared" si="18"/>
        <v>70038,70038,70038,70038</v>
      </c>
      <c r="N42" s="43">
        <v>0.2</v>
      </c>
      <c r="O42" s="43">
        <f t="shared" si="13"/>
        <v>7039</v>
      </c>
      <c r="P42" s="63">
        <v>700.0</v>
      </c>
      <c r="Q42" s="63">
        <v>700.0</v>
      </c>
      <c r="R42" s="63"/>
    </row>
    <row r="43">
      <c r="A43" s="4">
        <v>70040.0</v>
      </c>
      <c r="B43" s="43" t="s">
        <v>1775</v>
      </c>
      <c r="C43" s="43" t="s">
        <v>1225</v>
      </c>
      <c r="D43" s="43" t="s">
        <v>15</v>
      </c>
      <c r="E43" s="4"/>
      <c r="F43" s="14"/>
      <c r="G43" s="14"/>
      <c r="H43" s="14"/>
      <c r="I43" s="57">
        <f t="shared" si="21"/>
        <v>235</v>
      </c>
      <c r="J43" s="14"/>
      <c r="K43" s="14"/>
      <c r="L43" s="14"/>
      <c r="M43" s="14" t="str">
        <f t="shared" si="18"/>
        <v>70039,70039,70039,70039</v>
      </c>
      <c r="N43" s="43">
        <v>0.2</v>
      </c>
      <c r="O43" s="43">
        <f t="shared" si="13"/>
        <v>7040</v>
      </c>
      <c r="P43" s="63">
        <v>700.0</v>
      </c>
      <c r="Q43" s="63">
        <v>700.0</v>
      </c>
      <c r="R43" s="63"/>
    </row>
    <row r="44">
      <c r="A44" s="4">
        <v>70041.0</v>
      </c>
      <c r="B44" s="43" t="s">
        <v>1775</v>
      </c>
      <c r="C44" s="43" t="s">
        <v>1228</v>
      </c>
      <c r="D44" s="43" t="s">
        <v>43</v>
      </c>
      <c r="E44" s="4"/>
      <c r="F44" s="14"/>
      <c r="G44" s="14"/>
      <c r="H44" s="14"/>
      <c r="I44" s="14"/>
      <c r="J44" s="14"/>
      <c r="K44" s="43">
        <v>30.0</v>
      </c>
      <c r="L44" s="14"/>
      <c r="M44" s="14"/>
      <c r="N44" s="43"/>
      <c r="O44" s="43">
        <f t="shared" si="13"/>
        <v>7041</v>
      </c>
      <c r="P44" s="63">
        <v>701.0</v>
      </c>
      <c r="Q44" s="63">
        <v>701.0</v>
      </c>
      <c r="R44" s="63"/>
    </row>
    <row r="45">
      <c r="A45" s="4">
        <v>70042.0</v>
      </c>
      <c r="B45" s="43" t="s">
        <v>1775</v>
      </c>
      <c r="C45" s="43" t="s">
        <v>1232</v>
      </c>
      <c r="D45" s="43" t="s">
        <v>43</v>
      </c>
      <c r="E45" s="4"/>
      <c r="F45" s="14"/>
      <c r="G45" s="14"/>
      <c r="H45" s="14"/>
      <c r="I45" s="14"/>
      <c r="J45" s="14"/>
      <c r="K45" s="57">
        <f t="shared" ref="K45:K47" si="22">K44+31</f>
        <v>61</v>
      </c>
      <c r="L45" s="14"/>
      <c r="M45" s="14" t="str">
        <f t="shared" ref="M45:M53" si="23">A44&amp;","&amp;A44&amp;","&amp;A44&amp;","&amp;A44</f>
        <v>70041,70041,70041,70041</v>
      </c>
      <c r="N45" s="43">
        <v>0.9</v>
      </c>
      <c r="O45" s="43">
        <f t="shared" si="13"/>
        <v>7042</v>
      </c>
      <c r="P45" s="63">
        <v>701.0</v>
      </c>
      <c r="Q45" s="63">
        <v>701.0</v>
      </c>
      <c r="R45" s="63"/>
    </row>
    <row r="46">
      <c r="A46" s="4">
        <v>70043.0</v>
      </c>
      <c r="B46" s="43" t="s">
        <v>1775</v>
      </c>
      <c r="C46" s="43" t="s">
        <v>1233</v>
      </c>
      <c r="D46" s="43" t="s">
        <v>43</v>
      </c>
      <c r="E46" s="4"/>
      <c r="F46" s="14"/>
      <c r="G46" s="14"/>
      <c r="H46" s="14"/>
      <c r="I46" s="14"/>
      <c r="J46" s="14"/>
      <c r="K46" s="57">
        <f t="shared" si="22"/>
        <v>92</v>
      </c>
      <c r="L46" s="14"/>
      <c r="M46" s="14" t="str">
        <f t="shared" si="23"/>
        <v>70042,70042,70042,70042</v>
      </c>
      <c r="N46" s="43">
        <v>0.8</v>
      </c>
      <c r="O46" s="43">
        <f t="shared" si="13"/>
        <v>7043</v>
      </c>
      <c r="P46" s="63">
        <v>701.0</v>
      </c>
      <c r="Q46" s="63">
        <v>701.0</v>
      </c>
      <c r="R46" s="63"/>
    </row>
    <row r="47">
      <c r="A47" s="4">
        <v>70044.0</v>
      </c>
      <c r="B47" s="43" t="s">
        <v>1775</v>
      </c>
      <c r="C47" s="43" t="s">
        <v>1237</v>
      </c>
      <c r="D47" s="43" t="s">
        <v>33</v>
      </c>
      <c r="E47" s="4"/>
      <c r="F47" s="14"/>
      <c r="G47" s="14"/>
      <c r="H47" s="14"/>
      <c r="I47" s="14"/>
      <c r="J47" s="14"/>
      <c r="K47" s="57">
        <f t="shared" si="22"/>
        <v>123</v>
      </c>
      <c r="L47" s="14"/>
      <c r="M47" s="14" t="str">
        <f t="shared" si="23"/>
        <v>70043,70043,70043,70043</v>
      </c>
      <c r="N47" s="43">
        <f t="shared" ref="N47:N49" si="24">N46-0.2</f>
        <v>0.6</v>
      </c>
      <c r="O47" s="43">
        <f t="shared" si="13"/>
        <v>7044</v>
      </c>
      <c r="P47" s="63">
        <v>701.0</v>
      </c>
      <c r="Q47" s="63">
        <v>701.0</v>
      </c>
      <c r="R47" s="63"/>
    </row>
    <row r="48">
      <c r="A48" s="4">
        <v>70045.0</v>
      </c>
      <c r="B48" s="43" t="s">
        <v>1775</v>
      </c>
      <c r="C48" s="43" t="s">
        <v>1239</v>
      </c>
      <c r="D48" s="43" t="s">
        <v>33</v>
      </c>
      <c r="E48" s="4"/>
      <c r="F48" s="14"/>
      <c r="G48" s="14"/>
      <c r="H48" s="14"/>
      <c r="I48" s="14"/>
      <c r="J48" s="14"/>
      <c r="K48" s="57">
        <f t="shared" ref="K48:K49" si="25">K47+42</f>
        <v>165</v>
      </c>
      <c r="L48" s="14"/>
      <c r="M48" s="14" t="str">
        <f t="shared" si="23"/>
        <v>70044,70044,70044,70044</v>
      </c>
      <c r="N48" s="43">
        <f t="shared" si="24"/>
        <v>0.4</v>
      </c>
      <c r="O48" s="43">
        <f t="shared" si="13"/>
        <v>7045</v>
      </c>
      <c r="P48" s="63">
        <v>701.0</v>
      </c>
      <c r="Q48" s="63">
        <v>701.0</v>
      </c>
      <c r="R48" s="63"/>
    </row>
    <row r="49">
      <c r="A49" s="4">
        <v>70046.0</v>
      </c>
      <c r="B49" s="43" t="s">
        <v>1775</v>
      </c>
      <c r="C49" s="43" t="s">
        <v>1243</v>
      </c>
      <c r="D49" s="43" t="s">
        <v>33</v>
      </c>
      <c r="E49" s="4"/>
      <c r="F49" s="14"/>
      <c r="G49" s="14"/>
      <c r="H49" s="14"/>
      <c r="I49" s="14"/>
      <c r="J49" s="14"/>
      <c r="K49" s="57">
        <f t="shared" si="25"/>
        <v>207</v>
      </c>
      <c r="L49" s="14"/>
      <c r="M49" s="14" t="str">
        <f t="shared" si="23"/>
        <v>70045,70045,70045,70045</v>
      </c>
      <c r="N49" s="43">
        <f t="shared" si="24"/>
        <v>0.2</v>
      </c>
      <c r="O49" s="43">
        <f t="shared" si="13"/>
        <v>7046</v>
      </c>
      <c r="P49" s="63">
        <v>701.0</v>
      </c>
      <c r="Q49" s="63">
        <v>701.0</v>
      </c>
      <c r="R49" s="63"/>
    </row>
    <row r="50">
      <c r="A50" s="4">
        <v>70047.0</v>
      </c>
      <c r="B50" s="43" t="s">
        <v>1775</v>
      </c>
      <c r="C50" s="43" t="s">
        <v>1247</v>
      </c>
      <c r="D50" s="43" t="s">
        <v>33</v>
      </c>
      <c r="E50" s="4"/>
      <c r="F50" s="14"/>
      <c r="G50" s="14"/>
      <c r="H50" s="14"/>
      <c r="I50" s="14"/>
      <c r="J50" s="14"/>
      <c r="K50" s="43">
        <v>250.0</v>
      </c>
      <c r="L50" s="14"/>
      <c r="M50" s="14" t="str">
        <f t="shared" si="23"/>
        <v>70046,70046,70046,70046</v>
      </c>
      <c r="N50" s="43">
        <v>0.2</v>
      </c>
      <c r="O50" s="43">
        <f t="shared" si="13"/>
        <v>7047</v>
      </c>
      <c r="P50" s="63">
        <v>701.0</v>
      </c>
      <c r="Q50" s="63">
        <v>701.0</v>
      </c>
      <c r="R50" s="63"/>
    </row>
    <row r="51">
      <c r="A51" s="4">
        <v>70048.0</v>
      </c>
      <c r="B51" s="43" t="s">
        <v>1775</v>
      </c>
      <c r="C51" s="43" t="s">
        <v>1249</v>
      </c>
      <c r="D51" s="43" t="s">
        <v>15</v>
      </c>
      <c r="E51" s="4"/>
      <c r="F51" s="14"/>
      <c r="G51" s="14"/>
      <c r="H51" s="14"/>
      <c r="I51" s="14"/>
      <c r="J51" s="14"/>
      <c r="K51" s="43">
        <v>300.0</v>
      </c>
      <c r="L51" s="14"/>
      <c r="M51" s="14" t="str">
        <f t="shared" si="23"/>
        <v>70047,70047,70047,70047</v>
      </c>
      <c r="N51" s="43">
        <v>0.2</v>
      </c>
      <c r="O51" s="43">
        <f t="shared" si="13"/>
        <v>7048</v>
      </c>
      <c r="P51" s="63">
        <v>701.0</v>
      </c>
      <c r="Q51" s="63">
        <v>701.0</v>
      </c>
      <c r="R51" s="63"/>
    </row>
    <row r="52">
      <c r="A52" s="4">
        <v>70049.0</v>
      </c>
      <c r="B52" s="43" t="s">
        <v>1775</v>
      </c>
      <c r="C52" s="43" t="s">
        <v>1252</v>
      </c>
      <c r="D52" s="43" t="s">
        <v>15</v>
      </c>
      <c r="E52" s="4"/>
      <c r="F52" s="14"/>
      <c r="G52" s="14"/>
      <c r="H52" s="14"/>
      <c r="I52" s="14"/>
      <c r="J52" s="14"/>
      <c r="K52" s="43">
        <v>350.0</v>
      </c>
      <c r="L52" s="14"/>
      <c r="M52" s="14" t="str">
        <f t="shared" si="23"/>
        <v>70048,70048,70048,70048</v>
      </c>
      <c r="N52" s="43">
        <v>0.2</v>
      </c>
      <c r="O52" s="43">
        <f t="shared" si="13"/>
        <v>7049</v>
      </c>
      <c r="P52" s="63">
        <v>701.0</v>
      </c>
      <c r="Q52" s="63">
        <v>701.0</v>
      </c>
      <c r="R52" s="63"/>
    </row>
    <row r="53">
      <c r="A53" s="4">
        <v>70050.0</v>
      </c>
      <c r="B53" s="43" t="s">
        <v>1775</v>
      </c>
      <c r="C53" s="43" t="s">
        <v>1254</v>
      </c>
      <c r="D53" s="43" t="s">
        <v>15</v>
      </c>
      <c r="E53" s="4"/>
      <c r="F53" s="14"/>
      <c r="G53" s="14"/>
      <c r="H53" s="14"/>
      <c r="I53" s="14"/>
      <c r="J53" s="14"/>
      <c r="K53" s="43">
        <v>400.0</v>
      </c>
      <c r="L53" s="14"/>
      <c r="M53" s="14" t="str">
        <f t="shared" si="23"/>
        <v>70049,70049,70049,70049</v>
      </c>
      <c r="N53" s="43">
        <v>0.2</v>
      </c>
      <c r="O53" s="43">
        <f t="shared" si="13"/>
        <v>7050</v>
      </c>
      <c r="P53" s="63">
        <v>701.0</v>
      </c>
      <c r="Q53" s="63">
        <v>701.0</v>
      </c>
      <c r="R53" s="63"/>
    </row>
    <row r="54">
      <c r="A54" s="4">
        <v>70051.0</v>
      </c>
      <c r="B54" s="43" t="s">
        <v>1775</v>
      </c>
      <c r="C54" s="43" t="s">
        <v>1257</v>
      </c>
      <c r="D54" s="43" t="s">
        <v>43</v>
      </c>
      <c r="E54" s="4"/>
      <c r="F54" s="14">
        <f t="shared" ref="F54:F63" si="26">ROUND(K44*2.2,0)</f>
        <v>66</v>
      </c>
      <c r="G54" s="14"/>
      <c r="H54" s="14"/>
      <c r="I54" s="43"/>
      <c r="J54" s="43"/>
      <c r="K54" s="14"/>
      <c r="L54" s="14"/>
      <c r="M54" s="14"/>
      <c r="N54" s="43"/>
      <c r="O54" s="43">
        <f t="shared" si="13"/>
        <v>7051</v>
      </c>
      <c r="P54" s="63">
        <v>701.0</v>
      </c>
      <c r="Q54" s="63">
        <v>701.0</v>
      </c>
      <c r="R54" s="63"/>
    </row>
    <row r="55">
      <c r="A55" s="4">
        <v>70052.0</v>
      </c>
      <c r="B55" s="43" t="s">
        <v>1775</v>
      </c>
      <c r="C55" s="43" t="s">
        <v>1260</v>
      </c>
      <c r="D55" s="43" t="s">
        <v>43</v>
      </c>
      <c r="E55" s="4"/>
      <c r="F55" s="14">
        <f t="shared" si="26"/>
        <v>134</v>
      </c>
      <c r="G55" s="14"/>
      <c r="H55" s="14"/>
      <c r="I55" s="57"/>
      <c r="J55" s="57"/>
      <c r="K55" s="14"/>
      <c r="L55" s="14"/>
      <c r="M55" s="14" t="str">
        <f t="shared" ref="M55:M63" si="27">A54&amp;","&amp;A54&amp;","&amp;A54&amp;","&amp;A54</f>
        <v>70051,70051,70051,70051</v>
      </c>
      <c r="N55" s="43">
        <v>0.9</v>
      </c>
      <c r="O55" s="43">
        <f t="shared" si="13"/>
        <v>7052</v>
      </c>
      <c r="P55" s="63">
        <v>701.0</v>
      </c>
      <c r="Q55" s="63">
        <v>701.0</v>
      </c>
      <c r="R55" s="63"/>
    </row>
    <row r="56">
      <c r="A56" s="4">
        <v>70053.0</v>
      </c>
      <c r="B56" s="43" t="s">
        <v>1775</v>
      </c>
      <c r="C56" s="43" t="s">
        <v>1263</v>
      </c>
      <c r="D56" s="43" t="s">
        <v>43</v>
      </c>
      <c r="E56" s="4"/>
      <c r="F56" s="14">
        <f t="shared" si="26"/>
        <v>202</v>
      </c>
      <c r="G56" s="14"/>
      <c r="H56" s="14"/>
      <c r="I56" s="57"/>
      <c r="J56" s="57"/>
      <c r="K56" s="14"/>
      <c r="L56" s="14"/>
      <c r="M56" s="14" t="str">
        <f t="shared" si="27"/>
        <v>70052,70052,70052,70052</v>
      </c>
      <c r="N56" s="43">
        <v>0.8</v>
      </c>
      <c r="O56" s="43">
        <f t="shared" si="13"/>
        <v>7053</v>
      </c>
      <c r="P56" s="63">
        <v>701.0</v>
      </c>
      <c r="Q56" s="63">
        <v>701.0</v>
      </c>
      <c r="R56" s="63"/>
    </row>
    <row r="57">
      <c r="A57" s="4">
        <v>70054.0</v>
      </c>
      <c r="B57" s="43" t="s">
        <v>1775</v>
      </c>
      <c r="C57" s="43" t="s">
        <v>1265</v>
      </c>
      <c r="D57" s="43" t="s">
        <v>33</v>
      </c>
      <c r="E57" s="4"/>
      <c r="F57" s="14">
        <f t="shared" si="26"/>
        <v>271</v>
      </c>
      <c r="G57" s="14"/>
      <c r="H57" s="14"/>
      <c r="I57" s="57"/>
      <c r="J57" s="57"/>
      <c r="K57" s="14"/>
      <c r="L57" s="14"/>
      <c r="M57" s="14" t="str">
        <f t="shared" si="27"/>
        <v>70053,70053,70053,70053</v>
      </c>
      <c r="N57" s="43">
        <f t="shared" ref="N57:N59" si="28">N56-0.2</f>
        <v>0.6</v>
      </c>
      <c r="O57" s="43">
        <f t="shared" si="13"/>
        <v>7054</v>
      </c>
      <c r="P57" s="63">
        <v>701.0</v>
      </c>
      <c r="Q57" s="63">
        <v>701.0</v>
      </c>
      <c r="R57" s="63"/>
    </row>
    <row r="58">
      <c r="A58" s="4">
        <v>70055.0</v>
      </c>
      <c r="B58" s="43" t="s">
        <v>1775</v>
      </c>
      <c r="C58" s="43" t="s">
        <v>1268</v>
      </c>
      <c r="D58" s="43" t="s">
        <v>33</v>
      </c>
      <c r="E58" s="4"/>
      <c r="F58" s="14">
        <f t="shared" si="26"/>
        <v>363</v>
      </c>
      <c r="G58" s="14"/>
      <c r="H58" s="14"/>
      <c r="I58" s="57"/>
      <c r="J58" s="57"/>
      <c r="K58" s="14"/>
      <c r="L58" s="14"/>
      <c r="M58" s="14" t="str">
        <f t="shared" si="27"/>
        <v>70054,70054,70054,70054</v>
      </c>
      <c r="N58" s="43">
        <f t="shared" si="28"/>
        <v>0.4</v>
      </c>
      <c r="O58" s="43">
        <f t="shared" si="13"/>
        <v>7055</v>
      </c>
      <c r="P58" s="63">
        <v>701.0</v>
      </c>
      <c r="Q58" s="63">
        <v>701.0</v>
      </c>
      <c r="R58" s="63"/>
    </row>
    <row r="59">
      <c r="A59" s="4">
        <v>70056.0</v>
      </c>
      <c r="B59" s="43" t="s">
        <v>1775</v>
      </c>
      <c r="C59" s="43" t="s">
        <v>1271</v>
      </c>
      <c r="D59" s="43" t="s">
        <v>33</v>
      </c>
      <c r="E59" s="4"/>
      <c r="F59" s="14">
        <f t="shared" si="26"/>
        <v>455</v>
      </c>
      <c r="G59" s="14"/>
      <c r="H59" s="14"/>
      <c r="I59" s="57"/>
      <c r="J59" s="57"/>
      <c r="K59" s="14"/>
      <c r="L59" s="14"/>
      <c r="M59" s="14" t="str">
        <f t="shared" si="27"/>
        <v>70055,70055,70055,70055</v>
      </c>
      <c r="N59" s="43">
        <f t="shared" si="28"/>
        <v>0.2</v>
      </c>
      <c r="O59" s="43">
        <f t="shared" si="13"/>
        <v>7056</v>
      </c>
      <c r="P59" s="63">
        <v>701.0</v>
      </c>
      <c r="Q59" s="63">
        <v>701.0</v>
      </c>
      <c r="R59" s="63"/>
    </row>
    <row r="60">
      <c r="A60" s="4">
        <v>70057.0</v>
      </c>
      <c r="B60" s="43" t="s">
        <v>1775</v>
      </c>
      <c r="C60" s="43" t="s">
        <v>1273</v>
      </c>
      <c r="D60" s="43" t="s">
        <v>33</v>
      </c>
      <c r="E60" s="4"/>
      <c r="F60" s="14">
        <f t="shared" si="26"/>
        <v>550</v>
      </c>
      <c r="G60" s="14"/>
      <c r="H60" s="14"/>
      <c r="I60" s="57"/>
      <c r="J60" s="57"/>
      <c r="K60" s="14"/>
      <c r="L60" s="14"/>
      <c r="M60" s="14" t="str">
        <f t="shared" si="27"/>
        <v>70056,70056,70056,70056</v>
      </c>
      <c r="N60" s="43">
        <v>0.2</v>
      </c>
      <c r="O60" s="43">
        <f t="shared" si="13"/>
        <v>7057</v>
      </c>
      <c r="P60" s="63">
        <v>701.0</v>
      </c>
      <c r="Q60" s="63">
        <v>701.0</v>
      </c>
      <c r="R60" s="63"/>
    </row>
    <row r="61">
      <c r="A61" s="4">
        <v>70058.0</v>
      </c>
      <c r="B61" s="43" t="s">
        <v>1775</v>
      </c>
      <c r="C61" s="43" t="s">
        <v>1275</v>
      </c>
      <c r="D61" s="43" t="s">
        <v>15</v>
      </c>
      <c r="E61" s="4"/>
      <c r="F61" s="14">
        <f t="shared" si="26"/>
        <v>660</v>
      </c>
      <c r="G61" s="14"/>
      <c r="H61" s="14"/>
      <c r="I61" s="57"/>
      <c r="J61" s="57"/>
      <c r="K61" s="14"/>
      <c r="L61" s="14"/>
      <c r="M61" s="14" t="str">
        <f t="shared" si="27"/>
        <v>70057,70057,70057,70057</v>
      </c>
      <c r="N61" s="43">
        <v>0.2</v>
      </c>
      <c r="O61" s="43">
        <f t="shared" si="13"/>
        <v>7058</v>
      </c>
      <c r="P61" s="63">
        <v>701.0</v>
      </c>
      <c r="Q61" s="63">
        <v>701.0</v>
      </c>
      <c r="R61" s="63"/>
    </row>
    <row r="62">
      <c r="A62" s="4">
        <v>70059.0</v>
      </c>
      <c r="B62" s="43" t="s">
        <v>1775</v>
      </c>
      <c r="C62" s="43" t="s">
        <v>1278</v>
      </c>
      <c r="D62" s="43" t="s">
        <v>15</v>
      </c>
      <c r="E62" s="4"/>
      <c r="F62" s="14">
        <f t="shared" si="26"/>
        <v>770</v>
      </c>
      <c r="G62" s="14"/>
      <c r="H62" s="14"/>
      <c r="I62" s="57"/>
      <c r="J62" s="57"/>
      <c r="K62" s="14"/>
      <c r="L62" s="14"/>
      <c r="M62" s="14" t="str">
        <f t="shared" si="27"/>
        <v>70058,70058,70058,70058</v>
      </c>
      <c r="N62" s="43">
        <v>0.2</v>
      </c>
      <c r="O62" s="43">
        <f t="shared" si="13"/>
        <v>7059</v>
      </c>
      <c r="P62" s="63">
        <v>701.0</v>
      </c>
      <c r="Q62" s="63">
        <v>701.0</v>
      </c>
      <c r="R62" s="63"/>
    </row>
    <row r="63">
      <c r="A63" s="4">
        <v>70060.0</v>
      </c>
      <c r="B63" s="43" t="s">
        <v>1775</v>
      </c>
      <c r="C63" s="43" t="s">
        <v>1281</v>
      </c>
      <c r="D63" s="43" t="s">
        <v>15</v>
      </c>
      <c r="E63" s="4"/>
      <c r="F63" s="14">
        <f t="shared" si="26"/>
        <v>880</v>
      </c>
      <c r="G63" s="14"/>
      <c r="H63" s="14"/>
      <c r="I63" s="57"/>
      <c r="J63" s="57"/>
      <c r="K63" s="14"/>
      <c r="L63" s="14"/>
      <c r="M63" s="14" t="str">
        <f t="shared" si="27"/>
        <v>70059,70059,70059,70059</v>
      </c>
      <c r="N63" s="43">
        <v>0.2</v>
      </c>
      <c r="O63" s="43">
        <f t="shared" si="13"/>
        <v>7060</v>
      </c>
      <c r="P63" s="63">
        <v>701.0</v>
      </c>
      <c r="Q63" s="63">
        <v>701.0</v>
      </c>
      <c r="R63" s="63"/>
    </row>
    <row r="64">
      <c r="A64" s="4">
        <v>70061.0</v>
      </c>
      <c r="B64" s="43" t="s">
        <v>1775</v>
      </c>
      <c r="C64" s="43" t="s">
        <v>1284</v>
      </c>
      <c r="D64" s="43" t="s">
        <v>43</v>
      </c>
      <c r="E64" s="4"/>
      <c r="F64" s="14"/>
      <c r="G64" s="14"/>
      <c r="H64" s="14"/>
      <c r="I64" s="14">
        <v>5.0</v>
      </c>
      <c r="J64" s="14">
        <v>5.0</v>
      </c>
      <c r="K64" s="43"/>
      <c r="L64" s="14"/>
      <c r="M64" s="14"/>
      <c r="N64" s="43"/>
      <c r="O64" s="43">
        <f t="shared" si="13"/>
        <v>7061</v>
      </c>
      <c r="P64" s="63">
        <v>702.0</v>
      </c>
      <c r="Q64" s="63">
        <v>702.0</v>
      </c>
      <c r="R64" s="63"/>
    </row>
    <row r="65">
      <c r="A65" s="4">
        <v>70062.0</v>
      </c>
      <c r="B65" s="43" t="s">
        <v>1775</v>
      </c>
      <c r="C65" s="43" t="s">
        <v>1291</v>
      </c>
      <c r="D65" s="43" t="s">
        <v>43</v>
      </c>
      <c r="E65" s="4"/>
      <c r="F65" s="14"/>
      <c r="G65" s="14"/>
      <c r="H65" s="14"/>
      <c r="I65" s="14">
        <v>10.0</v>
      </c>
      <c r="J65" s="14">
        <v>10.0</v>
      </c>
      <c r="K65" s="57"/>
      <c r="L65" s="14"/>
      <c r="M65" s="14" t="str">
        <f t="shared" ref="M65:M73" si="29">A64&amp;","&amp;A64&amp;","&amp;A64&amp;","&amp;A64</f>
        <v>70061,70061,70061,70061</v>
      </c>
      <c r="N65" s="43">
        <v>0.9</v>
      </c>
      <c r="O65" s="43">
        <f t="shared" si="13"/>
        <v>7062</v>
      </c>
      <c r="P65" s="63">
        <v>702.0</v>
      </c>
      <c r="Q65" s="63">
        <v>702.0</v>
      </c>
      <c r="R65" s="63"/>
    </row>
    <row r="66">
      <c r="A66" s="4">
        <v>70063.0</v>
      </c>
      <c r="B66" s="43" t="s">
        <v>1775</v>
      </c>
      <c r="C66" s="43" t="s">
        <v>1294</v>
      </c>
      <c r="D66" s="43" t="s">
        <v>43</v>
      </c>
      <c r="E66" s="4"/>
      <c r="F66" s="14"/>
      <c r="G66" s="14"/>
      <c r="H66" s="14"/>
      <c r="I66" s="14">
        <v>15.0</v>
      </c>
      <c r="J66" s="14">
        <v>15.0</v>
      </c>
      <c r="K66" s="57"/>
      <c r="L66" s="14"/>
      <c r="M66" s="14" t="str">
        <f t="shared" si="29"/>
        <v>70062,70062,70062,70062</v>
      </c>
      <c r="N66" s="43">
        <v>0.8</v>
      </c>
      <c r="O66" s="43">
        <f t="shared" si="13"/>
        <v>7063</v>
      </c>
      <c r="P66" s="63">
        <v>702.0</v>
      </c>
      <c r="Q66" s="63">
        <v>702.0</v>
      </c>
      <c r="R66" s="63"/>
    </row>
    <row r="67">
      <c r="A67" s="4">
        <v>70064.0</v>
      </c>
      <c r="B67" s="43" t="s">
        <v>1775</v>
      </c>
      <c r="C67" s="43" t="s">
        <v>1295</v>
      </c>
      <c r="D67" s="43" t="s">
        <v>33</v>
      </c>
      <c r="E67" s="4"/>
      <c r="F67" s="14"/>
      <c r="G67" s="14"/>
      <c r="H67" s="14"/>
      <c r="I67" s="14">
        <v>20.0</v>
      </c>
      <c r="J67" s="14">
        <v>20.0</v>
      </c>
      <c r="K67" s="57"/>
      <c r="L67" s="14"/>
      <c r="M67" s="14" t="str">
        <f t="shared" si="29"/>
        <v>70063,70063,70063,70063</v>
      </c>
      <c r="N67" s="43">
        <f t="shared" ref="N67:N69" si="30">N66-0.2</f>
        <v>0.6</v>
      </c>
      <c r="O67" s="43">
        <f t="shared" si="13"/>
        <v>7064</v>
      </c>
      <c r="P67" s="63">
        <v>702.0</v>
      </c>
      <c r="Q67" s="63">
        <v>702.0</v>
      </c>
      <c r="R67" s="63"/>
    </row>
    <row r="68">
      <c r="A68" s="4">
        <v>70065.0</v>
      </c>
      <c r="B68" s="43" t="s">
        <v>1775</v>
      </c>
      <c r="C68" s="43" t="s">
        <v>1297</v>
      </c>
      <c r="D68" s="43" t="s">
        <v>33</v>
      </c>
      <c r="E68" s="4"/>
      <c r="F68" s="14"/>
      <c r="G68" s="14"/>
      <c r="H68" s="14"/>
      <c r="I68" s="14">
        <v>30.0</v>
      </c>
      <c r="J68" s="14">
        <v>30.0</v>
      </c>
      <c r="K68" s="57"/>
      <c r="L68" s="14"/>
      <c r="M68" s="14" t="str">
        <f t="shared" si="29"/>
        <v>70064,70064,70064,70064</v>
      </c>
      <c r="N68" s="43">
        <f t="shared" si="30"/>
        <v>0.4</v>
      </c>
      <c r="O68" s="43">
        <f t="shared" si="13"/>
        <v>7065</v>
      </c>
      <c r="P68" s="63">
        <v>702.0</v>
      </c>
      <c r="Q68" s="63">
        <v>702.0</v>
      </c>
      <c r="R68" s="63"/>
    </row>
    <row r="69">
      <c r="A69" s="4">
        <v>70066.0</v>
      </c>
      <c r="B69" s="43" t="s">
        <v>1775</v>
      </c>
      <c r="C69" s="43" t="s">
        <v>1299</v>
      </c>
      <c r="D69" s="43" t="s">
        <v>33</v>
      </c>
      <c r="E69" s="4"/>
      <c r="F69" s="14"/>
      <c r="G69" s="14"/>
      <c r="H69" s="14"/>
      <c r="I69" s="14">
        <v>40.0</v>
      </c>
      <c r="J69" s="14">
        <v>40.0</v>
      </c>
      <c r="K69" s="57"/>
      <c r="L69" s="14"/>
      <c r="M69" s="14" t="str">
        <f t="shared" si="29"/>
        <v>70065,70065,70065,70065</v>
      </c>
      <c r="N69" s="43">
        <f t="shared" si="30"/>
        <v>0.2</v>
      </c>
      <c r="O69" s="43">
        <f t="shared" si="13"/>
        <v>7066</v>
      </c>
      <c r="P69" s="63">
        <v>702.0</v>
      </c>
      <c r="Q69" s="63">
        <v>702.0</v>
      </c>
      <c r="R69" s="63"/>
    </row>
    <row r="70">
      <c r="A70" s="4">
        <v>70067.0</v>
      </c>
      <c r="B70" s="43" t="s">
        <v>1775</v>
      </c>
      <c r="C70" s="43" t="s">
        <v>1301</v>
      </c>
      <c r="D70" s="43" t="s">
        <v>33</v>
      </c>
      <c r="E70" s="4"/>
      <c r="F70" s="14"/>
      <c r="G70" s="14"/>
      <c r="H70" s="14"/>
      <c r="I70" s="14">
        <v>50.0</v>
      </c>
      <c r="J70" s="14">
        <v>50.0</v>
      </c>
      <c r="K70" s="43"/>
      <c r="L70" s="14"/>
      <c r="M70" s="14" t="str">
        <f t="shared" si="29"/>
        <v>70066,70066,70066,70066</v>
      </c>
      <c r="N70" s="43">
        <v>0.2</v>
      </c>
      <c r="O70" s="43">
        <f t="shared" si="13"/>
        <v>7067</v>
      </c>
      <c r="P70" s="63">
        <v>702.0</v>
      </c>
      <c r="Q70" s="63">
        <v>702.0</v>
      </c>
      <c r="R70" s="63"/>
    </row>
    <row r="71">
      <c r="A71" s="4">
        <v>70068.0</v>
      </c>
      <c r="B71" s="43" t="s">
        <v>1775</v>
      </c>
      <c r="C71" s="43" t="s">
        <v>1303</v>
      </c>
      <c r="D71" s="43" t="s">
        <v>15</v>
      </c>
      <c r="E71" s="4"/>
      <c r="F71" s="14"/>
      <c r="G71" s="14"/>
      <c r="H71" s="14"/>
      <c r="I71" s="4">
        <v>75.0</v>
      </c>
      <c r="J71" s="4">
        <v>75.0</v>
      </c>
      <c r="K71" s="43"/>
      <c r="L71" s="14"/>
      <c r="M71" s="14" t="str">
        <f t="shared" si="29"/>
        <v>70067,70067,70067,70067</v>
      </c>
      <c r="N71" s="43">
        <v>0.2</v>
      </c>
      <c r="O71" s="43">
        <f t="shared" si="13"/>
        <v>7068</v>
      </c>
      <c r="P71" s="63">
        <v>702.0</v>
      </c>
      <c r="Q71" s="63">
        <v>702.0</v>
      </c>
      <c r="R71" s="63"/>
    </row>
    <row r="72">
      <c r="A72" s="4">
        <v>70069.0</v>
      </c>
      <c r="B72" s="43" t="s">
        <v>1775</v>
      </c>
      <c r="C72" s="43" t="s">
        <v>1307</v>
      </c>
      <c r="D72" s="43" t="s">
        <v>15</v>
      </c>
      <c r="E72" s="4"/>
      <c r="F72" s="14"/>
      <c r="G72" s="14"/>
      <c r="H72" s="14"/>
      <c r="I72" s="14">
        <v>95.0</v>
      </c>
      <c r="J72" s="14">
        <v>95.0</v>
      </c>
      <c r="K72" s="43"/>
      <c r="L72" s="14"/>
      <c r="M72" s="14" t="str">
        <f t="shared" si="29"/>
        <v>70068,70068,70068,70068</v>
      </c>
      <c r="N72" s="43">
        <v>0.2</v>
      </c>
      <c r="O72" s="43">
        <f t="shared" si="13"/>
        <v>7069</v>
      </c>
      <c r="P72" s="63">
        <v>702.0</v>
      </c>
      <c r="Q72" s="63">
        <v>702.0</v>
      </c>
      <c r="R72" s="63"/>
    </row>
    <row r="73">
      <c r="A73" s="4">
        <v>70070.0</v>
      </c>
      <c r="B73" s="43" t="s">
        <v>1775</v>
      </c>
      <c r="C73" s="43" t="s">
        <v>1312</v>
      </c>
      <c r="D73" s="43" t="s">
        <v>15</v>
      </c>
      <c r="E73" s="4"/>
      <c r="F73" s="14"/>
      <c r="G73" s="14"/>
      <c r="H73" s="14"/>
      <c r="I73" s="4">
        <v>120.0</v>
      </c>
      <c r="J73" s="4">
        <v>120.0</v>
      </c>
      <c r="K73" s="43"/>
      <c r="L73" s="14"/>
      <c r="M73" s="14" t="str">
        <f t="shared" si="29"/>
        <v>70069,70069,70069,70069</v>
      </c>
      <c r="N73" s="43">
        <v>0.2</v>
      </c>
      <c r="O73" s="43">
        <f t="shared" si="13"/>
        <v>7070</v>
      </c>
      <c r="P73" s="63">
        <v>702.0</v>
      </c>
      <c r="Q73" s="63">
        <v>702.0</v>
      </c>
      <c r="R73" s="63"/>
    </row>
    <row r="74">
      <c r="A74" s="4">
        <v>70071.0</v>
      </c>
      <c r="B74" s="43" t="s">
        <v>1775</v>
      </c>
      <c r="C74" s="43" t="s">
        <v>1314</v>
      </c>
      <c r="D74" s="43" t="s">
        <v>43</v>
      </c>
      <c r="E74" s="4"/>
      <c r="F74" s="4">
        <v>35.0</v>
      </c>
      <c r="G74" s="14"/>
      <c r="H74" s="14"/>
      <c r="I74" s="43"/>
      <c r="J74" s="43"/>
      <c r="K74" s="14">
        <v>15.0</v>
      </c>
      <c r="L74" s="14"/>
      <c r="M74" s="14"/>
      <c r="N74" s="43"/>
      <c r="O74" s="43">
        <f t="shared" si="13"/>
        <v>7071</v>
      </c>
      <c r="P74" s="63">
        <v>702.0</v>
      </c>
      <c r="Q74" s="63">
        <v>702.0</v>
      </c>
      <c r="R74" s="63"/>
    </row>
    <row r="75">
      <c r="A75" s="4">
        <v>70072.0</v>
      </c>
      <c r="B75" s="43" t="s">
        <v>1775</v>
      </c>
      <c r="C75" s="43" t="s">
        <v>1319</v>
      </c>
      <c r="D75" s="43" t="s">
        <v>43</v>
      </c>
      <c r="E75" s="4"/>
      <c r="F75" s="4">
        <v>65.0</v>
      </c>
      <c r="G75" s="14"/>
      <c r="H75" s="14"/>
      <c r="I75" s="57"/>
      <c r="J75" s="57"/>
      <c r="K75" s="4">
        <v>30.0</v>
      </c>
      <c r="L75" s="14"/>
      <c r="M75" s="14" t="str">
        <f t="shared" ref="M75:M83" si="31">A74&amp;","&amp;A74&amp;","&amp;A74&amp;","&amp;A74</f>
        <v>70071,70071,70071,70071</v>
      </c>
      <c r="N75" s="43">
        <v>0.9</v>
      </c>
      <c r="O75" s="43">
        <f t="shared" si="13"/>
        <v>7072</v>
      </c>
      <c r="P75" s="63">
        <v>702.0</v>
      </c>
      <c r="Q75" s="63">
        <v>702.0</v>
      </c>
      <c r="R75" s="63"/>
    </row>
    <row r="76">
      <c r="A76" s="4">
        <v>70073.0</v>
      </c>
      <c r="B76" s="43" t="s">
        <v>1775</v>
      </c>
      <c r="C76" s="43" t="s">
        <v>1323</v>
      </c>
      <c r="D76" s="43" t="s">
        <v>43</v>
      </c>
      <c r="E76" s="4"/>
      <c r="F76" s="4">
        <v>100.0</v>
      </c>
      <c r="G76" s="14"/>
      <c r="H76" s="14"/>
      <c r="I76" s="57"/>
      <c r="J76" s="57"/>
      <c r="K76" s="14">
        <v>46.0</v>
      </c>
      <c r="L76" s="14"/>
      <c r="M76" s="14" t="str">
        <f t="shared" si="31"/>
        <v>70072,70072,70072,70072</v>
      </c>
      <c r="N76" s="43">
        <v>0.8</v>
      </c>
      <c r="O76" s="43">
        <f t="shared" si="13"/>
        <v>7073</v>
      </c>
      <c r="P76" s="63">
        <v>702.0</v>
      </c>
      <c r="Q76" s="63">
        <v>702.0</v>
      </c>
      <c r="R76" s="63"/>
    </row>
    <row r="77">
      <c r="A77" s="4">
        <v>70074.0</v>
      </c>
      <c r="B77" s="43" t="s">
        <v>1775</v>
      </c>
      <c r="C77" s="43" t="s">
        <v>1326</v>
      </c>
      <c r="D77" s="43" t="s">
        <v>33</v>
      </c>
      <c r="E77" s="4"/>
      <c r="F77" s="4">
        <v>135.0</v>
      </c>
      <c r="G77" s="14"/>
      <c r="H77" s="14"/>
      <c r="I77" s="57"/>
      <c r="J77" s="57"/>
      <c r="K77" s="4">
        <v>60.0</v>
      </c>
      <c r="L77" s="14"/>
      <c r="M77" s="14" t="str">
        <f t="shared" si="31"/>
        <v>70073,70073,70073,70073</v>
      </c>
      <c r="N77" s="43">
        <f t="shared" ref="N77:N79" si="32">N76-0.2</f>
        <v>0.6</v>
      </c>
      <c r="O77" s="43">
        <f t="shared" si="13"/>
        <v>7074</v>
      </c>
      <c r="P77" s="63">
        <v>702.0</v>
      </c>
      <c r="Q77" s="63">
        <v>702.0</v>
      </c>
      <c r="R77" s="63"/>
    </row>
    <row r="78">
      <c r="A78" s="4">
        <v>70075.0</v>
      </c>
      <c r="B78" s="43" t="s">
        <v>1775</v>
      </c>
      <c r="C78" s="43" t="s">
        <v>1329</v>
      </c>
      <c r="D78" s="43" t="s">
        <v>33</v>
      </c>
      <c r="E78" s="4"/>
      <c r="F78" s="4">
        <v>180.0</v>
      </c>
      <c r="G78" s="14"/>
      <c r="H78" s="14"/>
      <c r="I78" s="57"/>
      <c r="J78" s="57"/>
      <c r="K78" s="4">
        <v>80.0</v>
      </c>
      <c r="L78" s="14"/>
      <c r="M78" s="14" t="str">
        <f t="shared" si="31"/>
        <v>70074,70074,70074,70074</v>
      </c>
      <c r="N78" s="43">
        <f t="shared" si="32"/>
        <v>0.4</v>
      </c>
      <c r="O78" s="43">
        <f t="shared" si="13"/>
        <v>7075</v>
      </c>
      <c r="P78" s="63">
        <v>702.0</v>
      </c>
      <c r="Q78" s="63">
        <v>702.0</v>
      </c>
      <c r="R78" s="63"/>
    </row>
    <row r="79">
      <c r="A79" s="4">
        <v>70076.0</v>
      </c>
      <c r="B79" s="43" t="s">
        <v>1775</v>
      </c>
      <c r="C79" s="43" t="s">
        <v>1332</v>
      </c>
      <c r="D79" s="43" t="s">
        <v>33</v>
      </c>
      <c r="E79" s="4"/>
      <c r="F79" s="4">
        <v>220.0</v>
      </c>
      <c r="G79" s="14"/>
      <c r="H79" s="14"/>
      <c r="I79" s="57"/>
      <c r="J79" s="57"/>
      <c r="K79" s="4">
        <v>105.0</v>
      </c>
      <c r="L79" s="14"/>
      <c r="M79" s="14" t="str">
        <f t="shared" si="31"/>
        <v>70075,70075,70075,70075</v>
      </c>
      <c r="N79" s="43">
        <f t="shared" si="32"/>
        <v>0.2</v>
      </c>
      <c r="O79" s="43">
        <f t="shared" si="13"/>
        <v>7076</v>
      </c>
      <c r="P79" s="63">
        <v>702.0</v>
      </c>
      <c r="Q79" s="63">
        <v>702.0</v>
      </c>
      <c r="R79" s="63"/>
    </row>
    <row r="80">
      <c r="A80" s="4">
        <v>70077.0</v>
      </c>
      <c r="B80" s="43" t="s">
        <v>1775</v>
      </c>
      <c r="C80" s="43" t="s">
        <v>1335</v>
      </c>
      <c r="D80" s="43" t="s">
        <v>33</v>
      </c>
      <c r="E80" s="4"/>
      <c r="F80" s="14">
        <f t="shared" ref="F80:F83" si="33">F60/2</f>
        <v>275</v>
      </c>
      <c r="G80" s="14"/>
      <c r="H80" s="14"/>
      <c r="I80" s="57"/>
      <c r="J80" s="57"/>
      <c r="K80" s="14">
        <v>125.0</v>
      </c>
      <c r="L80" s="14"/>
      <c r="M80" s="14" t="str">
        <f t="shared" si="31"/>
        <v>70076,70076,70076,70076</v>
      </c>
      <c r="N80" s="43">
        <v>0.2</v>
      </c>
      <c r="O80" s="43">
        <f t="shared" si="13"/>
        <v>7077</v>
      </c>
      <c r="P80" s="63">
        <v>702.0</v>
      </c>
      <c r="Q80" s="63">
        <v>702.0</v>
      </c>
      <c r="R80" s="63"/>
    </row>
    <row r="81">
      <c r="A81" s="4">
        <v>70078.0</v>
      </c>
      <c r="B81" s="43" t="s">
        <v>1775</v>
      </c>
      <c r="C81" s="43" t="s">
        <v>1337</v>
      </c>
      <c r="D81" s="43" t="s">
        <v>15</v>
      </c>
      <c r="E81" s="4"/>
      <c r="F81" s="14">
        <f t="shared" si="33"/>
        <v>330</v>
      </c>
      <c r="G81" s="14"/>
      <c r="H81" s="14"/>
      <c r="I81" s="57"/>
      <c r="J81" s="57"/>
      <c r="K81" s="14">
        <v>150.0</v>
      </c>
      <c r="L81" s="14"/>
      <c r="M81" s="14" t="str">
        <f t="shared" si="31"/>
        <v>70077,70077,70077,70077</v>
      </c>
      <c r="N81" s="43">
        <v>0.2</v>
      </c>
      <c r="O81" s="43">
        <f t="shared" si="13"/>
        <v>7078</v>
      </c>
      <c r="P81" s="63">
        <v>702.0</v>
      </c>
      <c r="Q81" s="63">
        <v>702.0</v>
      </c>
      <c r="R81" s="63"/>
    </row>
    <row r="82">
      <c r="A82" s="4">
        <v>70079.0</v>
      </c>
      <c r="B82" s="43" t="s">
        <v>1775</v>
      </c>
      <c r="C82" s="43" t="s">
        <v>1339</v>
      </c>
      <c r="D82" s="43" t="s">
        <v>15</v>
      </c>
      <c r="E82" s="4"/>
      <c r="F82" s="14">
        <f t="shared" si="33"/>
        <v>385</v>
      </c>
      <c r="G82" s="14"/>
      <c r="H82" s="14"/>
      <c r="I82" s="57"/>
      <c r="J82" s="57"/>
      <c r="K82" s="14">
        <v>175.0</v>
      </c>
      <c r="L82" s="14"/>
      <c r="M82" s="14" t="str">
        <f t="shared" si="31"/>
        <v>70078,70078,70078,70078</v>
      </c>
      <c r="N82" s="43">
        <v>0.2</v>
      </c>
      <c r="O82" s="43">
        <f t="shared" si="13"/>
        <v>7079</v>
      </c>
      <c r="P82" s="63">
        <v>702.0</v>
      </c>
      <c r="Q82" s="63">
        <v>702.0</v>
      </c>
      <c r="R82" s="63"/>
    </row>
    <row r="83">
      <c r="A83" s="4">
        <v>70080.0</v>
      </c>
      <c r="B83" s="43" t="s">
        <v>1775</v>
      </c>
      <c r="C83" s="43" t="s">
        <v>1341</v>
      </c>
      <c r="D83" s="43" t="s">
        <v>15</v>
      </c>
      <c r="E83" s="4"/>
      <c r="F83" s="14">
        <f t="shared" si="33"/>
        <v>440</v>
      </c>
      <c r="G83" s="14"/>
      <c r="H83" s="14"/>
      <c r="I83" s="57"/>
      <c r="J83" s="57"/>
      <c r="K83" s="14">
        <v>200.0</v>
      </c>
      <c r="L83" s="14"/>
      <c r="M83" s="14" t="str">
        <f t="shared" si="31"/>
        <v>70079,70079,70079,70079</v>
      </c>
      <c r="N83" s="43">
        <v>0.2</v>
      </c>
      <c r="O83" s="43">
        <f t="shared" si="13"/>
        <v>7080</v>
      </c>
      <c r="P83" s="63">
        <v>702.0</v>
      </c>
      <c r="Q83" s="63">
        <v>702.0</v>
      </c>
      <c r="R83" s="63"/>
    </row>
    <row r="84">
      <c r="A84" s="4">
        <v>80001.0</v>
      </c>
      <c r="B84" s="43" t="s">
        <v>729</v>
      </c>
      <c r="C84" s="43" t="s">
        <v>1813</v>
      </c>
      <c r="D84" s="43" t="s">
        <v>43</v>
      </c>
      <c r="F84" s="4"/>
      <c r="G84" s="14"/>
      <c r="H84" s="4">
        <v>29.0</v>
      </c>
      <c r="I84" s="4"/>
      <c r="J84" s="4"/>
      <c r="K84" s="14"/>
      <c r="L84" s="14"/>
      <c r="M84" s="14"/>
      <c r="N84" s="14"/>
      <c r="O84" s="4" t="str">
        <f t="shared" ref="O84:O107" si="34">"6001,6004"</f>
        <v>6001,6004</v>
      </c>
      <c r="P84" s="63">
        <v>800.0</v>
      </c>
      <c r="Q84" s="63">
        <v>800.0</v>
      </c>
      <c r="R84" s="14" t="str">
        <f>"201,202,203,204"</f>
        <v>201,202,203,204</v>
      </c>
    </row>
    <row r="85">
      <c r="A85" s="4">
        <v>81001.0</v>
      </c>
      <c r="B85" s="43" t="s">
        <v>1814</v>
      </c>
      <c r="C85" s="43" t="s">
        <v>790</v>
      </c>
      <c r="D85" s="43" t="s">
        <v>43</v>
      </c>
      <c r="E85" s="4"/>
      <c r="F85" s="4">
        <v>80.0</v>
      </c>
      <c r="G85" s="4"/>
      <c r="H85" s="4"/>
      <c r="I85" s="4"/>
      <c r="J85" s="4">
        <v>15.0</v>
      </c>
      <c r="K85" s="4"/>
      <c r="L85" s="4"/>
      <c r="M85" s="4"/>
      <c r="N85" s="4"/>
      <c r="O85" s="4" t="str">
        <f t="shared" si="34"/>
        <v>6001,6004</v>
      </c>
      <c r="P85" s="63">
        <v>800.0</v>
      </c>
      <c r="Q85" s="63">
        <v>800.0</v>
      </c>
      <c r="R85" s="14" t="str">
        <f t="shared" ref="R85:R86" si="35">"205,206,207,208"</f>
        <v>205,206,207,208</v>
      </c>
    </row>
    <row r="86">
      <c r="A86" s="4">
        <v>82001.0</v>
      </c>
      <c r="B86" s="43" t="s">
        <v>1815</v>
      </c>
      <c r="C86" s="43" t="s">
        <v>1816</v>
      </c>
      <c r="D86" s="43" t="s">
        <v>43</v>
      </c>
      <c r="E86" s="4"/>
      <c r="F86" s="4"/>
      <c r="G86" s="4"/>
      <c r="H86" s="4">
        <v>12.0</v>
      </c>
      <c r="I86" s="4"/>
      <c r="J86" s="4">
        <v>27.0</v>
      </c>
      <c r="K86" s="4"/>
      <c r="L86" s="4"/>
      <c r="M86" s="4"/>
      <c r="N86" s="4"/>
      <c r="O86" s="4" t="str">
        <f t="shared" si="34"/>
        <v>6001,6004</v>
      </c>
      <c r="P86" s="63">
        <v>800.0</v>
      </c>
      <c r="Q86" s="63">
        <v>800.0</v>
      </c>
      <c r="R86" s="14" t="str">
        <f t="shared" si="35"/>
        <v>205,206,207,208</v>
      </c>
    </row>
    <row r="87">
      <c r="A87" s="4">
        <v>83001.0</v>
      </c>
      <c r="B87" s="43" t="s">
        <v>1817</v>
      </c>
      <c r="C87" s="43" t="s">
        <v>1818</v>
      </c>
      <c r="D87" s="43" t="s">
        <v>43</v>
      </c>
      <c r="E87" s="4"/>
      <c r="F87" s="4"/>
      <c r="G87" s="4"/>
      <c r="H87" s="4"/>
      <c r="I87" s="4">
        <v>19.0</v>
      </c>
      <c r="J87" s="4"/>
      <c r="K87" s="4">
        <v>20.0</v>
      </c>
      <c r="L87" s="4"/>
      <c r="M87" s="4"/>
      <c r="N87" s="4"/>
      <c r="O87" s="4" t="str">
        <f t="shared" si="34"/>
        <v>6001,6004</v>
      </c>
      <c r="P87" s="63">
        <v>800.0</v>
      </c>
      <c r="Q87" s="63">
        <v>800.0</v>
      </c>
      <c r="R87" s="14" t="str">
        <f>"201,202,203,204"</f>
        <v>201,202,203,204</v>
      </c>
    </row>
    <row r="88">
      <c r="A88" s="4">
        <v>84001.0</v>
      </c>
      <c r="B88" s="43" t="s">
        <v>1819</v>
      </c>
      <c r="C88" s="43" t="s">
        <v>1820</v>
      </c>
      <c r="D88" s="43" t="s">
        <v>43</v>
      </c>
      <c r="E88" s="4"/>
      <c r="F88" s="4">
        <v>65.0</v>
      </c>
      <c r="G88" s="4"/>
      <c r="H88" s="4"/>
      <c r="I88" s="4">
        <v>15.0</v>
      </c>
      <c r="J88" s="4"/>
      <c r="K88" s="4"/>
      <c r="L88" s="4"/>
      <c r="M88" s="4"/>
      <c r="N88" s="4"/>
      <c r="O88" s="4" t="str">
        <f t="shared" si="34"/>
        <v>6001,6004</v>
      </c>
      <c r="P88" s="63">
        <v>800.0</v>
      </c>
      <c r="Q88" s="63">
        <v>800.0</v>
      </c>
      <c r="R88" s="14" t="str">
        <f t="shared" ref="R88:R89" si="36">"209,210,211,212"</f>
        <v>209,210,211,212</v>
      </c>
    </row>
    <row r="89">
      <c r="A89" s="4">
        <v>85001.0</v>
      </c>
      <c r="B89" s="43" t="s">
        <v>1821</v>
      </c>
      <c r="C89" s="43" t="s">
        <v>1822</v>
      </c>
      <c r="D89" s="43" t="s">
        <v>43</v>
      </c>
      <c r="E89" s="4"/>
      <c r="G89" s="4"/>
      <c r="H89" s="4"/>
      <c r="I89" s="4">
        <v>27.0</v>
      </c>
      <c r="J89" s="4"/>
      <c r="K89" s="4">
        <v>17.0</v>
      </c>
      <c r="L89" s="4"/>
      <c r="M89" s="4"/>
      <c r="N89" s="4"/>
      <c r="O89" s="4" t="str">
        <f t="shared" si="34"/>
        <v>6001,6004</v>
      </c>
      <c r="P89" s="63">
        <v>800.0</v>
      </c>
      <c r="Q89" s="63">
        <v>800.0</v>
      </c>
      <c r="R89" s="14" t="str">
        <f t="shared" si="36"/>
        <v>209,210,211,212</v>
      </c>
    </row>
    <row r="90">
      <c r="A90" s="4">
        <f t="shared" ref="A90:A155" si="38">A84+1</f>
        <v>80002</v>
      </c>
      <c r="B90" s="43" t="s">
        <v>729</v>
      </c>
      <c r="C90" s="43" t="s">
        <v>1823</v>
      </c>
      <c r="D90" s="43" t="s">
        <v>33</v>
      </c>
      <c r="E90" s="4"/>
      <c r="F90" s="4" t="str">
        <f t="shared" ref="F90:L90" si="37">IF(F84=0,,round(F84*1.7,0))</f>
        <v/>
      </c>
      <c r="G90" s="4" t="str">
        <f t="shared" si="37"/>
        <v/>
      </c>
      <c r="H90" s="4">
        <f t="shared" si="37"/>
        <v>49</v>
      </c>
      <c r="I90" s="4" t="str">
        <f t="shared" si="37"/>
        <v/>
      </c>
      <c r="J90" s="4" t="str">
        <f t="shared" si="37"/>
        <v/>
      </c>
      <c r="K90" s="4" t="str">
        <f t="shared" si="37"/>
        <v/>
      </c>
      <c r="L90" s="4" t="str">
        <f t="shared" si="37"/>
        <v/>
      </c>
      <c r="M90" s="4"/>
      <c r="N90" s="4"/>
      <c r="O90" s="4" t="str">
        <f t="shared" si="34"/>
        <v>6001,6004</v>
      </c>
      <c r="P90" s="63">
        <v>800.0</v>
      </c>
      <c r="Q90" s="63">
        <v>800.0</v>
      </c>
      <c r="R90" s="14" t="str">
        <f>"201,202,203,204"</f>
        <v>201,202,203,204</v>
      </c>
    </row>
    <row r="91">
      <c r="A91" s="4">
        <f t="shared" si="38"/>
        <v>81002</v>
      </c>
      <c r="B91" s="43" t="s">
        <v>1814</v>
      </c>
      <c r="C91" s="43" t="s">
        <v>1824</v>
      </c>
      <c r="D91" s="43" t="s">
        <v>33</v>
      </c>
      <c r="E91" s="4"/>
      <c r="F91" s="4">
        <f t="shared" ref="F91:L91" si="39">IF(F85=0,,round(F85*1.7,0))</f>
        <v>136</v>
      </c>
      <c r="G91" s="4" t="str">
        <f t="shared" si="39"/>
        <v/>
      </c>
      <c r="H91" s="4" t="str">
        <f t="shared" si="39"/>
        <v/>
      </c>
      <c r="I91" s="4" t="str">
        <f t="shared" si="39"/>
        <v/>
      </c>
      <c r="J91" s="4">
        <f t="shared" si="39"/>
        <v>26</v>
      </c>
      <c r="K91" s="4" t="str">
        <f t="shared" si="39"/>
        <v/>
      </c>
      <c r="L91" s="4" t="str">
        <f t="shared" si="39"/>
        <v/>
      </c>
      <c r="M91" s="4"/>
      <c r="N91" s="4"/>
      <c r="O91" s="4" t="str">
        <f t="shared" si="34"/>
        <v>6001,6004</v>
      </c>
      <c r="P91" s="63">
        <v>800.0</v>
      </c>
      <c r="Q91" s="63">
        <v>800.0</v>
      </c>
      <c r="R91" s="14" t="str">
        <f t="shared" ref="R91:R92" si="41">"205,206,207,208"</f>
        <v>205,206,207,208</v>
      </c>
    </row>
    <row r="92">
      <c r="A92" s="4">
        <f t="shared" si="38"/>
        <v>82002</v>
      </c>
      <c r="B92" s="43" t="s">
        <v>1815</v>
      </c>
      <c r="C92" s="43" t="s">
        <v>1825</v>
      </c>
      <c r="D92" s="43" t="s">
        <v>33</v>
      </c>
      <c r="E92" s="4"/>
      <c r="F92" s="4" t="str">
        <f t="shared" ref="F92:L92" si="40">IF(F86=0,,round(F86*1.7,0))</f>
        <v/>
      </c>
      <c r="G92" s="4" t="str">
        <f t="shared" si="40"/>
        <v/>
      </c>
      <c r="H92" s="4">
        <f t="shared" si="40"/>
        <v>20</v>
      </c>
      <c r="I92" s="4" t="str">
        <f t="shared" si="40"/>
        <v/>
      </c>
      <c r="J92" s="4">
        <f t="shared" si="40"/>
        <v>46</v>
      </c>
      <c r="K92" s="4" t="str">
        <f t="shared" si="40"/>
        <v/>
      </c>
      <c r="L92" s="4" t="str">
        <f t="shared" si="40"/>
        <v/>
      </c>
      <c r="M92" s="4"/>
      <c r="N92" s="4"/>
      <c r="O92" s="4" t="str">
        <f t="shared" si="34"/>
        <v>6001,6004</v>
      </c>
      <c r="P92" s="63">
        <v>800.0</v>
      </c>
      <c r="Q92" s="63">
        <v>800.0</v>
      </c>
      <c r="R92" s="14" t="str">
        <f t="shared" si="41"/>
        <v>205,206,207,208</v>
      </c>
    </row>
    <row r="93">
      <c r="A93" s="4">
        <f t="shared" si="38"/>
        <v>83002</v>
      </c>
      <c r="B93" s="43" t="s">
        <v>1817</v>
      </c>
      <c r="C93" s="43" t="s">
        <v>1826</v>
      </c>
      <c r="D93" s="43" t="s">
        <v>33</v>
      </c>
      <c r="E93" s="4"/>
      <c r="F93" s="4" t="str">
        <f t="shared" ref="F93:L93" si="42">IF(F87=0,,round(F87*1.7,0))</f>
        <v/>
      </c>
      <c r="G93" s="4" t="str">
        <f t="shared" si="42"/>
        <v/>
      </c>
      <c r="H93" s="4" t="str">
        <f t="shared" si="42"/>
        <v/>
      </c>
      <c r="I93" s="4">
        <f t="shared" si="42"/>
        <v>32</v>
      </c>
      <c r="J93" s="4" t="str">
        <f t="shared" si="42"/>
        <v/>
      </c>
      <c r="K93" s="4">
        <f t="shared" si="42"/>
        <v>34</v>
      </c>
      <c r="L93" s="4" t="str">
        <f t="shared" si="42"/>
        <v/>
      </c>
      <c r="M93" s="4"/>
      <c r="N93" s="4"/>
      <c r="O93" s="4" t="str">
        <f t="shared" si="34"/>
        <v>6001,6004</v>
      </c>
      <c r="P93" s="63">
        <v>800.0</v>
      </c>
      <c r="Q93" s="63">
        <v>800.0</v>
      </c>
      <c r="R93" s="14" t="str">
        <f>"201,202,203,204"</f>
        <v>201,202,203,204</v>
      </c>
    </row>
    <row r="94">
      <c r="A94" s="4">
        <f t="shared" si="38"/>
        <v>84002</v>
      </c>
      <c r="B94" s="43" t="s">
        <v>1819</v>
      </c>
      <c r="C94" s="43" t="s">
        <v>1827</v>
      </c>
      <c r="D94" s="43" t="s">
        <v>33</v>
      </c>
      <c r="E94" s="4"/>
      <c r="F94" s="4">
        <f t="shared" ref="F94:L94" si="43">IF(F88=0,,round(F88*1.7,0))</f>
        <v>111</v>
      </c>
      <c r="G94" s="4" t="str">
        <f t="shared" si="43"/>
        <v/>
      </c>
      <c r="H94" s="4" t="str">
        <f t="shared" si="43"/>
        <v/>
      </c>
      <c r="I94" s="4">
        <f t="shared" si="43"/>
        <v>26</v>
      </c>
      <c r="J94" s="4" t="str">
        <f t="shared" si="43"/>
        <v/>
      </c>
      <c r="K94" s="4" t="str">
        <f t="shared" si="43"/>
        <v/>
      </c>
      <c r="L94" s="4" t="str">
        <f t="shared" si="43"/>
        <v/>
      </c>
      <c r="M94" s="4"/>
      <c r="N94" s="4"/>
      <c r="O94" s="4" t="str">
        <f t="shared" si="34"/>
        <v>6001,6004</v>
      </c>
      <c r="P94" s="63">
        <v>800.0</v>
      </c>
      <c r="Q94" s="63">
        <v>800.0</v>
      </c>
      <c r="R94" s="14" t="str">
        <f t="shared" ref="R94:R95" si="45">"209,210,211,212"</f>
        <v>209,210,211,212</v>
      </c>
    </row>
    <row r="95">
      <c r="A95" s="4">
        <f t="shared" si="38"/>
        <v>85002</v>
      </c>
      <c r="B95" s="43" t="s">
        <v>1821</v>
      </c>
      <c r="C95" s="43" t="s">
        <v>1828</v>
      </c>
      <c r="D95" s="43" t="s">
        <v>33</v>
      </c>
      <c r="E95" s="4"/>
      <c r="F95" s="4" t="str">
        <f t="shared" ref="F95:L95" si="44">IF(F89=0,,round(F89*1.7,0))</f>
        <v/>
      </c>
      <c r="G95" s="4" t="str">
        <f t="shared" si="44"/>
        <v/>
      </c>
      <c r="H95" s="4" t="str">
        <f t="shared" si="44"/>
        <v/>
      </c>
      <c r="I95" s="4">
        <f t="shared" si="44"/>
        <v>46</v>
      </c>
      <c r="J95" s="4" t="str">
        <f t="shared" si="44"/>
        <v/>
      </c>
      <c r="K95" s="4">
        <f t="shared" si="44"/>
        <v>29</v>
      </c>
      <c r="L95" s="4" t="str">
        <f t="shared" si="44"/>
        <v/>
      </c>
      <c r="M95" s="4"/>
      <c r="N95" s="4"/>
      <c r="O95" s="4" t="str">
        <f t="shared" si="34"/>
        <v>6001,6004</v>
      </c>
      <c r="P95" s="63">
        <v>800.0</v>
      </c>
      <c r="Q95" s="63">
        <v>800.0</v>
      </c>
      <c r="R95" s="14" t="str">
        <f t="shared" si="45"/>
        <v>209,210,211,212</v>
      </c>
    </row>
    <row r="96">
      <c r="A96" s="4">
        <f t="shared" si="38"/>
        <v>80003</v>
      </c>
      <c r="B96" s="43" t="s">
        <v>729</v>
      </c>
      <c r="C96" s="43" t="s">
        <v>1829</v>
      </c>
      <c r="D96" s="43" t="s">
        <v>33</v>
      </c>
      <c r="E96" s="4"/>
      <c r="F96" s="4" t="str">
        <f t="shared" ref="F96:L96" si="46">IF(F90=0,,round(F90*1.2,0))</f>
        <v/>
      </c>
      <c r="G96" s="4" t="str">
        <f t="shared" si="46"/>
        <v/>
      </c>
      <c r="H96" s="4">
        <f t="shared" si="46"/>
        <v>59</v>
      </c>
      <c r="I96" s="4" t="str">
        <f t="shared" si="46"/>
        <v/>
      </c>
      <c r="J96" s="4" t="str">
        <f t="shared" si="46"/>
        <v/>
      </c>
      <c r="K96" s="4" t="str">
        <f t="shared" si="46"/>
        <v/>
      </c>
      <c r="L96" s="4" t="str">
        <f t="shared" si="46"/>
        <v/>
      </c>
      <c r="M96" s="4"/>
      <c r="N96" s="4"/>
      <c r="O96" s="4" t="str">
        <f t="shared" si="34"/>
        <v>6001,6004</v>
      </c>
      <c r="P96" s="63">
        <v>800.0</v>
      </c>
      <c r="Q96" s="63">
        <v>800.0</v>
      </c>
      <c r="R96" s="14" t="str">
        <f>"201,202,203,204"</f>
        <v>201,202,203,204</v>
      </c>
    </row>
    <row r="97">
      <c r="A97" s="4">
        <f t="shared" si="38"/>
        <v>81003</v>
      </c>
      <c r="B97" s="43" t="s">
        <v>1814</v>
      </c>
      <c r="C97" s="43" t="s">
        <v>1830</v>
      </c>
      <c r="D97" s="43" t="s">
        <v>33</v>
      </c>
      <c r="E97" s="4"/>
      <c r="F97" s="4">
        <f t="shared" ref="F97:L97" si="47">IF(F91=0,,round(F91*1.2,0))</f>
        <v>163</v>
      </c>
      <c r="G97" s="4" t="str">
        <f t="shared" si="47"/>
        <v/>
      </c>
      <c r="H97" s="4" t="str">
        <f t="shared" si="47"/>
        <v/>
      </c>
      <c r="I97" s="4" t="str">
        <f t="shared" si="47"/>
        <v/>
      </c>
      <c r="J97" s="4">
        <f t="shared" si="47"/>
        <v>31</v>
      </c>
      <c r="K97" s="4" t="str">
        <f t="shared" si="47"/>
        <v/>
      </c>
      <c r="L97" s="4" t="str">
        <f t="shared" si="47"/>
        <v/>
      </c>
      <c r="M97" s="4"/>
      <c r="N97" s="4"/>
      <c r="O97" s="4" t="str">
        <f t="shared" si="34"/>
        <v>6001,6004</v>
      </c>
      <c r="P97" s="63">
        <v>800.0</v>
      </c>
      <c r="Q97" s="63">
        <v>800.0</v>
      </c>
      <c r="R97" s="14" t="str">
        <f t="shared" ref="R97:R98" si="49">"205,206,207,208"</f>
        <v>205,206,207,208</v>
      </c>
    </row>
    <row r="98">
      <c r="A98" s="4">
        <f t="shared" si="38"/>
        <v>82003</v>
      </c>
      <c r="B98" s="43" t="s">
        <v>1815</v>
      </c>
      <c r="C98" s="43" t="s">
        <v>1831</v>
      </c>
      <c r="D98" s="43" t="s">
        <v>33</v>
      </c>
      <c r="E98" s="4"/>
      <c r="F98" s="4" t="str">
        <f t="shared" ref="F98:L98" si="48">IF(F92=0,,round(F92*1.2,0))</f>
        <v/>
      </c>
      <c r="G98" s="4" t="str">
        <f t="shared" si="48"/>
        <v/>
      </c>
      <c r="H98" s="4">
        <f t="shared" si="48"/>
        <v>24</v>
      </c>
      <c r="I98" s="4" t="str">
        <f t="shared" si="48"/>
        <v/>
      </c>
      <c r="J98" s="4">
        <f t="shared" si="48"/>
        <v>55</v>
      </c>
      <c r="K98" s="4" t="str">
        <f t="shared" si="48"/>
        <v/>
      </c>
      <c r="L98" s="4" t="str">
        <f t="shared" si="48"/>
        <v/>
      </c>
      <c r="M98" s="4"/>
      <c r="N98" s="4"/>
      <c r="O98" s="4" t="str">
        <f t="shared" si="34"/>
        <v>6001,6004</v>
      </c>
      <c r="P98" s="63">
        <v>800.0</v>
      </c>
      <c r="Q98" s="63">
        <v>800.0</v>
      </c>
      <c r="R98" s="14" t="str">
        <f t="shared" si="49"/>
        <v>205,206,207,208</v>
      </c>
    </row>
    <row r="99">
      <c r="A99" s="4">
        <f t="shared" si="38"/>
        <v>83003</v>
      </c>
      <c r="B99" s="43" t="s">
        <v>1817</v>
      </c>
      <c r="C99" s="43" t="s">
        <v>1832</v>
      </c>
      <c r="D99" s="43" t="s">
        <v>33</v>
      </c>
      <c r="E99" s="4"/>
      <c r="F99" s="4" t="str">
        <f t="shared" ref="F99:L99" si="50">IF(F93=0,,round(F93*1.2,0))</f>
        <v/>
      </c>
      <c r="G99" s="4" t="str">
        <f t="shared" si="50"/>
        <v/>
      </c>
      <c r="H99" s="4" t="str">
        <f t="shared" si="50"/>
        <v/>
      </c>
      <c r="I99" s="4">
        <f t="shared" si="50"/>
        <v>38</v>
      </c>
      <c r="J99" s="4" t="str">
        <f t="shared" si="50"/>
        <v/>
      </c>
      <c r="K99" s="4">
        <f t="shared" si="50"/>
        <v>41</v>
      </c>
      <c r="L99" s="4" t="str">
        <f t="shared" si="50"/>
        <v/>
      </c>
      <c r="M99" s="4"/>
      <c r="N99" s="4"/>
      <c r="O99" s="4" t="str">
        <f t="shared" si="34"/>
        <v>6001,6004</v>
      </c>
      <c r="P99" s="63">
        <v>800.0</v>
      </c>
      <c r="Q99" s="63">
        <v>800.0</v>
      </c>
      <c r="R99" s="14" t="str">
        <f>"201,202,203,204"</f>
        <v>201,202,203,204</v>
      </c>
    </row>
    <row r="100">
      <c r="A100" s="4">
        <f t="shared" si="38"/>
        <v>84003</v>
      </c>
      <c r="B100" s="43" t="s">
        <v>1819</v>
      </c>
      <c r="C100" s="43" t="s">
        <v>1833</v>
      </c>
      <c r="D100" s="43" t="s">
        <v>33</v>
      </c>
      <c r="E100" s="4"/>
      <c r="F100" s="4">
        <f t="shared" ref="F100:L100" si="51">IF(F94=0,,round(F94*1.2,0))</f>
        <v>133</v>
      </c>
      <c r="G100" s="4" t="str">
        <f t="shared" si="51"/>
        <v/>
      </c>
      <c r="H100" s="4" t="str">
        <f t="shared" si="51"/>
        <v/>
      </c>
      <c r="I100" s="4">
        <f t="shared" si="51"/>
        <v>31</v>
      </c>
      <c r="J100" s="4" t="str">
        <f t="shared" si="51"/>
        <v/>
      </c>
      <c r="K100" s="4" t="str">
        <f t="shared" si="51"/>
        <v/>
      </c>
      <c r="L100" s="4" t="str">
        <f t="shared" si="51"/>
        <v/>
      </c>
      <c r="M100" s="4"/>
      <c r="N100" s="4"/>
      <c r="O100" s="4" t="str">
        <f t="shared" si="34"/>
        <v>6001,6004</v>
      </c>
      <c r="P100" s="63">
        <v>800.0</v>
      </c>
      <c r="Q100" s="63">
        <v>800.0</v>
      </c>
      <c r="R100" s="14" t="str">
        <f t="shared" ref="R100:R101" si="53">"209,210,211,212"</f>
        <v>209,210,211,212</v>
      </c>
    </row>
    <row r="101">
      <c r="A101" s="4">
        <f t="shared" si="38"/>
        <v>85003</v>
      </c>
      <c r="B101" s="43" t="s">
        <v>1821</v>
      </c>
      <c r="C101" s="43" t="s">
        <v>1834</v>
      </c>
      <c r="D101" s="43" t="s">
        <v>33</v>
      </c>
      <c r="E101" s="4"/>
      <c r="F101" s="4" t="str">
        <f t="shared" ref="F101:L101" si="52">IF(F95=0,,round(F95*1.2,0))</f>
        <v/>
      </c>
      <c r="G101" s="4" t="str">
        <f t="shared" si="52"/>
        <v/>
      </c>
      <c r="H101" s="4" t="str">
        <f t="shared" si="52"/>
        <v/>
      </c>
      <c r="I101" s="4">
        <f t="shared" si="52"/>
        <v>55</v>
      </c>
      <c r="J101" s="4" t="str">
        <f t="shared" si="52"/>
        <v/>
      </c>
      <c r="K101" s="4">
        <f t="shared" si="52"/>
        <v>35</v>
      </c>
      <c r="L101" s="4" t="str">
        <f t="shared" si="52"/>
        <v/>
      </c>
      <c r="M101" s="4"/>
      <c r="N101" s="4"/>
      <c r="O101" s="4" t="str">
        <f t="shared" si="34"/>
        <v>6001,6004</v>
      </c>
      <c r="P101" s="63">
        <v>800.0</v>
      </c>
      <c r="Q101" s="63">
        <v>800.0</v>
      </c>
      <c r="R101" s="14" t="str">
        <f t="shared" si="53"/>
        <v>209,210,211,212</v>
      </c>
    </row>
    <row r="102">
      <c r="A102" s="4">
        <f t="shared" si="38"/>
        <v>80004</v>
      </c>
      <c r="B102" s="43" t="s">
        <v>729</v>
      </c>
      <c r="C102" s="50" t="s">
        <v>1835</v>
      </c>
      <c r="D102" s="43" t="s">
        <v>15</v>
      </c>
      <c r="E102" s="4"/>
      <c r="F102" s="4" t="str">
        <f t="shared" ref="F102:K102" si="54">IF(F90=0,,round(F90*1.7,0))</f>
        <v/>
      </c>
      <c r="G102" s="4" t="str">
        <f t="shared" si="54"/>
        <v/>
      </c>
      <c r="H102" s="4">
        <f t="shared" si="54"/>
        <v>83</v>
      </c>
      <c r="I102" s="4" t="str">
        <f t="shared" si="54"/>
        <v/>
      </c>
      <c r="J102" s="4" t="str">
        <f t="shared" si="54"/>
        <v/>
      </c>
      <c r="K102" s="4" t="str">
        <f t="shared" si="54"/>
        <v/>
      </c>
      <c r="L102" s="4"/>
      <c r="M102" s="4"/>
      <c r="N102" s="4"/>
      <c r="O102" s="4" t="str">
        <f t="shared" si="34"/>
        <v>6001,6004</v>
      </c>
      <c r="P102" s="63">
        <v>800.0</v>
      </c>
      <c r="Q102" s="63">
        <v>800.0</v>
      </c>
      <c r="R102" s="14" t="str">
        <f>"201,202,203,204"</f>
        <v>201,202,203,204</v>
      </c>
    </row>
    <row r="103">
      <c r="A103" s="4">
        <f t="shared" si="38"/>
        <v>81004</v>
      </c>
      <c r="B103" s="43" t="s">
        <v>1814</v>
      </c>
      <c r="C103" s="43" t="s">
        <v>1836</v>
      </c>
      <c r="D103" s="43" t="s">
        <v>15</v>
      </c>
      <c r="E103" s="4"/>
      <c r="F103" s="4">
        <f t="shared" ref="F103:K103" si="55">IF(F91=0,,round(F91*1.7,0))</f>
        <v>231</v>
      </c>
      <c r="G103" s="4" t="str">
        <f t="shared" si="55"/>
        <v/>
      </c>
      <c r="H103" s="4" t="str">
        <f t="shared" si="55"/>
        <v/>
      </c>
      <c r="I103" s="4" t="str">
        <f t="shared" si="55"/>
        <v/>
      </c>
      <c r="J103" s="4">
        <f t="shared" si="55"/>
        <v>44</v>
      </c>
      <c r="K103" s="4" t="str">
        <f t="shared" si="55"/>
        <v/>
      </c>
      <c r="L103" s="4"/>
      <c r="M103" s="4"/>
      <c r="N103" s="4"/>
      <c r="O103" s="4" t="str">
        <f t="shared" si="34"/>
        <v>6001,6004</v>
      </c>
      <c r="P103" s="63">
        <v>800.0</v>
      </c>
      <c r="Q103" s="63">
        <v>800.0</v>
      </c>
      <c r="R103" s="14" t="str">
        <f t="shared" ref="R103:R104" si="57">"205,206,207,208"</f>
        <v>205,206,207,208</v>
      </c>
    </row>
    <row r="104">
      <c r="A104" s="4">
        <f t="shared" si="38"/>
        <v>82004</v>
      </c>
      <c r="B104" s="43" t="s">
        <v>1815</v>
      </c>
      <c r="C104" s="43" t="s">
        <v>1837</v>
      </c>
      <c r="D104" s="43" t="s">
        <v>15</v>
      </c>
      <c r="E104" s="4"/>
      <c r="F104" s="4" t="str">
        <f t="shared" ref="F104:K104" si="56">IF(F92=0,,round(F92*1.7,0))</f>
        <v/>
      </c>
      <c r="G104" s="4" t="str">
        <f t="shared" si="56"/>
        <v/>
      </c>
      <c r="H104" s="4">
        <f t="shared" si="56"/>
        <v>34</v>
      </c>
      <c r="I104" s="4" t="str">
        <f t="shared" si="56"/>
        <v/>
      </c>
      <c r="J104" s="4">
        <f t="shared" si="56"/>
        <v>78</v>
      </c>
      <c r="K104" s="4" t="str">
        <f t="shared" si="56"/>
        <v/>
      </c>
      <c r="L104" s="4"/>
      <c r="M104" s="4"/>
      <c r="N104" s="4"/>
      <c r="O104" s="4" t="str">
        <f t="shared" si="34"/>
        <v>6001,6004</v>
      </c>
      <c r="P104" s="63">
        <v>800.0</v>
      </c>
      <c r="Q104" s="63">
        <v>800.0</v>
      </c>
      <c r="R104" s="14" t="str">
        <f t="shared" si="57"/>
        <v>205,206,207,208</v>
      </c>
    </row>
    <row r="105">
      <c r="A105" s="4">
        <f t="shared" si="38"/>
        <v>83004</v>
      </c>
      <c r="B105" s="43" t="s">
        <v>1817</v>
      </c>
      <c r="C105" s="43" t="s">
        <v>1838</v>
      </c>
      <c r="D105" s="43" t="s">
        <v>15</v>
      </c>
      <c r="E105" s="4"/>
      <c r="F105" s="4" t="str">
        <f t="shared" ref="F105:K105" si="58">IF(F93=0,,round(F93*1.7,0))</f>
        <v/>
      </c>
      <c r="G105" s="4" t="str">
        <f t="shared" si="58"/>
        <v/>
      </c>
      <c r="H105" s="4" t="str">
        <f t="shared" si="58"/>
        <v/>
      </c>
      <c r="I105" s="4">
        <f t="shared" si="58"/>
        <v>54</v>
      </c>
      <c r="J105" s="4" t="str">
        <f t="shared" si="58"/>
        <v/>
      </c>
      <c r="K105" s="4">
        <f t="shared" si="58"/>
        <v>58</v>
      </c>
      <c r="L105" s="4"/>
      <c r="M105" s="4"/>
      <c r="N105" s="4"/>
      <c r="O105" s="4" t="str">
        <f t="shared" si="34"/>
        <v>6001,6004</v>
      </c>
      <c r="P105" s="63">
        <v>800.0</v>
      </c>
      <c r="Q105" s="63">
        <v>800.0</v>
      </c>
      <c r="R105" s="14" t="str">
        <f>"201,202,203,204"</f>
        <v>201,202,203,204</v>
      </c>
    </row>
    <row r="106">
      <c r="A106" s="4">
        <f t="shared" si="38"/>
        <v>84004</v>
      </c>
      <c r="B106" s="43" t="s">
        <v>1819</v>
      </c>
      <c r="C106" s="43" t="s">
        <v>1839</v>
      </c>
      <c r="D106" s="43" t="s">
        <v>15</v>
      </c>
      <c r="E106" s="4"/>
      <c r="F106" s="4">
        <f t="shared" ref="F106:K106" si="59">IF(F94=0,,round(F94*1.7,0))</f>
        <v>189</v>
      </c>
      <c r="G106" s="4" t="str">
        <f t="shared" si="59"/>
        <v/>
      </c>
      <c r="H106" s="4" t="str">
        <f t="shared" si="59"/>
        <v/>
      </c>
      <c r="I106" s="4">
        <f t="shared" si="59"/>
        <v>44</v>
      </c>
      <c r="J106" s="4" t="str">
        <f t="shared" si="59"/>
        <v/>
      </c>
      <c r="K106" s="4" t="str">
        <f t="shared" si="59"/>
        <v/>
      </c>
      <c r="L106" s="4"/>
      <c r="M106" s="4"/>
      <c r="N106" s="4"/>
      <c r="O106" s="4" t="str">
        <f t="shared" si="34"/>
        <v>6001,6004</v>
      </c>
      <c r="P106" s="63">
        <v>800.0</v>
      </c>
      <c r="Q106" s="63">
        <v>800.0</v>
      </c>
      <c r="R106" s="14" t="str">
        <f t="shared" ref="R106:R107" si="61">"209,210,211,212"</f>
        <v>209,210,211,212</v>
      </c>
    </row>
    <row r="107">
      <c r="A107" s="4">
        <f t="shared" si="38"/>
        <v>85004</v>
      </c>
      <c r="B107" s="43" t="s">
        <v>1821</v>
      </c>
      <c r="C107" s="43" t="s">
        <v>1840</v>
      </c>
      <c r="D107" s="43" t="s">
        <v>15</v>
      </c>
      <c r="E107" s="4"/>
      <c r="F107" s="4" t="str">
        <f t="shared" ref="F107:K107" si="60">IF(F95=0,,round(F95*1.7,0))</f>
        <v/>
      </c>
      <c r="G107" s="4" t="str">
        <f t="shared" si="60"/>
        <v/>
      </c>
      <c r="H107" s="4" t="str">
        <f t="shared" si="60"/>
        <v/>
      </c>
      <c r="I107" s="4">
        <f t="shared" si="60"/>
        <v>78</v>
      </c>
      <c r="J107" s="4" t="str">
        <f t="shared" si="60"/>
        <v/>
      </c>
      <c r="K107" s="4">
        <f t="shared" si="60"/>
        <v>49</v>
      </c>
      <c r="L107" s="4"/>
      <c r="M107" s="4"/>
      <c r="N107" s="4"/>
      <c r="O107" s="4" t="str">
        <f t="shared" si="34"/>
        <v>6001,6004</v>
      </c>
      <c r="P107" s="63">
        <v>800.0</v>
      </c>
      <c r="Q107" s="63">
        <v>800.0</v>
      </c>
      <c r="R107" s="14" t="str">
        <f t="shared" si="61"/>
        <v>209,210,211,212</v>
      </c>
    </row>
    <row r="108">
      <c r="A108" s="4">
        <f t="shared" si="38"/>
        <v>80005</v>
      </c>
      <c r="B108" s="43" t="s">
        <v>729</v>
      </c>
      <c r="C108" s="43" t="s">
        <v>1841</v>
      </c>
      <c r="D108" s="43" t="s">
        <v>43</v>
      </c>
      <c r="E108" s="4"/>
      <c r="F108" s="4"/>
      <c r="G108" s="4">
        <v>27.0</v>
      </c>
      <c r="H108" s="4">
        <v>22.0</v>
      </c>
      <c r="I108" s="4"/>
      <c r="J108" s="4"/>
      <c r="K108" s="4"/>
      <c r="L108" s="4"/>
      <c r="M108" s="4"/>
      <c r="N108" s="4"/>
      <c r="O108" s="4" t="str">
        <f t="shared" ref="O108:O131" si="62">"6002,6005"</f>
        <v>6002,6005</v>
      </c>
      <c r="P108" s="63">
        <v>800.0</v>
      </c>
      <c r="Q108" s="63">
        <v>800.0</v>
      </c>
      <c r="R108" s="14" t="str">
        <f>"201,202,203,204"</f>
        <v>201,202,203,204</v>
      </c>
    </row>
    <row r="109">
      <c r="A109" s="4">
        <f t="shared" si="38"/>
        <v>81005</v>
      </c>
      <c r="B109" s="43" t="s">
        <v>1814</v>
      </c>
      <c r="C109" s="43" t="s">
        <v>1842</v>
      </c>
      <c r="D109" s="43" t="s">
        <v>43</v>
      </c>
      <c r="E109" s="4"/>
      <c r="F109" s="4">
        <v>75.0</v>
      </c>
      <c r="G109" s="4"/>
      <c r="H109" s="4"/>
      <c r="I109" s="4">
        <v>9.0</v>
      </c>
      <c r="J109" s="4"/>
      <c r="K109" s="4"/>
      <c r="L109" s="4"/>
      <c r="M109" s="4"/>
      <c r="N109" s="4"/>
      <c r="O109" s="4" t="str">
        <f t="shared" si="62"/>
        <v>6002,6005</v>
      </c>
      <c r="P109" s="63">
        <v>800.0</v>
      </c>
      <c r="Q109" s="63">
        <v>800.0</v>
      </c>
      <c r="R109" s="14" t="str">
        <f t="shared" ref="R109:R110" si="63">"205,206,207,208"</f>
        <v>205,206,207,208</v>
      </c>
    </row>
    <row r="110">
      <c r="A110" s="4">
        <f t="shared" si="38"/>
        <v>82005</v>
      </c>
      <c r="B110" s="43" t="s">
        <v>1815</v>
      </c>
      <c r="C110" s="43" t="s">
        <v>1843</v>
      </c>
      <c r="D110" s="43" t="s">
        <v>43</v>
      </c>
      <c r="E110" s="4"/>
      <c r="F110" s="4"/>
      <c r="G110" s="4"/>
      <c r="H110" s="4"/>
      <c r="I110" s="4">
        <v>11.0</v>
      </c>
      <c r="J110" s="4">
        <v>5.0</v>
      </c>
      <c r="K110" s="4"/>
      <c r="L110" s="4"/>
      <c r="M110" s="4"/>
      <c r="N110" s="4"/>
      <c r="O110" s="4" t="str">
        <f t="shared" si="62"/>
        <v>6002,6005</v>
      </c>
      <c r="P110" s="63">
        <v>800.0</v>
      </c>
      <c r="Q110" s="63">
        <v>800.0</v>
      </c>
      <c r="R110" s="14" t="str">
        <f t="shared" si="63"/>
        <v>205,206,207,208</v>
      </c>
    </row>
    <row r="111">
      <c r="A111" s="4">
        <f t="shared" si="38"/>
        <v>83005</v>
      </c>
      <c r="B111" s="43" t="s">
        <v>1817</v>
      </c>
      <c r="C111" s="43" t="s">
        <v>1844</v>
      </c>
      <c r="D111" s="43" t="s">
        <v>43</v>
      </c>
      <c r="E111" s="4"/>
      <c r="F111" s="4">
        <v>29.0</v>
      </c>
      <c r="G111" s="4"/>
      <c r="H111" s="4"/>
      <c r="I111" s="4"/>
      <c r="J111" s="4">
        <v>5.0</v>
      </c>
      <c r="K111" s="4"/>
      <c r="L111" s="4"/>
      <c r="M111" s="4"/>
      <c r="N111" s="4"/>
      <c r="O111" s="4" t="str">
        <f t="shared" si="62"/>
        <v>6002,6005</v>
      </c>
      <c r="P111" s="63">
        <v>800.0</v>
      </c>
      <c r="Q111" s="63">
        <v>800.0</v>
      </c>
      <c r="R111" s="14" t="str">
        <f>"201,202,203,204"</f>
        <v>201,202,203,204</v>
      </c>
    </row>
    <row r="112">
      <c r="A112" s="4">
        <f t="shared" si="38"/>
        <v>84005</v>
      </c>
      <c r="B112" s="43" t="s">
        <v>1819</v>
      </c>
      <c r="C112" s="43" t="s">
        <v>1845</v>
      </c>
      <c r="D112" s="43" t="s">
        <v>43</v>
      </c>
      <c r="E112" s="4"/>
      <c r="F112" s="4"/>
      <c r="G112" s="4">
        <v>10.0</v>
      </c>
      <c r="H112" s="4"/>
      <c r="I112" s="4">
        <v>8.0</v>
      </c>
      <c r="J112" s="4"/>
      <c r="K112" s="4"/>
      <c r="L112" s="4"/>
      <c r="M112" s="4"/>
      <c r="N112" s="4"/>
      <c r="O112" s="4" t="str">
        <f t="shared" si="62"/>
        <v>6002,6005</v>
      </c>
      <c r="P112" s="63">
        <v>800.0</v>
      </c>
      <c r="Q112" s="63">
        <v>800.0</v>
      </c>
      <c r="R112" s="14" t="str">
        <f t="shared" ref="R112:R113" si="64">"209,210,211,212"</f>
        <v>209,210,211,212</v>
      </c>
    </row>
    <row r="113">
      <c r="A113" s="4">
        <f t="shared" si="38"/>
        <v>85005</v>
      </c>
      <c r="B113" s="43" t="s">
        <v>1821</v>
      </c>
      <c r="C113" s="43" t="s">
        <v>1846</v>
      </c>
      <c r="D113" s="43" t="s">
        <v>43</v>
      </c>
      <c r="E113" s="4"/>
      <c r="F113" s="4"/>
      <c r="G113" s="4">
        <v>9.0</v>
      </c>
      <c r="H113" s="4"/>
      <c r="I113" s="4"/>
      <c r="J113" s="4"/>
      <c r="K113" s="4">
        <v>12.0</v>
      </c>
      <c r="L113" s="4"/>
      <c r="M113" s="4"/>
      <c r="N113" s="4"/>
      <c r="O113" s="4" t="str">
        <f t="shared" si="62"/>
        <v>6002,6005</v>
      </c>
      <c r="P113" s="63">
        <v>800.0</v>
      </c>
      <c r="Q113" s="63">
        <v>800.0</v>
      </c>
      <c r="R113" s="14" t="str">
        <f t="shared" si="64"/>
        <v>209,210,211,212</v>
      </c>
    </row>
    <row r="114">
      <c r="A114" s="4">
        <f t="shared" si="38"/>
        <v>80006</v>
      </c>
      <c r="B114" s="43" t="s">
        <v>729</v>
      </c>
      <c r="C114" s="50" t="s">
        <v>1847</v>
      </c>
      <c r="D114" s="43" t="s">
        <v>33</v>
      </c>
      <c r="E114" s="4"/>
      <c r="F114" s="4" t="str">
        <f t="shared" ref="F114:K114" si="65">IF(F108=0,,round(F108*1.7,0))</f>
        <v/>
      </c>
      <c r="G114" s="4">
        <f t="shared" si="65"/>
        <v>46</v>
      </c>
      <c r="H114" s="4">
        <f t="shared" si="65"/>
        <v>37</v>
      </c>
      <c r="I114" s="4" t="str">
        <f t="shared" si="65"/>
        <v/>
      </c>
      <c r="J114" s="4" t="str">
        <f t="shared" si="65"/>
        <v/>
      </c>
      <c r="K114" s="4" t="str">
        <f t="shared" si="65"/>
        <v/>
      </c>
      <c r="L114" s="4"/>
      <c r="M114" s="4"/>
      <c r="N114" s="4"/>
      <c r="O114" s="4" t="str">
        <f t="shared" si="62"/>
        <v>6002,6005</v>
      </c>
      <c r="P114" s="63">
        <v>800.0</v>
      </c>
      <c r="Q114" s="63">
        <v>800.0</v>
      </c>
      <c r="R114" s="14" t="str">
        <f>"201,202,203,204"</f>
        <v>201,202,203,204</v>
      </c>
    </row>
    <row r="115">
      <c r="A115" s="4">
        <f t="shared" si="38"/>
        <v>81006</v>
      </c>
      <c r="B115" s="43" t="s">
        <v>1814</v>
      </c>
      <c r="C115" s="43" t="s">
        <v>1849</v>
      </c>
      <c r="D115" s="43" t="s">
        <v>33</v>
      </c>
      <c r="E115" s="4"/>
      <c r="F115" s="4">
        <f t="shared" ref="F115:K115" si="66">IF(F109=0,,round(F109*1.7,0))</f>
        <v>128</v>
      </c>
      <c r="G115" s="4" t="str">
        <f t="shared" si="66"/>
        <v/>
      </c>
      <c r="H115" s="4" t="str">
        <f t="shared" si="66"/>
        <v/>
      </c>
      <c r="I115" s="4">
        <f t="shared" si="66"/>
        <v>15</v>
      </c>
      <c r="J115" s="4" t="str">
        <f t="shared" si="66"/>
        <v/>
      </c>
      <c r="K115" s="4" t="str">
        <f t="shared" si="66"/>
        <v/>
      </c>
      <c r="L115" s="4"/>
      <c r="M115" s="4"/>
      <c r="N115" s="4"/>
      <c r="O115" s="4" t="str">
        <f t="shared" si="62"/>
        <v>6002,6005</v>
      </c>
      <c r="P115" s="63">
        <v>800.0</v>
      </c>
      <c r="Q115" s="63">
        <v>800.0</v>
      </c>
      <c r="R115" s="14" t="str">
        <f t="shared" ref="R115:R116" si="68">"205,206,207,208"</f>
        <v>205,206,207,208</v>
      </c>
    </row>
    <row r="116">
      <c r="A116" s="4">
        <f t="shared" si="38"/>
        <v>82006</v>
      </c>
      <c r="B116" s="43" t="s">
        <v>1815</v>
      </c>
      <c r="C116" s="43" t="s">
        <v>1850</v>
      </c>
      <c r="D116" s="43" t="s">
        <v>33</v>
      </c>
      <c r="E116" s="4"/>
      <c r="F116" s="4" t="str">
        <f t="shared" ref="F116:K116" si="67">IF(F110=0,,round(F110*1.7,0))</f>
        <v/>
      </c>
      <c r="G116" s="4" t="str">
        <f t="shared" si="67"/>
        <v/>
      </c>
      <c r="H116" s="4" t="str">
        <f t="shared" si="67"/>
        <v/>
      </c>
      <c r="I116" s="4">
        <f t="shared" si="67"/>
        <v>19</v>
      </c>
      <c r="J116" s="4">
        <f t="shared" si="67"/>
        <v>9</v>
      </c>
      <c r="K116" s="4" t="str">
        <f t="shared" si="67"/>
        <v/>
      </c>
      <c r="L116" s="4"/>
      <c r="M116" s="4"/>
      <c r="N116" s="4"/>
      <c r="O116" s="4" t="str">
        <f t="shared" si="62"/>
        <v>6002,6005</v>
      </c>
      <c r="P116" s="63">
        <v>800.0</v>
      </c>
      <c r="Q116" s="63">
        <v>800.0</v>
      </c>
      <c r="R116" s="14" t="str">
        <f t="shared" si="68"/>
        <v>205,206,207,208</v>
      </c>
    </row>
    <row r="117">
      <c r="A117" s="4">
        <f t="shared" si="38"/>
        <v>83006</v>
      </c>
      <c r="B117" s="43" t="s">
        <v>1817</v>
      </c>
      <c r="C117" s="43" t="s">
        <v>1851</v>
      </c>
      <c r="D117" s="43" t="s">
        <v>33</v>
      </c>
      <c r="E117" s="4"/>
      <c r="F117" s="4">
        <f t="shared" ref="F117:K117" si="69">IF(F111=0,,round(F111*1.7,0))</f>
        <v>49</v>
      </c>
      <c r="G117" s="4" t="str">
        <f t="shared" si="69"/>
        <v/>
      </c>
      <c r="H117" s="4" t="str">
        <f t="shared" si="69"/>
        <v/>
      </c>
      <c r="I117" s="4" t="str">
        <f t="shared" si="69"/>
        <v/>
      </c>
      <c r="J117" s="4">
        <f t="shared" si="69"/>
        <v>9</v>
      </c>
      <c r="K117" s="4" t="str">
        <f t="shared" si="69"/>
        <v/>
      </c>
      <c r="L117" s="4"/>
      <c r="M117" s="4"/>
      <c r="N117" s="4"/>
      <c r="O117" s="4" t="str">
        <f t="shared" si="62"/>
        <v>6002,6005</v>
      </c>
      <c r="P117" s="63">
        <v>800.0</v>
      </c>
      <c r="Q117" s="63">
        <v>800.0</v>
      </c>
      <c r="R117" s="14" t="str">
        <f>"201,202,203,204"</f>
        <v>201,202,203,204</v>
      </c>
    </row>
    <row r="118">
      <c r="A118" s="4">
        <f t="shared" si="38"/>
        <v>84006</v>
      </c>
      <c r="B118" s="43" t="s">
        <v>1819</v>
      </c>
      <c r="C118" s="43" t="s">
        <v>1852</v>
      </c>
      <c r="D118" s="43" t="s">
        <v>33</v>
      </c>
      <c r="E118" s="4"/>
      <c r="F118" s="4" t="str">
        <f t="shared" ref="F118:K118" si="70">IF(F112=0,,round(F112*1.7,0))</f>
        <v/>
      </c>
      <c r="G118" s="4">
        <f t="shared" si="70"/>
        <v>17</v>
      </c>
      <c r="H118" s="4" t="str">
        <f t="shared" si="70"/>
        <v/>
      </c>
      <c r="I118" s="4">
        <f t="shared" si="70"/>
        <v>14</v>
      </c>
      <c r="J118" s="4" t="str">
        <f t="shared" si="70"/>
        <v/>
      </c>
      <c r="K118" s="4" t="str">
        <f t="shared" si="70"/>
        <v/>
      </c>
      <c r="L118" s="4"/>
      <c r="M118" s="4"/>
      <c r="N118" s="4"/>
      <c r="O118" s="4" t="str">
        <f t="shared" si="62"/>
        <v>6002,6005</v>
      </c>
      <c r="P118" s="63">
        <v>800.0</v>
      </c>
      <c r="Q118" s="63">
        <v>800.0</v>
      </c>
      <c r="R118" s="14" t="str">
        <f t="shared" ref="R118:R119" si="72">"209,210,211,212"</f>
        <v>209,210,211,212</v>
      </c>
    </row>
    <row r="119">
      <c r="A119" s="4">
        <f t="shared" si="38"/>
        <v>85006</v>
      </c>
      <c r="B119" s="43" t="s">
        <v>1821</v>
      </c>
      <c r="C119" s="43" t="s">
        <v>1853</v>
      </c>
      <c r="D119" s="43" t="s">
        <v>33</v>
      </c>
      <c r="E119" s="4"/>
      <c r="F119" s="4" t="str">
        <f t="shared" ref="F119:K119" si="71">IF(F113=0,,round(F113*1.7,0))</f>
        <v/>
      </c>
      <c r="G119" s="4">
        <f t="shared" si="71"/>
        <v>15</v>
      </c>
      <c r="H119" s="4" t="str">
        <f t="shared" si="71"/>
        <v/>
      </c>
      <c r="I119" s="4" t="str">
        <f t="shared" si="71"/>
        <v/>
      </c>
      <c r="J119" s="4" t="str">
        <f t="shared" si="71"/>
        <v/>
      </c>
      <c r="K119" s="4">
        <f t="shared" si="71"/>
        <v>20</v>
      </c>
      <c r="L119" s="4"/>
      <c r="M119" s="4"/>
      <c r="N119" s="4"/>
      <c r="O119" s="4" t="str">
        <f t="shared" si="62"/>
        <v>6002,6005</v>
      </c>
      <c r="P119" s="63">
        <v>800.0</v>
      </c>
      <c r="Q119" s="63">
        <v>800.0</v>
      </c>
      <c r="R119" s="14" t="str">
        <f t="shared" si="72"/>
        <v>209,210,211,212</v>
      </c>
    </row>
    <row r="120">
      <c r="A120" s="4">
        <f t="shared" si="38"/>
        <v>80007</v>
      </c>
      <c r="B120" s="43" t="s">
        <v>729</v>
      </c>
      <c r="C120" s="43" t="s">
        <v>1854</v>
      </c>
      <c r="D120" s="43" t="s">
        <v>33</v>
      </c>
      <c r="E120" s="4"/>
      <c r="F120" s="4" t="str">
        <f t="shared" ref="F120:K120" si="73">IF(F114=0,,round(F114*1.2,0))</f>
        <v/>
      </c>
      <c r="G120" s="4">
        <f t="shared" si="73"/>
        <v>55</v>
      </c>
      <c r="H120" s="4">
        <f t="shared" si="73"/>
        <v>44</v>
      </c>
      <c r="I120" s="4" t="str">
        <f t="shared" si="73"/>
        <v/>
      </c>
      <c r="J120" s="4" t="str">
        <f t="shared" si="73"/>
        <v/>
      </c>
      <c r="K120" s="4" t="str">
        <f t="shared" si="73"/>
        <v/>
      </c>
      <c r="L120" s="4"/>
      <c r="M120" s="4"/>
      <c r="N120" s="4"/>
      <c r="O120" s="4" t="str">
        <f t="shared" si="62"/>
        <v>6002,6005</v>
      </c>
      <c r="P120" s="63">
        <v>800.0</v>
      </c>
      <c r="Q120" s="63">
        <v>800.0</v>
      </c>
      <c r="R120" s="14" t="str">
        <f>"201,202,203,204"</f>
        <v>201,202,203,204</v>
      </c>
    </row>
    <row r="121">
      <c r="A121" s="4">
        <f t="shared" si="38"/>
        <v>81007</v>
      </c>
      <c r="B121" s="43" t="s">
        <v>1814</v>
      </c>
      <c r="C121" s="43" t="s">
        <v>1856</v>
      </c>
      <c r="D121" s="43" t="s">
        <v>33</v>
      </c>
      <c r="E121" s="4"/>
      <c r="F121" s="4">
        <f t="shared" ref="F121:K121" si="74">IF(F115=0,,round(F115*1.2,0))</f>
        <v>154</v>
      </c>
      <c r="G121" s="4" t="str">
        <f t="shared" si="74"/>
        <v/>
      </c>
      <c r="H121" s="4" t="str">
        <f t="shared" si="74"/>
        <v/>
      </c>
      <c r="I121" s="4">
        <f t="shared" si="74"/>
        <v>18</v>
      </c>
      <c r="J121" s="4" t="str">
        <f t="shared" si="74"/>
        <v/>
      </c>
      <c r="K121" s="4" t="str">
        <f t="shared" si="74"/>
        <v/>
      </c>
      <c r="L121" s="4"/>
      <c r="M121" s="4"/>
      <c r="N121" s="4"/>
      <c r="O121" s="4" t="str">
        <f t="shared" si="62"/>
        <v>6002,6005</v>
      </c>
      <c r="P121" s="63">
        <v>800.0</v>
      </c>
      <c r="Q121" s="63">
        <v>800.0</v>
      </c>
      <c r="R121" s="14" t="str">
        <f t="shared" ref="R121:R122" si="76">"205,206,207,208"</f>
        <v>205,206,207,208</v>
      </c>
    </row>
    <row r="122">
      <c r="A122" s="4">
        <f t="shared" si="38"/>
        <v>82007</v>
      </c>
      <c r="B122" s="43" t="s">
        <v>1815</v>
      </c>
      <c r="C122" s="43" t="s">
        <v>1865</v>
      </c>
      <c r="D122" s="43" t="s">
        <v>33</v>
      </c>
      <c r="E122" s="4"/>
      <c r="F122" s="4" t="str">
        <f t="shared" ref="F122:K122" si="75">IF(F116=0,,round(F116*1.2,0))</f>
        <v/>
      </c>
      <c r="G122" s="4" t="str">
        <f t="shared" si="75"/>
        <v/>
      </c>
      <c r="H122" s="4" t="str">
        <f t="shared" si="75"/>
        <v/>
      </c>
      <c r="I122" s="4">
        <f t="shared" si="75"/>
        <v>23</v>
      </c>
      <c r="J122" s="4">
        <f t="shared" si="75"/>
        <v>11</v>
      </c>
      <c r="K122" s="4" t="str">
        <f t="shared" si="75"/>
        <v/>
      </c>
      <c r="L122" s="4"/>
      <c r="M122" s="4"/>
      <c r="N122" s="4"/>
      <c r="O122" s="4" t="str">
        <f t="shared" si="62"/>
        <v>6002,6005</v>
      </c>
      <c r="P122" s="63">
        <v>800.0</v>
      </c>
      <c r="Q122" s="63">
        <v>800.0</v>
      </c>
      <c r="R122" s="14" t="str">
        <f t="shared" si="76"/>
        <v>205,206,207,208</v>
      </c>
    </row>
    <row r="123">
      <c r="A123" s="4">
        <f t="shared" si="38"/>
        <v>83007</v>
      </c>
      <c r="B123" s="43" t="s">
        <v>1817</v>
      </c>
      <c r="C123" s="43" t="s">
        <v>1875</v>
      </c>
      <c r="D123" s="43" t="s">
        <v>33</v>
      </c>
      <c r="E123" s="4"/>
      <c r="F123" s="4">
        <f t="shared" ref="F123:K123" si="77">IF(F117=0,,round(F117*1.2,0))</f>
        <v>59</v>
      </c>
      <c r="G123" s="4" t="str">
        <f t="shared" si="77"/>
        <v/>
      </c>
      <c r="H123" s="4" t="str">
        <f t="shared" si="77"/>
        <v/>
      </c>
      <c r="I123" s="4" t="str">
        <f t="shared" si="77"/>
        <v/>
      </c>
      <c r="J123" s="4">
        <f t="shared" si="77"/>
        <v>11</v>
      </c>
      <c r="K123" s="4" t="str">
        <f t="shared" si="77"/>
        <v/>
      </c>
      <c r="L123" s="4"/>
      <c r="M123" s="4"/>
      <c r="N123" s="4"/>
      <c r="O123" s="4" t="str">
        <f t="shared" si="62"/>
        <v>6002,6005</v>
      </c>
      <c r="P123" s="63">
        <v>800.0</v>
      </c>
      <c r="Q123" s="63">
        <v>800.0</v>
      </c>
      <c r="R123" s="14" t="str">
        <f>"201,202,203,204"</f>
        <v>201,202,203,204</v>
      </c>
    </row>
    <row r="124">
      <c r="A124" s="4">
        <f t="shared" si="38"/>
        <v>84007</v>
      </c>
      <c r="B124" s="43" t="s">
        <v>1819</v>
      </c>
      <c r="C124" s="43" t="s">
        <v>1878</v>
      </c>
      <c r="D124" s="43" t="s">
        <v>33</v>
      </c>
      <c r="E124" s="4"/>
      <c r="F124" s="4" t="str">
        <f t="shared" ref="F124:K124" si="78">IF(F118=0,,round(F118*1.2,0))</f>
        <v/>
      </c>
      <c r="G124" s="4">
        <f t="shared" si="78"/>
        <v>20</v>
      </c>
      <c r="H124" s="4" t="str">
        <f t="shared" si="78"/>
        <v/>
      </c>
      <c r="I124" s="4">
        <f t="shared" si="78"/>
        <v>17</v>
      </c>
      <c r="J124" s="4" t="str">
        <f t="shared" si="78"/>
        <v/>
      </c>
      <c r="K124" s="4" t="str">
        <f t="shared" si="78"/>
        <v/>
      </c>
      <c r="L124" s="4"/>
      <c r="M124" s="4"/>
      <c r="N124" s="4"/>
      <c r="O124" s="4" t="str">
        <f t="shared" si="62"/>
        <v>6002,6005</v>
      </c>
      <c r="P124" s="63">
        <v>800.0</v>
      </c>
      <c r="Q124" s="63">
        <v>800.0</v>
      </c>
      <c r="R124" s="14" t="str">
        <f t="shared" ref="R124:R125" si="80">"209,210,211,212"</f>
        <v>209,210,211,212</v>
      </c>
    </row>
    <row r="125">
      <c r="A125" s="4">
        <f t="shared" si="38"/>
        <v>85007</v>
      </c>
      <c r="B125" s="43" t="s">
        <v>1821</v>
      </c>
      <c r="C125" s="43" t="s">
        <v>1882</v>
      </c>
      <c r="D125" s="43" t="s">
        <v>33</v>
      </c>
      <c r="E125" s="4"/>
      <c r="F125" s="4" t="str">
        <f t="shared" ref="F125:K125" si="79">IF(F119=0,,round(F119*1.2,0))</f>
        <v/>
      </c>
      <c r="G125" s="4">
        <f t="shared" si="79"/>
        <v>18</v>
      </c>
      <c r="H125" s="4" t="str">
        <f t="shared" si="79"/>
        <v/>
      </c>
      <c r="I125" s="4" t="str">
        <f t="shared" si="79"/>
        <v/>
      </c>
      <c r="J125" s="4" t="str">
        <f t="shared" si="79"/>
        <v/>
      </c>
      <c r="K125" s="4">
        <f t="shared" si="79"/>
        <v>24</v>
      </c>
      <c r="L125" s="4"/>
      <c r="M125" s="4"/>
      <c r="N125" s="4"/>
      <c r="O125" s="4" t="str">
        <f t="shared" si="62"/>
        <v>6002,6005</v>
      </c>
      <c r="P125" s="63">
        <v>800.0</v>
      </c>
      <c r="Q125" s="63">
        <v>800.0</v>
      </c>
      <c r="R125" s="14" t="str">
        <f t="shared" si="80"/>
        <v>209,210,211,212</v>
      </c>
    </row>
    <row r="126">
      <c r="A126" s="4">
        <f t="shared" si="38"/>
        <v>80008</v>
      </c>
      <c r="B126" s="43" t="s">
        <v>729</v>
      </c>
      <c r="C126" s="2" t="s">
        <v>1885</v>
      </c>
      <c r="D126" s="43" t="s">
        <v>15</v>
      </c>
      <c r="E126" s="4"/>
      <c r="F126" s="4" t="str">
        <f t="shared" ref="F126:K126" si="81">IF(F114=0,,round(F114*1.7,0))</f>
        <v/>
      </c>
      <c r="G126" s="4">
        <f t="shared" si="81"/>
        <v>78</v>
      </c>
      <c r="H126" s="4">
        <f t="shared" si="81"/>
        <v>63</v>
      </c>
      <c r="I126" s="4" t="str">
        <f t="shared" si="81"/>
        <v/>
      </c>
      <c r="J126" s="4" t="str">
        <f t="shared" si="81"/>
        <v/>
      </c>
      <c r="K126" s="4" t="str">
        <f t="shared" si="81"/>
        <v/>
      </c>
      <c r="L126" s="4"/>
      <c r="M126" s="4"/>
      <c r="N126" s="4"/>
      <c r="O126" s="4" t="str">
        <f t="shared" si="62"/>
        <v>6002,6005</v>
      </c>
      <c r="P126" s="63">
        <v>800.0</v>
      </c>
      <c r="Q126" s="63">
        <v>800.0</v>
      </c>
      <c r="R126" s="14" t="str">
        <f>"201,202,203,204"</f>
        <v>201,202,203,204</v>
      </c>
    </row>
    <row r="127">
      <c r="A127" s="4">
        <f t="shared" si="38"/>
        <v>81008</v>
      </c>
      <c r="B127" s="43" t="s">
        <v>1814</v>
      </c>
      <c r="C127" s="43" t="s">
        <v>1889</v>
      </c>
      <c r="D127" s="43" t="s">
        <v>15</v>
      </c>
      <c r="E127" s="4"/>
      <c r="F127" s="4">
        <f t="shared" ref="F127:K127" si="82">IF(F115=0,,round(F115*1.7,0))</f>
        <v>218</v>
      </c>
      <c r="G127" s="4" t="str">
        <f t="shared" si="82"/>
        <v/>
      </c>
      <c r="H127" s="4" t="str">
        <f t="shared" si="82"/>
        <v/>
      </c>
      <c r="I127" s="4">
        <f t="shared" si="82"/>
        <v>26</v>
      </c>
      <c r="J127" s="4" t="str">
        <f t="shared" si="82"/>
        <v/>
      </c>
      <c r="K127" s="4" t="str">
        <f t="shared" si="82"/>
        <v/>
      </c>
      <c r="L127" s="4"/>
      <c r="M127" s="4"/>
      <c r="N127" s="4"/>
      <c r="O127" s="4" t="str">
        <f t="shared" si="62"/>
        <v>6002,6005</v>
      </c>
      <c r="P127" s="63">
        <v>800.0</v>
      </c>
      <c r="Q127" s="63">
        <v>800.0</v>
      </c>
      <c r="R127" s="14" t="str">
        <f t="shared" ref="R127:R128" si="84">"205,206,207,208"</f>
        <v>205,206,207,208</v>
      </c>
    </row>
    <row r="128">
      <c r="A128" s="4">
        <f t="shared" si="38"/>
        <v>82008</v>
      </c>
      <c r="B128" s="43" t="s">
        <v>1815</v>
      </c>
      <c r="C128" s="43" t="s">
        <v>1894</v>
      </c>
      <c r="D128" s="43" t="s">
        <v>15</v>
      </c>
      <c r="E128" s="4"/>
      <c r="F128" s="4" t="str">
        <f t="shared" ref="F128:K128" si="83">IF(F116=0,,round(F116*1.7,0))</f>
        <v/>
      </c>
      <c r="G128" s="4" t="str">
        <f t="shared" si="83"/>
        <v/>
      </c>
      <c r="H128" s="4" t="str">
        <f t="shared" si="83"/>
        <v/>
      </c>
      <c r="I128" s="4">
        <f t="shared" si="83"/>
        <v>32</v>
      </c>
      <c r="J128" s="4">
        <f t="shared" si="83"/>
        <v>15</v>
      </c>
      <c r="K128" s="4" t="str">
        <f t="shared" si="83"/>
        <v/>
      </c>
      <c r="L128" s="4"/>
      <c r="M128" s="4"/>
      <c r="N128" s="4"/>
      <c r="O128" s="4" t="str">
        <f t="shared" si="62"/>
        <v>6002,6005</v>
      </c>
      <c r="P128" s="63">
        <v>800.0</v>
      </c>
      <c r="Q128" s="63">
        <v>800.0</v>
      </c>
      <c r="R128" s="14" t="str">
        <f t="shared" si="84"/>
        <v>205,206,207,208</v>
      </c>
    </row>
    <row r="129">
      <c r="A129" s="4">
        <f t="shared" si="38"/>
        <v>83008</v>
      </c>
      <c r="B129" s="43" t="s">
        <v>1817</v>
      </c>
      <c r="C129" s="43" t="s">
        <v>1898</v>
      </c>
      <c r="D129" s="43" t="s">
        <v>15</v>
      </c>
      <c r="E129" s="4"/>
      <c r="F129" s="4">
        <f t="shared" ref="F129:K129" si="85">IF(F117=0,,round(F117*1.7,0))</f>
        <v>83</v>
      </c>
      <c r="G129" s="4" t="str">
        <f t="shared" si="85"/>
        <v/>
      </c>
      <c r="H129" s="4" t="str">
        <f t="shared" si="85"/>
        <v/>
      </c>
      <c r="I129" s="4" t="str">
        <f t="shared" si="85"/>
        <v/>
      </c>
      <c r="J129" s="4">
        <f t="shared" si="85"/>
        <v>15</v>
      </c>
      <c r="K129" s="4" t="str">
        <f t="shared" si="85"/>
        <v/>
      </c>
      <c r="L129" s="4"/>
      <c r="M129" s="4"/>
      <c r="N129" s="4"/>
      <c r="O129" s="4" t="str">
        <f t="shared" si="62"/>
        <v>6002,6005</v>
      </c>
      <c r="P129" s="63">
        <v>800.0</v>
      </c>
      <c r="Q129" s="63">
        <v>800.0</v>
      </c>
      <c r="R129" s="14" t="str">
        <f>"201,202,203,204"</f>
        <v>201,202,203,204</v>
      </c>
    </row>
    <row r="130">
      <c r="A130" s="4">
        <f t="shared" si="38"/>
        <v>84008</v>
      </c>
      <c r="B130" s="43" t="s">
        <v>1819</v>
      </c>
      <c r="C130" s="43" t="s">
        <v>1902</v>
      </c>
      <c r="D130" s="43" t="s">
        <v>15</v>
      </c>
      <c r="E130" s="4"/>
      <c r="F130" s="4" t="str">
        <f t="shared" ref="F130:K130" si="86">IF(F118=0,,round(F118*1.7,0))</f>
        <v/>
      </c>
      <c r="G130" s="4">
        <f t="shared" si="86"/>
        <v>29</v>
      </c>
      <c r="H130" s="4" t="str">
        <f t="shared" si="86"/>
        <v/>
      </c>
      <c r="I130" s="4">
        <f t="shared" si="86"/>
        <v>24</v>
      </c>
      <c r="J130" s="4" t="str">
        <f t="shared" si="86"/>
        <v/>
      </c>
      <c r="K130" s="4" t="str">
        <f t="shared" si="86"/>
        <v/>
      </c>
      <c r="L130" s="4"/>
      <c r="M130" s="4"/>
      <c r="N130" s="4"/>
      <c r="O130" s="4" t="str">
        <f t="shared" si="62"/>
        <v>6002,6005</v>
      </c>
      <c r="P130" s="63">
        <v>800.0</v>
      </c>
      <c r="Q130" s="63">
        <v>800.0</v>
      </c>
      <c r="R130" s="14" t="str">
        <f t="shared" ref="R130:R131" si="88">"209,210,211,212"</f>
        <v>209,210,211,212</v>
      </c>
    </row>
    <row r="131">
      <c r="A131" s="4">
        <f t="shared" si="38"/>
        <v>85008</v>
      </c>
      <c r="B131" s="43" t="s">
        <v>1821</v>
      </c>
      <c r="C131" s="43" t="s">
        <v>1906</v>
      </c>
      <c r="D131" s="43" t="s">
        <v>15</v>
      </c>
      <c r="E131" s="4"/>
      <c r="F131" s="4" t="str">
        <f t="shared" ref="F131:K131" si="87">IF(F119=0,,round(F119*1.7,0))</f>
        <v/>
      </c>
      <c r="G131" s="4">
        <f t="shared" si="87"/>
        <v>26</v>
      </c>
      <c r="H131" s="4" t="str">
        <f t="shared" si="87"/>
        <v/>
      </c>
      <c r="I131" s="4" t="str">
        <f t="shared" si="87"/>
        <v/>
      </c>
      <c r="J131" s="4" t="str">
        <f t="shared" si="87"/>
        <v/>
      </c>
      <c r="K131" s="4">
        <f t="shared" si="87"/>
        <v>34</v>
      </c>
      <c r="L131" s="4"/>
      <c r="M131" s="4"/>
      <c r="N131" s="4"/>
      <c r="O131" s="4" t="str">
        <f t="shared" si="62"/>
        <v>6002,6005</v>
      </c>
      <c r="P131" s="63">
        <v>800.0</v>
      </c>
      <c r="Q131" s="63">
        <v>800.0</v>
      </c>
      <c r="R131" s="14" t="str">
        <f t="shared" si="88"/>
        <v>209,210,211,212</v>
      </c>
    </row>
    <row r="132">
      <c r="A132" s="4">
        <f t="shared" si="38"/>
        <v>80009</v>
      </c>
      <c r="B132" s="43" t="s">
        <v>729</v>
      </c>
      <c r="C132" s="43" t="s">
        <v>1911</v>
      </c>
      <c r="D132" s="43" t="s">
        <v>43</v>
      </c>
      <c r="E132" s="4"/>
      <c r="F132" s="4"/>
      <c r="G132" s="4">
        <v>15.0</v>
      </c>
      <c r="H132" s="4"/>
      <c r="I132" s="4">
        <v>5.0</v>
      </c>
      <c r="J132" s="4"/>
      <c r="K132" s="4"/>
      <c r="L132" s="4"/>
      <c r="M132" s="4"/>
      <c r="N132" s="4"/>
      <c r="O132" s="4" t="str">
        <f t="shared" ref="O132:O155" si="89">"6003,6006"</f>
        <v>6003,6006</v>
      </c>
      <c r="P132" s="63">
        <v>800.0</v>
      </c>
      <c r="Q132" s="63">
        <v>800.0</v>
      </c>
      <c r="R132" s="14" t="str">
        <f>"201,202,203,204"</f>
        <v>201,202,203,204</v>
      </c>
    </row>
    <row r="133">
      <c r="A133" s="4">
        <f t="shared" si="38"/>
        <v>81009</v>
      </c>
      <c r="B133" s="43" t="s">
        <v>1814</v>
      </c>
      <c r="C133" s="43" t="s">
        <v>1914</v>
      </c>
      <c r="D133" s="43" t="s">
        <v>43</v>
      </c>
      <c r="E133" s="4"/>
      <c r="F133" s="4"/>
      <c r="G133" s="4"/>
      <c r="H133" s="4"/>
      <c r="I133" s="4">
        <v>17.0</v>
      </c>
      <c r="J133" s="4"/>
      <c r="K133" s="4"/>
      <c r="L133" s="4"/>
      <c r="M133" s="4"/>
      <c r="N133" s="4"/>
      <c r="O133" s="4" t="str">
        <f t="shared" si="89"/>
        <v>6003,6006</v>
      </c>
      <c r="P133" s="63">
        <v>800.0</v>
      </c>
      <c r="Q133" s="63">
        <v>800.0</v>
      </c>
      <c r="R133" s="14" t="str">
        <f t="shared" ref="R133:R134" si="90">"205,206,207,208"</f>
        <v>205,206,207,208</v>
      </c>
    </row>
    <row r="134">
      <c r="A134" s="4">
        <f t="shared" si="38"/>
        <v>82009</v>
      </c>
      <c r="B134" s="43" t="s">
        <v>1815</v>
      </c>
      <c r="C134" s="50" t="s">
        <v>802</v>
      </c>
      <c r="D134" s="43" t="s">
        <v>43</v>
      </c>
      <c r="E134" s="4"/>
      <c r="F134" s="4">
        <v>95.0</v>
      </c>
      <c r="G134" s="4"/>
      <c r="H134" s="4"/>
      <c r="I134" s="4">
        <v>16.0</v>
      </c>
      <c r="J134" s="4"/>
      <c r="K134" s="4"/>
      <c r="L134" s="4"/>
      <c r="M134" s="4"/>
      <c r="N134" s="4"/>
      <c r="O134" s="4" t="str">
        <f t="shared" si="89"/>
        <v>6003,6006</v>
      </c>
      <c r="P134" s="63">
        <v>800.0</v>
      </c>
      <c r="Q134" s="63">
        <v>800.0</v>
      </c>
      <c r="R134" s="14" t="str">
        <f t="shared" si="90"/>
        <v>205,206,207,208</v>
      </c>
    </row>
    <row r="135">
      <c r="A135" s="4">
        <f t="shared" si="38"/>
        <v>83009</v>
      </c>
      <c r="B135" s="43" t="s">
        <v>1817</v>
      </c>
      <c r="C135" s="43" t="s">
        <v>1917</v>
      </c>
      <c r="D135" s="43" t="s">
        <v>43</v>
      </c>
      <c r="E135" s="4"/>
      <c r="F135" s="4"/>
      <c r="G135" s="4"/>
      <c r="H135" s="4"/>
      <c r="I135" s="4">
        <v>19.0</v>
      </c>
      <c r="J135" s="4">
        <v>12.0</v>
      </c>
      <c r="K135" s="4"/>
      <c r="L135" s="4"/>
      <c r="M135" s="4"/>
      <c r="N135" s="4"/>
      <c r="O135" s="4" t="str">
        <f t="shared" si="89"/>
        <v>6003,6006</v>
      </c>
      <c r="P135" s="63">
        <v>800.0</v>
      </c>
      <c r="Q135" s="63">
        <v>800.0</v>
      </c>
      <c r="R135" s="14" t="str">
        <f>"201,202,203,204"</f>
        <v>201,202,203,204</v>
      </c>
    </row>
    <row r="136">
      <c r="A136" s="4">
        <f t="shared" si="38"/>
        <v>84009</v>
      </c>
      <c r="B136" s="43" t="s">
        <v>1819</v>
      </c>
      <c r="C136" s="43" t="s">
        <v>1918</v>
      </c>
      <c r="D136" s="43" t="s">
        <v>43</v>
      </c>
      <c r="E136" s="4"/>
      <c r="F136" s="4">
        <v>79.0</v>
      </c>
      <c r="G136" s="4"/>
      <c r="H136" s="4"/>
      <c r="I136" s="4">
        <v>29.0</v>
      </c>
      <c r="J136" s="4"/>
      <c r="K136" s="4"/>
      <c r="L136" s="4"/>
      <c r="M136" s="4"/>
      <c r="N136" s="4"/>
      <c r="O136" s="4" t="str">
        <f t="shared" si="89"/>
        <v>6003,6006</v>
      </c>
      <c r="P136" s="63">
        <v>800.0</v>
      </c>
      <c r="Q136" s="63">
        <v>800.0</v>
      </c>
      <c r="R136" s="14" t="str">
        <f t="shared" ref="R136:R137" si="91">"209,210,211,212"</f>
        <v>209,210,211,212</v>
      </c>
    </row>
    <row r="137">
      <c r="A137" s="4">
        <f t="shared" si="38"/>
        <v>85009</v>
      </c>
      <c r="B137" s="43" t="s">
        <v>1821</v>
      </c>
      <c r="C137" s="43" t="s">
        <v>1919</v>
      </c>
      <c r="D137" s="43" t="s">
        <v>43</v>
      </c>
      <c r="E137" s="4"/>
      <c r="F137" s="4">
        <v>57.0</v>
      </c>
      <c r="G137" s="4">
        <v>6.0</v>
      </c>
      <c r="H137" s="4"/>
      <c r="I137" s="4"/>
      <c r="J137" s="4">
        <v>11.0</v>
      </c>
      <c r="K137" s="4"/>
      <c r="L137" s="4"/>
      <c r="M137" s="4"/>
      <c r="N137" s="4"/>
      <c r="O137" s="4" t="str">
        <f t="shared" si="89"/>
        <v>6003,6006</v>
      </c>
      <c r="P137" s="63">
        <v>800.0</v>
      </c>
      <c r="Q137" s="63">
        <v>800.0</v>
      </c>
      <c r="R137" s="14" t="str">
        <f t="shared" si="91"/>
        <v>209,210,211,212</v>
      </c>
    </row>
    <row r="138">
      <c r="A138" s="4">
        <f t="shared" si="38"/>
        <v>80010</v>
      </c>
      <c r="B138" s="43" t="s">
        <v>729</v>
      </c>
      <c r="C138" s="43" t="s">
        <v>1920</v>
      </c>
      <c r="D138" s="43" t="s">
        <v>33</v>
      </c>
      <c r="E138" s="4"/>
      <c r="F138" s="4" t="str">
        <f t="shared" ref="F138:K138" si="92">IF(F132=0,,round(F132*1.7,0))</f>
        <v/>
      </c>
      <c r="G138" s="4">
        <f t="shared" si="92"/>
        <v>26</v>
      </c>
      <c r="H138" s="4" t="str">
        <f t="shared" si="92"/>
        <v/>
      </c>
      <c r="I138" s="4">
        <f t="shared" si="92"/>
        <v>9</v>
      </c>
      <c r="J138" s="4" t="str">
        <f t="shared" si="92"/>
        <v/>
      </c>
      <c r="K138" s="4" t="str">
        <f t="shared" si="92"/>
        <v/>
      </c>
      <c r="L138" s="4"/>
      <c r="M138" s="4"/>
      <c r="N138" s="4"/>
      <c r="O138" s="4" t="str">
        <f t="shared" si="89"/>
        <v>6003,6006</v>
      </c>
      <c r="P138" s="63">
        <v>800.0</v>
      </c>
      <c r="Q138" s="63">
        <v>800.0</v>
      </c>
      <c r="R138" s="14" t="str">
        <f>"201,202,203,204"</f>
        <v>201,202,203,204</v>
      </c>
    </row>
    <row r="139">
      <c r="A139" s="4">
        <f t="shared" si="38"/>
        <v>81010</v>
      </c>
      <c r="B139" s="43" t="s">
        <v>1814</v>
      </c>
      <c r="C139" s="43" t="s">
        <v>1921</v>
      </c>
      <c r="D139" s="43" t="s">
        <v>33</v>
      </c>
      <c r="E139" s="4"/>
      <c r="F139" s="4" t="str">
        <f t="shared" ref="F139:K139" si="93">IF(F133=0,,round(F133*1.7,0))</f>
        <v/>
      </c>
      <c r="G139" s="4" t="str">
        <f t="shared" si="93"/>
        <v/>
      </c>
      <c r="H139" s="4" t="str">
        <f t="shared" si="93"/>
        <v/>
      </c>
      <c r="I139" s="4">
        <f t="shared" si="93"/>
        <v>29</v>
      </c>
      <c r="J139" s="4" t="str">
        <f t="shared" si="93"/>
        <v/>
      </c>
      <c r="K139" s="4" t="str">
        <f t="shared" si="93"/>
        <v/>
      </c>
      <c r="L139" s="4"/>
      <c r="M139" s="4"/>
      <c r="N139" s="4"/>
      <c r="O139" s="4" t="str">
        <f t="shared" si="89"/>
        <v>6003,6006</v>
      </c>
      <c r="P139" s="63">
        <v>800.0</v>
      </c>
      <c r="Q139" s="63">
        <v>800.0</v>
      </c>
      <c r="R139" s="14" t="str">
        <f t="shared" ref="R139:R140" si="95">"205,206,207,208"</f>
        <v>205,206,207,208</v>
      </c>
    </row>
    <row r="140">
      <c r="A140" s="4">
        <f t="shared" si="38"/>
        <v>82010</v>
      </c>
      <c r="B140" s="43" t="s">
        <v>1815</v>
      </c>
      <c r="C140" s="50" t="s">
        <v>1922</v>
      </c>
      <c r="D140" s="43" t="s">
        <v>33</v>
      </c>
      <c r="E140" s="4"/>
      <c r="F140" s="4">
        <f t="shared" ref="F140:K140" si="94">IF(F134=0,,round(F134*1.7,0))</f>
        <v>162</v>
      </c>
      <c r="G140" s="4" t="str">
        <f t="shared" si="94"/>
        <v/>
      </c>
      <c r="H140" s="4" t="str">
        <f t="shared" si="94"/>
        <v/>
      </c>
      <c r="I140" s="4">
        <f t="shared" si="94"/>
        <v>27</v>
      </c>
      <c r="J140" s="4" t="str">
        <f t="shared" si="94"/>
        <v/>
      </c>
      <c r="K140" s="4" t="str">
        <f t="shared" si="94"/>
        <v/>
      </c>
      <c r="L140" s="4"/>
      <c r="M140" s="4"/>
      <c r="N140" s="4"/>
      <c r="O140" s="4" t="str">
        <f t="shared" si="89"/>
        <v>6003,6006</v>
      </c>
      <c r="P140" s="63">
        <v>800.0</v>
      </c>
      <c r="Q140" s="63">
        <v>800.0</v>
      </c>
      <c r="R140" s="14" t="str">
        <f t="shared" si="95"/>
        <v>205,206,207,208</v>
      </c>
    </row>
    <row r="141">
      <c r="A141" s="4">
        <f t="shared" si="38"/>
        <v>83010</v>
      </c>
      <c r="B141" s="43" t="s">
        <v>1817</v>
      </c>
      <c r="C141" s="43" t="s">
        <v>1923</v>
      </c>
      <c r="D141" s="43" t="s">
        <v>33</v>
      </c>
      <c r="E141" s="4"/>
      <c r="F141" s="4" t="str">
        <f t="shared" ref="F141:K141" si="96">IF(F135=0,,round(F135*1.7,0))</f>
        <v/>
      </c>
      <c r="G141" s="4" t="str">
        <f t="shared" si="96"/>
        <v/>
      </c>
      <c r="H141" s="4" t="str">
        <f t="shared" si="96"/>
        <v/>
      </c>
      <c r="I141" s="4">
        <f t="shared" si="96"/>
        <v>32</v>
      </c>
      <c r="J141" s="4">
        <f t="shared" si="96"/>
        <v>20</v>
      </c>
      <c r="K141" s="4" t="str">
        <f t="shared" si="96"/>
        <v/>
      </c>
      <c r="L141" s="4"/>
      <c r="M141" s="4"/>
      <c r="N141" s="4"/>
      <c r="O141" s="4" t="str">
        <f t="shared" si="89"/>
        <v>6003,6006</v>
      </c>
      <c r="P141" s="63">
        <v>800.0</v>
      </c>
      <c r="Q141" s="63">
        <v>800.0</v>
      </c>
      <c r="R141" s="14" t="str">
        <f>"201,202,203,204"</f>
        <v>201,202,203,204</v>
      </c>
    </row>
    <row r="142">
      <c r="A142" s="4">
        <f t="shared" si="38"/>
        <v>84010</v>
      </c>
      <c r="B142" s="43" t="s">
        <v>1819</v>
      </c>
      <c r="C142" s="43" t="s">
        <v>1924</v>
      </c>
      <c r="D142" s="43" t="s">
        <v>33</v>
      </c>
      <c r="E142" s="4"/>
      <c r="F142" s="4">
        <f t="shared" ref="F142:K142" si="97">IF(F136=0,,round(F136*1.7,0))</f>
        <v>134</v>
      </c>
      <c r="G142" s="4" t="str">
        <f t="shared" si="97"/>
        <v/>
      </c>
      <c r="H142" s="4" t="str">
        <f t="shared" si="97"/>
        <v/>
      </c>
      <c r="I142" s="4">
        <f t="shared" si="97"/>
        <v>49</v>
      </c>
      <c r="J142" s="4" t="str">
        <f t="shared" si="97"/>
        <v/>
      </c>
      <c r="K142" s="4" t="str">
        <f t="shared" si="97"/>
        <v/>
      </c>
      <c r="L142" s="4"/>
      <c r="M142" s="4"/>
      <c r="N142" s="4"/>
      <c r="O142" s="4" t="str">
        <f t="shared" si="89"/>
        <v>6003,6006</v>
      </c>
      <c r="P142" s="63">
        <v>800.0</v>
      </c>
      <c r="Q142" s="63">
        <v>800.0</v>
      </c>
      <c r="R142" s="14" t="str">
        <f t="shared" ref="R142:R143" si="99">"209,210,211,212"</f>
        <v>209,210,211,212</v>
      </c>
    </row>
    <row r="143">
      <c r="A143" s="4">
        <f t="shared" si="38"/>
        <v>85010</v>
      </c>
      <c r="B143" s="43" t="s">
        <v>1821</v>
      </c>
      <c r="C143" s="43" t="s">
        <v>1925</v>
      </c>
      <c r="D143" s="43" t="s">
        <v>33</v>
      </c>
      <c r="E143" s="4"/>
      <c r="F143" s="4">
        <f t="shared" ref="F143:K143" si="98">IF(F137=0,,round(F137*1.7,0))</f>
        <v>97</v>
      </c>
      <c r="G143" s="4">
        <f t="shared" si="98"/>
        <v>10</v>
      </c>
      <c r="H143" s="4" t="str">
        <f t="shared" si="98"/>
        <v/>
      </c>
      <c r="I143" s="4" t="str">
        <f t="shared" si="98"/>
        <v/>
      </c>
      <c r="J143" s="4">
        <f t="shared" si="98"/>
        <v>19</v>
      </c>
      <c r="K143" s="4" t="str">
        <f t="shared" si="98"/>
        <v/>
      </c>
      <c r="L143" s="4"/>
      <c r="M143" s="4"/>
      <c r="N143" s="4"/>
      <c r="O143" s="4" t="str">
        <f t="shared" si="89"/>
        <v>6003,6006</v>
      </c>
      <c r="P143" s="63">
        <v>800.0</v>
      </c>
      <c r="Q143" s="63">
        <v>800.0</v>
      </c>
      <c r="R143" s="14" t="str">
        <f t="shared" si="99"/>
        <v>209,210,211,212</v>
      </c>
    </row>
    <row r="144">
      <c r="A144" s="4">
        <f t="shared" si="38"/>
        <v>80011</v>
      </c>
      <c r="B144" s="43" t="s">
        <v>729</v>
      </c>
      <c r="C144" s="43" t="s">
        <v>1926</v>
      </c>
      <c r="D144" s="43" t="s">
        <v>33</v>
      </c>
      <c r="E144" s="4"/>
      <c r="F144" s="4" t="str">
        <f t="shared" ref="F144:K144" si="100">IF(F138=0,,round(F138*1.2,0))</f>
        <v/>
      </c>
      <c r="G144" s="4">
        <f t="shared" si="100"/>
        <v>31</v>
      </c>
      <c r="H144" s="4" t="str">
        <f t="shared" si="100"/>
        <v/>
      </c>
      <c r="I144" s="4">
        <f t="shared" si="100"/>
        <v>11</v>
      </c>
      <c r="J144" s="4" t="str">
        <f t="shared" si="100"/>
        <v/>
      </c>
      <c r="K144" s="4" t="str">
        <f t="shared" si="100"/>
        <v/>
      </c>
      <c r="L144" s="4"/>
      <c r="M144" s="4"/>
      <c r="N144" s="4"/>
      <c r="O144" s="4" t="str">
        <f t="shared" si="89"/>
        <v>6003,6006</v>
      </c>
      <c r="P144" s="63">
        <v>800.0</v>
      </c>
      <c r="Q144" s="63">
        <v>800.0</v>
      </c>
      <c r="R144" s="14" t="str">
        <f>"201,202,203,204"</f>
        <v>201,202,203,204</v>
      </c>
    </row>
    <row r="145">
      <c r="A145" s="4">
        <f t="shared" si="38"/>
        <v>81011</v>
      </c>
      <c r="B145" s="43" t="s">
        <v>1814</v>
      </c>
      <c r="C145" s="43" t="s">
        <v>1927</v>
      </c>
      <c r="D145" s="43" t="s">
        <v>33</v>
      </c>
      <c r="E145" s="4"/>
      <c r="F145" s="4" t="str">
        <f t="shared" ref="F145:K145" si="101">IF(F139=0,,round(F139*1.2,0))</f>
        <v/>
      </c>
      <c r="G145" s="4" t="str">
        <f t="shared" si="101"/>
        <v/>
      </c>
      <c r="H145" s="4" t="str">
        <f t="shared" si="101"/>
        <v/>
      </c>
      <c r="I145" s="4">
        <f t="shared" si="101"/>
        <v>35</v>
      </c>
      <c r="J145" s="4" t="str">
        <f t="shared" si="101"/>
        <v/>
      </c>
      <c r="K145" s="4" t="str">
        <f t="shared" si="101"/>
        <v/>
      </c>
      <c r="L145" s="4"/>
      <c r="M145" s="4"/>
      <c r="N145" s="4"/>
      <c r="O145" s="4" t="str">
        <f t="shared" si="89"/>
        <v>6003,6006</v>
      </c>
      <c r="P145" s="63">
        <v>800.0</v>
      </c>
      <c r="Q145" s="63">
        <v>800.0</v>
      </c>
      <c r="R145" s="14" t="str">
        <f t="shared" ref="R145:R146" si="103">"205,206,207,208"</f>
        <v>205,206,207,208</v>
      </c>
    </row>
    <row r="146">
      <c r="A146" s="4">
        <f t="shared" si="38"/>
        <v>82011</v>
      </c>
      <c r="B146" s="43" t="s">
        <v>1815</v>
      </c>
      <c r="C146" s="43" t="s">
        <v>1928</v>
      </c>
      <c r="D146" s="43" t="s">
        <v>33</v>
      </c>
      <c r="E146" s="4"/>
      <c r="F146" s="4">
        <f t="shared" ref="F146:K146" si="102">IF(F140=0,,round(F140*1.2,0))</f>
        <v>194</v>
      </c>
      <c r="G146" s="4" t="str">
        <f t="shared" si="102"/>
        <v/>
      </c>
      <c r="H146" s="4" t="str">
        <f t="shared" si="102"/>
        <v/>
      </c>
      <c r="I146" s="4">
        <f t="shared" si="102"/>
        <v>32</v>
      </c>
      <c r="J146" s="4" t="str">
        <f t="shared" si="102"/>
        <v/>
      </c>
      <c r="K146" s="4" t="str">
        <f t="shared" si="102"/>
        <v/>
      </c>
      <c r="L146" s="4"/>
      <c r="M146" s="4"/>
      <c r="N146" s="4"/>
      <c r="O146" s="4" t="str">
        <f t="shared" si="89"/>
        <v>6003,6006</v>
      </c>
      <c r="P146" s="63">
        <v>800.0</v>
      </c>
      <c r="Q146" s="63">
        <v>800.0</v>
      </c>
      <c r="R146" s="14" t="str">
        <f t="shared" si="103"/>
        <v>205,206,207,208</v>
      </c>
    </row>
    <row r="147">
      <c r="A147" s="4">
        <f t="shared" si="38"/>
        <v>83011</v>
      </c>
      <c r="B147" s="43" t="s">
        <v>1817</v>
      </c>
      <c r="C147" s="43" t="s">
        <v>1929</v>
      </c>
      <c r="D147" s="43" t="s">
        <v>33</v>
      </c>
      <c r="E147" s="4"/>
      <c r="F147" s="4" t="str">
        <f t="shared" ref="F147:K147" si="104">IF(F141=0,,round(F141*1.2,0))</f>
        <v/>
      </c>
      <c r="G147" s="4" t="str">
        <f t="shared" si="104"/>
        <v/>
      </c>
      <c r="H147" s="4" t="str">
        <f t="shared" si="104"/>
        <v/>
      </c>
      <c r="I147" s="4">
        <f t="shared" si="104"/>
        <v>38</v>
      </c>
      <c r="J147" s="4">
        <f t="shared" si="104"/>
        <v>24</v>
      </c>
      <c r="K147" s="4" t="str">
        <f t="shared" si="104"/>
        <v/>
      </c>
      <c r="L147" s="4"/>
      <c r="M147" s="4"/>
      <c r="N147" s="4"/>
      <c r="O147" s="4" t="str">
        <f t="shared" si="89"/>
        <v>6003,6006</v>
      </c>
      <c r="P147" s="63">
        <v>800.0</v>
      </c>
      <c r="Q147" s="63">
        <v>800.0</v>
      </c>
      <c r="R147" s="14" t="str">
        <f>"201,202,203,204"</f>
        <v>201,202,203,204</v>
      </c>
    </row>
    <row r="148">
      <c r="A148" s="4">
        <f t="shared" si="38"/>
        <v>84011</v>
      </c>
      <c r="B148" s="43" t="s">
        <v>1819</v>
      </c>
      <c r="C148" s="43" t="s">
        <v>1931</v>
      </c>
      <c r="D148" s="43" t="s">
        <v>33</v>
      </c>
      <c r="E148" s="4"/>
      <c r="F148" s="4">
        <f t="shared" ref="F148:K148" si="105">IF(F142=0,,round(F142*1.2,0))</f>
        <v>161</v>
      </c>
      <c r="G148" s="4" t="str">
        <f t="shared" si="105"/>
        <v/>
      </c>
      <c r="H148" s="4" t="str">
        <f t="shared" si="105"/>
        <v/>
      </c>
      <c r="I148" s="4">
        <f t="shared" si="105"/>
        <v>59</v>
      </c>
      <c r="J148" s="4" t="str">
        <f t="shared" si="105"/>
        <v/>
      </c>
      <c r="K148" s="4" t="str">
        <f t="shared" si="105"/>
        <v/>
      </c>
      <c r="L148" s="4"/>
      <c r="M148" s="4"/>
      <c r="N148" s="4"/>
      <c r="O148" s="4" t="str">
        <f t="shared" si="89"/>
        <v>6003,6006</v>
      </c>
      <c r="P148" s="63">
        <v>800.0</v>
      </c>
      <c r="Q148" s="63">
        <v>800.0</v>
      </c>
      <c r="R148" s="14" t="str">
        <f t="shared" ref="R148:R149" si="107">"209,210,211,212"</f>
        <v>209,210,211,212</v>
      </c>
    </row>
    <row r="149">
      <c r="A149" s="4">
        <f t="shared" si="38"/>
        <v>85011</v>
      </c>
      <c r="B149" s="43" t="s">
        <v>1821</v>
      </c>
      <c r="C149" s="43" t="s">
        <v>1944</v>
      </c>
      <c r="D149" s="43" t="s">
        <v>33</v>
      </c>
      <c r="E149" s="4"/>
      <c r="F149" s="4">
        <f t="shared" ref="F149:K149" si="106">IF(F143=0,,round(F143*1.2,0))</f>
        <v>116</v>
      </c>
      <c r="G149" s="4">
        <f t="shared" si="106"/>
        <v>12</v>
      </c>
      <c r="H149" s="4" t="str">
        <f t="shared" si="106"/>
        <v/>
      </c>
      <c r="I149" s="4" t="str">
        <f t="shared" si="106"/>
        <v/>
      </c>
      <c r="J149" s="4">
        <f t="shared" si="106"/>
        <v>23</v>
      </c>
      <c r="K149" s="4" t="str">
        <f t="shared" si="106"/>
        <v/>
      </c>
      <c r="L149" s="4"/>
      <c r="M149" s="4"/>
      <c r="N149" s="4"/>
      <c r="O149" s="4" t="str">
        <f t="shared" si="89"/>
        <v>6003,6006</v>
      </c>
      <c r="P149" s="63">
        <v>800.0</v>
      </c>
      <c r="Q149" s="63">
        <v>800.0</v>
      </c>
      <c r="R149" s="14" t="str">
        <f t="shared" si="107"/>
        <v>209,210,211,212</v>
      </c>
    </row>
    <row r="150">
      <c r="A150" s="4">
        <f t="shared" si="38"/>
        <v>80012</v>
      </c>
      <c r="B150" s="43" t="s">
        <v>729</v>
      </c>
      <c r="C150" s="43" t="s">
        <v>1945</v>
      </c>
      <c r="D150" s="43" t="s">
        <v>15</v>
      </c>
      <c r="E150" s="4"/>
      <c r="F150" s="4" t="str">
        <f t="shared" ref="F150:K150" si="108">IF(F138=0,,round(F138*1.7,0))</f>
        <v/>
      </c>
      <c r="G150" s="4">
        <f t="shared" si="108"/>
        <v>44</v>
      </c>
      <c r="H150" s="4" t="str">
        <f t="shared" si="108"/>
        <v/>
      </c>
      <c r="I150" s="4">
        <f t="shared" si="108"/>
        <v>15</v>
      </c>
      <c r="J150" s="4" t="str">
        <f t="shared" si="108"/>
        <v/>
      </c>
      <c r="K150" s="4" t="str">
        <f t="shared" si="108"/>
        <v/>
      </c>
      <c r="L150" s="4"/>
      <c r="M150" s="4"/>
      <c r="N150" s="4"/>
      <c r="O150" s="4" t="str">
        <f t="shared" si="89"/>
        <v>6003,6006</v>
      </c>
      <c r="P150" s="63">
        <v>800.0</v>
      </c>
      <c r="Q150" s="63">
        <v>800.0</v>
      </c>
      <c r="R150" s="14" t="str">
        <f>"201,202,203,204"</f>
        <v>201,202,203,204</v>
      </c>
    </row>
    <row r="151">
      <c r="A151" s="4">
        <f t="shared" si="38"/>
        <v>81012</v>
      </c>
      <c r="B151" s="43" t="s">
        <v>1814</v>
      </c>
      <c r="C151" s="43" t="s">
        <v>1946</v>
      </c>
      <c r="D151" s="43" t="s">
        <v>15</v>
      </c>
      <c r="E151" s="4"/>
      <c r="F151" s="4" t="str">
        <f t="shared" ref="F151:K151" si="109">IF(F139=0,,round(F139*1.7,0))</f>
        <v/>
      </c>
      <c r="G151" s="4" t="str">
        <f t="shared" si="109"/>
        <v/>
      </c>
      <c r="H151" s="4" t="str">
        <f t="shared" si="109"/>
        <v/>
      </c>
      <c r="I151" s="4">
        <f t="shared" si="109"/>
        <v>49</v>
      </c>
      <c r="J151" s="4" t="str">
        <f t="shared" si="109"/>
        <v/>
      </c>
      <c r="K151" s="4" t="str">
        <f t="shared" si="109"/>
        <v/>
      </c>
      <c r="L151" s="4"/>
      <c r="M151" s="4"/>
      <c r="N151" s="4"/>
      <c r="O151" s="4" t="str">
        <f t="shared" si="89"/>
        <v>6003,6006</v>
      </c>
      <c r="P151" s="63">
        <v>800.0</v>
      </c>
      <c r="Q151" s="63">
        <v>800.0</v>
      </c>
      <c r="R151" s="14" t="str">
        <f t="shared" ref="R151:R152" si="111">"205,206,207,208"</f>
        <v>205,206,207,208</v>
      </c>
    </row>
    <row r="152">
      <c r="A152" s="4">
        <f t="shared" si="38"/>
        <v>82012</v>
      </c>
      <c r="B152" s="43" t="s">
        <v>1815</v>
      </c>
      <c r="C152" s="43" t="s">
        <v>805</v>
      </c>
      <c r="D152" s="43" t="s">
        <v>15</v>
      </c>
      <c r="E152" s="4"/>
      <c r="F152" s="4">
        <f t="shared" ref="F152:K152" si="110">IF(F140=0,,round(F140*1.7,0))</f>
        <v>275</v>
      </c>
      <c r="G152" s="4" t="str">
        <f t="shared" si="110"/>
        <v/>
      </c>
      <c r="H152" s="4" t="str">
        <f t="shared" si="110"/>
        <v/>
      </c>
      <c r="I152" s="4">
        <f t="shared" si="110"/>
        <v>46</v>
      </c>
      <c r="J152" s="4" t="str">
        <f t="shared" si="110"/>
        <v/>
      </c>
      <c r="K152" s="4" t="str">
        <f t="shared" si="110"/>
        <v/>
      </c>
      <c r="L152" s="4"/>
      <c r="M152" s="4"/>
      <c r="N152" s="4"/>
      <c r="O152" s="4" t="str">
        <f t="shared" si="89"/>
        <v>6003,6006</v>
      </c>
      <c r="P152" s="63">
        <v>800.0</v>
      </c>
      <c r="Q152" s="63">
        <v>800.0</v>
      </c>
      <c r="R152" s="14" t="str">
        <f t="shared" si="111"/>
        <v>205,206,207,208</v>
      </c>
    </row>
    <row r="153">
      <c r="A153" s="4">
        <f t="shared" si="38"/>
        <v>83012</v>
      </c>
      <c r="B153" s="43" t="s">
        <v>1817</v>
      </c>
      <c r="C153" s="43" t="s">
        <v>1947</v>
      </c>
      <c r="D153" s="43" t="s">
        <v>15</v>
      </c>
      <c r="E153" s="4"/>
      <c r="F153" s="4" t="str">
        <f t="shared" ref="F153:K153" si="112">IF(F141=0,,round(F141*1.7,0))</f>
        <v/>
      </c>
      <c r="G153" s="4" t="str">
        <f t="shared" si="112"/>
        <v/>
      </c>
      <c r="H153" s="4" t="str">
        <f t="shared" si="112"/>
        <v/>
      </c>
      <c r="I153" s="4">
        <f t="shared" si="112"/>
        <v>54</v>
      </c>
      <c r="J153" s="4">
        <f t="shared" si="112"/>
        <v>34</v>
      </c>
      <c r="K153" s="4" t="str">
        <f t="shared" si="112"/>
        <v/>
      </c>
      <c r="L153" s="4"/>
      <c r="M153" s="4"/>
      <c r="N153" s="4"/>
      <c r="O153" s="4" t="str">
        <f t="shared" si="89"/>
        <v>6003,6006</v>
      </c>
      <c r="P153" s="63">
        <v>800.0</v>
      </c>
      <c r="Q153" s="63">
        <v>800.0</v>
      </c>
      <c r="R153" s="14" t="str">
        <f>"201,202,203,204"</f>
        <v>201,202,203,204</v>
      </c>
    </row>
    <row r="154">
      <c r="A154" s="4">
        <f t="shared" si="38"/>
        <v>84012</v>
      </c>
      <c r="B154" s="43" t="s">
        <v>1819</v>
      </c>
      <c r="C154" s="43" t="s">
        <v>1948</v>
      </c>
      <c r="D154" s="43" t="s">
        <v>15</v>
      </c>
      <c r="E154" s="4"/>
      <c r="F154" s="4">
        <f t="shared" ref="F154:K154" si="113">IF(F142=0,,round(F142*1.7,0))</f>
        <v>228</v>
      </c>
      <c r="G154" s="4" t="str">
        <f t="shared" si="113"/>
        <v/>
      </c>
      <c r="H154" s="4" t="str">
        <f t="shared" si="113"/>
        <v/>
      </c>
      <c r="I154" s="4">
        <f t="shared" si="113"/>
        <v>83</v>
      </c>
      <c r="J154" s="4" t="str">
        <f t="shared" si="113"/>
        <v/>
      </c>
      <c r="K154" s="4" t="str">
        <f t="shared" si="113"/>
        <v/>
      </c>
      <c r="L154" s="4"/>
      <c r="M154" s="4"/>
      <c r="N154" s="4"/>
      <c r="O154" s="4" t="str">
        <f t="shared" si="89"/>
        <v>6003,6006</v>
      </c>
      <c r="P154" s="63">
        <v>800.0</v>
      </c>
      <c r="Q154" s="63">
        <v>800.0</v>
      </c>
      <c r="R154" s="14" t="str">
        <f t="shared" ref="R154:R155" si="115">"209,210,211,212"</f>
        <v>209,210,211,212</v>
      </c>
    </row>
    <row r="155">
      <c r="A155" s="4">
        <f t="shared" si="38"/>
        <v>85012</v>
      </c>
      <c r="B155" s="43" t="s">
        <v>1821</v>
      </c>
      <c r="C155" s="43" t="s">
        <v>1949</v>
      </c>
      <c r="D155" s="43" t="s">
        <v>15</v>
      </c>
      <c r="E155" s="4"/>
      <c r="F155" s="4">
        <f t="shared" ref="F155:K155" si="114">IF(F143=0,,round(F143*1.7,0))</f>
        <v>165</v>
      </c>
      <c r="G155" s="4">
        <f t="shared" si="114"/>
        <v>17</v>
      </c>
      <c r="H155" s="4" t="str">
        <f t="shared" si="114"/>
        <v/>
      </c>
      <c r="I155" s="4" t="str">
        <f t="shared" si="114"/>
        <v/>
      </c>
      <c r="J155" s="4">
        <f t="shared" si="114"/>
        <v>32</v>
      </c>
      <c r="K155" s="4" t="str">
        <f t="shared" si="114"/>
        <v/>
      </c>
      <c r="L155" s="4"/>
      <c r="M155" s="4"/>
      <c r="N155" s="4"/>
      <c r="O155" s="4" t="str">
        <f t="shared" si="89"/>
        <v>6003,6006</v>
      </c>
      <c r="P155" s="63">
        <v>800.0</v>
      </c>
      <c r="Q155" s="63">
        <v>800.0</v>
      </c>
      <c r="R155" s="14" t="str">
        <f t="shared" si="115"/>
        <v>209,210,211,212</v>
      </c>
    </row>
    <row r="156">
      <c r="A156" s="40" t="s">
        <v>1764</v>
      </c>
      <c r="B156" s="40" t="s">
        <v>469</v>
      </c>
      <c r="C156" s="40" t="s">
        <v>934</v>
      </c>
      <c r="D156" s="40" t="s">
        <v>676</v>
      </c>
      <c r="E156" s="40" t="s">
        <v>538</v>
      </c>
      <c r="F156" s="40" t="s">
        <v>68</v>
      </c>
      <c r="G156" s="40" t="s">
        <v>250</v>
      </c>
      <c r="H156" s="40" t="s">
        <v>252</v>
      </c>
      <c r="I156" s="40" t="s">
        <v>254</v>
      </c>
      <c r="J156" s="40" t="s">
        <v>256</v>
      </c>
      <c r="K156" s="40" t="s">
        <v>73</v>
      </c>
      <c r="L156" s="40" t="s">
        <v>265</v>
      </c>
      <c r="M156" s="40" t="s">
        <v>1767</v>
      </c>
      <c r="N156" s="40" t="s">
        <v>1768</v>
      </c>
      <c r="O156" s="40" t="s">
        <v>1769</v>
      </c>
      <c r="P156" s="56" t="s">
        <v>1770</v>
      </c>
      <c r="Q156" s="56" t="s">
        <v>1771</v>
      </c>
      <c r="R156" s="56" t="s">
        <v>1772</v>
      </c>
    </row>
    <row r="157">
      <c r="A157" s="4">
        <v>88000.0</v>
      </c>
      <c r="B157" s="43" t="s">
        <v>729</v>
      </c>
      <c r="C157" s="4" t="s">
        <v>1950</v>
      </c>
      <c r="D157" s="43" t="s">
        <v>43</v>
      </c>
      <c r="E157" s="4"/>
      <c r="F157" s="4">
        <v>138.0</v>
      </c>
      <c r="G157" s="4"/>
      <c r="H157" s="4"/>
      <c r="I157" s="4">
        <v>25.0</v>
      </c>
      <c r="J157" s="4"/>
      <c r="K157" s="4"/>
      <c r="L157" s="4"/>
      <c r="M157" s="4"/>
      <c r="N157" s="4"/>
      <c r="O157" s="4" t="str">
        <f t="shared" ref="O157:O198" si="116">"6007,6008,6009,6010,6011"</f>
        <v>6007,6008,6009,6010,6011</v>
      </c>
      <c r="P157" s="63">
        <v>800.0</v>
      </c>
      <c r="Q157" s="63">
        <v>800.0</v>
      </c>
      <c r="R157" s="14" t="str">
        <f t="shared" ref="R157:R159" si="117">"201,202,203,204"</f>
        <v>201,202,203,204</v>
      </c>
    </row>
    <row r="158">
      <c r="A158" s="4">
        <v>88001.0</v>
      </c>
      <c r="B158" s="43" t="s">
        <v>729</v>
      </c>
      <c r="C158" s="4" t="s">
        <v>1951</v>
      </c>
      <c r="D158" s="43" t="s">
        <v>43</v>
      </c>
      <c r="E158" s="4"/>
      <c r="F158" s="4"/>
      <c r="G158" s="4">
        <v>22.0</v>
      </c>
      <c r="H158" s="4"/>
      <c r="I158" s="4">
        <v>8.0</v>
      </c>
      <c r="J158" s="4"/>
      <c r="K158" s="4"/>
      <c r="L158" s="4"/>
      <c r="M158" s="4"/>
      <c r="N158" s="4"/>
      <c r="O158" s="4" t="str">
        <f t="shared" si="116"/>
        <v>6007,6008,6009,6010,6011</v>
      </c>
      <c r="P158" s="63">
        <v>800.0</v>
      </c>
      <c r="Q158" s="63">
        <v>800.0</v>
      </c>
      <c r="R158" s="14" t="str">
        <f t="shared" si="117"/>
        <v>201,202,203,204</v>
      </c>
    </row>
    <row r="159">
      <c r="A159" s="4">
        <v>88002.0</v>
      </c>
      <c r="B159" s="43" t="s">
        <v>729</v>
      </c>
      <c r="C159" s="4" t="s">
        <v>1952</v>
      </c>
      <c r="D159" s="43" t="s">
        <v>43</v>
      </c>
      <c r="E159" s="4"/>
      <c r="F159" s="4"/>
      <c r="G159" s="4"/>
      <c r="H159" s="4">
        <v>22.0</v>
      </c>
      <c r="I159" s="4"/>
      <c r="J159" s="4">
        <v>8.0</v>
      </c>
      <c r="K159" s="4"/>
      <c r="L159" s="4"/>
      <c r="M159" s="4"/>
      <c r="N159" s="4"/>
      <c r="O159" s="4" t="str">
        <f t="shared" si="116"/>
        <v>6007,6008,6009,6010,6011</v>
      </c>
      <c r="P159" s="63">
        <v>800.0</v>
      </c>
      <c r="Q159" s="63">
        <v>800.0</v>
      </c>
      <c r="R159" s="14" t="str">
        <f t="shared" si="117"/>
        <v>201,202,203,204</v>
      </c>
    </row>
    <row r="160">
      <c r="A160" s="4">
        <v>88003.0</v>
      </c>
      <c r="B160" s="43" t="s">
        <v>1814</v>
      </c>
      <c r="C160" s="4" t="s">
        <v>814</v>
      </c>
      <c r="D160" s="43" t="s">
        <v>43</v>
      </c>
      <c r="E160" s="4"/>
      <c r="F160" s="4"/>
      <c r="G160" s="4"/>
      <c r="H160" s="4"/>
      <c r="I160" s="4">
        <v>25.0</v>
      </c>
      <c r="J160" s="4"/>
      <c r="K160" s="4"/>
      <c r="L160" s="4"/>
      <c r="M160" s="4"/>
      <c r="N160" s="4"/>
      <c r="O160" s="4" t="str">
        <f t="shared" si="116"/>
        <v>6007,6008,6009,6010,6011</v>
      </c>
      <c r="P160" s="63">
        <v>800.0</v>
      </c>
      <c r="Q160" s="63">
        <v>800.0</v>
      </c>
      <c r="R160" s="14" t="str">
        <f t="shared" ref="R160:R161" si="118">"205,206,207,208"</f>
        <v>205,206,207,208</v>
      </c>
    </row>
    <row r="161">
      <c r="A161" s="4">
        <v>88004.0</v>
      </c>
      <c r="B161" s="43" t="s">
        <v>1815</v>
      </c>
      <c r="C161" s="4" t="s">
        <v>820</v>
      </c>
      <c r="D161" s="43" t="s">
        <v>43</v>
      </c>
      <c r="E161" s="4"/>
      <c r="F161" s="4">
        <v>138.0</v>
      </c>
      <c r="G161" s="4"/>
      <c r="H161" s="4"/>
      <c r="I161" s="4">
        <v>23.0</v>
      </c>
      <c r="J161" s="4"/>
      <c r="K161" s="4"/>
      <c r="L161" s="4"/>
      <c r="M161" s="4"/>
      <c r="N161" s="4"/>
      <c r="O161" s="4" t="str">
        <f t="shared" si="116"/>
        <v>6007,6008,6009,6010,6011</v>
      </c>
      <c r="P161" s="63">
        <v>800.0</v>
      </c>
      <c r="Q161" s="63">
        <v>800.0</v>
      </c>
      <c r="R161" s="14" t="str">
        <f t="shared" si="118"/>
        <v>205,206,207,208</v>
      </c>
    </row>
    <row r="162">
      <c r="A162" s="4">
        <v>88005.0</v>
      </c>
      <c r="B162" s="43" t="s">
        <v>1817</v>
      </c>
      <c r="C162" s="4" t="s">
        <v>826</v>
      </c>
      <c r="D162" s="43" t="s">
        <v>43</v>
      </c>
      <c r="E162" s="4"/>
      <c r="F162" s="4"/>
      <c r="G162" s="4"/>
      <c r="H162" s="4"/>
      <c r="I162" s="4">
        <v>27.0</v>
      </c>
      <c r="J162" s="4">
        <v>17.0</v>
      </c>
      <c r="K162" s="4"/>
      <c r="L162" s="4"/>
      <c r="M162" s="4"/>
      <c r="N162" s="4"/>
      <c r="O162" s="4" t="str">
        <f t="shared" si="116"/>
        <v>6007,6008,6009,6010,6011</v>
      </c>
      <c r="P162" s="63">
        <v>800.0</v>
      </c>
      <c r="Q162" s="63">
        <v>800.0</v>
      </c>
      <c r="R162" s="14" t="str">
        <f>"201,202,203,204"</f>
        <v>201,202,203,204</v>
      </c>
    </row>
    <row r="163">
      <c r="A163" s="4">
        <v>88006.0</v>
      </c>
      <c r="B163" s="43" t="s">
        <v>1819</v>
      </c>
      <c r="C163" s="4" t="s">
        <v>832</v>
      </c>
      <c r="D163" s="43" t="s">
        <v>43</v>
      </c>
      <c r="E163" s="4"/>
      <c r="F163" s="4">
        <v>115.0</v>
      </c>
      <c r="G163" s="4"/>
      <c r="H163" s="4"/>
      <c r="I163" s="4">
        <v>42.0</v>
      </c>
      <c r="J163" s="4"/>
      <c r="K163" s="4"/>
      <c r="L163" s="4"/>
      <c r="M163" s="4"/>
      <c r="N163" s="4"/>
      <c r="O163" s="4" t="str">
        <f t="shared" si="116"/>
        <v>6007,6008,6009,6010,6011</v>
      </c>
      <c r="P163" s="63">
        <v>800.0</v>
      </c>
      <c r="Q163" s="63">
        <v>800.0</v>
      </c>
      <c r="R163" s="14" t="str">
        <f t="shared" ref="R163:R164" si="119">"209,210,211,212"</f>
        <v>209,210,211,212</v>
      </c>
    </row>
    <row r="164">
      <c r="A164" s="4">
        <v>88007.0</v>
      </c>
      <c r="B164" s="43" t="s">
        <v>1821</v>
      </c>
      <c r="C164" s="4" t="s">
        <v>838</v>
      </c>
      <c r="D164" s="43" t="s">
        <v>43</v>
      </c>
      <c r="E164" s="4"/>
      <c r="F164" s="4">
        <v>82.0</v>
      </c>
      <c r="G164" s="4">
        <v>8.0</v>
      </c>
      <c r="H164" s="4"/>
      <c r="I164" s="4"/>
      <c r="J164" s="4">
        <v>16.0</v>
      </c>
      <c r="K164" s="4"/>
      <c r="L164" s="4"/>
      <c r="M164" s="4"/>
      <c r="N164" s="4"/>
      <c r="O164" s="4" t="str">
        <f t="shared" si="116"/>
        <v>6007,6008,6009,6010,6011</v>
      </c>
      <c r="P164" s="63">
        <v>800.0</v>
      </c>
      <c r="Q164" s="63">
        <v>800.0</v>
      </c>
      <c r="R164" s="14" t="str">
        <f t="shared" si="119"/>
        <v>209,210,211,212</v>
      </c>
    </row>
    <row r="165">
      <c r="A165" s="4">
        <v>88008.0</v>
      </c>
      <c r="B165" s="43" t="s">
        <v>729</v>
      </c>
      <c r="C165" s="4" t="s">
        <v>808</v>
      </c>
      <c r="D165" s="43" t="s">
        <v>43</v>
      </c>
      <c r="E165" s="4"/>
      <c r="F165" s="4"/>
      <c r="G165" s="4">
        <v>22.0</v>
      </c>
      <c r="H165" s="4"/>
      <c r="I165" s="4">
        <v>8.0</v>
      </c>
      <c r="J165" s="4"/>
      <c r="K165" s="4"/>
      <c r="L165" s="4"/>
      <c r="M165" s="4"/>
      <c r="N165" s="4"/>
      <c r="O165" s="4" t="str">
        <f t="shared" si="116"/>
        <v>6007,6008,6009,6010,6011</v>
      </c>
      <c r="P165" s="63">
        <v>800.0</v>
      </c>
      <c r="Q165" s="63">
        <v>800.0</v>
      </c>
      <c r="R165" s="14" t="str">
        <f>"201,202,203,204"</f>
        <v>201,202,203,204</v>
      </c>
    </row>
    <row r="166">
      <c r="A166" s="4">
        <v>88009.0</v>
      </c>
      <c r="B166" s="43" t="s">
        <v>1814</v>
      </c>
      <c r="C166" s="4" t="s">
        <v>815</v>
      </c>
      <c r="D166" s="43" t="s">
        <v>43</v>
      </c>
      <c r="E166" s="4"/>
      <c r="F166" s="4"/>
      <c r="G166" s="4"/>
      <c r="H166" s="4"/>
      <c r="I166" s="4">
        <v>25.0</v>
      </c>
      <c r="J166" s="4"/>
      <c r="K166" s="4"/>
      <c r="L166" s="4"/>
      <c r="M166" s="4"/>
      <c r="N166" s="4"/>
      <c r="O166" s="4" t="str">
        <f t="shared" si="116"/>
        <v>6007,6008,6009,6010,6011</v>
      </c>
      <c r="P166" s="63">
        <v>800.0</v>
      </c>
      <c r="Q166" s="63">
        <v>800.0</v>
      </c>
      <c r="R166" s="14" t="str">
        <f t="shared" ref="R166:R167" si="120">"205,206,207,208"</f>
        <v>205,206,207,208</v>
      </c>
    </row>
    <row r="167">
      <c r="A167" s="4">
        <v>88010.0</v>
      </c>
      <c r="B167" s="43" t="s">
        <v>1815</v>
      </c>
      <c r="C167" s="4" t="s">
        <v>821</v>
      </c>
      <c r="D167" s="43" t="s">
        <v>43</v>
      </c>
      <c r="E167" s="4"/>
      <c r="F167" s="4">
        <v>138.0</v>
      </c>
      <c r="G167" s="4"/>
      <c r="H167" s="4"/>
      <c r="I167" s="4">
        <v>23.0</v>
      </c>
      <c r="J167" s="4"/>
      <c r="K167" s="4"/>
      <c r="L167" s="4"/>
      <c r="M167" s="4"/>
      <c r="N167" s="4"/>
      <c r="O167" s="4" t="str">
        <f t="shared" si="116"/>
        <v>6007,6008,6009,6010,6011</v>
      </c>
      <c r="P167" s="63">
        <v>800.0</v>
      </c>
      <c r="Q167" s="63">
        <v>800.0</v>
      </c>
      <c r="R167" s="14" t="str">
        <f t="shared" si="120"/>
        <v>205,206,207,208</v>
      </c>
    </row>
    <row r="168">
      <c r="A168" s="4">
        <v>88011.0</v>
      </c>
      <c r="B168" s="43" t="s">
        <v>1817</v>
      </c>
      <c r="C168" s="4" t="s">
        <v>827</v>
      </c>
      <c r="D168" s="43" t="s">
        <v>43</v>
      </c>
      <c r="E168" s="4"/>
      <c r="F168" s="4"/>
      <c r="G168" s="4"/>
      <c r="H168" s="4"/>
      <c r="I168" s="4">
        <v>27.0</v>
      </c>
      <c r="J168" s="4">
        <v>17.0</v>
      </c>
      <c r="K168" s="4"/>
      <c r="L168" s="4"/>
      <c r="M168" s="4"/>
      <c r="N168" s="4"/>
      <c r="O168" s="4" t="str">
        <f t="shared" si="116"/>
        <v>6007,6008,6009,6010,6011</v>
      </c>
      <c r="P168" s="63">
        <v>800.0</v>
      </c>
      <c r="Q168" s="63">
        <v>800.0</v>
      </c>
      <c r="R168" s="14" t="str">
        <f>"201,202,203,204"</f>
        <v>201,202,203,204</v>
      </c>
    </row>
    <row r="169">
      <c r="A169" s="4">
        <v>88012.0</v>
      </c>
      <c r="B169" s="43" t="s">
        <v>1819</v>
      </c>
      <c r="C169" s="4" t="s">
        <v>833</v>
      </c>
      <c r="D169" s="43" t="s">
        <v>43</v>
      </c>
      <c r="E169" s="4"/>
      <c r="F169" s="4">
        <v>115.0</v>
      </c>
      <c r="G169" s="4"/>
      <c r="H169" s="4"/>
      <c r="I169" s="4">
        <v>42.0</v>
      </c>
      <c r="J169" s="4"/>
      <c r="K169" s="4"/>
      <c r="L169" s="4"/>
      <c r="M169" s="4"/>
      <c r="N169" s="4"/>
      <c r="O169" s="4" t="str">
        <f t="shared" si="116"/>
        <v>6007,6008,6009,6010,6011</v>
      </c>
      <c r="P169" s="63">
        <v>800.0</v>
      </c>
      <c r="Q169" s="63">
        <v>800.0</v>
      </c>
      <c r="R169" s="14" t="str">
        <f t="shared" ref="R169:R170" si="121">"209,210,211,212"</f>
        <v>209,210,211,212</v>
      </c>
    </row>
    <row r="170">
      <c r="A170" s="4">
        <v>88013.0</v>
      </c>
      <c r="B170" s="43" t="s">
        <v>1821</v>
      </c>
      <c r="C170" s="4" t="s">
        <v>839</v>
      </c>
      <c r="D170" s="43" t="s">
        <v>43</v>
      </c>
      <c r="E170" s="4"/>
      <c r="F170" s="4">
        <v>82.0</v>
      </c>
      <c r="G170" s="4">
        <v>8.0</v>
      </c>
      <c r="H170" s="4"/>
      <c r="I170" s="4"/>
      <c r="J170" s="4">
        <v>16.0</v>
      </c>
      <c r="K170" s="4"/>
      <c r="L170" s="4"/>
      <c r="M170" s="4"/>
      <c r="N170" s="4"/>
      <c r="O170" s="4" t="str">
        <f t="shared" si="116"/>
        <v>6007,6008,6009,6010,6011</v>
      </c>
      <c r="P170" s="63">
        <v>800.0</v>
      </c>
      <c r="Q170" s="63">
        <v>800.0</v>
      </c>
      <c r="R170" s="14" t="str">
        <f t="shared" si="121"/>
        <v>209,210,211,212</v>
      </c>
    </row>
    <row r="171">
      <c r="A171" s="4">
        <v>88014.0</v>
      </c>
      <c r="B171" s="43" t="s">
        <v>729</v>
      </c>
      <c r="C171" s="4" t="s">
        <v>809</v>
      </c>
      <c r="D171" s="43" t="s">
        <v>43</v>
      </c>
      <c r="E171" s="4"/>
      <c r="F171" s="4"/>
      <c r="G171" s="4">
        <v>22.0</v>
      </c>
      <c r="H171" s="4"/>
      <c r="I171" s="4">
        <v>8.0</v>
      </c>
      <c r="J171" s="4"/>
      <c r="K171" s="4"/>
      <c r="L171" s="4"/>
      <c r="M171" s="4"/>
      <c r="N171" s="4"/>
      <c r="O171" s="4" t="str">
        <f t="shared" si="116"/>
        <v>6007,6008,6009,6010,6011</v>
      </c>
      <c r="P171" s="63">
        <v>800.0</v>
      </c>
      <c r="Q171" s="63">
        <v>800.0</v>
      </c>
      <c r="R171" s="14" t="str">
        <f>"201,202,203,204"</f>
        <v>201,202,203,204</v>
      </c>
    </row>
    <row r="172">
      <c r="A172" s="4">
        <v>88015.0</v>
      </c>
      <c r="B172" s="43" t="s">
        <v>1814</v>
      </c>
      <c r="C172" s="4" t="s">
        <v>816</v>
      </c>
      <c r="D172" s="43" t="s">
        <v>43</v>
      </c>
      <c r="E172" s="4"/>
      <c r="F172" s="4"/>
      <c r="G172" s="4"/>
      <c r="H172" s="4"/>
      <c r="I172" s="4">
        <v>25.0</v>
      </c>
      <c r="J172" s="4"/>
      <c r="K172" s="4"/>
      <c r="L172" s="4"/>
      <c r="M172" s="4"/>
      <c r="N172" s="4"/>
      <c r="O172" s="4" t="str">
        <f t="shared" si="116"/>
        <v>6007,6008,6009,6010,6011</v>
      </c>
      <c r="P172" s="63">
        <v>800.0</v>
      </c>
      <c r="Q172" s="63">
        <v>800.0</v>
      </c>
      <c r="R172" s="14" t="str">
        <f t="shared" ref="R172:R173" si="122">"205,206,207,208"</f>
        <v>205,206,207,208</v>
      </c>
    </row>
    <row r="173">
      <c r="A173" s="4">
        <v>88016.0</v>
      </c>
      <c r="B173" s="43" t="s">
        <v>1815</v>
      </c>
      <c r="C173" s="4" t="s">
        <v>822</v>
      </c>
      <c r="D173" s="43" t="s">
        <v>43</v>
      </c>
      <c r="E173" s="4"/>
      <c r="F173" s="4">
        <v>138.0</v>
      </c>
      <c r="G173" s="4"/>
      <c r="H173" s="4"/>
      <c r="I173" s="4">
        <v>23.0</v>
      </c>
      <c r="J173" s="4"/>
      <c r="K173" s="4"/>
      <c r="L173" s="4"/>
      <c r="M173" s="4"/>
      <c r="N173" s="4"/>
      <c r="O173" s="4" t="str">
        <f t="shared" si="116"/>
        <v>6007,6008,6009,6010,6011</v>
      </c>
      <c r="P173" s="63">
        <v>800.0</v>
      </c>
      <c r="Q173" s="63">
        <v>800.0</v>
      </c>
      <c r="R173" s="14" t="str">
        <f t="shared" si="122"/>
        <v>205,206,207,208</v>
      </c>
    </row>
    <row r="174">
      <c r="A174" s="4">
        <v>88017.0</v>
      </c>
      <c r="B174" s="43" t="s">
        <v>1817</v>
      </c>
      <c r="C174" s="4" t="s">
        <v>828</v>
      </c>
      <c r="D174" s="43" t="s">
        <v>43</v>
      </c>
      <c r="E174" s="4"/>
      <c r="F174" s="4"/>
      <c r="G174" s="4"/>
      <c r="H174" s="4"/>
      <c r="I174" s="4">
        <v>27.0</v>
      </c>
      <c r="J174" s="4">
        <v>17.0</v>
      </c>
      <c r="K174" s="4"/>
      <c r="L174" s="4"/>
      <c r="M174" s="4"/>
      <c r="N174" s="4"/>
      <c r="O174" s="4" t="str">
        <f t="shared" si="116"/>
        <v>6007,6008,6009,6010,6011</v>
      </c>
      <c r="P174" s="63">
        <v>800.0</v>
      </c>
      <c r="Q174" s="63">
        <v>800.0</v>
      </c>
      <c r="R174" s="14" t="str">
        <f>"201,202,203,204"</f>
        <v>201,202,203,204</v>
      </c>
    </row>
    <row r="175">
      <c r="A175" s="4">
        <v>88018.0</v>
      </c>
      <c r="B175" s="43" t="s">
        <v>1819</v>
      </c>
      <c r="C175" s="4" t="s">
        <v>834</v>
      </c>
      <c r="D175" s="43" t="s">
        <v>43</v>
      </c>
      <c r="E175" s="4"/>
      <c r="F175" s="4">
        <v>115.0</v>
      </c>
      <c r="G175" s="4"/>
      <c r="H175" s="4"/>
      <c r="I175" s="4">
        <v>42.0</v>
      </c>
      <c r="J175" s="4"/>
      <c r="K175" s="4"/>
      <c r="L175" s="4"/>
      <c r="M175" s="4"/>
      <c r="N175" s="4"/>
      <c r="O175" s="4" t="str">
        <f t="shared" si="116"/>
        <v>6007,6008,6009,6010,6011</v>
      </c>
      <c r="P175" s="63">
        <v>800.0</v>
      </c>
      <c r="Q175" s="63">
        <v>800.0</v>
      </c>
      <c r="R175" s="14" t="str">
        <f t="shared" ref="R175:R176" si="123">"209,210,211,212"</f>
        <v>209,210,211,212</v>
      </c>
    </row>
    <row r="176">
      <c r="A176" s="4">
        <v>88019.0</v>
      </c>
      <c r="B176" s="43" t="s">
        <v>1821</v>
      </c>
      <c r="C176" s="4" t="s">
        <v>840</v>
      </c>
      <c r="D176" s="43" t="s">
        <v>43</v>
      </c>
      <c r="E176" s="4"/>
      <c r="F176" s="4">
        <v>82.0</v>
      </c>
      <c r="G176" s="4">
        <v>8.0</v>
      </c>
      <c r="H176" s="4"/>
      <c r="I176" s="4"/>
      <c r="J176" s="4">
        <v>16.0</v>
      </c>
      <c r="K176" s="4"/>
      <c r="L176" s="4"/>
      <c r="M176" s="4"/>
      <c r="N176" s="4"/>
      <c r="O176" s="4" t="str">
        <f t="shared" si="116"/>
        <v>6007,6008,6009,6010,6011</v>
      </c>
      <c r="P176" s="63">
        <v>800.0</v>
      </c>
      <c r="Q176" s="63">
        <v>800.0</v>
      </c>
      <c r="R176" s="14" t="str">
        <f t="shared" si="123"/>
        <v>209,210,211,212</v>
      </c>
    </row>
    <row r="177">
      <c r="A177" s="4">
        <v>88020.0</v>
      </c>
      <c r="B177" s="43" t="s">
        <v>729</v>
      </c>
      <c r="C177" s="4" t="s">
        <v>811</v>
      </c>
      <c r="D177" s="43" t="s">
        <v>33</v>
      </c>
      <c r="E177" s="4"/>
      <c r="F177" s="4"/>
      <c r="G177" s="4">
        <v>31.0</v>
      </c>
      <c r="H177" s="4"/>
      <c r="I177" s="4">
        <v>11.0</v>
      </c>
      <c r="J177" s="4"/>
      <c r="K177" s="4"/>
      <c r="L177" s="4"/>
      <c r="M177" s="4"/>
      <c r="N177" s="4"/>
      <c r="O177" s="4" t="str">
        <f t="shared" si="116"/>
        <v>6007,6008,6009,6010,6011</v>
      </c>
      <c r="P177" s="63">
        <v>800.0</v>
      </c>
      <c r="Q177" s="63">
        <v>800.0</v>
      </c>
      <c r="R177" s="14" t="str">
        <f>"201,202,203,204"</f>
        <v>201,202,203,204</v>
      </c>
    </row>
    <row r="178">
      <c r="A178" s="4">
        <v>88021.0</v>
      </c>
      <c r="B178" s="43" t="s">
        <v>1814</v>
      </c>
      <c r="C178" s="4" t="s">
        <v>817</v>
      </c>
      <c r="D178" s="43" t="s">
        <v>33</v>
      </c>
      <c r="E178" s="4"/>
      <c r="F178" s="4"/>
      <c r="G178" s="4"/>
      <c r="H178" s="4"/>
      <c r="I178" s="4">
        <v>35.0</v>
      </c>
      <c r="J178" s="4"/>
      <c r="K178" s="4"/>
      <c r="L178" s="4"/>
      <c r="M178" s="4"/>
      <c r="N178" s="4"/>
      <c r="O178" s="4" t="str">
        <f t="shared" si="116"/>
        <v>6007,6008,6009,6010,6011</v>
      </c>
      <c r="P178" s="63">
        <v>800.0</v>
      </c>
      <c r="Q178" s="63">
        <v>800.0</v>
      </c>
      <c r="R178" s="14" t="str">
        <f t="shared" ref="R178:R179" si="124">"205,206,207,208"</f>
        <v>205,206,207,208</v>
      </c>
    </row>
    <row r="179">
      <c r="A179" s="4">
        <v>88022.0</v>
      </c>
      <c r="B179" s="43" t="s">
        <v>1815</v>
      </c>
      <c r="C179" s="4" t="s">
        <v>823</v>
      </c>
      <c r="D179" s="43" t="s">
        <v>33</v>
      </c>
      <c r="E179" s="4"/>
      <c r="F179" s="4">
        <v>194.0</v>
      </c>
      <c r="G179" s="4"/>
      <c r="H179" s="4"/>
      <c r="I179" s="4">
        <v>32.0</v>
      </c>
      <c r="J179" s="4"/>
      <c r="K179" s="4"/>
      <c r="L179" s="4"/>
      <c r="M179" s="4"/>
      <c r="N179" s="4"/>
      <c r="O179" s="4" t="str">
        <f t="shared" si="116"/>
        <v>6007,6008,6009,6010,6011</v>
      </c>
      <c r="P179" s="63">
        <v>800.0</v>
      </c>
      <c r="Q179" s="63">
        <v>800.0</v>
      </c>
      <c r="R179" s="14" t="str">
        <f t="shared" si="124"/>
        <v>205,206,207,208</v>
      </c>
    </row>
    <row r="180">
      <c r="A180" s="4">
        <v>88023.0</v>
      </c>
      <c r="B180" s="43" t="s">
        <v>1817</v>
      </c>
      <c r="C180" s="4" t="s">
        <v>829</v>
      </c>
      <c r="D180" s="43" t="s">
        <v>33</v>
      </c>
      <c r="E180" s="4"/>
      <c r="F180" s="4"/>
      <c r="G180" s="4"/>
      <c r="H180" s="4"/>
      <c r="I180" s="4">
        <v>38.0</v>
      </c>
      <c r="J180" s="4">
        <v>24.0</v>
      </c>
      <c r="K180" s="4"/>
      <c r="L180" s="4"/>
      <c r="M180" s="4"/>
      <c r="N180" s="4"/>
      <c r="O180" s="4" t="str">
        <f t="shared" si="116"/>
        <v>6007,6008,6009,6010,6011</v>
      </c>
      <c r="P180" s="63">
        <v>800.0</v>
      </c>
      <c r="Q180" s="63">
        <v>800.0</v>
      </c>
      <c r="R180" s="14" t="str">
        <f>"201,202,203,204"</f>
        <v>201,202,203,204</v>
      </c>
    </row>
    <row r="181">
      <c r="A181" s="4">
        <v>88024.0</v>
      </c>
      <c r="B181" s="43" t="s">
        <v>1819</v>
      </c>
      <c r="C181" s="4" t="s">
        <v>835</v>
      </c>
      <c r="D181" s="43" t="s">
        <v>33</v>
      </c>
      <c r="E181" s="4"/>
      <c r="F181" s="4">
        <v>161.0</v>
      </c>
      <c r="G181" s="4"/>
      <c r="H181" s="4"/>
      <c r="I181" s="4">
        <v>59.0</v>
      </c>
      <c r="J181" s="4"/>
      <c r="K181" s="4"/>
      <c r="L181" s="4"/>
      <c r="M181" s="4"/>
      <c r="N181" s="4"/>
      <c r="O181" s="4" t="str">
        <f t="shared" si="116"/>
        <v>6007,6008,6009,6010,6011</v>
      </c>
      <c r="P181" s="63">
        <v>800.0</v>
      </c>
      <c r="Q181" s="63">
        <v>800.0</v>
      </c>
      <c r="R181" s="14" t="str">
        <f t="shared" ref="R181:R182" si="125">"209,210,211,212"</f>
        <v>209,210,211,212</v>
      </c>
    </row>
    <row r="182">
      <c r="A182" s="4">
        <v>88025.0</v>
      </c>
      <c r="B182" s="43" t="s">
        <v>1821</v>
      </c>
      <c r="C182" s="4" t="s">
        <v>842</v>
      </c>
      <c r="D182" s="43" t="s">
        <v>33</v>
      </c>
      <c r="E182" s="4"/>
      <c r="F182" s="4">
        <v>116.0</v>
      </c>
      <c r="G182" s="4">
        <v>12.0</v>
      </c>
      <c r="H182" s="4"/>
      <c r="I182" s="4"/>
      <c r="J182" s="4">
        <v>23.0</v>
      </c>
      <c r="K182" s="4"/>
      <c r="L182" s="4"/>
      <c r="M182" s="4"/>
      <c r="N182" s="4"/>
      <c r="O182" s="4" t="str">
        <f t="shared" si="116"/>
        <v>6007,6008,6009,6010,6011</v>
      </c>
      <c r="P182" s="63">
        <v>800.0</v>
      </c>
      <c r="Q182" s="63">
        <v>800.0</v>
      </c>
      <c r="R182" s="14" t="str">
        <f t="shared" si="125"/>
        <v>209,210,211,212</v>
      </c>
    </row>
    <row r="183">
      <c r="A183" s="4">
        <v>88026.0</v>
      </c>
      <c r="B183" s="43" t="s">
        <v>729</v>
      </c>
      <c r="C183" s="4" t="s">
        <v>812</v>
      </c>
      <c r="D183" s="43" t="s">
        <v>33</v>
      </c>
      <c r="E183" s="4"/>
      <c r="F183" s="4"/>
      <c r="G183" s="4">
        <v>31.0</v>
      </c>
      <c r="H183" s="4"/>
      <c r="I183" s="4">
        <v>11.0</v>
      </c>
      <c r="J183" s="4"/>
      <c r="K183" s="4"/>
      <c r="L183" s="4"/>
      <c r="M183" s="4"/>
      <c r="N183" s="4"/>
      <c r="O183" s="4" t="str">
        <f t="shared" si="116"/>
        <v>6007,6008,6009,6010,6011</v>
      </c>
      <c r="P183" s="63">
        <v>800.0</v>
      </c>
      <c r="Q183" s="63">
        <v>800.0</v>
      </c>
      <c r="R183" s="14" t="str">
        <f>"201,202,203,204"</f>
        <v>201,202,203,204</v>
      </c>
    </row>
    <row r="184">
      <c r="A184" s="4">
        <v>88027.0</v>
      </c>
      <c r="B184" s="43" t="s">
        <v>1814</v>
      </c>
      <c r="C184" s="4" t="s">
        <v>818</v>
      </c>
      <c r="D184" s="43" t="s">
        <v>33</v>
      </c>
      <c r="E184" s="4"/>
      <c r="F184" s="4"/>
      <c r="G184" s="4"/>
      <c r="H184" s="4"/>
      <c r="I184" s="4">
        <v>35.0</v>
      </c>
      <c r="J184" s="4"/>
      <c r="K184" s="4"/>
      <c r="L184" s="4"/>
      <c r="M184" s="4"/>
      <c r="N184" s="4"/>
      <c r="O184" s="4" t="str">
        <f t="shared" si="116"/>
        <v>6007,6008,6009,6010,6011</v>
      </c>
      <c r="P184" s="63">
        <v>800.0</v>
      </c>
      <c r="Q184" s="63">
        <v>800.0</v>
      </c>
      <c r="R184" s="14" t="str">
        <f t="shared" ref="R184:R185" si="126">"205,206,207,208"</f>
        <v>205,206,207,208</v>
      </c>
    </row>
    <row r="185">
      <c r="A185" s="4">
        <v>88028.0</v>
      </c>
      <c r="B185" s="43" t="s">
        <v>1815</v>
      </c>
      <c r="C185" s="4" t="s">
        <v>824</v>
      </c>
      <c r="D185" s="43" t="s">
        <v>33</v>
      </c>
      <c r="E185" s="4"/>
      <c r="F185" s="4">
        <v>194.0</v>
      </c>
      <c r="G185" s="4"/>
      <c r="H185" s="4"/>
      <c r="I185" s="4">
        <v>32.0</v>
      </c>
      <c r="J185" s="4"/>
      <c r="K185" s="4"/>
      <c r="L185" s="4"/>
      <c r="M185" s="4"/>
      <c r="N185" s="4"/>
      <c r="O185" s="4" t="str">
        <f t="shared" si="116"/>
        <v>6007,6008,6009,6010,6011</v>
      </c>
      <c r="P185" s="63">
        <v>800.0</v>
      </c>
      <c r="Q185" s="63">
        <v>800.0</v>
      </c>
      <c r="R185" s="14" t="str">
        <f t="shared" si="126"/>
        <v>205,206,207,208</v>
      </c>
    </row>
    <row r="186">
      <c r="A186" s="4">
        <v>88029.0</v>
      </c>
      <c r="B186" s="43" t="s">
        <v>1817</v>
      </c>
      <c r="C186" s="4" t="s">
        <v>830</v>
      </c>
      <c r="D186" s="43" t="s">
        <v>33</v>
      </c>
      <c r="E186" s="4"/>
      <c r="F186" s="4"/>
      <c r="G186" s="4"/>
      <c r="H186" s="4"/>
      <c r="I186" s="4">
        <v>38.0</v>
      </c>
      <c r="J186" s="4">
        <v>24.0</v>
      </c>
      <c r="K186" s="4"/>
      <c r="L186" s="4"/>
      <c r="M186" s="4"/>
      <c r="N186" s="4"/>
      <c r="O186" s="4" t="str">
        <f t="shared" si="116"/>
        <v>6007,6008,6009,6010,6011</v>
      </c>
      <c r="P186" s="63">
        <v>800.0</v>
      </c>
      <c r="Q186" s="63">
        <v>800.0</v>
      </c>
      <c r="R186" s="14" t="str">
        <f>"201,202,203,204"</f>
        <v>201,202,203,204</v>
      </c>
    </row>
    <row r="187">
      <c r="A187" s="4">
        <v>88030.0</v>
      </c>
      <c r="B187" s="43" t="s">
        <v>1819</v>
      </c>
      <c r="C187" s="4" t="s">
        <v>836</v>
      </c>
      <c r="D187" s="43" t="s">
        <v>33</v>
      </c>
      <c r="E187" s="4"/>
      <c r="F187" s="4">
        <v>161.0</v>
      </c>
      <c r="G187" s="4"/>
      <c r="H187" s="4"/>
      <c r="I187" s="4">
        <v>59.0</v>
      </c>
      <c r="J187" s="4"/>
      <c r="K187" s="4"/>
      <c r="L187" s="4"/>
      <c r="M187" s="4"/>
      <c r="N187" s="4"/>
      <c r="O187" s="4" t="str">
        <f t="shared" si="116"/>
        <v>6007,6008,6009,6010,6011</v>
      </c>
      <c r="P187" s="63">
        <v>800.0</v>
      </c>
      <c r="Q187" s="63">
        <v>800.0</v>
      </c>
      <c r="R187" s="14" t="str">
        <f t="shared" ref="R187:R188" si="127">"209,210,211,212"</f>
        <v>209,210,211,212</v>
      </c>
    </row>
    <row r="188">
      <c r="A188" s="4">
        <v>88031.0</v>
      </c>
      <c r="B188" s="43" t="s">
        <v>1821</v>
      </c>
      <c r="C188" s="4" t="s">
        <v>843</v>
      </c>
      <c r="D188" s="43" t="s">
        <v>33</v>
      </c>
      <c r="E188" s="4"/>
      <c r="F188" s="4">
        <v>116.0</v>
      </c>
      <c r="G188" s="4">
        <v>12.0</v>
      </c>
      <c r="H188" s="4"/>
      <c r="I188" s="4"/>
      <c r="J188" s="4">
        <v>23.0</v>
      </c>
      <c r="K188" s="4"/>
      <c r="L188" s="4"/>
      <c r="M188" s="4"/>
      <c r="N188" s="4"/>
      <c r="O188" s="4" t="str">
        <f t="shared" si="116"/>
        <v>6007,6008,6009,6010,6011</v>
      </c>
      <c r="P188" s="63">
        <v>800.0</v>
      </c>
      <c r="Q188" s="63">
        <v>800.0</v>
      </c>
      <c r="R188" s="14" t="str">
        <f t="shared" si="127"/>
        <v>209,210,211,212</v>
      </c>
    </row>
    <row r="189">
      <c r="A189" s="4">
        <v>88032.0</v>
      </c>
      <c r="B189" s="43" t="s">
        <v>729</v>
      </c>
      <c r="C189" s="4" t="s">
        <v>1953</v>
      </c>
      <c r="D189" s="43" t="s">
        <v>15</v>
      </c>
      <c r="E189" s="4"/>
      <c r="F189" s="4"/>
      <c r="G189" s="4">
        <v>44.0</v>
      </c>
      <c r="H189" s="4"/>
      <c r="I189" s="4">
        <v>15.0</v>
      </c>
      <c r="J189" s="4"/>
      <c r="K189" s="4"/>
      <c r="L189" s="4"/>
      <c r="M189" s="4"/>
      <c r="N189" s="4"/>
      <c r="O189" s="4" t="str">
        <f t="shared" si="116"/>
        <v>6007,6008,6009,6010,6011</v>
      </c>
      <c r="P189" s="63">
        <v>800.0</v>
      </c>
      <c r="Q189" s="63">
        <v>800.0</v>
      </c>
      <c r="R189" s="14" t="str">
        <f t="shared" ref="R189:R190" si="128">"201,202,203,204"</f>
        <v>201,202,203,204</v>
      </c>
    </row>
    <row r="190">
      <c r="A190" s="4">
        <v>88033.0</v>
      </c>
      <c r="B190" s="43" t="s">
        <v>729</v>
      </c>
      <c r="C190" s="4" t="s">
        <v>1954</v>
      </c>
      <c r="D190" s="43" t="s">
        <v>15</v>
      </c>
      <c r="E190" s="4"/>
      <c r="F190" s="4"/>
      <c r="G190" s="4"/>
      <c r="H190" s="4">
        <v>44.0</v>
      </c>
      <c r="I190" s="4"/>
      <c r="J190" s="4">
        <v>15.0</v>
      </c>
      <c r="K190" s="4"/>
      <c r="L190" s="4"/>
      <c r="M190" s="4"/>
      <c r="N190" s="4"/>
      <c r="O190" s="4" t="str">
        <f t="shared" si="116"/>
        <v>6007,6008,6009,6010,6011</v>
      </c>
      <c r="P190" s="63">
        <v>800.0</v>
      </c>
      <c r="Q190" s="63">
        <v>800.0</v>
      </c>
      <c r="R190" s="14" t="str">
        <f t="shared" si="128"/>
        <v>201,202,203,204</v>
      </c>
    </row>
    <row r="191">
      <c r="A191" s="4">
        <v>88034.0</v>
      </c>
      <c r="B191" s="43" t="s">
        <v>729</v>
      </c>
      <c r="C191" s="4" t="s">
        <v>1955</v>
      </c>
      <c r="D191" s="43" t="s">
        <v>15</v>
      </c>
      <c r="E191" s="4"/>
      <c r="F191" s="4"/>
      <c r="G191" s="4">
        <v>44.0</v>
      </c>
      <c r="H191" s="4"/>
      <c r="I191" s="4">
        <v>15.0</v>
      </c>
      <c r="J191" s="4"/>
      <c r="K191" s="4"/>
      <c r="L191" s="4"/>
      <c r="M191" s="4"/>
      <c r="N191" s="4"/>
      <c r="O191" s="4" t="str">
        <f t="shared" si="116"/>
        <v>6007,6008,6009,6010,6011</v>
      </c>
      <c r="P191" s="63">
        <v>800.0</v>
      </c>
      <c r="Q191" s="63">
        <v>800.0</v>
      </c>
      <c r="R191" s="14" t="str">
        <f t="shared" ref="R191:R192" si="129">"205,206,207,208"</f>
        <v>205,206,207,208</v>
      </c>
    </row>
    <row r="192">
      <c r="A192" s="4">
        <v>88035.0</v>
      </c>
      <c r="B192" s="43" t="s">
        <v>1814</v>
      </c>
      <c r="C192" s="4" t="s">
        <v>819</v>
      </c>
      <c r="D192" s="43" t="s">
        <v>15</v>
      </c>
      <c r="E192" s="4"/>
      <c r="F192" s="4"/>
      <c r="G192" s="4"/>
      <c r="H192" s="4"/>
      <c r="I192" s="4">
        <v>49.0</v>
      </c>
      <c r="J192" s="4"/>
      <c r="K192" s="4"/>
      <c r="L192" s="4"/>
      <c r="M192" s="4"/>
      <c r="N192" s="4"/>
      <c r="O192" s="4" t="str">
        <f t="shared" si="116"/>
        <v>6007,6008,6009,6010,6011</v>
      </c>
      <c r="P192" s="63">
        <v>800.0</v>
      </c>
      <c r="Q192" s="63">
        <v>800.0</v>
      </c>
      <c r="R192" s="14" t="str">
        <f t="shared" si="129"/>
        <v>205,206,207,208</v>
      </c>
    </row>
    <row r="193">
      <c r="A193" s="4">
        <v>88036.0</v>
      </c>
      <c r="B193" s="43" t="s">
        <v>1815</v>
      </c>
      <c r="C193" s="4" t="s">
        <v>825</v>
      </c>
      <c r="D193" s="43" t="s">
        <v>15</v>
      </c>
      <c r="E193" s="4"/>
      <c r="F193" s="4">
        <v>275.0</v>
      </c>
      <c r="G193" s="4"/>
      <c r="H193" s="4"/>
      <c r="I193" s="4">
        <v>46.0</v>
      </c>
      <c r="J193" s="4"/>
      <c r="K193" s="4"/>
      <c r="L193" s="4"/>
      <c r="M193" s="4"/>
      <c r="N193" s="4"/>
      <c r="O193" s="4" t="str">
        <f t="shared" si="116"/>
        <v>6007,6008,6009,6010,6011</v>
      </c>
      <c r="P193" s="63">
        <v>800.0</v>
      </c>
      <c r="Q193" s="63">
        <v>800.0</v>
      </c>
      <c r="R193" s="14" t="str">
        <f>"201,202,203,204"</f>
        <v>201,202,203,204</v>
      </c>
    </row>
    <row r="194">
      <c r="A194" s="4">
        <v>88037.0</v>
      </c>
      <c r="B194" s="43" t="s">
        <v>1817</v>
      </c>
      <c r="C194" s="4" t="s">
        <v>831</v>
      </c>
      <c r="D194" s="43" t="s">
        <v>15</v>
      </c>
      <c r="E194" s="4"/>
      <c r="F194" s="4"/>
      <c r="G194" s="4"/>
      <c r="H194" s="4"/>
      <c r="I194" s="4">
        <v>54.0</v>
      </c>
      <c r="J194" s="4">
        <v>34.0</v>
      </c>
      <c r="K194" s="4"/>
      <c r="L194" s="4"/>
      <c r="M194" s="4"/>
      <c r="N194" s="4"/>
      <c r="O194" s="4" t="str">
        <f t="shared" si="116"/>
        <v>6007,6008,6009,6010,6011</v>
      </c>
      <c r="P194" s="63">
        <v>800.0</v>
      </c>
      <c r="Q194" s="63">
        <v>800.0</v>
      </c>
      <c r="R194" s="14" t="str">
        <f t="shared" ref="R194:R195" si="130">"209,210,211,212"</f>
        <v>209,210,211,212</v>
      </c>
    </row>
    <row r="195">
      <c r="A195" s="4">
        <v>88038.0</v>
      </c>
      <c r="B195" s="43" t="s">
        <v>1819</v>
      </c>
      <c r="C195" s="4" t="s">
        <v>837</v>
      </c>
      <c r="D195" s="43" t="s">
        <v>15</v>
      </c>
      <c r="E195" s="4"/>
      <c r="F195" s="4">
        <v>228.0</v>
      </c>
      <c r="G195" s="4"/>
      <c r="H195" s="4"/>
      <c r="I195" s="4">
        <v>83.0</v>
      </c>
      <c r="J195" s="4"/>
      <c r="K195" s="4"/>
      <c r="L195" s="4"/>
      <c r="M195" s="4"/>
      <c r="N195" s="4"/>
      <c r="O195" s="4" t="str">
        <f t="shared" si="116"/>
        <v>6007,6008,6009,6010,6011</v>
      </c>
      <c r="P195" s="63">
        <v>800.0</v>
      </c>
      <c r="Q195" s="63">
        <v>800.0</v>
      </c>
      <c r="R195" s="14" t="str">
        <f t="shared" si="130"/>
        <v>209,210,211,212</v>
      </c>
    </row>
    <row r="196">
      <c r="A196" s="4">
        <v>88039.0</v>
      </c>
      <c r="B196" s="43" t="s">
        <v>1821</v>
      </c>
      <c r="C196" s="4" t="s">
        <v>844</v>
      </c>
      <c r="D196" s="43" t="s">
        <v>15</v>
      </c>
      <c r="E196" s="4"/>
      <c r="F196" s="4">
        <v>165.0</v>
      </c>
      <c r="G196" s="4">
        <v>17.0</v>
      </c>
      <c r="H196" s="4"/>
      <c r="I196" s="4"/>
      <c r="J196" s="4">
        <v>32.0</v>
      </c>
      <c r="K196" s="4"/>
      <c r="L196" s="4"/>
      <c r="M196" s="4"/>
      <c r="N196" s="4"/>
      <c r="O196" s="4" t="str">
        <f t="shared" si="116"/>
        <v>6007,6008,6009,6010,6011</v>
      </c>
      <c r="P196" s="63">
        <v>800.0</v>
      </c>
      <c r="Q196" s="63">
        <v>800.0</v>
      </c>
      <c r="R196" s="63" t="str">
        <f>"205,206,207,208"</f>
        <v>205,206,207,208</v>
      </c>
    </row>
    <row r="197">
      <c r="A197" s="4">
        <v>88040.0</v>
      </c>
      <c r="B197" s="43" t="s">
        <v>729</v>
      </c>
      <c r="C197" s="4" t="s">
        <v>806</v>
      </c>
      <c r="D197" s="43" t="s">
        <v>43</v>
      </c>
      <c r="E197" s="4"/>
      <c r="F197" s="4"/>
      <c r="G197" s="4"/>
      <c r="H197" s="4">
        <v>22.0</v>
      </c>
      <c r="I197" s="4"/>
      <c r="J197" s="4">
        <v>8.0</v>
      </c>
      <c r="K197" s="4"/>
      <c r="L197" s="4"/>
      <c r="M197" s="4"/>
      <c r="N197" s="4"/>
      <c r="O197" s="4" t="str">
        <f t="shared" si="116"/>
        <v>6007,6008,6009,6010,6011</v>
      </c>
      <c r="P197" s="63">
        <v>800.0</v>
      </c>
      <c r="Q197" s="63">
        <v>800.0</v>
      </c>
      <c r="R197" s="14" t="str">
        <f t="shared" ref="R197:R198" si="131">"201,202,203,204"</f>
        <v>201,202,203,204</v>
      </c>
    </row>
    <row r="198">
      <c r="A198" s="4">
        <v>88041.0</v>
      </c>
      <c r="B198" s="43" t="s">
        <v>729</v>
      </c>
      <c r="C198" s="4" t="s">
        <v>807</v>
      </c>
      <c r="D198" s="43" t="s">
        <v>15</v>
      </c>
      <c r="E198" s="4"/>
      <c r="F198" s="4"/>
      <c r="G198" s="4"/>
      <c r="H198" s="4">
        <v>44.0</v>
      </c>
      <c r="I198" s="4"/>
      <c r="J198" s="4">
        <v>15.0</v>
      </c>
      <c r="K198" s="4"/>
      <c r="L198" s="4"/>
      <c r="M198" s="4"/>
      <c r="N198" s="4"/>
      <c r="O198" s="4" t="str">
        <f t="shared" si="116"/>
        <v>6007,6008,6009,6010,6011</v>
      </c>
      <c r="P198" s="63">
        <v>800.0</v>
      </c>
      <c r="Q198" s="63">
        <v>800.0</v>
      </c>
      <c r="R198" s="14" t="str">
        <f t="shared" si="131"/>
        <v>201,202,203,204</v>
      </c>
    </row>
    <row r="199">
      <c r="D199" s="51"/>
    </row>
    <row r="200">
      <c r="D200" s="51"/>
    </row>
    <row r="201">
      <c r="D201" s="51"/>
    </row>
    <row r="202">
      <c r="D202" s="51"/>
    </row>
    <row r="203">
      <c r="D203" s="51"/>
    </row>
    <row r="204">
      <c r="D204" s="51"/>
    </row>
    <row r="205">
      <c r="D205" s="51"/>
    </row>
    <row r="206">
      <c r="D206" s="51"/>
    </row>
    <row r="207">
      <c r="D207" s="51"/>
    </row>
    <row r="208">
      <c r="D208" s="51"/>
    </row>
    <row r="209">
      <c r="D209" s="51"/>
    </row>
    <row r="210">
      <c r="D210" s="51"/>
    </row>
    <row r="211">
      <c r="D211" s="51"/>
    </row>
    <row r="212">
      <c r="D212" s="51"/>
    </row>
    <row r="213">
      <c r="D213" s="51"/>
    </row>
    <row r="214">
      <c r="D214" s="51"/>
    </row>
    <row r="215">
      <c r="D215" s="51"/>
    </row>
    <row r="216">
      <c r="D216" s="51"/>
    </row>
    <row r="217">
      <c r="D217" s="51"/>
    </row>
    <row r="218">
      <c r="D218" s="51"/>
    </row>
    <row r="219">
      <c r="D219" s="51"/>
    </row>
    <row r="220">
      <c r="D220" s="51"/>
    </row>
    <row r="221">
      <c r="D221" s="51"/>
    </row>
    <row r="222">
      <c r="D222" s="51"/>
    </row>
    <row r="223">
      <c r="D223" s="51"/>
    </row>
    <row r="224">
      <c r="D224" s="51"/>
    </row>
    <row r="225">
      <c r="D225" s="51"/>
    </row>
    <row r="226">
      <c r="D226" s="51"/>
    </row>
    <row r="227">
      <c r="D227" s="51"/>
    </row>
    <row r="228">
      <c r="D228" s="51"/>
    </row>
    <row r="229">
      <c r="D229" s="51"/>
    </row>
    <row r="230">
      <c r="D230" s="51"/>
    </row>
    <row r="231">
      <c r="D231" s="51"/>
    </row>
    <row r="232">
      <c r="D232" s="51"/>
    </row>
    <row r="233">
      <c r="D233" s="51"/>
    </row>
    <row r="234">
      <c r="D234" s="51"/>
    </row>
    <row r="235">
      <c r="D235" s="51"/>
    </row>
    <row r="236">
      <c r="D236" s="51"/>
    </row>
    <row r="237">
      <c r="D237" s="51"/>
    </row>
    <row r="238">
      <c r="D238" s="51"/>
    </row>
    <row r="239">
      <c r="D239" s="51"/>
    </row>
    <row r="240">
      <c r="D240" s="51"/>
    </row>
    <row r="241">
      <c r="D241" s="51"/>
    </row>
    <row r="242">
      <c r="D242" s="51"/>
    </row>
    <row r="243">
      <c r="D243" s="51"/>
    </row>
    <row r="244">
      <c r="D244" s="51"/>
    </row>
    <row r="245">
      <c r="D245" s="51"/>
    </row>
    <row r="246">
      <c r="D246" s="51"/>
    </row>
    <row r="247">
      <c r="D247" s="51"/>
    </row>
    <row r="248">
      <c r="D248" s="51"/>
    </row>
    <row r="249">
      <c r="D249" s="51"/>
    </row>
    <row r="250">
      <c r="D250" s="51"/>
    </row>
    <row r="251">
      <c r="D251" s="51"/>
    </row>
    <row r="252">
      <c r="D252" s="51"/>
    </row>
    <row r="253">
      <c r="D253" s="51"/>
    </row>
    <row r="254">
      <c r="D254" s="51"/>
    </row>
    <row r="255">
      <c r="D255" s="51"/>
    </row>
    <row r="256">
      <c r="D256" s="51"/>
    </row>
    <row r="257">
      <c r="D257" s="51"/>
    </row>
    <row r="258">
      <c r="D258" s="51"/>
    </row>
    <row r="259">
      <c r="D259" s="51"/>
    </row>
    <row r="260">
      <c r="D260" s="51"/>
    </row>
    <row r="261">
      <c r="D261" s="51"/>
    </row>
    <row r="262">
      <c r="D262" s="51"/>
    </row>
    <row r="263">
      <c r="D263" s="51"/>
    </row>
    <row r="264">
      <c r="D264" s="51"/>
    </row>
    <row r="265">
      <c r="D265" s="51"/>
    </row>
    <row r="266">
      <c r="D266" s="51"/>
    </row>
    <row r="267">
      <c r="D267" s="51"/>
    </row>
    <row r="268">
      <c r="D268" s="51"/>
    </row>
    <row r="269">
      <c r="D269" s="51"/>
    </row>
    <row r="270">
      <c r="D270" s="51"/>
    </row>
    <row r="271">
      <c r="D271" s="51"/>
    </row>
    <row r="272">
      <c r="D272" s="51"/>
    </row>
    <row r="273">
      <c r="D273" s="51"/>
    </row>
    <row r="274">
      <c r="D274" s="51"/>
    </row>
    <row r="275">
      <c r="D275" s="51"/>
    </row>
    <row r="276">
      <c r="D276" s="51"/>
    </row>
    <row r="277">
      <c r="D277" s="51"/>
    </row>
    <row r="278">
      <c r="D278" s="51"/>
    </row>
    <row r="279">
      <c r="D279" s="51"/>
    </row>
    <row r="280">
      <c r="D280" s="51"/>
    </row>
    <row r="281">
      <c r="D281" s="51"/>
    </row>
    <row r="282">
      <c r="D282" s="51"/>
    </row>
    <row r="283">
      <c r="D283" s="51"/>
    </row>
    <row r="284">
      <c r="D284" s="51"/>
    </row>
    <row r="285">
      <c r="D285" s="51"/>
    </row>
    <row r="286">
      <c r="D286" s="51"/>
    </row>
    <row r="287">
      <c r="D287" s="51"/>
    </row>
    <row r="288">
      <c r="D288" s="51"/>
    </row>
    <row r="289">
      <c r="D289" s="51"/>
    </row>
    <row r="290">
      <c r="D290" s="51"/>
    </row>
    <row r="291">
      <c r="D291" s="51"/>
    </row>
    <row r="292">
      <c r="D292" s="51"/>
    </row>
    <row r="293">
      <c r="D293" s="51"/>
    </row>
    <row r="294">
      <c r="D294" s="51"/>
    </row>
    <row r="295">
      <c r="D295" s="51"/>
    </row>
    <row r="296">
      <c r="D296" s="51"/>
    </row>
    <row r="297">
      <c r="D297" s="51"/>
    </row>
    <row r="298">
      <c r="D298" s="51"/>
    </row>
    <row r="299">
      <c r="D299" s="51"/>
    </row>
    <row r="300">
      <c r="D300" s="51"/>
    </row>
    <row r="301">
      <c r="D301" s="51"/>
    </row>
    <row r="302">
      <c r="D302" s="51"/>
    </row>
    <row r="303">
      <c r="D303" s="51"/>
    </row>
    <row r="304">
      <c r="D304" s="51"/>
    </row>
    <row r="305">
      <c r="D305" s="51"/>
    </row>
    <row r="306">
      <c r="D306" s="51"/>
    </row>
    <row r="307">
      <c r="D307" s="51"/>
    </row>
    <row r="308">
      <c r="D308" s="51"/>
    </row>
    <row r="309">
      <c r="D309" s="51"/>
    </row>
    <row r="310">
      <c r="D310" s="51"/>
    </row>
    <row r="311">
      <c r="D311" s="51"/>
    </row>
    <row r="312">
      <c r="D312" s="51"/>
    </row>
    <row r="313">
      <c r="D313" s="51"/>
    </row>
    <row r="314">
      <c r="D314" s="51"/>
    </row>
    <row r="315">
      <c r="D315" s="51"/>
    </row>
    <row r="316">
      <c r="D316" s="51"/>
    </row>
    <row r="317">
      <c r="D317" s="51"/>
    </row>
    <row r="318">
      <c r="D318" s="51"/>
    </row>
    <row r="319">
      <c r="D319" s="51"/>
    </row>
    <row r="320">
      <c r="D320" s="51"/>
    </row>
    <row r="321">
      <c r="D321" s="51"/>
    </row>
    <row r="322">
      <c r="D322" s="51"/>
    </row>
    <row r="323">
      <c r="D323" s="51"/>
    </row>
    <row r="324">
      <c r="D324" s="51"/>
    </row>
    <row r="325">
      <c r="D325" s="51"/>
    </row>
    <row r="326">
      <c r="D326" s="51"/>
    </row>
    <row r="327">
      <c r="D327" s="51"/>
    </row>
    <row r="328">
      <c r="D328" s="51"/>
    </row>
    <row r="329">
      <c r="D329" s="51"/>
    </row>
    <row r="330">
      <c r="D330" s="51"/>
    </row>
    <row r="331">
      <c r="D331" s="51"/>
    </row>
    <row r="332">
      <c r="D332" s="51"/>
    </row>
    <row r="333">
      <c r="D333" s="51"/>
    </row>
    <row r="334">
      <c r="D334" s="51"/>
    </row>
    <row r="335">
      <c r="D335" s="51"/>
    </row>
    <row r="336">
      <c r="D336" s="51"/>
    </row>
    <row r="337">
      <c r="D337" s="51"/>
    </row>
    <row r="338">
      <c r="D338" s="51"/>
    </row>
    <row r="339">
      <c r="D339" s="51"/>
    </row>
    <row r="340">
      <c r="D340" s="51"/>
    </row>
    <row r="341">
      <c r="D341" s="51"/>
    </row>
    <row r="342">
      <c r="D342" s="51"/>
    </row>
    <row r="343">
      <c r="D343" s="51"/>
    </row>
    <row r="344">
      <c r="D344" s="51"/>
    </row>
    <row r="345">
      <c r="D345" s="51"/>
    </row>
    <row r="346">
      <c r="D346" s="51"/>
    </row>
    <row r="347">
      <c r="D347" s="51"/>
    </row>
    <row r="348">
      <c r="D348" s="51"/>
    </row>
    <row r="349">
      <c r="D349" s="51"/>
    </row>
    <row r="350">
      <c r="D350" s="51"/>
    </row>
    <row r="351">
      <c r="D351" s="51"/>
    </row>
    <row r="352">
      <c r="D352" s="51"/>
    </row>
    <row r="353">
      <c r="D353" s="51"/>
    </row>
    <row r="354">
      <c r="D354" s="51"/>
    </row>
    <row r="355">
      <c r="D355" s="51"/>
    </row>
    <row r="356">
      <c r="D356" s="51"/>
    </row>
    <row r="357">
      <c r="D357" s="51"/>
    </row>
    <row r="358">
      <c r="D358" s="51"/>
    </row>
    <row r="359">
      <c r="D359" s="51"/>
    </row>
    <row r="360">
      <c r="D360" s="51"/>
    </row>
    <row r="361">
      <c r="D361" s="51"/>
    </row>
    <row r="362">
      <c r="D362" s="51"/>
    </row>
    <row r="363">
      <c r="D363" s="51"/>
    </row>
    <row r="364">
      <c r="D364" s="51"/>
    </row>
    <row r="365">
      <c r="D365" s="51"/>
    </row>
    <row r="366">
      <c r="D366" s="51"/>
    </row>
    <row r="367">
      <c r="D367" s="51"/>
    </row>
    <row r="368">
      <c r="D368" s="51"/>
    </row>
    <row r="369">
      <c r="D369" s="51"/>
    </row>
    <row r="370">
      <c r="D370" s="51"/>
    </row>
    <row r="371">
      <c r="D371" s="51"/>
    </row>
    <row r="372">
      <c r="D372" s="51"/>
    </row>
    <row r="373">
      <c r="D373" s="51"/>
    </row>
    <row r="374">
      <c r="D374" s="51"/>
    </row>
    <row r="375">
      <c r="D375" s="51"/>
    </row>
    <row r="376">
      <c r="D376" s="51"/>
    </row>
    <row r="377">
      <c r="D377" s="51"/>
    </row>
    <row r="378">
      <c r="D378" s="51"/>
    </row>
    <row r="379">
      <c r="D379" s="51"/>
    </row>
    <row r="380">
      <c r="D380" s="51"/>
    </row>
    <row r="381">
      <c r="D381" s="51"/>
    </row>
    <row r="382">
      <c r="D382" s="51"/>
    </row>
    <row r="383">
      <c r="D383" s="51"/>
    </row>
    <row r="384">
      <c r="D384" s="51"/>
    </row>
    <row r="385">
      <c r="D385" s="51"/>
    </row>
    <row r="386">
      <c r="D386" s="51"/>
    </row>
    <row r="387">
      <c r="D387" s="51"/>
    </row>
    <row r="388">
      <c r="D388" s="51"/>
    </row>
    <row r="389">
      <c r="D389" s="51"/>
    </row>
    <row r="390">
      <c r="D390" s="51"/>
    </row>
    <row r="391">
      <c r="D391" s="51"/>
    </row>
    <row r="392">
      <c r="D392" s="51"/>
    </row>
    <row r="393">
      <c r="D393" s="51"/>
    </row>
    <row r="394">
      <c r="D394" s="51"/>
    </row>
    <row r="395">
      <c r="D395" s="51"/>
    </row>
    <row r="396">
      <c r="D396" s="51"/>
    </row>
    <row r="397">
      <c r="D397" s="51"/>
    </row>
    <row r="398">
      <c r="D398" s="51"/>
    </row>
    <row r="399">
      <c r="D399" s="51"/>
    </row>
    <row r="400">
      <c r="D400" s="51"/>
    </row>
    <row r="401">
      <c r="D401" s="51"/>
    </row>
    <row r="402">
      <c r="D402" s="51"/>
    </row>
    <row r="403">
      <c r="D403" s="51"/>
    </row>
    <row r="404">
      <c r="D404" s="51"/>
    </row>
    <row r="405">
      <c r="D405" s="51"/>
    </row>
    <row r="406">
      <c r="D406" s="51"/>
    </row>
    <row r="407">
      <c r="D407" s="51"/>
    </row>
    <row r="408">
      <c r="D408" s="51"/>
    </row>
    <row r="409">
      <c r="D409" s="51"/>
    </row>
    <row r="410">
      <c r="D410" s="51"/>
    </row>
    <row r="411">
      <c r="D411" s="51"/>
    </row>
    <row r="412">
      <c r="D412" s="51"/>
    </row>
    <row r="413">
      <c r="D413" s="51"/>
    </row>
    <row r="414">
      <c r="D414" s="51"/>
    </row>
    <row r="415">
      <c r="D415" s="51"/>
    </row>
    <row r="416">
      <c r="D416" s="51"/>
    </row>
    <row r="417">
      <c r="D417" s="51"/>
    </row>
    <row r="418">
      <c r="D418" s="51"/>
    </row>
    <row r="419">
      <c r="D419" s="51"/>
    </row>
    <row r="420">
      <c r="D420" s="51"/>
    </row>
    <row r="421">
      <c r="D421" s="51"/>
    </row>
    <row r="422">
      <c r="D422" s="51"/>
    </row>
    <row r="423">
      <c r="D423" s="51"/>
    </row>
    <row r="424">
      <c r="D424" s="51"/>
    </row>
    <row r="425">
      <c r="D425" s="51"/>
    </row>
    <row r="426">
      <c r="D426" s="51"/>
    </row>
    <row r="427">
      <c r="D427" s="51"/>
    </row>
    <row r="428">
      <c r="D428" s="51"/>
    </row>
    <row r="429">
      <c r="D429" s="51"/>
    </row>
    <row r="430">
      <c r="D430" s="51"/>
    </row>
    <row r="431">
      <c r="D431" s="51"/>
    </row>
    <row r="432">
      <c r="D432" s="51"/>
    </row>
    <row r="433">
      <c r="D433" s="51"/>
    </row>
    <row r="434">
      <c r="D434" s="51"/>
    </row>
    <row r="435">
      <c r="D435" s="51"/>
    </row>
    <row r="436">
      <c r="D436" s="51"/>
    </row>
    <row r="437">
      <c r="D437" s="51"/>
    </row>
    <row r="438">
      <c r="D438" s="51"/>
    </row>
    <row r="439">
      <c r="D439" s="51"/>
    </row>
    <row r="440">
      <c r="D440" s="51"/>
    </row>
    <row r="441">
      <c r="D441" s="51"/>
    </row>
    <row r="442">
      <c r="D442" s="51"/>
    </row>
    <row r="443">
      <c r="D443" s="51"/>
    </row>
    <row r="444">
      <c r="D444" s="51"/>
    </row>
    <row r="445">
      <c r="D445" s="51"/>
    </row>
    <row r="446">
      <c r="D446" s="51"/>
    </row>
    <row r="447">
      <c r="D447" s="51"/>
    </row>
    <row r="448">
      <c r="D448" s="51"/>
    </row>
    <row r="449">
      <c r="D449" s="51"/>
    </row>
    <row r="450">
      <c r="D450" s="51"/>
    </row>
    <row r="451">
      <c r="D451" s="51"/>
    </row>
    <row r="452">
      <c r="D452" s="51"/>
    </row>
    <row r="453">
      <c r="D453" s="51"/>
    </row>
    <row r="454">
      <c r="D454" s="51"/>
    </row>
    <row r="455">
      <c r="D455" s="51"/>
    </row>
    <row r="456">
      <c r="D456" s="51"/>
    </row>
    <row r="457">
      <c r="D457" s="51"/>
    </row>
    <row r="458">
      <c r="D458" s="51"/>
    </row>
    <row r="459">
      <c r="D459" s="51"/>
    </row>
    <row r="460">
      <c r="D460" s="51"/>
    </row>
    <row r="461">
      <c r="D461" s="51"/>
    </row>
    <row r="462">
      <c r="D462" s="51"/>
    </row>
    <row r="463">
      <c r="D463" s="51"/>
    </row>
    <row r="464">
      <c r="D464" s="51"/>
    </row>
    <row r="465">
      <c r="D465" s="51"/>
    </row>
    <row r="466">
      <c r="D466" s="51"/>
    </row>
    <row r="467">
      <c r="D467" s="51"/>
    </row>
    <row r="468">
      <c r="D468" s="51"/>
    </row>
    <row r="469">
      <c r="D469" s="51"/>
    </row>
    <row r="470">
      <c r="D470" s="51"/>
    </row>
    <row r="471">
      <c r="D471" s="51"/>
    </row>
    <row r="472">
      <c r="D472" s="51"/>
    </row>
    <row r="473">
      <c r="D473" s="51"/>
    </row>
    <row r="474">
      <c r="D474" s="51"/>
    </row>
    <row r="475">
      <c r="D475" s="51"/>
    </row>
    <row r="476">
      <c r="D476" s="51"/>
    </row>
    <row r="477">
      <c r="D477" s="51"/>
    </row>
    <row r="478">
      <c r="D478" s="51"/>
    </row>
    <row r="479">
      <c r="D479" s="51"/>
    </row>
    <row r="480">
      <c r="D480" s="51"/>
    </row>
    <row r="481">
      <c r="D481" s="51"/>
    </row>
    <row r="482">
      <c r="D482" s="51"/>
    </row>
    <row r="483">
      <c r="D483" s="51"/>
    </row>
    <row r="484">
      <c r="D484" s="51"/>
    </row>
    <row r="485">
      <c r="D485" s="51"/>
    </row>
    <row r="486">
      <c r="D486" s="51"/>
    </row>
    <row r="487">
      <c r="D487" s="51"/>
    </row>
    <row r="488">
      <c r="D488" s="51"/>
    </row>
    <row r="489">
      <c r="D489" s="51"/>
    </row>
    <row r="490">
      <c r="D490" s="51"/>
    </row>
    <row r="491">
      <c r="D491" s="51"/>
    </row>
    <row r="492">
      <c r="D492" s="51"/>
    </row>
    <row r="493">
      <c r="D493" s="51"/>
    </row>
    <row r="494">
      <c r="D494" s="51"/>
    </row>
    <row r="495">
      <c r="D495" s="51"/>
    </row>
    <row r="496">
      <c r="D496" s="51"/>
    </row>
    <row r="497">
      <c r="D497" s="51"/>
    </row>
    <row r="498">
      <c r="D498" s="51"/>
    </row>
    <row r="499">
      <c r="D499" s="51"/>
    </row>
    <row r="500">
      <c r="D500" s="51"/>
    </row>
    <row r="501">
      <c r="D501" s="51"/>
    </row>
    <row r="502">
      <c r="D502" s="51"/>
    </row>
    <row r="503">
      <c r="D503" s="51"/>
    </row>
    <row r="504">
      <c r="D504" s="51"/>
    </row>
    <row r="505">
      <c r="D505" s="51"/>
    </row>
    <row r="506">
      <c r="D506" s="51"/>
    </row>
    <row r="507">
      <c r="D507" s="51"/>
    </row>
    <row r="508">
      <c r="D508" s="51"/>
    </row>
    <row r="509">
      <c r="D509" s="51"/>
    </row>
    <row r="510">
      <c r="D510" s="51"/>
    </row>
    <row r="511">
      <c r="D511" s="51"/>
    </row>
    <row r="512">
      <c r="D512" s="51"/>
    </row>
    <row r="513">
      <c r="D513" s="51"/>
    </row>
    <row r="514">
      <c r="D514" s="51"/>
    </row>
    <row r="515">
      <c r="D515" s="51"/>
    </row>
    <row r="516">
      <c r="D516" s="51"/>
    </row>
    <row r="517">
      <c r="D517" s="51"/>
    </row>
    <row r="518">
      <c r="D518" s="51"/>
    </row>
    <row r="519">
      <c r="D519" s="51"/>
    </row>
    <row r="520">
      <c r="D520" s="51"/>
    </row>
    <row r="521">
      <c r="D521" s="51"/>
    </row>
    <row r="522">
      <c r="D522" s="51"/>
    </row>
    <row r="523">
      <c r="D523" s="51"/>
    </row>
    <row r="524">
      <c r="D524" s="51"/>
    </row>
    <row r="525">
      <c r="D525" s="51"/>
    </row>
    <row r="526">
      <c r="D526" s="51"/>
    </row>
    <row r="527">
      <c r="D527" s="51"/>
    </row>
    <row r="528">
      <c r="D528" s="51"/>
    </row>
    <row r="529">
      <c r="D529" s="51"/>
    </row>
    <row r="530">
      <c r="D530" s="51"/>
    </row>
    <row r="531">
      <c r="D531" s="51"/>
    </row>
    <row r="532">
      <c r="D532" s="51"/>
    </row>
    <row r="533">
      <c r="D533" s="51"/>
    </row>
    <row r="534">
      <c r="D534" s="51"/>
    </row>
    <row r="535">
      <c r="D535" s="51"/>
    </row>
    <row r="536">
      <c r="D536" s="51"/>
    </row>
    <row r="537">
      <c r="D537" s="51"/>
    </row>
    <row r="538">
      <c r="D538" s="51"/>
    </row>
    <row r="539">
      <c r="D539" s="51"/>
    </row>
    <row r="540">
      <c r="D540" s="51"/>
    </row>
    <row r="541">
      <c r="D541" s="51"/>
    </row>
    <row r="542">
      <c r="D542" s="51"/>
    </row>
    <row r="543">
      <c r="D543" s="51"/>
    </row>
    <row r="544">
      <c r="D544" s="51"/>
    </row>
    <row r="545">
      <c r="D545" s="51"/>
    </row>
    <row r="546">
      <c r="D546" s="51"/>
    </row>
    <row r="547">
      <c r="D547" s="51"/>
    </row>
    <row r="548">
      <c r="D548" s="51"/>
    </row>
    <row r="549">
      <c r="D549" s="51"/>
    </row>
    <row r="550">
      <c r="D550" s="51"/>
    </row>
    <row r="551">
      <c r="D551" s="51"/>
    </row>
    <row r="552">
      <c r="D552" s="51"/>
    </row>
    <row r="553">
      <c r="D553" s="51"/>
    </row>
    <row r="554">
      <c r="D554" s="51"/>
    </row>
    <row r="555">
      <c r="D555" s="51"/>
    </row>
    <row r="556">
      <c r="D556" s="51"/>
    </row>
    <row r="557">
      <c r="D557" s="51"/>
    </row>
    <row r="558">
      <c r="D558" s="51"/>
    </row>
    <row r="559">
      <c r="D559" s="51"/>
    </row>
    <row r="560">
      <c r="D560" s="51"/>
    </row>
    <row r="561">
      <c r="D561" s="51"/>
    </row>
    <row r="562">
      <c r="D562" s="51"/>
    </row>
    <row r="563">
      <c r="D563" s="51"/>
    </row>
    <row r="564">
      <c r="D564" s="51"/>
    </row>
    <row r="565">
      <c r="D565" s="51"/>
    </row>
    <row r="566">
      <c r="D566" s="51"/>
    </row>
    <row r="567">
      <c r="D567" s="51"/>
    </row>
    <row r="568">
      <c r="D568" s="51"/>
    </row>
    <row r="569">
      <c r="D569" s="51"/>
    </row>
    <row r="570">
      <c r="D570" s="51"/>
    </row>
    <row r="571">
      <c r="D571" s="51"/>
    </row>
    <row r="572">
      <c r="D572" s="51"/>
    </row>
    <row r="573">
      <c r="D573" s="51"/>
    </row>
    <row r="574">
      <c r="D574" s="51"/>
    </row>
    <row r="575">
      <c r="D575" s="51"/>
    </row>
    <row r="576">
      <c r="D576" s="51"/>
    </row>
    <row r="577">
      <c r="D577" s="51"/>
    </row>
    <row r="578">
      <c r="D578" s="51"/>
    </row>
    <row r="579">
      <c r="D579" s="51"/>
    </row>
    <row r="580">
      <c r="D580" s="51"/>
    </row>
    <row r="581">
      <c r="D581" s="51"/>
    </row>
    <row r="582">
      <c r="D582" s="51"/>
    </row>
    <row r="583">
      <c r="D583" s="51"/>
    </row>
    <row r="584">
      <c r="D584" s="51"/>
    </row>
    <row r="585">
      <c r="D585" s="51"/>
    </row>
    <row r="586">
      <c r="D586" s="51"/>
    </row>
    <row r="587">
      <c r="D587" s="51"/>
    </row>
    <row r="588">
      <c r="D588" s="51"/>
    </row>
    <row r="589">
      <c r="D589" s="51"/>
    </row>
    <row r="590">
      <c r="D590" s="51"/>
    </row>
    <row r="591">
      <c r="D591" s="51"/>
    </row>
    <row r="592">
      <c r="D592" s="51"/>
    </row>
    <row r="593">
      <c r="D593" s="51"/>
    </row>
    <row r="594">
      <c r="D594" s="51"/>
    </row>
    <row r="595">
      <c r="D595" s="51"/>
    </row>
    <row r="596">
      <c r="D596" s="51"/>
    </row>
    <row r="597">
      <c r="D597" s="51"/>
    </row>
    <row r="598">
      <c r="D598" s="51"/>
    </row>
    <row r="599">
      <c r="D599" s="51"/>
    </row>
    <row r="600">
      <c r="D600" s="51"/>
    </row>
    <row r="601">
      <c r="D601" s="51"/>
    </row>
    <row r="602">
      <c r="D602" s="51"/>
    </row>
    <row r="603">
      <c r="D603" s="51"/>
    </row>
    <row r="604">
      <c r="D604" s="51"/>
    </row>
    <row r="605">
      <c r="D605" s="51"/>
    </row>
    <row r="606">
      <c r="D606" s="51"/>
    </row>
    <row r="607">
      <c r="D607" s="51"/>
    </row>
    <row r="608">
      <c r="D608" s="51"/>
    </row>
    <row r="609">
      <c r="D609" s="51"/>
    </row>
    <row r="610">
      <c r="D610" s="51"/>
    </row>
    <row r="611">
      <c r="D611" s="51"/>
    </row>
    <row r="612">
      <c r="D612" s="51"/>
    </row>
    <row r="613">
      <c r="D613" s="51"/>
    </row>
    <row r="614">
      <c r="D614" s="51"/>
    </row>
    <row r="615">
      <c r="D615" s="51"/>
    </row>
    <row r="616">
      <c r="D616" s="51"/>
    </row>
    <row r="617">
      <c r="D617" s="51"/>
    </row>
    <row r="618">
      <c r="D618" s="51"/>
    </row>
    <row r="619">
      <c r="D619" s="51"/>
    </row>
    <row r="620">
      <c r="D620" s="51"/>
    </row>
    <row r="621">
      <c r="D621" s="51"/>
    </row>
    <row r="622">
      <c r="D622" s="51"/>
    </row>
    <row r="623">
      <c r="D623" s="51"/>
    </row>
    <row r="624">
      <c r="D624" s="51"/>
    </row>
    <row r="625">
      <c r="D625" s="51"/>
    </row>
    <row r="626">
      <c r="D626" s="51"/>
    </row>
    <row r="627">
      <c r="D627" s="51"/>
    </row>
    <row r="628">
      <c r="D628" s="51"/>
    </row>
    <row r="629">
      <c r="D629" s="51"/>
    </row>
    <row r="630">
      <c r="D630" s="51"/>
    </row>
    <row r="631">
      <c r="D631" s="51"/>
    </row>
    <row r="632">
      <c r="D632" s="51"/>
    </row>
    <row r="633">
      <c r="D633" s="51"/>
    </row>
    <row r="634">
      <c r="D634" s="51"/>
    </row>
    <row r="635">
      <c r="D635" s="51"/>
    </row>
    <row r="636">
      <c r="D636" s="51"/>
    </row>
    <row r="637">
      <c r="D637" s="51"/>
    </row>
    <row r="638">
      <c r="D638" s="51"/>
    </row>
    <row r="639">
      <c r="D639" s="51"/>
    </row>
    <row r="640">
      <c r="D640" s="51"/>
    </row>
    <row r="641">
      <c r="D641" s="51"/>
    </row>
    <row r="642">
      <c r="D642" s="51"/>
    </row>
    <row r="643">
      <c r="D643" s="51"/>
    </row>
    <row r="644">
      <c r="D644" s="51"/>
    </row>
    <row r="645">
      <c r="D645" s="51"/>
    </row>
    <row r="646">
      <c r="D646" s="51"/>
    </row>
    <row r="647">
      <c r="D647" s="51"/>
    </row>
    <row r="648">
      <c r="D648" s="51"/>
    </row>
    <row r="649">
      <c r="D649" s="51"/>
    </row>
    <row r="650">
      <c r="D650" s="51"/>
    </row>
    <row r="651">
      <c r="D651" s="51"/>
    </row>
    <row r="652">
      <c r="D652" s="51"/>
    </row>
    <row r="653">
      <c r="D653" s="51"/>
    </row>
    <row r="654">
      <c r="D654" s="51"/>
    </row>
    <row r="655">
      <c r="D655" s="51"/>
    </row>
    <row r="656">
      <c r="D656" s="51"/>
    </row>
    <row r="657">
      <c r="D657" s="51"/>
    </row>
    <row r="658">
      <c r="D658" s="51"/>
    </row>
    <row r="659">
      <c r="D659" s="51"/>
    </row>
    <row r="660">
      <c r="D660" s="51"/>
    </row>
    <row r="661">
      <c r="D661" s="51"/>
    </row>
    <row r="662">
      <c r="D662" s="51"/>
    </row>
    <row r="663">
      <c r="D663" s="51"/>
    </row>
    <row r="664">
      <c r="D664" s="51"/>
    </row>
    <row r="665">
      <c r="D665" s="51"/>
    </row>
    <row r="666">
      <c r="D666" s="51"/>
    </row>
    <row r="667">
      <c r="D667" s="51"/>
    </row>
    <row r="668">
      <c r="D668" s="51"/>
    </row>
    <row r="669">
      <c r="D669" s="51"/>
    </row>
    <row r="670">
      <c r="D670" s="51"/>
    </row>
    <row r="671">
      <c r="D671" s="51"/>
    </row>
    <row r="672">
      <c r="D672" s="51"/>
    </row>
    <row r="673">
      <c r="D673" s="51"/>
    </row>
    <row r="674">
      <c r="D674" s="51"/>
    </row>
    <row r="675">
      <c r="D675" s="51"/>
    </row>
    <row r="676">
      <c r="D676" s="51"/>
    </row>
    <row r="677">
      <c r="D677" s="51"/>
    </row>
    <row r="678">
      <c r="D678" s="51"/>
    </row>
    <row r="679">
      <c r="D679" s="51"/>
    </row>
    <row r="680">
      <c r="D680" s="51"/>
    </row>
    <row r="681">
      <c r="D681" s="51"/>
    </row>
    <row r="682">
      <c r="D682" s="51"/>
    </row>
    <row r="683">
      <c r="D683" s="51"/>
    </row>
    <row r="684">
      <c r="D684" s="51"/>
    </row>
    <row r="685">
      <c r="D685" s="51"/>
    </row>
    <row r="686">
      <c r="D686" s="51"/>
    </row>
    <row r="687">
      <c r="D687" s="51"/>
    </row>
    <row r="688">
      <c r="D688" s="51"/>
    </row>
    <row r="689">
      <c r="D689" s="51"/>
    </row>
    <row r="690">
      <c r="D690" s="51"/>
    </row>
    <row r="691">
      <c r="D691" s="51"/>
    </row>
    <row r="692">
      <c r="D692" s="51"/>
    </row>
    <row r="693">
      <c r="D693" s="51"/>
    </row>
    <row r="694">
      <c r="D694" s="51"/>
    </row>
    <row r="695">
      <c r="D695" s="51"/>
    </row>
    <row r="696">
      <c r="D696" s="51"/>
    </row>
    <row r="697">
      <c r="D697" s="51"/>
    </row>
    <row r="698">
      <c r="D698" s="51"/>
    </row>
    <row r="699">
      <c r="D699" s="51"/>
    </row>
    <row r="700">
      <c r="D700" s="51"/>
    </row>
    <row r="701">
      <c r="D701" s="51"/>
    </row>
    <row r="702">
      <c r="D702" s="51"/>
    </row>
    <row r="703">
      <c r="D703" s="51"/>
    </row>
    <row r="704">
      <c r="D704" s="51"/>
    </row>
    <row r="705">
      <c r="D705" s="51"/>
    </row>
    <row r="706">
      <c r="D706" s="51"/>
    </row>
    <row r="707">
      <c r="D707" s="51"/>
    </row>
    <row r="708">
      <c r="D708" s="51"/>
    </row>
    <row r="709">
      <c r="D709" s="51"/>
    </row>
    <row r="710">
      <c r="D710" s="51"/>
    </row>
    <row r="711">
      <c r="D711" s="51"/>
    </row>
    <row r="712">
      <c r="D712" s="51"/>
    </row>
    <row r="713">
      <c r="D713" s="51"/>
    </row>
    <row r="714">
      <c r="D714" s="51"/>
    </row>
    <row r="715">
      <c r="D715" s="51"/>
    </row>
    <row r="716">
      <c r="D716" s="51"/>
    </row>
    <row r="717">
      <c r="D717" s="51"/>
    </row>
    <row r="718">
      <c r="D718" s="51"/>
    </row>
    <row r="719">
      <c r="D719" s="51"/>
    </row>
    <row r="720">
      <c r="D720" s="51"/>
    </row>
    <row r="721">
      <c r="D721" s="51"/>
    </row>
    <row r="722">
      <c r="D722" s="51"/>
    </row>
    <row r="723">
      <c r="D723" s="51"/>
    </row>
    <row r="724">
      <c r="D724" s="51"/>
    </row>
    <row r="725">
      <c r="D725" s="51"/>
    </row>
    <row r="726">
      <c r="D726" s="51"/>
    </row>
    <row r="727">
      <c r="D727" s="51"/>
    </row>
    <row r="728">
      <c r="D728" s="51"/>
    </row>
    <row r="729">
      <c r="D729" s="51"/>
    </row>
    <row r="730">
      <c r="D730" s="51"/>
    </row>
    <row r="731">
      <c r="D731" s="51"/>
    </row>
    <row r="732">
      <c r="D732" s="51"/>
    </row>
    <row r="733">
      <c r="D733" s="51"/>
    </row>
    <row r="734">
      <c r="D734" s="51"/>
    </row>
    <row r="735">
      <c r="D735" s="51"/>
    </row>
    <row r="736">
      <c r="D736" s="51"/>
    </row>
    <row r="737">
      <c r="D737" s="51"/>
    </row>
    <row r="738">
      <c r="D738" s="51"/>
    </row>
    <row r="739">
      <c r="D739" s="51"/>
    </row>
    <row r="740">
      <c r="D740" s="51"/>
    </row>
    <row r="741">
      <c r="D741" s="51"/>
    </row>
    <row r="742">
      <c r="D742" s="51"/>
    </row>
    <row r="743">
      <c r="D743" s="51"/>
    </row>
    <row r="744">
      <c r="D744" s="51"/>
    </row>
    <row r="745">
      <c r="D745" s="51"/>
    </row>
    <row r="746">
      <c r="D746" s="51"/>
    </row>
    <row r="747">
      <c r="D747" s="51"/>
    </row>
    <row r="748">
      <c r="D748" s="51"/>
    </row>
    <row r="749">
      <c r="D749" s="51"/>
    </row>
    <row r="750">
      <c r="D750" s="51"/>
    </row>
    <row r="751">
      <c r="D751" s="51"/>
    </row>
    <row r="752">
      <c r="D752" s="51"/>
    </row>
    <row r="753">
      <c r="D753" s="51"/>
    </row>
    <row r="754">
      <c r="D754" s="51"/>
    </row>
    <row r="755">
      <c r="D755" s="51"/>
    </row>
    <row r="756">
      <c r="D756" s="51"/>
    </row>
    <row r="757">
      <c r="D757" s="51"/>
    </row>
    <row r="758">
      <c r="D758" s="51"/>
    </row>
    <row r="759">
      <c r="D759" s="51"/>
    </row>
    <row r="760">
      <c r="D760" s="51"/>
    </row>
    <row r="761">
      <c r="D761" s="51"/>
    </row>
    <row r="762">
      <c r="D762" s="51"/>
    </row>
    <row r="763">
      <c r="D763" s="51"/>
    </row>
    <row r="764">
      <c r="D764" s="51"/>
    </row>
    <row r="765">
      <c r="D765" s="51"/>
    </row>
    <row r="766">
      <c r="D766" s="51"/>
    </row>
    <row r="767">
      <c r="D767" s="51"/>
    </row>
    <row r="768">
      <c r="D768" s="51"/>
    </row>
    <row r="769">
      <c r="D769" s="51"/>
    </row>
    <row r="770">
      <c r="D770" s="51"/>
    </row>
    <row r="771">
      <c r="D771" s="51"/>
    </row>
    <row r="772">
      <c r="D772" s="51"/>
    </row>
    <row r="773">
      <c r="D773" s="51"/>
    </row>
    <row r="774">
      <c r="D774" s="51"/>
    </row>
    <row r="775">
      <c r="D775" s="51"/>
    </row>
    <row r="776">
      <c r="D776" s="51"/>
    </row>
    <row r="777">
      <c r="D777" s="51"/>
    </row>
    <row r="778">
      <c r="D778" s="51"/>
    </row>
    <row r="779">
      <c r="D779" s="51"/>
    </row>
    <row r="780">
      <c r="D780" s="51"/>
    </row>
    <row r="781">
      <c r="D781" s="51"/>
    </row>
    <row r="782">
      <c r="D782" s="51"/>
    </row>
    <row r="783">
      <c r="D783" s="51"/>
    </row>
    <row r="784">
      <c r="D784" s="51"/>
    </row>
    <row r="785">
      <c r="D785" s="51"/>
    </row>
    <row r="786">
      <c r="D786" s="51"/>
    </row>
    <row r="787">
      <c r="D787" s="51"/>
    </row>
    <row r="788">
      <c r="D788" s="51"/>
    </row>
    <row r="789">
      <c r="D789" s="51"/>
    </row>
    <row r="790">
      <c r="D790" s="51"/>
    </row>
    <row r="791">
      <c r="D791" s="51"/>
    </row>
    <row r="792">
      <c r="D792" s="51"/>
    </row>
    <row r="793">
      <c r="D793" s="51"/>
    </row>
    <row r="794">
      <c r="D794" s="51"/>
    </row>
    <row r="795">
      <c r="D795" s="51"/>
    </row>
    <row r="796">
      <c r="D796" s="51"/>
    </row>
    <row r="797">
      <c r="D797" s="51"/>
    </row>
    <row r="798">
      <c r="D798" s="51"/>
    </row>
    <row r="799">
      <c r="D799" s="51"/>
    </row>
    <row r="800">
      <c r="D800" s="51"/>
    </row>
    <row r="801">
      <c r="D801" s="51"/>
    </row>
    <row r="802">
      <c r="D802" s="51"/>
    </row>
    <row r="803">
      <c r="D803" s="51"/>
    </row>
    <row r="804">
      <c r="D804" s="51"/>
    </row>
    <row r="805">
      <c r="D805" s="51"/>
    </row>
    <row r="806">
      <c r="D806" s="51"/>
    </row>
    <row r="807">
      <c r="D807" s="51"/>
    </row>
    <row r="808">
      <c r="D808" s="51"/>
    </row>
    <row r="809">
      <c r="D809" s="51"/>
    </row>
    <row r="810">
      <c r="D810" s="51"/>
    </row>
    <row r="811">
      <c r="D811" s="51"/>
    </row>
    <row r="812">
      <c r="D812" s="51"/>
    </row>
    <row r="813">
      <c r="D813" s="51"/>
    </row>
    <row r="814">
      <c r="D814" s="51"/>
    </row>
    <row r="815">
      <c r="D815" s="51"/>
    </row>
    <row r="816">
      <c r="D816" s="51"/>
    </row>
    <row r="817">
      <c r="D817" s="51"/>
    </row>
    <row r="818">
      <c r="D818" s="51"/>
    </row>
    <row r="819">
      <c r="D819" s="51"/>
    </row>
    <row r="820">
      <c r="D820" s="51"/>
    </row>
    <row r="821">
      <c r="D821" s="51"/>
    </row>
    <row r="822">
      <c r="D822" s="51"/>
    </row>
    <row r="823">
      <c r="D823" s="51"/>
    </row>
    <row r="824">
      <c r="D824" s="51"/>
    </row>
    <row r="825">
      <c r="D825" s="51"/>
    </row>
    <row r="826">
      <c r="D826" s="51"/>
    </row>
    <row r="827">
      <c r="D827" s="51"/>
    </row>
    <row r="828">
      <c r="D828" s="51"/>
    </row>
    <row r="829">
      <c r="D829" s="51"/>
    </row>
    <row r="830">
      <c r="D830" s="51"/>
    </row>
    <row r="831">
      <c r="D831" s="51"/>
    </row>
    <row r="832">
      <c r="D832" s="51"/>
    </row>
    <row r="833">
      <c r="D833" s="51"/>
    </row>
    <row r="834">
      <c r="D834" s="51"/>
    </row>
    <row r="835">
      <c r="D835" s="51"/>
    </row>
    <row r="836">
      <c r="D836" s="51"/>
    </row>
    <row r="837">
      <c r="D837" s="51"/>
    </row>
    <row r="838">
      <c r="D838" s="51"/>
    </row>
    <row r="839">
      <c r="D839" s="51"/>
    </row>
    <row r="840">
      <c r="D840" s="51"/>
    </row>
    <row r="841">
      <c r="D841" s="51"/>
    </row>
    <row r="842">
      <c r="D842" s="51"/>
    </row>
    <row r="843">
      <c r="D843" s="51"/>
    </row>
    <row r="844">
      <c r="D844" s="51"/>
    </row>
    <row r="845">
      <c r="D845" s="51"/>
    </row>
    <row r="846">
      <c r="D846" s="51"/>
    </row>
    <row r="847">
      <c r="D847" s="51"/>
    </row>
    <row r="848">
      <c r="D848" s="51"/>
    </row>
    <row r="849">
      <c r="D849" s="51"/>
    </row>
    <row r="850">
      <c r="D850" s="51"/>
    </row>
    <row r="851">
      <c r="D851" s="51"/>
    </row>
    <row r="852">
      <c r="D852" s="51"/>
    </row>
    <row r="853">
      <c r="D853" s="51"/>
    </row>
    <row r="854">
      <c r="D854" s="51"/>
    </row>
    <row r="855">
      <c r="D855" s="51"/>
    </row>
    <row r="856">
      <c r="D856" s="51"/>
    </row>
    <row r="857">
      <c r="D857" s="51"/>
    </row>
    <row r="858">
      <c r="D858" s="51"/>
    </row>
    <row r="859">
      <c r="D859" s="51"/>
    </row>
    <row r="860">
      <c r="D860" s="51"/>
    </row>
    <row r="861">
      <c r="D861" s="51"/>
    </row>
    <row r="862">
      <c r="D862" s="51"/>
    </row>
    <row r="863">
      <c r="D863" s="51"/>
    </row>
    <row r="864">
      <c r="D864" s="51"/>
    </row>
    <row r="865">
      <c r="D865" s="51"/>
    </row>
    <row r="866">
      <c r="D866" s="51"/>
    </row>
    <row r="867">
      <c r="D867" s="51"/>
    </row>
    <row r="868">
      <c r="D868" s="51"/>
    </row>
    <row r="869">
      <c r="D869" s="51"/>
    </row>
    <row r="870">
      <c r="D870" s="51"/>
    </row>
    <row r="871">
      <c r="D871" s="51"/>
    </row>
    <row r="872">
      <c r="D872" s="51"/>
    </row>
    <row r="873">
      <c r="D873" s="51"/>
    </row>
    <row r="874">
      <c r="D874" s="51"/>
    </row>
    <row r="875">
      <c r="D875" s="51"/>
    </row>
    <row r="876">
      <c r="D876" s="51"/>
    </row>
    <row r="877">
      <c r="D877" s="51"/>
    </row>
    <row r="878">
      <c r="D878" s="51"/>
    </row>
    <row r="879">
      <c r="D879" s="51"/>
    </row>
    <row r="880">
      <c r="D880" s="51"/>
    </row>
    <row r="881">
      <c r="D881" s="51"/>
    </row>
    <row r="882">
      <c r="D882" s="51"/>
    </row>
    <row r="883">
      <c r="D883" s="51"/>
    </row>
    <row r="884">
      <c r="D884" s="51"/>
    </row>
    <row r="885">
      <c r="D885" s="51"/>
    </row>
    <row r="886">
      <c r="D886" s="51"/>
    </row>
    <row r="887">
      <c r="D887" s="51"/>
    </row>
    <row r="888">
      <c r="D888" s="51"/>
    </row>
    <row r="889">
      <c r="D889" s="51"/>
    </row>
    <row r="890">
      <c r="D890" s="51"/>
    </row>
    <row r="891">
      <c r="D891" s="51"/>
    </row>
    <row r="892">
      <c r="D892" s="51"/>
    </row>
    <row r="893">
      <c r="D893" s="51"/>
    </row>
    <row r="894">
      <c r="D894" s="51"/>
    </row>
    <row r="895">
      <c r="D895" s="51"/>
    </row>
    <row r="896">
      <c r="D896" s="51"/>
    </row>
    <row r="897">
      <c r="D897" s="51"/>
    </row>
    <row r="898">
      <c r="D898" s="51"/>
    </row>
    <row r="899">
      <c r="D899" s="51"/>
    </row>
    <row r="900">
      <c r="D900" s="51"/>
    </row>
    <row r="901">
      <c r="D901" s="51"/>
    </row>
    <row r="902">
      <c r="D902" s="51"/>
    </row>
    <row r="903">
      <c r="D903" s="51"/>
    </row>
    <row r="904">
      <c r="D904" s="51"/>
    </row>
    <row r="905">
      <c r="D905" s="51"/>
    </row>
    <row r="906">
      <c r="D906" s="51"/>
    </row>
    <row r="907">
      <c r="D907" s="51"/>
    </row>
    <row r="908">
      <c r="D908" s="51"/>
    </row>
    <row r="909">
      <c r="D909" s="51"/>
    </row>
    <row r="910">
      <c r="D910" s="51"/>
    </row>
    <row r="911">
      <c r="D911" s="51"/>
    </row>
    <row r="912">
      <c r="D912" s="51"/>
    </row>
    <row r="913">
      <c r="D913" s="51"/>
    </row>
    <row r="914">
      <c r="D914" s="51"/>
    </row>
    <row r="915">
      <c r="D915" s="51"/>
    </row>
    <row r="916">
      <c r="D916" s="51"/>
    </row>
    <row r="917">
      <c r="D917" s="51"/>
    </row>
    <row r="918">
      <c r="D918" s="51"/>
    </row>
    <row r="919">
      <c r="D919" s="51"/>
    </row>
    <row r="920">
      <c r="D920" s="51"/>
    </row>
    <row r="921">
      <c r="D921" s="51"/>
    </row>
    <row r="922">
      <c r="D922" s="51"/>
    </row>
    <row r="923">
      <c r="D923" s="51"/>
    </row>
    <row r="924">
      <c r="D924" s="51"/>
    </row>
    <row r="925">
      <c r="D925" s="51"/>
    </row>
    <row r="926">
      <c r="D926" s="51"/>
    </row>
    <row r="927">
      <c r="D927" s="51"/>
    </row>
    <row r="928">
      <c r="D928" s="51"/>
    </row>
    <row r="929">
      <c r="D929" s="51"/>
    </row>
    <row r="930">
      <c r="D930" s="51"/>
    </row>
    <row r="931">
      <c r="D931" s="51"/>
    </row>
    <row r="932">
      <c r="D932" s="51"/>
    </row>
    <row r="933">
      <c r="D933" s="51"/>
    </row>
    <row r="934">
      <c r="D934" s="51"/>
    </row>
    <row r="935">
      <c r="D935" s="51"/>
    </row>
    <row r="936">
      <c r="D936" s="51"/>
    </row>
    <row r="937">
      <c r="D937" s="51"/>
    </row>
    <row r="938">
      <c r="D938" s="51"/>
    </row>
    <row r="939">
      <c r="D939" s="51"/>
    </row>
    <row r="940">
      <c r="D940" s="51"/>
    </row>
    <row r="941">
      <c r="D941" s="51"/>
    </row>
    <row r="942">
      <c r="D942" s="51"/>
    </row>
    <row r="943">
      <c r="D943" s="51"/>
    </row>
    <row r="944">
      <c r="D944" s="51"/>
    </row>
    <row r="945">
      <c r="D945" s="51"/>
    </row>
    <row r="946">
      <c r="D946" s="51"/>
    </row>
    <row r="947">
      <c r="D947" s="51"/>
    </row>
    <row r="948">
      <c r="D948" s="51"/>
    </row>
    <row r="949">
      <c r="D949" s="51"/>
    </row>
    <row r="950">
      <c r="D950" s="51"/>
    </row>
    <row r="951">
      <c r="D951" s="51"/>
    </row>
    <row r="952">
      <c r="D952" s="51"/>
    </row>
    <row r="953">
      <c r="D953" s="51"/>
    </row>
    <row r="954">
      <c r="D954" s="51"/>
    </row>
    <row r="955">
      <c r="D955" s="51"/>
    </row>
    <row r="956">
      <c r="D956" s="51"/>
    </row>
    <row r="957">
      <c r="D957" s="51"/>
    </row>
    <row r="958">
      <c r="D958" s="51"/>
    </row>
    <row r="959">
      <c r="D959" s="51"/>
    </row>
    <row r="960">
      <c r="D960" s="51"/>
    </row>
    <row r="961">
      <c r="D961" s="51"/>
    </row>
    <row r="962">
      <c r="D962" s="51"/>
    </row>
    <row r="963">
      <c r="D963" s="51"/>
    </row>
    <row r="964">
      <c r="D964" s="51"/>
    </row>
    <row r="965">
      <c r="D965" s="51"/>
    </row>
    <row r="966">
      <c r="D966" s="51"/>
    </row>
    <row r="967">
      <c r="D967" s="51"/>
    </row>
    <row r="968">
      <c r="D968" s="51"/>
    </row>
    <row r="969">
      <c r="D969" s="51"/>
    </row>
    <row r="970">
      <c r="D970" s="51"/>
    </row>
    <row r="971">
      <c r="D971" s="51"/>
    </row>
    <row r="972">
      <c r="D972" s="51"/>
    </row>
    <row r="973">
      <c r="D973" s="51"/>
    </row>
    <row r="974">
      <c r="D974" s="51"/>
    </row>
    <row r="975">
      <c r="D975" s="51"/>
    </row>
    <row r="976">
      <c r="D976" s="51"/>
    </row>
    <row r="977">
      <c r="D977" s="51"/>
    </row>
    <row r="978">
      <c r="D978" s="51"/>
    </row>
    <row r="979">
      <c r="D979" s="51"/>
    </row>
    <row r="980">
      <c r="D980" s="51"/>
    </row>
    <row r="981">
      <c r="D981" s="51"/>
    </row>
    <row r="982">
      <c r="D982" s="51"/>
    </row>
    <row r="983">
      <c r="D983" s="51"/>
    </row>
    <row r="984">
      <c r="D984" s="51"/>
    </row>
    <row r="985">
      <c r="D985" s="51"/>
    </row>
    <row r="986">
      <c r="D986" s="51"/>
    </row>
    <row r="987">
      <c r="D987" s="51"/>
    </row>
    <row r="988">
      <c r="D988" s="51"/>
    </row>
    <row r="989">
      <c r="D989" s="51"/>
    </row>
    <row r="990">
      <c r="D990" s="51"/>
    </row>
    <row r="991">
      <c r="D991" s="51"/>
    </row>
    <row r="992">
      <c r="D992" s="51"/>
    </row>
    <row r="993">
      <c r="D993" s="51"/>
    </row>
    <row r="994">
      <c r="D994" s="51"/>
    </row>
    <row r="995">
      <c r="D995" s="51"/>
    </row>
    <row r="996">
      <c r="D996" s="51"/>
    </row>
    <row r="997">
      <c r="D997" s="51"/>
    </row>
    <row r="998">
      <c r="D998" s="51"/>
    </row>
    <row r="999">
      <c r="D999" s="51"/>
    </row>
    <row r="1000">
      <c r="D1000" s="51"/>
    </row>
    <row r="1001">
      <c r="D1001" s="51"/>
    </row>
    <row r="1002">
      <c r="D1002" s="51"/>
    </row>
    <row r="1003">
      <c r="D1003" s="51"/>
    </row>
    <row r="1004">
      <c r="D1004" s="51"/>
    </row>
    <row r="1005">
      <c r="D1005" s="51"/>
    </row>
    <row r="1006">
      <c r="D1006" s="51"/>
    </row>
    <row r="1007">
      <c r="D1007" s="51"/>
    </row>
    <row r="1008">
      <c r="D1008" s="51"/>
    </row>
    <row r="1009">
      <c r="D1009" s="51"/>
    </row>
    <row r="1010">
      <c r="D1010" s="51"/>
    </row>
    <row r="1011">
      <c r="D1011" s="51"/>
    </row>
    <row r="1012">
      <c r="D1012" s="51"/>
    </row>
    <row r="1013">
      <c r="D1013" s="51"/>
    </row>
    <row r="1014">
      <c r="D1014" s="51"/>
    </row>
    <row r="1015">
      <c r="D1015" s="51"/>
    </row>
    <row r="1016">
      <c r="D1016" s="51"/>
    </row>
    <row r="1017">
      <c r="D1017" s="51"/>
    </row>
    <row r="1018">
      <c r="D1018" s="51"/>
    </row>
    <row r="1019">
      <c r="D1019" s="51"/>
    </row>
    <row r="1020">
      <c r="D1020" s="51"/>
    </row>
    <row r="1021">
      <c r="D1021" s="51"/>
    </row>
    <row r="1022">
      <c r="D1022" s="51"/>
    </row>
    <row r="1023">
      <c r="D1023" s="51"/>
    </row>
    <row r="1024">
      <c r="D1024" s="51"/>
    </row>
    <row r="1025">
      <c r="D1025" s="51"/>
    </row>
    <row r="1026">
      <c r="D1026" s="51"/>
    </row>
    <row r="1027">
      <c r="D1027" s="51"/>
    </row>
    <row r="1028">
      <c r="D1028" s="51"/>
    </row>
    <row r="1029">
      <c r="D1029" s="51"/>
    </row>
    <row r="1030">
      <c r="D1030" s="51"/>
    </row>
    <row r="1031">
      <c r="D1031" s="51"/>
    </row>
    <row r="1032">
      <c r="D1032" s="51"/>
    </row>
    <row r="1033">
      <c r="D1033" s="51"/>
    </row>
    <row r="1034">
      <c r="D1034" s="51"/>
    </row>
    <row r="1035">
      <c r="D1035" s="51"/>
    </row>
    <row r="1036">
      <c r="D1036" s="51"/>
    </row>
    <row r="1037">
      <c r="D1037" s="51"/>
    </row>
    <row r="1038">
      <c r="D1038" s="51"/>
    </row>
    <row r="1039">
      <c r="D1039" s="51"/>
    </row>
    <row r="1040">
      <c r="D1040" s="51"/>
    </row>
    <row r="1041">
      <c r="D1041" s="51"/>
    </row>
    <row r="1042">
      <c r="D1042" s="51"/>
    </row>
    <row r="1043">
      <c r="D1043" s="51"/>
    </row>
    <row r="1044">
      <c r="D1044" s="51"/>
    </row>
    <row r="1045">
      <c r="D1045" s="51"/>
    </row>
    <row r="1046">
      <c r="D1046" s="51"/>
    </row>
    <row r="1047">
      <c r="D1047" s="51"/>
    </row>
    <row r="1048">
      <c r="D1048" s="51"/>
    </row>
    <row r="1049">
      <c r="D1049" s="51"/>
    </row>
    <row r="1050">
      <c r="D1050" s="51"/>
    </row>
    <row r="1051">
      <c r="D1051" s="51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3" t="s">
        <v>1811</v>
      </c>
      <c r="B1" s="43" t="s">
        <v>1568</v>
      </c>
      <c r="C1" s="40" t="s">
        <v>68</v>
      </c>
      <c r="D1" s="40" t="s">
        <v>250</v>
      </c>
      <c r="E1" s="40" t="s">
        <v>252</v>
      </c>
      <c r="F1" s="40" t="s">
        <v>254</v>
      </c>
      <c r="G1" s="40" t="s">
        <v>256</v>
      </c>
      <c r="H1" s="40" t="s">
        <v>73</v>
      </c>
      <c r="I1" s="40" t="s">
        <v>265</v>
      </c>
      <c r="J1" s="40" t="s">
        <v>259</v>
      </c>
      <c r="K1" s="40" t="s">
        <v>263</v>
      </c>
      <c r="L1" s="40" t="s">
        <v>269</v>
      </c>
      <c r="M1" s="40" t="s">
        <v>270</v>
      </c>
      <c r="N1" s="40" t="s">
        <v>271</v>
      </c>
      <c r="O1" s="40" t="s">
        <v>272</v>
      </c>
      <c r="P1" s="40" t="s">
        <v>273</v>
      </c>
      <c r="Q1" s="40" t="s">
        <v>274</v>
      </c>
      <c r="R1" s="40" t="s">
        <v>267</v>
      </c>
      <c r="S1" s="41" t="s">
        <v>275</v>
      </c>
      <c r="T1" s="41" t="s">
        <v>277</v>
      </c>
      <c r="U1" s="41" t="s">
        <v>278</v>
      </c>
      <c r="V1" s="41" t="s">
        <v>279</v>
      </c>
      <c r="W1" s="41" t="s">
        <v>280</v>
      </c>
      <c r="X1" s="43" t="s">
        <v>1812</v>
      </c>
      <c r="Y1" s="43" t="s">
        <v>676</v>
      </c>
    </row>
    <row r="2">
      <c r="A2" s="142">
        <v>201.0</v>
      </c>
      <c r="B2" s="142">
        <v>1900.0</v>
      </c>
      <c r="C2" s="143"/>
      <c r="D2" s="143">
        <v>6.0</v>
      </c>
      <c r="E2" s="143"/>
      <c r="F2" s="143"/>
      <c r="G2" s="142"/>
      <c r="H2" s="143"/>
      <c r="I2" s="143"/>
      <c r="J2" s="142"/>
      <c r="K2" s="143"/>
      <c r="L2" s="142"/>
      <c r="M2" s="143"/>
      <c r="N2" s="143"/>
      <c r="O2" s="143"/>
      <c r="P2" s="143"/>
      <c r="Q2" s="143"/>
      <c r="R2" s="142"/>
      <c r="S2" s="142"/>
      <c r="T2" s="142"/>
      <c r="U2" s="142"/>
      <c r="V2" s="142"/>
      <c r="W2" s="142"/>
      <c r="X2" s="142">
        <v>0.15</v>
      </c>
      <c r="Y2" s="142">
        <v>1.0</v>
      </c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</row>
    <row r="3">
      <c r="A3" s="142">
        <v>201.0</v>
      </c>
      <c r="B3" s="142">
        <v>400.0</v>
      </c>
      <c r="C3" s="143"/>
      <c r="D3" s="143">
        <v>11.0</v>
      </c>
      <c r="E3" s="143"/>
      <c r="F3" s="142"/>
      <c r="G3" s="142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2"/>
      <c r="S3" s="142"/>
      <c r="T3" s="142"/>
      <c r="U3" s="142"/>
      <c r="V3" s="142"/>
      <c r="W3" s="142"/>
      <c r="X3" s="142">
        <v>0.15</v>
      </c>
      <c r="Y3" s="142">
        <v>1.0</v>
      </c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>
      <c r="A4" s="142">
        <v>201.0</v>
      </c>
      <c r="B4" s="142">
        <v>150.0</v>
      </c>
      <c r="C4" s="142"/>
      <c r="D4" s="142">
        <v>20.0</v>
      </c>
      <c r="E4" s="142"/>
      <c r="F4" s="143"/>
      <c r="G4" s="142"/>
      <c r="H4" s="142"/>
      <c r="I4" s="143"/>
      <c r="J4" s="143"/>
      <c r="K4" s="143"/>
      <c r="L4" s="143"/>
      <c r="M4" s="143"/>
      <c r="N4" s="143"/>
      <c r="O4" s="143"/>
      <c r="P4" s="143"/>
      <c r="Q4" s="143"/>
      <c r="R4" s="142"/>
      <c r="S4" s="142"/>
      <c r="T4" s="142"/>
      <c r="U4" s="142"/>
      <c r="V4" s="142"/>
      <c r="W4" s="142"/>
      <c r="X4" s="142">
        <v>0.15</v>
      </c>
      <c r="Y4" s="142">
        <v>2.0</v>
      </c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>
      <c r="A5" s="142">
        <v>201.0</v>
      </c>
      <c r="B5" s="142">
        <v>40.0</v>
      </c>
      <c r="C5" s="143"/>
      <c r="D5" s="143">
        <v>38.0</v>
      </c>
      <c r="E5" s="143"/>
      <c r="F5" s="143"/>
      <c r="G5" s="142"/>
      <c r="H5" s="143"/>
      <c r="I5" s="142"/>
      <c r="J5" s="143"/>
      <c r="K5" s="143"/>
      <c r="L5" s="143"/>
      <c r="M5" s="143"/>
      <c r="N5" s="143"/>
      <c r="O5" s="143"/>
      <c r="P5" s="143"/>
      <c r="Q5" s="143"/>
      <c r="R5" s="142"/>
      <c r="S5" s="142"/>
      <c r="T5" s="142"/>
      <c r="U5" s="142"/>
      <c r="V5" s="142"/>
      <c r="W5" s="142"/>
      <c r="X5" s="142">
        <v>0.15</v>
      </c>
      <c r="Y5" s="142">
        <v>3.0</v>
      </c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>
      <c r="A6" s="142">
        <v>201.0</v>
      </c>
      <c r="B6" s="142">
        <v>10.0</v>
      </c>
      <c r="C6" s="142"/>
      <c r="D6" s="142">
        <v>70.0</v>
      </c>
      <c r="E6" s="142"/>
      <c r="F6" s="143"/>
      <c r="G6" s="142"/>
      <c r="H6" s="143"/>
      <c r="I6" s="143"/>
      <c r="J6" s="143"/>
      <c r="K6" s="143"/>
      <c r="L6" s="143"/>
      <c r="M6" s="143"/>
      <c r="N6" s="143"/>
      <c r="O6" s="143"/>
      <c r="P6" s="143"/>
      <c r="Q6" s="142"/>
      <c r="R6" s="142"/>
      <c r="S6" s="142"/>
      <c r="T6" s="142"/>
      <c r="U6" s="142"/>
      <c r="V6" s="142"/>
      <c r="W6" s="142"/>
      <c r="X6" s="142">
        <v>0.15</v>
      </c>
      <c r="Y6" s="142">
        <v>4.0</v>
      </c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</row>
    <row r="7">
      <c r="A7" s="142">
        <v>201.0</v>
      </c>
      <c r="B7" s="142">
        <v>1900.0</v>
      </c>
      <c r="C7" s="143"/>
      <c r="D7" s="143"/>
      <c r="E7" s="142">
        <v>8.0</v>
      </c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2"/>
      <c r="S7" s="142"/>
      <c r="T7" s="142"/>
      <c r="U7" s="142"/>
      <c r="V7" s="142"/>
      <c r="W7" s="142"/>
      <c r="X7" s="142">
        <v>0.15</v>
      </c>
      <c r="Y7" s="142">
        <v>1.0</v>
      </c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</row>
    <row r="8">
      <c r="A8" s="142">
        <v>201.0</v>
      </c>
      <c r="B8" s="142">
        <v>400.0</v>
      </c>
      <c r="C8" s="143"/>
      <c r="D8" s="143"/>
      <c r="E8" s="142">
        <f t="shared" ref="E8:E11" si="1">ROUND(D3*1.05,0)</f>
        <v>12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2"/>
      <c r="S8" s="142"/>
      <c r="T8" s="142"/>
      <c r="U8" s="142"/>
      <c r="V8" s="142"/>
      <c r="W8" s="142"/>
      <c r="X8" s="142">
        <v>0.15</v>
      </c>
      <c r="Y8" s="142">
        <v>1.0</v>
      </c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</row>
    <row r="9">
      <c r="A9" s="142">
        <v>201.0</v>
      </c>
      <c r="B9" s="142">
        <v>150.0</v>
      </c>
      <c r="C9" s="142"/>
      <c r="D9" s="142"/>
      <c r="E9" s="142">
        <f t="shared" si="1"/>
        <v>21</v>
      </c>
      <c r="F9" s="143"/>
      <c r="G9" s="142"/>
      <c r="H9" s="143"/>
      <c r="I9" s="143"/>
      <c r="J9" s="143"/>
      <c r="K9" s="143"/>
      <c r="L9" s="143"/>
      <c r="M9" s="143"/>
      <c r="N9" s="142"/>
      <c r="O9" s="142"/>
      <c r="P9" s="142"/>
      <c r="Q9" s="143"/>
      <c r="R9" s="142"/>
      <c r="S9" s="142"/>
      <c r="T9" s="142"/>
      <c r="U9" s="142"/>
      <c r="V9" s="142"/>
      <c r="W9" s="142"/>
      <c r="X9" s="142">
        <v>0.15</v>
      </c>
      <c r="Y9" s="142">
        <v>2.0</v>
      </c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</row>
    <row r="10">
      <c r="A10" s="142">
        <v>201.0</v>
      </c>
      <c r="B10" s="142">
        <v>40.0</v>
      </c>
      <c r="C10" s="143"/>
      <c r="D10" s="143"/>
      <c r="E10" s="142">
        <f t="shared" si="1"/>
        <v>40</v>
      </c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2"/>
      <c r="S10" s="142"/>
      <c r="T10" s="142"/>
      <c r="U10" s="142"/>
      <c r="V10" s="142"/>
      <c r="W10" s="142"/>
      <c r="X10" s="142">
        <v>0.15</v>
      </c>
      <c r="Y10" s="142">
        <v>3.0</v>
      </c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</row>
    <row r="11">
      <c r="A11" s="142">
        <v>201.0</v>
      </c>
      <c r="B11" s="142">
        <v>10.0</v>
      </c>
      <c r="C11" s="143"/>
      <c r="D11" s="143"/>
      <c r="E11" s="142">
        <f t="shared" si="1"/>
        <v>74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2"/>
      <c r="S11" s="142"/>
      <c r="T11" s="142"/>
      <c r="U11" s="142"/>
      <c r="V11" s="142"/>
      <c r="W11" s="142"/>
      <c r="X11" s="142">
        <v>0.15</v>
      </c>
      <c r="Y11" s="142">
        <v>4.0</v>
      </c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</row>
    <row r="12">
      <c r="A12" s="142">
        <v>201.0</v>
      </c>
      <c r="B12" s="142">
        <v>1900.0</v>
      </c>
      <c r="C12" s="143"/>
      <c r="D12" s="143"/>
      <c r="E12" s="143"/>
      <c r="F12" s="143"/>
      <c r="G12" s="142"/>
      <c r="H12" s="143">
        <v>50.0</v>
      </c>
      <c r="I12" s="143"/>
      <c r="J12" s="142"/>
      <c r="K12" s="143"/>
      <c r="L12" s="142"/>
      <c r="M12" s="143"/>
      <c r="N12" s="143"/>
      <c r="O12" s="143"/>
      <c r="P12" s="143"/>
      <c r="Q12" s="143"/>
      <c r="R12" s="142"/>
      <c r="S12" s="142"/>
      <c r="T12" s="142"/>
      <c r="U12" s="142"/>
      <c r="V12" s="142"/>
      <c r="W12" s="142"/>
      <c r="X12" s="142">
        <v>0.15</v>
      </c>
      <c r="Y12" s="142">
        <v>1.0</v>
      </c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</row>
    <row r="13">
      <c r="A13" s="142">
        <v>201.0</v>
      </c>
      <c r="B13" s="142">
        <v>400.0</v>
      </c>
      <c r="C13" s="143"/>
      <c r="D13" s="143"/>
      <c r="E13" s="143"/>
      <c r="F13" s="143"/>
      <c r="G13" s="142"/>
      <c r="H13" s="143">
        <v>75.0</v>
      </c>
      <c r="I13" s="143"/>
      <c r="J13" s="142"/>
      <c r="K13" s="143"/>
      <c r="L13" s="142"/>
      <c r="M13" s="143"/>
      <c r="N13" s="143"/>
      <c r="O13" s="143"/>
      <c r="P13" s="143"/>
      <c r="Q13" s="143"/>
      <c r="R13" s="142"/>
      <c r="S13" s="142"/>
      <c r="T13" s="142"/>
      <c r="U13" s="142"/>
      <c r="V13" s="142"/>
      <c r="W13" s="142"/>
      <c r="X13" s="142">
        <v>0.15</v>
      </c>
      <c r="Y13" s="142">
        <v>1.0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</row>
    <row r="14">
      <c r="A14" s="142">
        <v>201.0</v>
      </c>
      <c r="B14" s="142">
        <v>150.0</v>
      </c>
      <c r="C14" s="143"/>
      <c r="D14" s="143"/>
      <c r="E14" s="143"/>
      <c r="F14" s="143"/>
      <c r="G14" s="142"/>
      <c r="H14" s="143">
        <v>135.0</v>
      </c>
      <c r="I14" s="143"/>
      <c r="J14" s="142"/>
      <c r="K14" s="143"/>
      <c r="L14" s="142"/>
      <c r="M14" s="143"/>
      <c r="N14" s="143"/>
      <c r="O14" s="143"/>
      <c r="P14" s="143"/>
      <c r="Q14" s="143"/>
      <c r="R14" s="142"/>
      <c r="S14" s="142"/>
      <c r="T14" s="142"/>
      <c r="U14" s="142"/>
      <c r="V14" s="142"/>
      <c r="W14" s="142"/>
      <c r="X14" s="142">
        <v>0.15</v>
      </c>
      <c r="Y14" s="142">
        <v>2.0</v>
      </c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</row>
    <row r="15">
      <c r="A15" s="142">
        <v>201.0</v>
      </c>
      <c r="B15" s="142">
        <v>40.0</v>
      </c>
      <c r="C15" s="143"/>
      <c r="D15" s="143"/>
      <c r="E15" s="143"/>
      <c r="F15" s="143"/>
      <c r="G15" s="142"/>
      <c r="H15" s="143">
        <v>260.0</v>
      </c>
      <c r="I15" s="143"/>
      <c r="J15" s="142"/>
      <c r="K15" s="143"/>
      <c r="L15" s="142"/>
      <c r="M15" s="143"/>
      <c r="N15" s="143"/>
      <c r="O15" s="143"/>
      <c r="P15" s="143"/>
      <c r="Q15" s="143"/>
      <c r="R15" s="142"/>
      <c r="S15" s="142"/>
      <c r="T15" s="142"/>
      <c r="U15" s="142"/>
      <c r="V15" s="142"/>
      <c r="W15" s="142"/>
      <c r="X15" s="142">
        <v>0.15</v>
      </c>
      <c r="Y15" s="142">
        <v>3.0</v>
      </c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</row>
    <row r="16">
      <c r="A16" s="142">
        <v>201.0</v>
      </c>
      <c r="B16" s="142">
        <v>10.0</v>
      </c>
      <c r="C16" s="143"/>
      <c r="D16" s="143"/>
      <c r="E16" s="143"/>
      <c r="F16" s="143"/>
      <c r="G16" s="142"/>
      <c r="H16" s="143">
        <v>450.0</v>
      </c>
      <c r="I16" s="143"/>
      <c r="J16" s="142"/>
      <c r="K16" s="143"/>
      <c r="L16" s="142"/>
      <c r="M16" s="143"/>
      <c r="N16" s="143"/>
      <c r="O16" s="143"/>
      <c r="P16" s="143"/>
      <c r="Q16" s="143"/>
      <c r="R16" s="142"/>
      <c r="S16" s="142"/>
      <c r="T16" s="142"/>
      <c r="U16" s="142"/>
      <c r="V16" s="142"/>
      <c r="W16" s="142"/>
      <c r="X16" s="142">
        <v>0.15</v>
      </c>
      <c r="Y16" s="142">
        <v>4.0</v>
      </c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</row>
    <row r="17">
      <c r="A17" s="142">
        <v>201.0</v>
      </c>
      <c r="B17" s="142">
        <v>1900.0</v>
      </c>
      <c r="C17" s="143"/>
      <c r="D17" s="143"/>
      <c r="E17" s="143"/>
      <c r="F17" s="143"/>
      <c r="G17" s="142"/>
      <c r="H17" s="143"/>
      <c r="I17" s="143"/>
      <c r="J17" s="142"/>
      <c r="K17" s="143"/>
      <c r="L17" s="142"/>
      <c r="M17" s="143"/>
      <c r="N17" s="143"/>
      <c r="O17" s="142">
        <v>0.02</v>
      </c>
      <c r="P17" s="143"/>
      <c r="Q17" s="143"/>
      <c r="R17" s="142"/>
      <c r="S17" s="142"/>
      <c r="T17" s="142"/>
      <c r="U17" s="142"/>
      <c r="V17" s="142"/>
      <c r="W17" s="142"/>
      <c r="X17" s="142">
        <v>0.15</v>
      </c>
      <c r="Y17" s="142">
        <v>1.0</v>
      </c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</row>
    <row r="18">
      <c r="A18" s="142">
        <v>201.0</v>
      </c>
      <c r="B18" s="142">
        <v>400.0</v>
      </c>
      <c r="C18" s="143"/>
      <c r="D18" s="143"/>
      <c r="E18" s="143"/>
      <c r="F18" s="143"/>
      <c r="G18" s="142"/>
      <c r="H18" s="143"/>
      <c r="I18" s="143"/>
      <c r="J18" s="142"/>
      <c r="K18" s="143"/>
      <c r="L18" s="142"/>
      <c r="M18" s="143"/>
      <c r="N18" s="143"/>
      <c r="O18" s="142">
        <v>0.04</v>
      </c>
      <c r="P18" s="143"/>
      <c r="Q18" s="143"/>
      <c r="R18" s="142"/>
      <c r="S18" s="142"/>
      <c r="T18" s="142"/>
      <c r="U18" s="142"/>
      <c r="V18" s="142"/>
      <c r="W18" s="142"/>
      <c r="X18" s="142">
        <v>0.15</v>
      </c>
      <c r="Y18" s="142">
        <v>1.0</v>
      </c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</row>
    <row r="19">
      <c r="A19" s="142">
        <v>201.0</v>
      </c>
      <c r="B19" s="142">
        <v>150.0</v>
      </c>
      <c r="C19" s="143"/>
      <c r="D19" s="143"/>
      <c r="E19" s="143"/>
      <c r="F19" s="143"/>
      <c r="G19" s="142"/>
      <c r="H19" s="143"/>
      <c r="I19" s="143"/>
      <c r="J19" s="142"/>
      <c r="K19" s="143"/>
      <c r="L19" s="142"/>
      <c r="M19" s="143"/>
      <c r="N19" s="143"/>
      <c r="O19" s="142">
        <v>0.08</v>
      </c>
      <c r="P19" s="143"/>
      <c r="Q19" s="143"/>
      <c r="R19" s="142"/>
      <c r="S19" s="142"/>
      <c r="T19" s="142"/>
      <c r="U19" s="142"/>
      <c r="V19" s="142"/>
      <c r="W19" s="142"/>
      <c r="X19" s="142">
        <v>0.15</v>
      </c>
      <c r="Y19" s="142">
        <v>2.0</v>
      </c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</row>
    <row r="20">
      <c r="A20" s="142">
        <v>201.0</v>
      </c>
      <c r="B20" s="142">
        <v>40.0</v>
      </c>
      <c r="C20" s="143"/>
      <c r="D20" s="143"/>
      <c r="E20" s="143"/>
      <c r="F20" s="143"/>
      <c r="G20" s="142"/>
      <c r="H20" s="143"/>
      <c r="I20" s="143"/>
      <c r="J20" s="142"/>
      <c r="K20" s="143"/>
      <c r="L20" s="142"/>
      <c r="M20" s="143"/>
      <c r="N20" s="143"/>
      <c r="O20" s="142">
        <v>0.15</v>
      </c>
      <c r="P20" s="143"/>
      <c r="Q20" s="143"/>
      <c r="R20" s="142"/>
      <c r="S20" s="142"/>
      <c r="T20" s="142"/>
      <c r="U20" s="142"/>
      <c r="V20" s="142"/>
      <c r="W20" s="142"/>
      <c r="X20" s="142">
        <v>0.15</v>
      </c>
      <c r="Y20" s="142">
        <v>3.0</v>
      </c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</row>
    <row r="21">
      <c r="A21" s="142">
        <v>201.0</v>
      </c>
      <c r="B21" s="142">
        <v>10.0</v>
      </c>
      <c r="C21" s="143"/>
      <c r="D21" s="143"/>
      <c r="E21" s="143"/>
      <c r="F21" s="143"/>
      <c r="G21" s="142"/>
      <c r="H21" s="143"/>
      <c r="I21" s="143"/>
      <c r="J21" s="142"/>
      <c r="K21" s="143"/>
      <c r="L21" s="142"/>
      <c r="M21" s="143"/>
      <c r="N21" s="143"/>
      <c r="O21" s="142">
        <v>0.25</v>
      </c>
      <c r="P21" s="143"/>
      <c r="Q21" s="143"/>
      <c r="R21" s="142"/>
      <c r="S21" s="142"/>
      <c r="T21" s="142"/>
      <c r="U21" s="142"/>
      <c r="V21" s="142"/>
      <c r="W21" s="142"/>
      <c r="X21" s="142">
        <v>0.15</v>
      </c>
      <c r="Y21" s="142">
        <v>4.0</v>
      </c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</row>
    <row r="22">
      <c r="A22" s="43">
        <v>202.0</v>
      </c>
      <c r="B22" s="43">
        <v>2500.0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43"/>
      <c r="S22" s="43"/>
      <c r="T22" s="43"/>
      <c r="U22" s="43"/>
      <c r="V22" s="43"/>
      <c r="W22" s="43"/>
      <c r="X22" s="43">
        <v>0.13</v>
      </c>
      <c r="Y22" s="43">
        <v>1.0</v>
      </c>
    </row>
    <row r="23">
      <c r="A23" s="43">
        <v>202.0</v>
      </c>
      <c r="B23" s="145">
        <f t="shared" ref="B23:B42" si="2">B2/2</f>
        <v>950</v>
      </c>
      <c r="C23" s="57"/>
      <c r="D23" s="57">
        <v>6.0</v>
      </c>
      <c r="E23" s="57"/>
      <c r="F23" s="57"/>
      <c r="G23" s="43"/>
      <c r="H23" s="57"/>
      <c r="I23" s="57"/>
      <c r="J23" s="43"/>
      <c r="K23" s="57"/>
      <c r="L23" s="43"/>
      <c r="M23" s="57"/>
      <c r="N23" s="57"/>
      <c r="O23" s="57"/>
      <c r="P23" s="57"/>
      <c r="Q23" s="57"/>
      <c r="R23" s="43"/>
      <c r="S23" s="43"/>
      <c r="T23" s="43"/>
      <c r="U23" s="43"/>
      <c r="V23" s="43"/>
      <c r="W23" s="43"/>
      <c r="X23" s="43">
        <v>0.13</v>
      </c>
      <c r="Y23" s="43">
        <v>1.0</v>
      </c>
    </row>
    <row r="24">
      <c r="A24" s="43">
        <v>202.0</v>
      </c>
      <c r="B24" s="145">
        <f t="shared" si="2"/>
        <v>200</v>
      </c>
      <c r="C24" s="57"/>
      <c r="D24" s="57">
        <v>11.0</v>
      </c>
      <c r="E24" s="57"/>
      <c r="F24" s="43"/>
      <c r="G24" s="43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43"/>
      <c r="S24" s="43"/>
      <c r="T24" s="43"/>
      <c r="U24" s="43"/>
      <c r="V24" s="43"/>
      <c r="W24" s="43"/>
      <c r="X24" s="43">
        <v>0.13</v>
      </c>
      <c r="Y24" s="43">
        <v>1.0</v>
      </c>
    </row>
    <row r="25">
      <c r="A25" s="43">
        <v>202.0</v>
      </c>
      <c r="B25" s="145">
        <f t="shared" si="2"/>
        <v>75</v>
      </c>
      <c r="C25" s="43"/>
      <c r="D25" s="43">
        <v>20.0</v>
      </c>
      <c r="E25" s="43"/>
      <c r="F25" s="57"/>
      <c r="G25" s="43"/>
      <c r="H25" s="43"/>
      <c r="I25" s="57"/>
      <c r="J25" s="57"/>
      <c r="K25" s="57"/>
      <c r="L25" s="57"/>
      <c r="M25" s="57"/>
      <c r="N25" s="57"/>
      <c r="O25" s="57"/>
      <c r="P25" s="57"/>
      <c r="Q25" s="57"/>
      <c r="R25" s="43"/>
      <c r="S25" s="43"/>
      <c r="T25" s="43"/>
      <c r="U25" s="43"/>
      <c r="V25" s="43"/>
      <c r="W25" s="43"/>
      <c r="X25" s="43">
        <v>0.13</v>
      </c>
      <c r="Y25" s="43">
        <v>2.0</v>
      </c>
    </row>
    <row r="26">
      <c r="A26" s="43">
        <v>202.0</v>
      </c>
      <c r="B26" s="145">
        <f t="shared" si="2"/>
        <v>20</v>
      </c>
      <c r="C26" s="57"/>
      <c r="D26" s="57">
        <v>38.0</v>
      </c>
      <c r="E26" s="57"/>
      <c r="F26" s="57"/>
      <c r="G26" s="43"/>
      <c r="H26" s="57"/>
      <c r="I26" s="43"/>
      <c r="J26" s="57"/>
      <c r="K26" s="57"/>
      <c r="L26" s="57"/>
      <c r="M26" s="57"/>
      <c r="N26" s="57"/>
      <c r="O26" s="57"/>
      <c r="P26" s="57"/>
      <c r="Q26" s="43"/>
      <c r="R26" s="43"/>
      <c r="S26" s="43"/>
      <c r="T26" s="43"/>
      <c r="U26" s="43"/>
      <c r="V26" s="43"/>
      <c r="W26" s="43"/>
      <c r="X26" s="43">
        <v>0.13</v>
      </c>
      <c r="Y26" s="43">
        <v>3.0</v>
      </c>
    </row>
    <row r="27">
      <c r="A27" s="43">
        <v>202.0</v>
      </c>
      <c r="B27" s="145">
        <f t="shared" si="2"/>
        <v>5</v>
      </c>
      <c r="C27" s="43"/>
      <c r="D27" s="43">
        <v>70.0</v>
      </c>
      <c r="E27" s="2"/>
      <c r="F27" s="57"/>
      <c r="G27" s="43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43"/>
      <c r="S27" s="43"/>
      <c r="T27" s="43"/>
      <c r="U27" s="43"/>
      <c r="V27" s="43"/>
      <c r="W27" s="43"/>
      <c r="X27" s="43">
        <v>0.13</v>
      </c>
      <c r="Y27" s="43">
        <v>4.0</v>
      </c>
    </row>
    <row r="28">
      <c r="A28" s="43">
        <v>202.0</v>
      </c>
      <c r="B28" s="145">
        <f t="shared" si="2"/>
        <v>950</v>
      </c>
      <c r="C28" s="57"/>
      <c r="D28" s="57"/>
      <c r="E28" s="43">
        <v>8.0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43"/>
      <c r="S28" s="43"/>
      <c r="T28" s="43"/>
      <c r="U28" s="43"/>
      <c r="V28" s="43"/>
      <c r="W28" s="43"/>
      <c r="X28" s="43">
        <v>0.13</v>
      </c>
      <c r="Y28" s="43">
        <v>1.0</v>
      </c>
    </row>
    <row r="29">
      <c r="A29" s="43">
        <v>202.0</v>
      </c>
      <c r="B29" s="145">
        <f t="shared" si="2"/>
        <v>200</v>
      </c>
      <c r="C29" s="57"/>
      <c r="D29" s="57"/>
      <c r="E29" s="43">
        <v>12.0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43"/>
      <c r="Q29" s="57"/>
      <c r="R29" s="43"/>
      <c r="S29" s="43"/>
      <c r="T29" s="43"/>
      <c r="U29" s="43"/>
      <c r="V29" s="43"/>
      <c r="W29" s="43"/>
      <c r="X29" s="43">
        <v>0.13</v>
      </c>
      <c r="Y29" s="43">
        <v>1.0</v>
      </c>
    </row>
    <row r="30">
      <c r="A30" s="43">
        <v>202.0</v>
      </c>
      <c r="B30" s="145">
        <f t="shared" si="2"/>
        <v>75</v>
      </c>
      <c r="C30" s="43"/>
      <c r="D30" s="43"/>
      <c r="E30" s="43">
        <v>21.0</v>
      </c>
      <c r="F30" s="57"/>
      <c r="G30" s="43"/>
      <c r="H30" s="57"/>
      <c r="I30" s="57"/>
      <c r="J30" s="57"/>
      <c r="K30" s="57"/>
      <c r="L30" s="57"/>
      <c r="M30" s="57"/>
      <c r="N30" s="43"/>
      <c r="O30" s="43"/>
      <c r="P30" s="57"/>
      <c r="Q30" s="57"/>
      <c r="R30" s="43"/>
      <c r="S30" s="43"/>
      <c r="T30" s="43"/>
      <c r="U30" s="43"/>
      <c r="V30" s="43"/>
      <c r="W30" s="43"/>
      <c r="X30" s="43">
        <v>0.13</v>
      </c>
      <c r="Y30" s="43">
        <v>2.0</v>
      </c>
    </row>
    <row r="31">
      <c r="A31" s="43">
        <v>202.0</v>
      </c>
      <c r="B31" s="145">
        <f t="shared" si="2"/>
        <v>20</v>
      </c>
      <c r="C31" s="57"/>
      <c r="D31" s="57"/>
      <c r="E31" s="43">
        <v>40.0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43"/>
      <c r="S31" s="43"/>
      <c r="T31" s="43"/>
      <c r="U31" s="43"/>
      <c r="V31" s="43"/>
      <c r="W31" s="43"/>
      <c r="X31" s="43">
        <v>0.13</v>
      </c>
      <c r="Y31" s="43">
        <v>3.0</v>
      </c>
    </row>
    <row r="32">
      <c r="A32" s="43">
        <v>202.0</v>
      </c>
      <c r="B32" s="145">
        <f t="shared" si="2"/>
        <v>5</v>
      </c>
      <c r="C32" s="57"/>
      <c r="D32" s="57"/>
      <c r="E32" s="43">
        <v>74.0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43"/>
      <c r="S32" s="43"/>
      <c r="T32" s="43"/>
      <c r="U32" s="43"/>
      <c r="V32" s="43"/>
      <c r="W32" s="43"/>
      <c r="X32" s="43">
        <v>0.13</v>
      </c>
      <c r="Y32" s="43">
        <v>4.0</v>
      </c>
    </row>
    <row r="33">
      <c r="A33" s="43">
        <v>202.0</v>
      </c>
      <c r="B33" s="145">
        <f t="shared" si="2"/>
        <v>950</v>
      </c>
      <c r="C33" s="57"/>
      <c r="D33" s="57"/>
      <c r="E33" s="57"/>
      <c r="F33" s="57"/>
      <c r="G33" s="43"/>
      <c r="H33" s="57">
        <v>50.0</v>
      </c>
      <c r="I33" s="57"/>
      <c r="J33" s="43"/>
      <c r="K33" s="57"/>
      <c r="L33" s="43"/>
      <c r="M33" s="57"/>
      <c r="N33" s="57"/>
      <c r="O33" s="57"/>
      <c r="P33" s="57"/>
      <c r="Q33" s="57"/>
      <c r="R33" s="43"/>
      <c r="S33" s="43"/>
      <c r="T33" s="43"/>
      <c r="U33" s="43"/>
      <c r="V33" s="43"/>
      <c r="W33" s="43"/>
      <c r="X33" s="43">
        <v>0.13</v>
      </c>
      <c r="Y33" s="43">
        <v>1.0</v>
      </c>
    </row>
    <row r="34">
      <c r="A34" s="43">
        <v>202.0</v>
      </c>
      <c r="B34" s="145">
        <f t="shared" si="2"/>
        <v>200</v>
      </c>
      <c r="C34" s="57"/>
      <c r="D34" s="57"/>
      <c r="E34" s="57"/>
      <c r="F34" s="57"/>
      <c r="G34" s="43"/>
      <c r="H34" s="57">
        <v>75.0</v>
      </c>
      <c r="I34" s="57"/>
      <c r="J34" s="43"/>
      <c r="K34" s="57"/>
      <c r="L34" s="43"/>
      <c r="M34" s="57"/>
      <c r="N34" s="57"/>
      <c r="O34" s="57"/>
      <c r="P34" s="57"/>
      <c r="Q34" s="57"/>
      <c r="R34" s="43"/>
      <c r="S34" s="43"/>
      <c r="T34" s="43"/>
      <c r="U34" s="43"/>
      <c r="V34" s="43"/>
      <c r="W34" s="43"/>
      <c r="X34" s="43">
        <v>0.13</v>
      </c>
      <c r="Y34" s="43">
        <v>1.0</v>
      </c>
    </row>
    <row r="35">
      <c r="A35" s="43">
        <v>202.0</v>
      </c>
      <c r="B35" s="145">
        <f t="shared" si="2"/>
        <v>75</v>
      </c>
      <c r="C35" s="57"/>
      <c r="D35" s="57"/>
      <c r="E35" s="57"/>
      <c r="F35" s="57"/>
      <c r="G35" s="43"/>
      <c r="H35" s="57">
        <v>135.0</v>
      </c>
      <c r="I35" s="57"/>
      <c r="J35" s="43"/>
      <c r="K35" s="57"/>
      <c r="L35" s="43"/>
      <c r="M35" s="57"/>
      <c r="N35" s="57"/>
      <c r="O35" s="57"/>
      <c r="P35" s="57"/>
      <c r="Q35" s="57"/>
      <c r="R35" s="43"/>
      <c r="S35" s="43"/>
      <c r="T35" s="43"/>
      <c r="U35" s="43"/>
      <c r="V35" s="43"/>
      <c r="W35" s="43"/>
      <c r="X35" s="43">
        <v>0.13</v>
      </c>
      <c r="Y35" s="43">
        <v>2.0</v>
      </c>
    </row>
    <row r="36">
      <c r="A36" s="43">
        <v>202.0</v>
      </c>
      <c r="B36" s="145">
        <f t="shared" si="2"/>
        <v>20</v>
      </c>
      <c r="C36" s="57"/>
      <c r="D36" s="57"/>
      <c r="E36" s="57"/>
      <c r="F36" s="57"/>
      <c r="G36" s="43"/>
      <c r="H36" s="57">
        <v>260.0</v>
      </c>
      <c r="I36" s="57"/>
      <c r="J36" s="43"/>
      <c r="K36" s="57"/>
      <c r="L36" s="43"/>
      <c r="M36" s="57"/>
      <c r="N36" s="57"/>
      <c r="O36" s="57"/>
      <c r="P36" s="57"/>
      <c r="Q36" s="57"/>
      <c r="R36" s="43"/>
      <c r="S36" s="43"/>
      <c r="T36" s="43"/>
      <c r="U36" s="43"/>
      <c r="V36" s="43"/>
      <c r="W36" s="43"/>
      <c r="X36" s="43">
        <v>0.13</v>
      </c>
      <c r="Y36" s="43">
        <v>3.0</v>
      </c>
    </row>
    <row r="37">
      <c r="A37" s="43">
        <v>202.0</v>
      </c>
      <c r="B37" s="145">
        <f t="shared" si="2"/>
        <v>5</v>
      </c>
      <c r="C37" s="57"/>
      <c r="D37" s="57"/>
      <c r="E37" s="57"/>
      <c r="F37" s="57"/>
      <c r="G37" s="43"/>
      <c r="H37" s="57">
        <v>450.0</v>
      </c>
      <c r="I37" s="57"/>
      <c r="J37" s="43"/>
      <c r="K37" s="57"/>
      <c r="L37" s="43"/>
      <c r="M37" s="57"/>
      <c r="N37" s="57"/>
      <c r="O37" s="57"/>
      <c r="P37" s="57"/>
      <c r="Q37" s="57"/>
      <c r="R37" s="43"/>
      <c r="S37" s="43"/>
      <c r="T37" s="43"/>
      <c r="U37" s="43"/>
      <c r="V37" s="43"/>
      <c r="W37" s="43"/>
      <c r="X37" s="43">
        <v>0.13</v>
      </c>
      <c r="Y37" s="43">
        <v>4.0</v>
      </c>
    </row>
    <row r="38">
      <c r="A38" s="43">
        <v>202.0</v>
      </c>
      <c r="B38" s="145">
        <f t="shared" si="2"/>
        <v>950</v>
      </c>
      <c r="C38" s="57"/>
      <c r="D38" s="57"/>
      <c r="E38" s="57"/>
      <c r="F38" s="57"/>
      <c r="G38" s="43"/>
      <c r="H38" s="57"/>
      <c r="I38" s="57"/>
      <c r="J38" s="43"/>
      <c r="K38" s="57"/>
      <c r="L38" s="43"/>
      <c r="M38" s="57"/>
      <c r="N38" s="57"/>
      <c r="O38" s="43">
        <v>0.02</v>
      </c>
      <c r="P38" s="57"/>
      <c r="Q38" s="57"/>
      <c r="R38" s="43"/>
      <c r="S38" s="43"/>
      <c r="T38" s="43"/>
      <c r="U38" s="43"/>
      <c r="V38" s="43"/>
      <c r="W38" s="43"/>
      <c r="X38" s="43">
        <v>0.13</v>
      </c>
      <c r="Y38" s="43">
        <v>1.0</v>
      </c>
    </row>
    <row r="39">
      <c r="A39" s="43">
        <v>202.0</v>
      </c>
      <c r="B39" s="145">
        <f t="shared" si="2"/>
        <v>200</v>
      </c>
      <c r="C39" s="57"/>
      <c r="D39" s="57"/>
      <c r="E39" s="57"/>
      <c r="F39" s="57"/>
      <c r="G39" s="43"/>
      <c r="H39" s="57"/>
      <c r="I39" s="57"/>
      <c r="J39" s="43"/>
      <c r="K39" s="57"/>
      <c r="L39" s="43"/>
      <c r="M39" s="57"/>
      <c r="N39" s="57"/>
      <c r="O39" s="43">
        <v>0.04</v>
      </c>
      <c r="P39" s="57"/>
      <c r="Q39" s="57"/>
      <c r="R39" s="43"/>
      <c r="S39" s="43"/>
      <c r="T39" s="43"/>
      <c r="U39" s="43"/>
      <c r="V39" s="43"/>
      <c r="W39" s="43"/>
      <c r="X39" s="43">
        <v>0.13</v>
      </c>
      <c r="Y39" s="43">
        <v>1.0</v>
      </c>
    </row>
    <row r="40">
      <c r="A40" s="43">
        <v>202.0</v>
      </c>
      <c r="B40" s="145">
        <f t="shared" si="2"/>
        <v>75</v>
      </c>
      <c r="C40" s="57"/>
      <c r="D40" s="57"/>
      <c r="E40" s="57"/>
      <c r="F40" s="57"/>
      <c r="G40" s="43"/>
      <c r="H40" s="57"/>
      <c r="I40" s="57"/>
      <c r="J40" s="43"/>
      <c r="K40" s="57"/>
      <c r="L40" s="43"/>
      <c r="M40" s="57"/>
      <c r="N40" s="57"/>
      <c r="O40" s="43">
        <v>0.08</v>
      </c>
      <c r="P40" s="57"/>
      <c r="Q40" s="57"/>
      <c r="R40" s="43"/>
      <c r="S40" s="43"/>
      <c r="T40" s="43"/>
      <c r="U40" s="43"/>
      <c r="V40" s="43"/>
      <c r="W40" s="43"/>
      <c r="X40" s="43">
        <v>0.13</v>
      </c>
      <c r="Y40" s="43">
        <v>2.0</v>
      </c>
    </row>
    <row r="41">
      <c r="A41" s="43">
        <v>202.0</v>
      </c>
      <c r="B41" s="145">
        <f t="shared" si="2"/>
        <v>20</v>
      </c>
      <c r="C41" s="57"/>
      <c r="D41" s="57"/>
      <c r="E41" s="57"/>
      <c r="F41" s="57"/>
      <c r="G41" s="43"/>
      <c r="H41" s="57"/>
      <c r="I41" s="57"/>
      <c r="J41" s="43"/>
      <c r="K41" s="57"/>
      <c r="L41" s="43"/>
      <c r="M41" s="57"/>
      <c r="N41" s="57"/>
      <c r="O41" s="43">
        <v>0.15</v>
      </c>
      <c r="P41" s="57"/>
      <c r="Q41" s="57"/>
      <c r="R41" s="43"/>
      <c r="S41" s="43"/>
      <c r="T41" s="43"/>
      <c r="U41" s="43"/>
      <c r="V41" s="43"/>
      <c r="W41" s="43"/>
      <c r="X41" s="43">
        <v>0.13</v>
      </c>
      <c r="Y41" s="43">
        <v>3.0</v>
      </c>
    </row>
    <row r="42">
      <c r="A42" s="43">
        <v>202.0</v>
      </c>
      <c r="B42" s="145">
        <f t="shared" si="2"/>
        <v>5</v>
      </c>
      <c r="C42" s="57"/>
      <c r="D42" s="57"/>
      <c r="E42" s="57"/>
      <c r="F42" s="57"/>
      <c r="G42" s="43"/>
      <c r="H42" s="57"/>
      <c r="I42" s="57"/>
      <c r="J42" s="43"/>
      <c r="K42" s="57"/>
      <c r="L42" s="43"/>
      <c r="M42" s="57"/>
      <c r="N42" s="57"/>
      <c r="O42" s="43">
        <v>0.25</v>
      </c>
      <c r="P42" s="57"/>
      <c r="Q42" s="57"/>
      <c r="R42" s="43"/>
      <c r="S42" s="43"/>
      <c r="T42" s="43"/>
      <c r="U42" s="43"/>
      <c r="V42" s="43"/>
      <c r="W42" s="43"/>
      <c r="X42" s="43">
        <v>0.13</v>
      </c>
      <c r="Y42" s="43">
        <v>4.0</v>
      </c>
    </row>
    <row r="43">
      <c r="A43" s="43">
        <v>202.0</v>
      </c>
      <c r="B43" s="145">
        <v>1900.0</v>
      </c>
      <c r="C43" s="57"/>
      <c r="D43" s="57"/>
      <c r="E43" s="57"/>
      <c r="F43" s="57"/>
      <c r="G43" s="43"/>
      <c r="H43" s="57"/>
      <c r="I43" s="57"/>
      <c r="J43" s="43">
        <v>0.01</v>
      </c>
      <c r="K43" s="57"/>
      <c r="L43" s="43"/>
      <c r="M43" s="57"/>
      <c r="N43" s="57"/>
      <c r="O43" s="43"/>
      <c r="P43" s="57"/>
      <c r="Q43" s="57"/>
      <c r="R43" s="43"/>
      <c r="S43" s="43"/>
      <c r="T43" s="43"/>
      <c r="U43" s="43"/>
      <c r="V43" s="43"/>
      <c r="W43" s="43"/>
      <c r="X43" s="43">
        <v>0.13</v>
      </c>
      <c r="Y43" s="43">
        <v>1.0</v>
      </c>
    </row>
    <row r="44">
      <c r="A44" s="43">
        <v>202.0</v>
      </c>
      <c r="B44" s="145">
        <v>400.0</v>
      </c>
      <c r="C44" s="57"/>
      <c r="D44" s="57"/>
      <c r="E44" s="57"/>
      <c r="F44" s="57"/>
      <c r="G44" s="43"/>
      <c r="H44" s="57"/>
      <c r="I44" s="57"/>
      <c r="J44" s="43">
        <v>0.02</v>
      </c>
      <c r="K44" s="57"/>
      <c r="L44" s="43"/>
      <c r="M44" s="57"/>
      <c r="N44" s="57"/>
      <c r="O44" s="43"/>
      <c r="P44" s="57"/>
      <c r="Q44" s="57"/>
      <c r="R44" s="43"/>
      <c r="S44" s="43"/>
      <c r="T44" s="43"/>
      <c r="U44" s="43"/>
      <c r="V44" s="43"/>
      <c r="W44" s="43"/>
      <c r="X44" s="43">
        <v>0.13</v>
      </c>
      <c r="Y44" s="43">
        <v>1.0</v>
      </c>
    </row>
    <row r="45">
      <c r="A45" s="43">
        <v>202.0</v>
      </c>
      <c r="B45" s="145">
        <v>150.0</v>
      </c>
      <c r="C45" s="57"/>
      <c r="D45" s="57"/>
      <c r="E45" s="57"/>
      <c r="F45" s="57"/>
      <c r="G45" s="43"/>
      <c r="H45" s="57"/>
      <c r="I45" s="57"/>
      <c r="J45" s="43">
        <v>0.04</v>
      </c>
      <c r="K45" s="57"/>
      <c r="L45" s="43"/>
      <c r="M45" s="57"/>
      <c r="N45" s="57"/>
      <c r="O45" s="43"/>
      <c r="P45" s="57"/>
      <c r="Q45" s="57"/>
      <c r="R45" s="43"/>
      <c r="S45" s="43"/>
      <c r="T45" s="43"/>
      <c r="U45" s="43"/>
      <c r="V45" s="43"/>
      <c r="W45" s="43"/>
      <c r="X45" s="43">
        <v>0.13</v>
      </c>
      <c r="Y45" s="43">
        <v>2.0</v>
      </c>
    </row>
    <row r="46">
      <c r="A46" s="43">
        <v>202.0</v>
      </c>
      <c r="B46" s="145">
        <v>40.0</v>
      </c>
      <c r="C46" s="57"/>
      <c r="D46" s="57"/>
      <c r="E46" s="57"/>
      <c r="F46" s="57"/>
      <c r="G46" s="43"/>
      <c r="H46" s="57"/>
      <c r="I46" s="57"/>
      <c r="J46" s="43">
        <v>0.09</v>
      </c>
      <c r="K46" s="57"/>
      <c r="L46" s="43"/>
      <c r="M46" s="57"/>
      <c r="N46" s="57"/>
      <c r="O46" s="43"/>
      <c r="P46" s="57"/>
      <c r="Q46" s="57"/>
      <c r="R46" s="43"/>
      <c r="S46" s="43"/>
      <c r="T46" s="43"/>
      <c r="U46" s="43"/>
      <c r="V46" s="43"/>
      <c r="W46" s="43"/>
      <c r="X46" s="43">
        <v>0.13</v>
      </c>
      <c r="Y46" s="43">
        <v>3.0</v>
      </c>
    </row>
    <row r="47">
      <c r="A47" s="43">
        <v>202.0</v>
      </c>
      <c r="B47" s="145">
        <v>10.0</v>
      </c>
      <c r="C47" s="57"/>
      <c r="D47" s="57"/>
      <c r="E47" s="57"/>
      <c r="F47" s="57"/>
      <c r="G47" s="43"/>
      <c r="H47" s="57"/>
      <c r="I47" s="57"/>
      <c r="J47" s="43">
        <v>0.15</v>
      </c>
      <c r="K47" s="57"/>
      <c r="L47" s="43"/>
      <c r="M47" s="57"/>
      <c r="N47" s="57"/>
      <c r="O47" s="43"/>
      <c r="P47" s="57"/>
      <c r="Q47" s="57"/>
      <c r="R47" s="43"/>
      <c r="S47" s="43"/>
      <c r="T47" s="43"/>
      <c r="U47" s="43"/>
      <c r="V47" s="43"/>
      <c r="W47" s="43"/>
      <c r="X47" s="43">
        <v>0.13</v>
      </c>
      <c r="Y47" s="43">
        <v>4.0</v>
      </c>
    </row>
    <row r="48">
      <c r="A48" s="146">
        <v>203.0</v>
      </c>
      <c r="B48" s="146">
        <v>5350.0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6"/>
      <c r="S48" s="146"/>
      <c r="T48" s="146"/>
      <c r="U48" s="146"/>
      <c r="V48" s="146"/>
      <c r="W48" s="146"/>
      <c r="X48" s="146">
        <v>0.11</v>
      </c>
      <c r="Y48" s="148">
        <v>1.0</v>
      </c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</row>
    <row r="49">
      <c r="A49" s="146">
        <v>203.0</v>
      </c>
      <c r="B49" s="146">
        <v>550.0</v>
      </c>
      <c r="C49" s="147"/>
      <c r="D49" s="147">
        <v>6.0</v>
      </c>
      <c r="E49" s="147"/>
      <c r="F49" s="147"/>
      <c r="G49" s="146"/>
      <c r="H49" s="147"/>
      <c r="I49" s="147"/>
      <c r="J49" s="146"/>
      <c r="K49" s="147"/>
      <c r="L49" s="146"/>
      <c r="M49" s="147"/>
      <c r="N49" s="147"/>
      <c r="O49" s="147"/>
      <c r="P49" s="147"/>
      <c r="Q49" s="147"/>
      <c r="R49" s="146"/>
      <c r="S49" s="146"/>
      <c r="T49" s="146"/>
      <c r="U49" s="146"/>
      <c r="V49" s="146"/>
      <c r="W49" s="146"/>
      <c r="X49" s="146">
        <v>0.11</v>
      </c>
      <c r="Y49" s="148">
        <v>1.0</v>
      </c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</row>
    <row r="50">
      <c r="A50" s="146">
        <v>203.0</v>
      </c>
      <c r="B50" s="146">
        <f>B29/2</f>
        <v>100</v>
      </c>
      <c r="C50" s="147"/>
      <c r="D50" s="147">
        <v>11.0</v>
      </c>
      <c r="E50" s="147"/>
      <c r="F50" s="146"/>
      <c r="G50" s="146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6"/>
      <c r="S50" s="146"/>
      <c r="T50" s="146"/>
      <c r="U50" s="146"/>
      <c r="V50" s="146"/>
      <c r="W50" s="146"/>
      <c r="X50" s="146">
        <v>0.11</v>
      </c>
      <c r="Y50" s="148">
        <v>1.0</v>
      </c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</row>
    <row r="51">
      <c r="A51" s="146">
        <v>203.0</v>
      </c>
      <c r="B51" s="146">
        <v>35.0</v>
      </c>
      <c r="C51" s="146"/>
      <c r="D51" s="146">
        <v>20.0</v>
      </c>
      <c r="E51" s="146"/>
      <c r="F51" s="147"/>
      <c r="G51" s="146"/>
      <c r="H51" s="146"/>
      <c r="I51" s="147"/>
      <c r="J51" s="147"/>
      <c r="K51" s="147"/>
      <c r="L51" s="147"/>
      <c r="M51" s="147"/>
      <c r="N51" s="147"/>
      <c r="O51" s="147"/>
      <c r="P51" s="147"/>
      <c r="Q51" s="147"/>
      <c r="R51" s="146"/>
      <c r="S51" s="146"/>
      <c r="T51" s="146"/>
      <c r="U51" s="146"/>
      <c r="V51" s="146"/>
      <c r="W51" s="146"/>
      <c r="X51" s="146">
        <v>0.11</v>
      </c>
      <c r="Y51" s="148">
        <v>2.0</v>
      </c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</row>
    <row r="52">
      <c r="A52" s="146">
        <v>203.0</v>
      </c>
      <c r="B52" s="146">
        <f>B31/2</f>
        <v>10</v>
      </c>
      <c r="C52" s="147"/>
      <c r="D52" s="147">
        <v>38.0</v>
      </c>
      <c r="E52" s="147"/>
      <c r="F52" s="147"/>
      <c r="G52" s="146"/>
      <c r="H52" s="147"/>
      <c r="I52" s="146"/>
      <c r="J52" s="147"/>
      <c r="K52" s="147"/>
      <c r="L52" s="147"/>
      <c r="M52" s="147"/>
      <c r="N52" s="147"/>
      <c r="O52" s="147"/>
      <c r="P52" s="147"/>
      <c r="Q52" s="146"/>
      <c r="R52" s="146"/>
      <c r="S52" s="146"/>
      <c r="T52" s="146"/>
      <c r="U52" s="146"/>
      <c r="V52" s="146"/>
      <c r="W52" s="146"/>
      <c r="X52" s="146">
        <v>0.11</v>
      </c>
      <c r="Y52" s="148">
        <v>3.0</v>
      </c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</row>
    <row r="53">
      <c r="A53" s="146">
        <v>203.0</v>
      </c>
      <c r="B53" s="146">
        <v>5.0</v>
      </c>
      <c r="C53" s="146"/>
      <c r="D53" s="146">
        <v>70.0</v>
      </c>
      <c r="E53" s="146"/>
      <c r="F53" s="147"/>
      <c r="G53" s="146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6"/>
      <c r="S53" s="146"/>
      <c r="T53" s="146"/>
      <c r="U53" s="146"/>
      <c r="V53" s="146"/>
      <c r="W53" s="146"/>
      <c r="X53" s="146">
        <v>0.11</v>
      </c>
      <c r="Y53" s="148">
        <v>4.0</v>
      </c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</row>
    <row r="54">
      <c r="A54" s="146">
        <v>203.0</v>
      </c>
      <c r="B54" s="146">
        <v>550.0</v>
      </c>
      <c r="C54" s="147"/>
      <c r="D54" s="147"/>
      <c r="E54" s="146">
        <v>8.0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6"/>
      <c r="S54" s="146"/>
      <c r="T54" s="146"/>
      <c r="U54" s="146"/>
      <c r="V54" s="146"/>
      <c r="W54" s="146"/>
      <c r="X54" s="146">
        <v>0.11</v>
      </c>
      <c r="Y54" s="148">
        <v>1.0</v>
      </c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</row>
    <row r="55">
      <c r="A55" s="146">
        <v>203.0</v>
      </c>
      <c r="B55" s="146">
        <f>B34/2</f>
        <v>100</v>
      </c>
      <c r="C55" s="147"/>
      <c r="D55" s="147"/>
      <c r="E55" s="146">
        <v>12.0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6"/>
      <c r="Q55" s="147"/>
      <c r="R55" s="146"/>
      <c r="S55" s="146"/>
      <c r="T55" s="146"/>
      <c r="U55" s="146"/>
      <c r="V55" s="146"/>
      <c r="W55" s="146"/>
      <c r="X55" s="146">
        <v>0.11</v>
      </c>
      <c r="Y55" s="148">
        <v>1.0</v>
      </c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</row>
    <row r="56">
      <c r="A56" s="146">
        <v>203.0</v>
      </c>
      <c r="B56" s="146">
        <v>35.0</v>
      </c>
      <c r="C56" s="146"/>
      <c r="D56" s="146"/>
      <c r="E56" s="146">
        <v>21.0</v>
      </c>
      <c r="F56" s="147"/>
      <c r="G56" s="146"/>
      <c r="H56" s="147"/>
      <c r="I56" s="147"/>
      <c r="J56" s="147"/>
      <c r="K56" s="147"/>
      <c r="L56" s="147"/>
      <c r="M56" s="147"/>
      <c r="N56" s="146"/>
      <c r="O56" s="146"/>
      <c r="P56" s="147"/>
      <c r="Q56" s="147"/>
      <c r="R56" s="146"/>
      <c r="S56" s="146"/>
      <c r="T56" s="146"/>
      <c r="U56" s="146"/>
      <c r="V56" s="146"/>
      <c r="W56" s="146"/>
      <c r="X56" s="146">
        <v>0.11</v>
      </c>
      <c r="Y56" s="148">
        <v>2.0</v>
      </c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</row>
    <row r="57">
      <c r="A57" s="146">
        <v>203.0</v>
      </c>
      <c r="B57" s="146">
        <f>B36/2</f>
        <v>10</v>
      </c>
      <c r="C57" s="147"/>
      <c r="D57" s="147"/>
      <c r="E57" s="146">
        <v>40.0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6"/>
      <c r="S57" s="146"/>
      <c r="T57" s="146"/>
      <c r="U57" s="146"/>
      <c r="V57" s="146"/>
      <c r="W57" s="146"/>
      <c r="X57" s="146">
        <v>0.11</v>
      </c>
      <c r="Y57" s="148">
        <v>3.0</v>
      </c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</row>
    <row r="58">
      <c r="A58" s="146">
        <v>203.0</v>
      </c>
      <c r="B58" s="146">
        <v>5.0</v>
      </c>
      <c r="C58" s="147"/>
      <c r="D58" s="147"/>
      <c r="E58" s="146">
        <v>74.0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6"/>
      <c r="S58" s="146"/>
      <c r="T58" s="146"/>
      <c r="U58" s="146"/>
      <c r="V58" s="146"/>
      <c r="W58" s="146"/>
      <c r="X58" s="146">
        <v>0.11</v>
      </c>
      <c r="Y58" s="148">
        <v>4.0</v>
      </c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</row>
    <row r="59">
      <c r="A59" s="146">
        <v>203.0</v>
      </c>
      <c r="B59" s="146">
        <v>550.0</v>
      </c>
      <c r="C59" s="147"/>
      <c r="D59" s="147"/>
      <c r="E59" s="147"/>
      <c r="F59" s="147"/>
      <c r="G59" s="146"/>
      <c r="H59" s="147">
        <v>50.0</v>
      </c>
      <c r="I59" s="147"/>
      <c r="J59" s="146"/>
      <c r="K59" s="147"/>
      <c r="L59" s="146"/>
      <c r="M59" s="147"/>
      <c r="N59" s="147"/>
      <c r="O59" s="147"/>
      <c r="P59" s="147"/>
      <c r="Q59" s="147"/>
      <c r="R59" s="146"/>
      <c r="S59" s="146"/>
      <c r="T59" s="146"/>
      <c r="U59" s="146"/>
      <c r="V59" s="146"/>
      <c r="W59" s="146"/>
      <c r="X59" s="146">
        <v>0.11</v>
      </c>
      <c r="Y59" s="148">
        <v>1.0</v>
      </c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</row>
    <row r="60">
      <c r="A60" s="146">
        <v>203.0</v>
      </c>
      <c r="B60" s="146">
        <f>B39/2</f>
        <v>100</v>
      </c>
      <c r="C60" s="147"/>
      <c r="D60" s="147"/>
      <c r="E60" s="147"/>
      <c r="F60" s="147"/>
      <c r="G60" s="146"/>
      <c r="H60" s="147">
        <v>75.0</v>
      </c>
      <c r="I60" s="147"/>
      <c r="J60" s="146"/>
      <c r="K60" s="147"/>
      <c r="L60" s="146"/>
      <c r="M60" s="147"/>
      <c r="N60" s="147"/>
      <c r="O60" s="147"/>
      <c r="P60" s="147"/>
      <c r="Q60" s="147"/>
      <c r="R60" s="146"/>
      <c r="S60" s="146"/>
      <c r="T60" s="146"/>
      <c r="U60" s="146"/>
      <c r="V60" s="146"/>
      <c r="W60" s="146"/>
      <c r="X60" s="146">
        <v>0.11</v>
      </c>
      <c r="Y60" s="148">
        <v>1.0</v>
      </c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</row>
    <row r="61">
      <c r="A61" s="146">
        <v>203.0</v>
      </c>
      <c r="B61" s="146">
        <v>35.0</v>
      </c>
      <c r="C61" s="147"/>
      <c r="D61" s="147"/>
      <c r="E61" s="147"/>
      <c r="F61" s="147"/>
      <c r="G61" s="146"/>
      <c r="H61" s="147">
        <v>135.0</v>
      </c>
      <c r="I61" s="147"/>
      <c r="J61" s="146"/>
      <c r="K61" s="147"/>
      <c r="L61" s="146"/>
      <c r="M61" s="147"/>
      <c r="N61" s="147"/>
      <c r="O61" s="147"/>
      <c r="P61" s="147"/>
      <c r="Q61" s="147"/>
      <c r="R61" s="146"/>
      <c r="S61" s="146"/>
      <c r="T61" s="146"/>
      <c r="U61" s="146"/>
      <c r="V61" s="146"/>
      <c r="W61" s="146"/>
      <c r="X61" s="146">
        <v>0.11</v>
      </c>
      <c r="Y61" s="148">
        <v>2.0</v>
      </c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</row>
    <row r="62">
      <c r="A62" s="146">
        <v>203.0</v>
      </c>
      <c r="B62" s="146">
        <v>10.0</v>
      </c>
      <c r="C62" s="147"/>
      <c r="D62" s="147"/>
      <c r="E62" s="147"/>
      <c r="F62" s="147"/>
      <c r="G62" s="146"/>
      <c r="H62" s="147">
        <v>260.0</v>
      </c>
      <c r="I62" s="147"/>
      <c r="J62" s="146"/>
      <c r="K62" s="147"/>
      <c r="L62" s="146"/>
      <c r="M62" s="147"/>
      <c r="N62" s="147"/>
      <c r="O62" s="147"/>
      <c r="P62" s="147"/>
      <c r="Q62" s="147"/>
      <c r="R62" s="146"/>
      <c r="S62" s="146"/>
      <c r="T62" s="146"/>
      <c r="U62" s="146"/>
      <c r="V62" s="146"/>
      <c r="W62" s="146"/>
      <c r="X62" s="146">
        <v>0.11</v>
      </c>
      <c r="Y62" s="148">
        <v>3.0</v>
      </c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</row>
    <row r="63">
      <c r="A63" s="146">
        <v>203.0</v>
      </c>
      <c r="B63" s="146">
        <v>5.0</v>
      </c>
      <c r="C63" s="147"/>
      <c r="D63" s="147"/>
      <c r="E63" s="147"/>
      <c r="F63" s="147"/>
      <c r="G63" s="146"/>
      <c r="H63" s="147">
        <v>450.0</v>
      </c>
      <c r="I63" s="147"/>
      <c r="J63" s="146"/>
      <c r="K63" s="147"/>
      <c r="L63" s="146"/>
      <c r="M63" s="147"/>
      <c r="N63" s="147"/>
      <c r="O63" s="147"/>
      <c r="P63" s="147"/>
      <c r="Q63" s="147"/>
      <c r="R63" s="146"/>
      <c r="S63" s="146"/>
      <c r="T63" s="146"/>
      <c r="U63" s="146"/>
      <c r="V63" s="146"/>
      <c r="W63" s="146"/>
      <c r="X63" s="146">
        <v>0.11</v>
      </c>
      <c r="Y63" s="148">
        <v>4.0</v>
      </c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</row>
    <row r="64">
      <c r="A64" s="146">
        <v>203.0</v>
      </c>
      <c r="B64" s="146">
        <v>550.0</v>
      </c>
      <c r="C64" s="147"/>
      <c r="D64" s="147"/>
      <c r="E64" s="147"/>
      <c r="F64" s="147"/>
      <c r="G64" s="146"/>
      <c r="H64" s="147"/>
      <c r="I64" s="147"/>
      <c r="J64" s="146"/>
      <c r="K64" s="147"/>
      <c r="L64" s="146"/>
      <c r="M64" s="147"/>
      <c r="N64" s="147"/>
      <c r="O64" s="146">
        <v>0.02</v>
      </c>
      <c r="P64" s="147"/>
      <c r="Q64" s="147"/>
      <c r="R64" s="146"/>
      <c r="S64" s="146"/>
      <c r="T64" s="146"/>
      <c r="U64" s="146"/>
      <c r="V64" s="146"/>
      <c r="W64" s="146"/>
      <c r="X64" s="146">
        <v>0.11</v>
      </c>
      <c r="Y64" s="148">
        <v>1.0</v>
      </c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</row>
    <row r="65">
      <c r="A65" s="146">
        <v>203.0</v>
      </c>
      <c r="B65" s="146">
        <f>B44/2</f>
        <v>200</v>
      </c>
      <c r="C65" s="147"/>
      <c r="D65" s="147"/>
      <c r="E65" s="147"/>
      <c r="F65" s="147"/>
      <c r="G65" s="146"/>
      <c r="H65" s="147"/>
      <c r="I65" s="147"/>
      <c r="J65" s="146"/>
      <c r="K65" s="147"/>
      <c r="L65" s="146"/>
      <c r="M65" s="147"/>
      <c r="N65" s="147"/>
      <c r="O65" s="146">
        <v>0.04</v>
      </c>
      <c r="P65" s="147"/>
      <c r="Q65" s="147"/>
      <c r="R65" s="146"/>
      <c r="S65" s="146"/>
      <c r="T65" s="146"/>
      <c r="U65" s="146"/>
      <c r="V65" s="146"/>
      <c r="W65" s="146"/>
      <c r="X65" s="146">
        <v>0.11</v>
      </c>
      <c r="Y65" s="148">
        <v>1.0</v>
      </c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</row>
    <row r="66">
      <c r="A66" s="146">
        <v>203.0</v>
      </c>
      <c r="B66" s="146">
        <v>35.0</v>
      </c>
      <c r="C66" s="147"/>
      <c r="D66" s="147"/>
      <c r="E66" s="147"/>
      <c r="F66" s="147"/>
      <c r="G66" s="146"/>
      <c r="H66" s="147"/>
      <c r="I66" s="147"/>
      <c r="J66" s="146"/>
      <c r="K66" s="147"/>
      <c r="L66" s="146"/>
      <c r="M66" s="147"/>
      <c r="N66" s="147"/>
      <c r="O66" s="146">
        <v>0.08</v>
      </c>
      <c r="P66" s="147"/>
      <c r="Q66" s="147"/>
      <c r="R66" s="146"/>
      <c r="S66" s="146"/>
      <c r="T66" s="146"/>
      <c r="U66" s="146"/>
      <c r="V66" s="146"/>
      <c r="W66" s="146"/>
      <c r="X66" s="146">
        <v>0.11</v>
      </c>
      <c r="Y66" s="148">
        <v>2.0</v>
      </c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</row>
    <row r="67">
      <c r="A67" s="146">
        <v>203.0</v>
      </c>
      <c r="B67" s="146">
        <v>10.0</v>
      </c>
      <c r="C67" s="147"/>
      <c r="D67" s="147"/>
      <c r="E67" s="147"/>
      <c r="F67" s="147"/>
      <c r="G67" s="146"/>
      <c r="H67" s="147"/>
      <c r="I67" s="147"/>
      <c r="J67" s="146"/>
      <c r="K67" s="147"/>
      <c r="L67" s="146"/>
      <c r="M67" s="147"/>
      <c r="N67" s="147"/>
      <c r="O67" s="146">
        <v>0.15</v>
      </c>
      <c r="P67" s="147"/>
      <c r="Q67" s="147"/>
      <c r="R67" s="146"/>
      <c r="S67" s="146"/>
      <c r="T67" s="146"/>
      <c r="U67" s="146"/>
      <c r="V67" s="146"/>
      <c r="W67" s="146"/>
      <c r="X67" s="146">
        <v>0.11</v>
      </c>
      <c r="Y67" s="148">
        <v>3.0</v>
      </c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</row>
    <row r="68">
      <c r="A68" s="146">
        <v>203.0</v>
      </c>
      <c r="B68" s="146">
        <v>5.0</v>
      </c>
      <c r="C68" s="147"/>
      <c r="D68" s="147"/>
      <c r="E68" s="147"/>
      <c r="F68" s="147"/>
      <c r="G68" s="146"/>
      <c r="H68" s="147"/>
      <c r="I68" s="147"/>
      <c r="J68" s="146"/>
      <c r="K68" s="147"/>
      <c r="L68" s="146"/>
      <c r="M68" s="147"/>
      <c r="N68" s="147"/>
      <c r="O68" s="146">
        <v>0.25</v>
      </c>
      <c r="P68" s="147"/>
      <c r="Q68" s="147"/>
      <c r="R68" s="146"/>
      <c r="S68" s="146"/>
      <c r="T68" s="146"/>
      <c r="U68" s="146"/>
      <c r="V68" s="146"/>
      <c r="W68" s="146"/>
      <c r="X68" s="146">
        <v>0.11</v>
      </c>
      <c r="Y68" s="148">
        <v>4.0</v>
      </c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</row>
    <row r="69">
      <c r="A69" s="146">
        <v>203.0</v>
      </c>
      <c r="B69" s="146">
        <v>550.0</v>
      </c>
      <c r="C69" s="147"/>
      <c r="D69" s="147"/>
      <c r="E69" s="147"/>
      <c r="F69" s="147"/>
      <c r="G69" s="146"/>
      <c r="H69" s="147"/>
      <c r="I69" s="147"/>
      <c r="J69" s="146">
        <v>0.01</v>
      </c>
      <c r="K69" s="147"/>
      <c r="L69" s="146"/>
      <c r="M69" s="147"/>
      <c r="N69" s="147"/>
      <c r="O69" s="146"/>
      <c r="P69" s="147"/>
      <c r="Q69" s="147"/>
      <c r="R69" s="146"/>
      <c r="S69" s="146"/>
      <c r="T69" s="146"/>
      <c r="U69" s="146"/>
      <c r="V69" s="146"/>
      <c r="W69" s="146"/>
      <c r="X69" s="146">
        <v>0.11</v>
      </c>
      <c r="Y69" s="148">
        <v>1.0</v>
      </c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>
      <c r="A70" s="146">
        <v>203.0</v>
      </c>
      <c r="B70" s="146">
        <f>B49/2</f>
        <v>275</v>
      </c>
      <c r="C70" s="147"/>
      <c r="D70" s="147"/>
      <c r="E70" s="147"/>
      <c r="F70" s="147"/>
      <c r="G70" s="146"/>
      <c r="H70" s="147"/>
      <c r="I70" s="147"/>
      <c r="J70" s="146">
        <v>0.02</v>
      </c>
      <c r="K70" s="147"/>
      <c r="L70" s="146"/>
      <c r="M70" s="147"/>
      <c r="N70" s="147"/>
      <c r="O70" s="146"/>
      <c r="P70" s="147"/>
      <c r="Q70" s="147"/>
      <c r="R70" s="146"/>
      <c r="S70" s="146"/>
      <c r="T70" s="146"/>
      <c r="U70" s="146"/>
      <c r="V70" s="146"/>
      <c r="W70" s="146"/>
      <c r="X70" s="146">
        <v>0.11</v>
      </c>
      <c r="Y70" s="148">
        <v>1.0</v>
      </c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>
      <c r="A71" s="146">
        <v>203.0</v>
      </c>
      <c r="B71" s="146">
        <v>35.0</v>
      </c>
      <c r="C71" s="147"/>
      <c r="D71" s="147"/>
      <c r="E71" s="147"/>
      <c r="F71" s="147"/>
      <c r="G71" s="146"/>
      <c r="H71" s="147"/>
      <c r="I71" s="147"/>
      <c r="J71" s="146">
        <v>0.04</v>
      </c>
      <c r="K71" s="147"/>
      <c r="L71" s="146"/>
      <c r="M71" s="147"/>
      <c r="N71" s="147"/>
      <c r="O71" s="146"/>
      <c r="P71" s="147"/>
      <c r="Q71" s="147"/>
      <c r="R71" s="146"/>
      <c r="S71" s="146"/>
      <c r="T71" s="146"/>
      <c r="U71" s="146"/>
      <c r="V71" s="146"/>
      <c r="W71" s="146"/>
      <c r="X71" s="146">
        <v>0.11</v>
      </c>
      <c r="Y71" s="148">
        <v>2.0</v>
      </c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>
      <c r="A72" s="146">
        <v>203.0</v>
      </c>
      <c r="B72" s="146">
        <v>10.0</v>
      </c>
      <c r="C72" s="147"/>
      <c r="D72" s="147"/>
      <c r="E72" s="147"/>
      <c r="F72" s="147"/>
      <c r="G72" s="146"/>
      <c r="H72" s="147"/>
      <c r="I72" s="147"/>
      <c r="J72" s="146">
        <v>0.09</v>
      </c>
      <c r="K72" s="147"/>
      <c r="L72" s="146"/>
      <c r="M72" s="147"/>
      <c r="N72" s="147"/>
      <c r="O72" s="146"/>
      <c r="P72" s="147"/>
      <c r="Q72" s="147"/>
      <c r="R72" s="146"/>
      <c r="S72" s="146"/>
      <c r="T72" s="146"/>
      <c r="U72" s="146"/>
      <c r="V72" s="146"/>
      <c r="W72" s="146"/>
      <c r="X72" s="146">
        <v>0.11</v>
      </c>
      <c r="Y72" s="148">
        <v>3.0</v>
      </c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>
      <c r="A73" s="146">
        <v>203.0</v>
      </c>
      <c r="B73" s="146">
        <v>5.0</v>
      </c>
      <c r="C73" s="147"/>
      <c r="D73" s="147"/>
      <c r="E73" s="147"/>
      <c r="F73" s="147"/>
      <c r="G73" s="146"/>
      <c r="H73" s="147"/>
      <c r="I73" s="147"/>
      <c r="J73" s="146">
        <v>0.15</v>
      </c>
      <c r="K73" s="147"/>
      <c r="L73" s="146"/>
      <c r="M73" s="147"/>
      <c r="N73" s="147"/>
      <c r="O73" s="146"/>
      <c r="P73" s="147"/>
      <c r="Q73" s="147"/>
      <c r="R73" s="146"/>
      <c r="S73" s="146"/>
      <c r="T73" s="146"/>
      <c r="U73" s="146"/>
      <c r="V73" s="146"/>
      <c r="W73" s="146"/>
      <c r="X73" s="146">
        <v>0.11</v>
      </c>
      <c r="Y73" s="148">
        <v>4.0</v>
      </c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</row>
    <row r="74">
      <c r="A74" s="146">
        <v>203.0</v>
      </c>
      <c r="B74" s="146">
        <v>550.0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6"/>
      <c r="S74" s="146"/>
      <c r="T74" s="146">
        <v>0.02</v>
      </c>
      <c r="U74" s="146"/>
      <c r="V74" s="146"/>
      <c r="W74" s="146"/>
      <c r="X74" s="146">
        <v>0.11</v>
      </c>
      <c r="Y74" s="148">
        <v>1.0</v>
      </c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</row>
    <row r="75">
      <c r="A75" s="146">
        <v>203.0</v>
      </c>
      <c r="B75" s="146">
        <f>B54/2</f>
        <v>275</v>
      </c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6"/>
      <c r="S75" s="146"/>
      <c r="T75" s="146">
        <v>0.04</v>
      </c>
      <c r="U75" s="146"/>
      <c r="V75" s="146"/>
      <c r="W75" s="146"/>
      <c r="X75" s="146">
        <v>0.11</v>
      </c>
      <c r="Y75" s="148">
        <v>1.0</v>
      </c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</row>
    <row r="76">
      <c r="A76" s="146">
        <v>203.0</v>
      </c>
      <c r="B76" s="146">
        <v>35.0</v>
      </c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6"/>
      <c r="S76" s="146"/>
      <c r="T76" s="146">
        <v>0.08</v>
      </c>
      <c r="U76" s="146"/>
      <c r="V76" s="146"/>
      <c r="W76" s="146"/>
      <c r="X76" s="146">
        <v>0.11</v>
      </c>
      <c r="Y76" s="148">
        <v>2.0</v>
      </c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</row>
    <row r="77">
      <c r="A77" s="146">
        <v>203.0</v>
      </c>
      <c r="B77" s="146">
        <v>10.0</v>
      </c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6"/>
      <c r="S77" s="146"/>
      <c r="T77" s="146">
        <v>0.15</v>
      </c>
      <c r="U77" s="146"/>
      <c r="V77" s="146"/>
      <c r="W77" s="146"/>
      <c r="X77" s="146">
        <v>0.11</v>
      </c>
      <c r="Y77" s="148">
        <v>3.0</v>
      </c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</row>
    <row r="78">
      <c r="A78" s="146">
        <v>203.0</v>
      </c>
      <c r="B78" s="146">
        <v>5.0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6"/>
      <c r="S78" s="146"/>
      <c r="T78" s="146">
        <v>0.25</v>
      </c>
      <c r="U78" s="146"/>
      <c r="V78" s="146"/>
      <c r="W78" s="146"/>
      <c r="X78" s="146">
        <v>0.11</v>
      </c>
      <c r="Y78" s="148">
        <v>4.0</v>
      </c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</row>
    <row r="79">
      <c r="A79" s="145">
        <v>204.0</v>
      </c>
      <c r="B79" s="145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5"/>
      <c r="S79" s="145"/>
      <c r="T79" s="145"/>
      <c r="U79" s="145"/>
      <c r="V79" s="145"/>
      <c r="W79" s="145"/>
      <c r="X79" s="145">
        <v>0.08</v>
      </c>
      <c r="Y79" s="145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5">
        <v>204.0</v>
      </c>
      <c r="B80" s="145">
        <v>650.0</v>
      </c>
      <c r="C80" s="150"/>
      <c r="D80" s="150">
        <v>6.0</v>
      </c>
      <c r="E80" s="150"/>
      <c r="F80" s="150"/>
      <c r="G80" s="145"/>
      <c r="H80" s="150"/>
      <c r="I80" s="150"/>
      <c r="J80" s="145"/>
      <c r="K80" s="150"/>
      <c r="L80" s="145"/>
      <c r="M80" s="150"/>
      <c r="N80" s="150"/>
      <c r="O80" s="150"/>
      <c r="P80" s="150"/>
      <c r="Q80" s="150"/>
      <c r="R80" s="145"/>
      <c r="S80" s="145"/>
      <c r="T80" s="145"/>
      <c r="U80" s="145"/>
      <c r="V80" s="145"/>
      <c r="W80" s="145"/>
      <c r="X80" s="145">
        <v>0.08</v>
      </c>
      <c r="Y80" s="145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5">
        <v>204.0</v>
      </c>
      <c r="B81" s="145">
        <v>150.0</v>
      </c>
      <c r="C81" s="150"/>
      <c r="D81" s="150">
        <v>11.0</v>
      </c>
      <c r="E81" s="150"/>
      <c r="F81" s="145"/>
      <c r="G81" s="145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5"/>
      <c r="S81" s="145"/>
      <c r="T81" s="145"/>
      <c r="U81" s="145"/>
      <c r="V81" s="145"/>
      <c r="W81" s="145"/>
      <c r="X81" s="145">
        <v>0.08</v>
      </c>
      <c r="Y81" s="145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5">
        <v>204.0</v>
      </c>
      <c r="B82" s="145">
        <v>35.0</v>
      </c>
      <c r="C82" s="145"/>
      <c r="D82" s="145">
        <v>20.0</v>
      </c>
      <c r="E82" s="145"/>
      <c r="F82" s="150"/>
      <c r="G82" s="145"/>
      <c r="H82" s="145"/>
      <c r="I82" s="150"/>
      <c r="J82" s="150"/>
      <c r="K82" s="150"/>
      <c r="L82" s="150"/>
      <c r="M82" s="150"/>
      <c r="N82" s="150"/>
      <c r="O82" s="150"/>
      <c r="P82" s="150"/>
      <c r="Q82" s="150"/>
      <c r="R82" s="145"/>
      <c r="S82" s="145"/>
      <c r="T82" s="145"/>
      <c r="U82" s="145"/>
      <c r="V82" s="145"/>
      <c r="W82" s="145"/>
      <c r="X82" s="145">
        <v>0.08</v>
      </c>
      <c r="Y82" s="145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5">
        <v>204.0</v>
      </c>
      <c r="B83" s="145">
        <v>10.0</v>
      </c>
      <c r="C83" s="150"/>
      <c r="D83" s="150">
        <v>38.0</v>
      </c>
      <c r="E83" s="150"/>
      <c r="F83" s="150"/>
      <c r="G83" s="145"/>
      <c r="H83" s="150"/>
      <c r="I83" s="145"/>
      <c r="J83" s="150"/>
      <c r="K83" s="150"/>
      <c r="L83" s="150"/>
      <c r="M83" s="150"/>
      <c r="N83" s="150"/>
      <c r="O83" s="150"/>
      <c r="P83" s="150"/>
      <c r="Q83" s="145"/>
      <c r="R83" s="145"/>
      <c r="S83" s="145"/>
      <c r="T83" s="145"/>
      <c r="U83" s="145"/>
      <c r="V83" s="145"/>
      <c r="W83" s="145"/>
      <c r="X83" s="145">
        <v>0.08</v>
      </c>
      <c r="Y83" s="145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5">
        <v>204.0</v>
      </c>
      <c r="B84" s="145">
        <v>5.0</v>
      </c>
      <c r="C84" s="145"/>
      <c r="D84" s="145">
        <v>70.0</v>
      </c>
      <c r="E84" s="145"/>
      <c r="F84" s="150"/>
      <c r="G84" s="145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5"/>
      <c r="S84" s="145"/>
      <c r="T84" s="145"/>
      <c r="U84" s="145"/>
      <c r="V84" s="145"/>
      <c r="W84" s="145"/>
      <c r="X84" s="145">
        <v>0.08</v>
      </c>
      <c r="Y84" s="145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5">
        <v>204.0</v>
      </c>
      <c r="B85" s="145">
        <v>650.0</v>
      </c>
      <c r="C85" s="150"/>
      <c r="D85" s="150"/>
      <c r="E85" s="145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5"/>
      <c r="S85" s="145"/>
      <c r="T85" s="145"/>
      <c r="U85" s="145"/>
      <c r="V85" s="145"/>
      <c r="W85" s="145"/>
      <c r="X85" s="145">
        <v>0.08</v>
      </c>
      <c r="Y85" s="145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5">
        <v>204.0</v>
      </c>
      <c r="B86" s="145">
        <v>150.0</v>
      </c>
      <c r="C86" s="150"/>
      <c r="D86" s="150"/>
      <c r="E86" s="145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5"/>
      <c r="Q86" s="150"/>
      <c r="R86" s="145"/>
      <c r="S86" s="145"/>
      <c r="T86" s="145"/>
      <c r="U86" s="145"/>
      <c r="V86" s="145"/>
      <c r="W86" s="145"/>
      <c r="X86" s="145">
        <v>0.08</v>
      </c>
      <c r="Y86" s="145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5">
        <v>204.0</v>
      </c>
      <c r="B87" s="145">
        <v>35.0</v>
      </c>
      <c r="C87" s="145"/>
      <c r="D87" s="145"/>
      <c r="E87" s="145">
        <v>21.0</v>
      </c>
      <c r="F87" s="150"/>
      <c r="G87" s="145"/>
      <c r="H87" s="150"/>
      <c r="I87" s="150"/>
      <c r="J87" s="150"/>
      <c r="K87" s="150"/>
      <c r="L87" s="150"/>
      <c r="M87" s="150"/>
      <c r="N87" s="145"/>
      <c r="O87" s="145"/>
      <c r="P87" s="150"/>
      <c r="Q87" s="150"/>
      <c r="R87" s="145"/>
      <c r="S87" s="145"/>
      <c r="T87" s="145"/>
      <c r="U87" s="145"/>
      <c r="V87" s="145"/>
      <c r="W87" s="145"/>
      <c r="X87" s="145">
        <v>0.08</v>
      </c>
      <c r="Y87" s="145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5">
        <v>204.0</v>
      </c>
      <c r="B88" s="145">
        <v>10.0</v>
      </c>
      <c r="C88" s="150"/>
      <c r="D88" s="150"/>
      <c r="E88" s="145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5"/>
      <c r="S88" s="145"/>
      <c r="T88" s="145"/>
      <c r="U88" s="145"/>
      <c r="V88" s="145"/>
      <c r="W88" s="145"/>
      <c r="X88" s="145">
        <v>0.08</v>
      </c>
      <c r="Y88" s="145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5">
        <v>204.0</v>
      </c>
      <c r="B89" s="145">
        <v>5.0</v>
      </c>
      <c r="C89" s="150"/>
      <c r="D89" s="150"/>
      <c r="E89" s="145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5"/>
      <c r="S89" s="145"/>
      <c r="T89" s="145"/>
      <c r="U89" s="145"/>
      <c r="V89" s="145"/>
      <c r="W89" s="145"/>
      <c r="X89" s="145">
        <v>0.08</v>
      </c>
      <c r="Y89" s="145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5">
        <v>204.0</v>
      </c>
      <c r="B90" s="145">
        <v>650.0</v>
      </c>
      <c r="C90" s="150"/>
      <c r="D90" s="150"/>
      <c r="E90" s="150"/>
      <c r="F90" s="150"/>
      <c r="G90" s="145"/>
      <c r="H90" s="150">
        <v>50.0</v>
      </c>
      <c r="I90" s="150"/>
      <c r="J90" s="145"/>
      <c r="K90" s="150"/>
      <c r="L90" s="145"/>
      <c r="M90" s="150"/>
      <c r="N90" s="150"/>
      <c r="O90" s="150"/>
      <c r="P90" s="150"/>
      <c r="Q90" s="150"/>
      <c r="R90" s="145"/>
      <c r="S90" s="145"/>
      <c r="T90" s="145"/>
      <c r="U90" s="145"/>
      <c r="V90" s="145"/>
      <c r="W90" s="145"/>
      <c r="X90" s="145">
        <v>0.08</v>
      </c>
      <c r="Y90" s="145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5">
        <v>204.0</v>
      </c>
      <c r="B91" s="145">
        <v>150.0</v>
      </c>
      <c r="C91" s="150"/>
      <c r="D91" s="150"/>
      <c r="E91" s="150"/>
      <c r="F91" s="150"/>
      <c r="G91" s="145"/>
      <c r="H91" s="150">
        <v>75.0</v>
      </c>
      <c r="I91" s="150"/>
      <c r="J91" s="145"/>
      <c r="K91" s="150"/>
      <c r="L91" s="145"/>
      <c r="M91" s="150"/>
      <c r="N91" s="150"/>
      <c r="O91" s="150"/>
      <c r="P91" s="150"/>
      <c r="Q91" s="150"/>
      <c r="R91" s="145"/>
      <c r="S91" s="145"/>
      <c r="T91" s="145"/>
      <c r="U91" s="145"/>
      <c r="V91" s="145"/>
      <c r="W91" s="145"/>
      <c r="X91" s="145">
        <v>0.08</v>
      </c>
      <c r="Y91" s="145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5">
        <v>204.0</v>
      </c>
      <c r="B92" s="145">
        <v>35.0</v>
      </c>
      <c r="C92" s="150"/>
      <c r="D92" s="150"/>
      <c r="E92" s="150"/>
      <c r="F92" s="150"/>
      <c r="G92" s="145"/>
      <c r="H92" s="150">
        <v>135.0</v>
      </c>
      <c r="I92" s="150"/>
      <c r="J92" s="145"/>
      <c r="K92" s="150"/>
      <c r="L92" s="145"/>
      <c r="M92" s="150"/>
      <c r="N92" s="150"/>
      <c r="O92" s="150"/>
      <c r="P92" s="150"/>
      <c r="Q92" s="150"/>
      <c r="R92" s="145"/>
      <c r="S92" s="145"/>
      <c r="T92" s="145"/>
      <c r="U92" s="145"/>
      <c r="V92" s="145"/>
      <c r="W92" s="145"/>
      <c r="X92" s="145">
        <v>0.08</v>
      </c>
      <c r="Y92" s="145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5">
        <v>204.0</v>
      </c>
      <c r="B93" s="145">
        <v>10.0</v>
      </c>
      <c r="C93" s="150"/>
      <c r="D93" s="150"/>
      <c r="E93" s="150"/>
      <c r="F93" s="150"/>
      <c r="G93" s="145"/>
      <c r="H93" s="150">
        <v>260.0</v>
      </c>
      <c r="I93" s="150"/>
      <c r="J93" s="145"/>
      <c r="K93" s="150"/>
      <c r="L93" s="145"/>
      <c r="M93" s="150"/>
      <c r="N93" s="150"/>
      <c r="O93" s="150"/>
      <c r="P93" s="150"/>
      <c r="Q93" s="150"/>
      <c r="R93" s="145"/>
      <c r="S93" s="145"/>
      <c r="T93" s="145"/>
      <c r="U93" s="145"/>
      <c r="V93" s="145"/>
      <c r="W93" s="145"/>
      <c r="X93" s="145">
        <v>0.08</v>
      </c>
      <c r="Y93" s="145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5">
        <v>204.0</v>
      </c>
      <c r="B94" s="145">
        <v>5.0</v>
      </c>
      <c r="C94" s="150"/>
      <c r="D94" s="150"/>
      <c r="E94" s="150"/>
      <c r="F94" s="150"/>
      <c r="G94" s="145"/>
      <c r="H94" s="150">
        <v>450.0</v>
      </c>
      <c r="I94" s="150"/>
      <c r="J94" s="145"/>
      <c r="K94" s="150"/>
      <c r="L94" s="145"/>
      <c r="M94" s="150"/>
      <c r="N94" s="150"/>
      <c r="O94" s="150"/>
      <c r="P94" s="150"/>
      <c r="Q94" s="150"/>
      <c r="R94" s="145"/>
      <c r="S94" s="145"/>
      <c r="T94" s="145"/>
      <c r="U94" s="145"/>
      <c r="V94" s="145"/>
      <c r="W94" s="145"/>
      <c r="X94" s="145">
        <v>0.08</v>
      </c>
      <c r="Y94" s="145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5">
        <v>204.0</v>
      </c>
      <c r="B95" s="145">
        <v>650.0</v>
      </c>
      <c r="C95" s="150"/>
      <c r="D95" s="150"/>
      <c r="E95" s="150"/>
      <c r="F95" s="150"/>
      <c r="G95" s="145"/>
      <c r="H95" s="150"/>
      <c r="I95" s="150"/>
      <c r="J95" s="145"/>
      <c r="K95" s="150"/>
      <c r="L95" s="145"/>
      <c r="M95" s="150"/>
      <c r="N95" s="150"/>
      <c r="O95" s="145">
        <v>0.02</v>
      </c>
      <c r="P95" s="150"/>
      <c r="Q95" s="150"/>
      <c r="R95" s="145"/>
      <c r="S95" s="145"/>
      <c r="T95" s="145"/>
      <c r="U95" s="145"/>
      <c r="V95" s="145"/>
      <c r="W95" s="145"/>
      <c r="X95" s="145">
        <v>0.08</v>
      </c>
      <c r="Y95" s="145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5">
        <v>204.0</v>
      </c>
      <c r="B96" s="145">
        <v>150.0</v>
      </c>
      <c r="C96" s="150"/>
      <c r="D96" s="150"/>
      <c r="E96" s="150"/>
      <c r="F96" s="150"/>
      <c r="G96" s="145"/>
      <c r="H96" s="150"/>
      <c r="I96" s="150"/>
      <c r="J96" s="145"/>
      <c r="K96" s="150"/>
      <c r="L96" s="145"/>
      <c r="M96" s="150"/>
      <c r="N96" s="150"/>
      <c r="O96" s="145">
        <v>0.04</v>
      </c>
      <c r="P96" s="150"/>
      <c r="Q96" s="150"/>
      <c r="R96" s="145"/>
      <c r="S96" s="145"/>
      <c r="T96" s="145"/>
      <c r="U96" s="145"/>
      <c r="V96" s="145"/>
      <c r="W96" s="145"/>
      <c r="X96" s="145">
        <v>0.08</v>
      </c>
      <c r="Y96" s="145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5">
        <v>204.0</v>
      </c>
      <c r="B97" s="145">
        <v>35.0</v>
      </c>
      <c r="C97" s="150"/>
      <c r="D97" s="150"/>
      <c r="E97" s="150"/>
      <c r="F97" s="150"/>
      <c r="G97" s="145"/>
      <c r="H97" s="150"/>
      <c r="I97" s="150"/>
      <c r="J97" s="145"/>
      <c r="K97" s="150"/>
      <c r="L97" s="145"/>
      <c r="M97" s="150"/>
      <c r="N97" s="150"/>
      <c r="O97" s="145">
        <v>0.08</v>
      </c>
      <c r="P97" s="150"/>
      <c r="Q97" s="150"/>
      <c r="R97" s="145"/>
      <c r="S97" s="145"/>
      <c r="T97" s="145"/>
      <c r="U97" s="145"/>
      <c r="V97" s="145"/>
      <c r="W97" s="145"/>
      <c r="X97" s="145">
        <v>0.08</v>
      </c>
      <c r="Y97" s="145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5">
        <v>204.0</v>
      </c>
      <c r="B98" s="145">
        <v>10.0</v>
      </c>
      <c r="C98" s="150"/>
      <c r="D98" s="150"/>
      <c r="E98" s="150"/>
      <c r="F98" s="150"/>
      <c r="G98" s="145"/>
      <c r="H98" s="150"/>
      <c r="I98" s="150"/>
      <c r="J98" s="145"/>
      <c r="K98" s="150"/>
      <c r="L98" s="145"/>
      <c r="M98" s="150"/>
      <c r="N98" s="150"/>
      <c r="O98" s="145">
        <v>0.15</v>
      </c>
      <c r="P98" s="150"/>
      <c r="Q98" s="150"/>
      <c r="R98" s="145"/>
      <c r="S98" s="145"/>
      <c r="T98" s="145"/>
      <c r="U98" s="145"/>
      <c r="V98" s="145"/>
      <c r="W98" s="145"/>
      <c r="X98" s="145">
        <v>0.08</v>
      </c>
      <c r="Y98" s="145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5">
        <v>204.0</v>
      </c>
      <c r="B99" s="145">
        <v>5.0</v>
      </c>
      <c r="C99" s="150"/>
      <c r="D99" s="150"/>
      <c r="E99" s="150"/>
      <c r="F99" s="150"/>
      <c r="G99" s="145"/>
      <c r="H99" s="150"/>
      <c r="I99" s="150"/>
      <c r="J99" s="145"/>
      <c r="K99" s="150"/>
      <c r="L99" s="145"/>
      <c r="M99" s="150"/>
      <c r="N99" s="150"/>
      <c r="O99" s="145">
        <v>0.25</v>
      </c>
      <c r="P99" s="150"/>
      <c r="Q99" s="150"/>
      <c r="R99" s="145"/>
      <c r="S99" s="145"/>
      <c r="T99" s="145"/>
      <c r="U99" s="145"/>
      <c r="V99" s="145"/>
      <c r="W99" s="145"/>
      <c r="X99" s="145">
        <v>0.08</v>
      </c>
      <c r="Y99" s="145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5">
        <v>204.0</v>
      </c>
      <c r="B100" s="145">
        <v>650.0</v>
      </c>
      <c r="C100" s="150"/>
      <c r="D100" s="150"/>
      <c r="E100" s="150"/>
      <c r="F100" s="150"/>
      <c r="G100" s="145"/>
      <c r="H100" s="150"/>
      <c r="I100" s="150"/>
      <c r="J100" s="145">
        <v>0.01</v>
      </c>
      <c r="K100" s="150"/>
      <c r="L100" s="145"/>
      <c r="M100" s="150"/>
      <c r="N100" s="150"/>
      <c r="O100" s="145"/>
      <c r="P100" s="150"/>
      <c r="Q100" s="150"/>
      <c r="R100" s="145"/>
      <c r="S100" s="145"/>
      <c r="T100" s="145"/>
      <c r="U100" s="145"/>
      <c r="V100" s="145"/>
      <c r="W100" s="145"/>
      <c r="X100" s="145">
        <v>0.08</v>
      </c>
      <c r="Y100" s="145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5">
        <v>204.0</v>
      </c>
      <c r="B101" s="145">
        <v>150.0</v>
      </c>
      <c r="C101" s="150"/>
      <c r="D101" s="150"/>
      <c r="E101" s="150"/>
      <c r="F101" s="150"/>
      <c r="G101" s="145"/>
      <c r="H101" s="150"/>
      <c r="I101" s="150"/>
      <c r="J101" s="145">
        <v>0.02</v>
      </c>
      <c r="K101" s="150"/>
      <c r="L101" s="145"/>
      <c r="M101" s="150"/>
      <c r="N101" s="150"/>
      <c r="O101" s="145"/>
      <c r="P101" s="150"/>
      <c r="Q101" s="150"/>
      <c r="R101" s="145"/>
      <c r="S101" s="145"/>
      <c r="T101" s="145"/>
      <c r="U101" s="145"/>
      <c r="V101" s="145"/>
      <c r="W101" s="145"/>
      <c r="X101" s="145">
        <v>0.08</v>
      </c>
      <c r="Y101" s="145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5">
        <v>204.0</v>
      </c>
      <c r="B102" s="145">
        <v>35.0</v>
      </c>
      <c r="C102" s="150"/>
      <c r="D102" s="150"/>
      <c r="E102" s="150"/>
      <c r="F102" s="150"/>
      <c r="G102" s="145"/>
      <c r="H102" s="150"/>
      <c r="I102" s="150"/>
      <c r="J102" s="145">
        <v>0.04</v>
      </c>
      <c r="K102" s="150"/>
      <c r="L102" s="145"/>
      <c r="M102" s="150"/>
      <c r="N102" s="150"/>
      <c r="O102" s="145"/>
      <c r="P102" s="150"/>
      <c r="Q102" s="150"/>
      <c r="R102" s="145"/>
      <c r="S102" s="145"/>
      <c r="T102" s="145"/>
      <c r="U102" s="145"/>
      <c r="V102" s="145"/>
      <c r="W102" s="145"/>
      <c r="X102" s="145">
        <v>0.08</v>
      </c>
      <c r="Y102" s="145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5">
        <v>204.0</v>
      </c>
      <c r="B103" s="145">
        <v>10.0</v>
      </c>
      <c r="C103" s="150"/>
      <c r="D103" s="150"/>
      <c r="E103" s="150"/>
      <c r="F103" s="150"/>
      <c r="G103" s="145"/>
      <c r="H103" s="150"/>
      <c r="I103" s="150"/>
      <c r="J103" s="145">
        <v>0.09</v>
      </c>
      <c r="K103" s="150"/>
      <c r="L103" s="145"/>
      <c r="M103" s="150"/>
      <c r="N103" s="150"/>
      <c r="O103" s="145"/>
      <c r="P103" s="150"/>
      <c r="Q103" s="150"/>
      <c r="R103" s="145"/>
      <c r="S103" s="145"/>
      <c r="T103" s="145"/>
      <c r="U103" s="145"/>
      <c r="V103" s="145"/>
      <c r="W103" s="145"/>
      <c r="X103" s="145">
        <v>0.08</v>
      </c>
      <c r="Y103" s="145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5">
        <v>204.0</v>
      </c>
      <c r="B104" s="145">
        <v>5.0</v>
      </c>
      <c r="C104" s="150"/>
      <c r="D104" s="150"/>
      <c r="E104" s="150"/>
      <c r="F104" s="150"/>
      <c r="G104" s="145"/>
      <c r="H104" s="150"/>
      <c r="I104" s="150"/>
      <c r="J104" s="145">
        <v>0.15</v>
      </c>
      <c r="K104" s="150"/>
      <c r="L104" s="145"/>
      <c r="M104" s="150"/>
      <c r="N104" s="150"/>
      <c r="O104" s="145"/>
      <c r="P104" s="150"/>
      <c r="Q104" s="150"/>
      <c r="R104" s="145"/>
      <c r="S104" s="145"/>
      <c r="T104" s="145"/>
      <c r="U104" s="145"/>
      <c r="V104" s="145"/>
      <c r="W104" s="145"/>
      <c r="X104" s="145">
        <v>0.08</v>
      </c>
      <c r="Y104" s="145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5">
        <v>204.0</v>
      </c>
      <c r="B105" s="145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5"/>
      <c r="S105" s="145"/>
      <c r="T105" s="145">
        <v>0.02</v>
      </c>
      <c r="U105" s="145"/>
      <c r="V105" s="145"/>
      <c r="W105" s="145"/>
      <c r="X105" s="145">
        <v>0.08</v>
      </c>
      <c r="Y105" s="145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5">
        <v>204.0</v>
      </c>
      <c r="B106" s="145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5"/>
      <c r="S106" s="145"/>
      <c r="T106" s="145">
        <v>0.04</v>
      </c>
      <c r="U106" s="145"/>
      <c r="V106" s="145"/>
      <c r="W106" s="145"/>
      <c r="X106" s="145">
        <v>0.08</v>
      </c>
      <c r="Y106" s="145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5">
        <v>204.0</v>
      </c>
      <c r="B107" s="145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5"/>
      <c r="S107" s="145"/>
      <c r="T107" s="145">
        <v>0.08</v>
      </c>
      <c r="U107" s="145"/>
      <c r="V107" s="145"/>
      <c r="W107" s="145"/>
      <c r="X107" s="145">
        <v>0.08</v>
      </c>
      <c r="Y107" s="145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5">
        <v>204.0</v>
      </c>
      <c r="B108" s="145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5"/>
      <c r="S108" s="145"/>
      <c r="T108" s="145">
        <v>0.15</v>
      </c>
      <c r="U108" s="145"/>
      <c r="V108" s="145"/>
      <c r="W108" s="145"/>
      <c r="X108" s="145">
        <v>0.08</v>
      </c>
      <c r="Y108" s="145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5">
        <v>204.0</v>
      </c>
      <c r="B109" s="145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5"/>
      <c r="S109" s="145"/>
      <c r="T109" s="145">
        <v>0.25</v>
      </c>
      <c r="U109" s="145"/>
      <c r="V109" s="145"/>
      <c r="W109" s="145"/>
      <c r="X109" s="145">
        <v>0.08</v>
      </c>
      <c r="Y109" s="145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5">
        <v>204.0</v>
      </c>
      <c r="B110" s="145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5"/>
      <c r="S110" s="145"/>
      <c r="T110" s="145"/>
      <c r="U110" s="145">
        <v>10.0</v>
      </c>
      <c r="V110" s="145"/>
      <c r="W110" s="145"/>
      <c r="X110" s="145">
        <v>0.08</v>
      </c>
      <c r="Y110" s="145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5">
        <v>204.0</v>
      </c>
      <c r="B111" s="145">
        <v>150.0</v>
      </c>
      <c r="C111" s="150"/>
      <c r="D111" s="150"/>
      <c r="E111" s="150"/>
      <c r="F111" s="150"/>
      <c r="G111" s="145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5"/>
      <c r="S111" s="145"/>
      <c r="T111" s="145"/>
      <c r="U111" s="145">
        <v>25.0</v>
      </c>
      <c r="V111" s="145"/>
      <c r="W111" s="145"/>
      <c r="X111" s="145">
        <v>0.08</v>
      </c>
      <c r="Y111" s="145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5">
        <v>204.0</v>
      </c>
      <c r="B112" s="145">
        <v>35.0</v>
      </c>
      <c r="C112" s="150"/>
      <c r="D112" s="150"/>
      <c r="E112" s="150"/>
      <c r="F112" s="150"/>
      <c r="G112" s="145"/>
      <c r="H112" s="145"/>
      <c r="I112" s="150"/>
      <c r="J112" s="150"/>
      <c r="K112" s="150"/>
      <c r="L112" s="150"/>
      <c r="M112" s="150"/>
      <c r="N112" s="150"/>
      <c r="O112" s="150"/>
      <c r="P112" s="150"/>
      <c r="Q112" s="150"/>
      <c r="R112" s="145"/>
      <c r="S112" s="145"/>
      <c r="T112" s="145"/>
      <c r="U112" s="145">
        <v>40.0</v>
      </c>
      <c r="V112" s="145"/>
      <c r="W112" s="145"/>
      <c r="X112" s="145">
        <v>0.08</v>
      </c>
      <c r="Y112" s="145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5">
        <v>204.0</v>
      </c>
      <c r="B113" s="145">
        <v>10.0</v>
      </c>
      <c r="C113" s="150"/>
      <c r="D113" s="150"/>
      <c r="E113" s="150"/>
      <c r="F113" s="150"/>
      <c r="G113" s="145"/>
      <c r="H113" s="150"/>
      <c r="I113" s="145"/>
      <c r="J113" s="150"/>
      <c r="K113" s="150"/>
      <c r="L113" s="150"/>
      <c r="M113" s="150"/>
      <c r="N113" s="150"/>
      <c r="O113" s="150"/>
      <c r="P113" s="150"/>
      <c r="Q113" s="150"/>
      <c r="R113" s="145"/>
      <c r="S113" s="145"/>
      <c r="T113" s="145"/>
      <c r="U113" s="145">
        <v>95.0</v>
      </c>
      <c r="V113" s="145"/>
      <c r="W113" s="145"/>
      <c r="X113" s="145">
        <v>0.08</v>
      </c>
      <c r="Y113" s="145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5">
        <v>204.0</v>
      </c>
      <c r="B114" s="145">
        <v>5.0</v>
      </c>
      <c r="C114" s="150"/>
      <c r="D114" s="150"/>
      <c r="E114" s="150"/>
      <c r="F114" s="150"/>
      <c r="G114" s="145"/>
      <c r="H114" s="150"/>
      <c r="I114" s="150"/>
      <c r="J114" s="150"/>
      <c r="K114" s="150"/>
      <c r="L114" s="150"/>
      <c r="M114" s="150"/>
      <c r="N114" s="150"/>
      <c r="O114" s="150"/>
      <c r="P114" s="150"/>
      <c r="Q114" s="145"/>
      <c r="R114" s="145"/>
      <c r="S114" s="145"/>
      <c r="T114" s="145"/>
      <c r="U114" s="145">
        <v>150.0</v>
      </c>
      <c r="V114" s="145"/>
      <c r="W114" s="145"/>
      <c r="X114" s="145">
        <v>0.08</v>
      </c>
      <c r="Y114" s="145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42">
        <f t="shared" ref="A115:A227" si="3">A2+4</f>
        <v>205</v>
      </c>
      <c r="B115" s="142">
        <v>1900.0</v>
      </c>
      <c r="C115" s="143">
        <v>90.0</v>
      </c>
      <c r="D115" s="143"/>
      <c r="E115" s="143"/>
      <c r="F115" s="143"/>
      <c r="G115" s="142"/>
      <c r="H115" s="143"/>
      <c r="I115" s="143"/>
      <c r="J115" s="142"/>
      <c r="K115" s="143"/>
      <c r="L115" s="142"/>
      <c r="M115" s="143"/>
      <c r="N115" s="143"/>
      <c r="O115" s="143"/>
      <c r="P115" s="143"/>
      <c r="Q115" s="143"/>
      <c r="R115" s="142"/>
      <c r="S115" s="142"/>
      <c r="T115" s="142"/>
      <c r="U115" s="142"/>
      <c r="V115" s="142"/>
      <c r="W115" s="142"/>
      <c r="X115" s="142">
        <v>0.15</v>
      </c>
      <c r="Y115" s="142">
        <v>1.0</v>
      </c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</row>
    <row r="116">
      <c r="A116" s="142">
        <f t="shared" si="3"/>
        <v>205</v>
      </c>
      <c r="B116" s="142">
        <v>400.0</v>
      </c>
      <c r="C116" s="143">
        <v>165.0</v>
      </c>
      <c r="D116" s="143"/>
      <c r="E116" s="143"/>
      <c r="F116" s="142"/>
      <c r="G116" s="142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2"/>
      <c r="S116" s="142"/>
      <c r="T116" s="142"/>
      <c r="U116" s="142"/>
      <c r="V116" s="142"/>
      <c r="W116" s="142"/>
      <c r="X116" s="142">
        <v>0.15</v>
      </c>
      <c r="Y116" s="142">
        <v>1.0</v>
      </c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</row>
    <row r="117">
      <c r="A117" s="142">
        <f t="shared" si="3"/>
        <v>205</v>
      </c>
      <c r="B117" s="142">
        <v>150.0</v>
      </c>
      <c r="C117" s="143">
        <v>300.0</v>
      </c>
      <c r="D117" s="142"/>
      <c r="E117" s="142"/>
      <c r="F117" s="143"/>
      <c r="G117" s="142"/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2"/>
      <c r="S117" s="142"/>
      <c r="T117" s="142"/>
      <c r="U117" s="142"/>
      <c r="V117" s="142"/>
      <c r="W117" s="142"/>
      <c r="X117" s="142">
        <v>0.15</v>
      </c>
      <c r="Y117" s="142">
        <v>2.0</v>
      </c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</row>
    <row r="118">
      <c r="A118" s="142">
        <f t="shared" si="3"/>
        <v>205</v>
      </c>
      <c r="B118" s="142">
        <v>40.0</v>
      </c>
      <c r="C118" s="143">
        <v>570.0</v>
      </c>
      <c r="D118" s="143"/>
      <c r="E118" s="143"/>
      <c r="F118" s="143"/>
      <c r="G118" s="142"/>
      <c r="H118" s="143"/>
      <c r="I118" s="142"/>
      <c r="J118" s="143"/>
      <c r="K118" s="143"/>
      <c r="L118" s="143"/>
      <c r="M118" s="143"/>
      <c r="N118" s="143"/>
      <c r="O118" s="143"/>
      <c r="P118" s="143"/>
      <c r="Q118" s="143"/>
      <c r="R118" s="142"/>
      <c r="S118" s="142"/>
      <c r="T118" s="142"/>
      <c r="U118" s="142"/>
      <c r="V118" s="142"/>
      <c r="W118" s="142"/>
      <c r="X118" s="142">
        <v>0.15</v>
      </c>
      <c r="Y118" s="142">
        <v>3.0</v>
      </c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</row>
    <row r="119">
      <c r="A119" s="142">
        <f t="shared" si="3"/>
        <v>205</v>
      </c>
      <c r="B119" s="142">
        <v>10.0</v>
      </c>
      <c r="C119" s="143">
        <v>1050.0</v>
      </c>
      <c r="D119" s="142"/>
      <c r="E119" s="142"/>
      <c r="F119" s="143"/>
      <c r="G119" s="142"/>
      <c r="H119" s="143"/>
      <c r="I119" s="143"/>
      <c r="J119" s="143"/>
      <c r="K119" s="143"/>
      <c r="L119" s="143"/>
      <c r="M119" s="143"/>
      <c r="N119" s="143"/>
      <c r="O119" s="143"/>
      <c r="P119" s="143"/>
      <c r="Q119" s="142"/>
      <c r="R119" s="142"/>
      <c r="S119" s="142"/>
      <c r="T119" s="142"/>
      <c r="U119" s="142"/>
      <c r="V119" s="142"/>
      <c r="W119" s="142"/>
      <c r="X119" s="142">
        <v>0.15</v>
      </c>
      <c r="Y119" s="142">
        <v>4.0</v>
      </c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</row>
    <row r="120">
      <c r="A120" s="142">
        <f t="shared" si="3"/>
        <v>205</v>
      </c>
      <c r="B120" s="142">
        <v>1900.0</v>
      </c>
      <c r="C120" s="143"/>
      <c r="D120" s="143"/>
      <c r="E120" s="142"/>
      <c r="F120" s="142">
        <v>9.0</v>
      </c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2"/>
      <c r="S120" s="142"/>
      <c r="T120" s="142"/>
      <c r="U120" s="142"/>
      <c r="V120" s="142"/>
      <c r="W120" s="142"/>
      <c r="X120" s="142">
        <v>0.15</v>
      </c>
      <c r="Y120" s="142">
        <v>1.0</v>
      </c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</row>
    <row r="121">
      <c r="A121" s="142">
        <f t="shared" si="3"/>
        <v>205</v>
      </c>
      <c r="B121" s="142">
        <v>400.0</v>
      </c>
      <c r="C121" s="143"/>
      <c r="D121" s="143"/>
      <c r="E121" s="142"/>
      <c r="F121" s="142">
        <v>14.0</v>
      </c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2"/>
      <c r="S121" s="142"/>
      <c r="T121" s="142"/>
      <c r="U121" s="142"/>
      <c r="V121" s="142"/>
      <c r="W121" s="142"/>
      <c r="X121" s="142">
        <v>0.15</v>
      </c>
      <c r="Y121" s="142">
        <v>1.0</v>
      </c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</row>
    <row r="122">
      <c r="A122" s="142">
        <f t="shared" si="3"/>
        <v>205</v>
      </c>
      <c r="B122" s="142">
        <v>150.0</v>
      </c>
      <c r="C122" s="142"/>
      <c r="D122" s="142"/>
      <c r="E122" s="142"/>
      <c r="F122" s="142">
        <v>23.0</v>
      </c>
      <c r="G122" s="142"/>
      <c r="H122" s="143"/>
      <c r="I122" s="143"/>
      <c r="J122" s="143"/>
      <c r="K122" s="143"/>
      <c r="L122" s="143"/>
      <c r="M122" s="143"/>
      <c r="N122" s="142"/>
      <c r="O122" s="142"/>
      <c r="P122" s="142"/>
      <c r="Q122" s="143"/>
      <c r="R122" s="142"/>
      <c r="S122" s="142"/>
      <c r="T122" s="142"/>
      <c r="U122" s="142"/>
      <c r="V122" s="142"/>
      <c r="W122" s="142"/>
      <c r="X122" s="142">
        <v>0.15</v>
      </c>
      <c r="Y122" s="142">
        <v>2.0</v>
      </c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</row>
    <row r="123">
      <c r="A123" s="142">
        <f t="shared" si="3"/>
        <v>205</v>
      </c>
      <c r="B123" s="142">
        <v>40.0</v>
      </c>
      <c r="C123" s="143"/>
      <c r="D123" s="143"/>
      <c r="E123" s="142"/>
      <c r="F123" s="142">
        <v>35.0</v>
      </c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2"/>
      <c r="S123" s="142"/>
      <c r="T123" s="142"/>
      <c r="U123" s="142"/>
      <c r="V123" s="142"/>
      <c r="W123" s="142"/>
      <c r="X123" s="142">
        <v>0.15</v>
      </c>
      <c r="Y123" s="142">
        <v>3.0</v>
      </c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</row>
    <row r="124">
      <c r="A124" s="142">
        <f t="shared" si="3"/>
        <v>205</v>
      </c>
      <c r="B124" s="142">
        <v>10.0</v>
      </c>
      <c r="C124" s="143"/>
      <c r="D124" s="143"/>
      <c r="E124" s="142"/>
      <c r="F124" s="142">
        <v>81.0</v>
      </c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2"/>
      <c r="S124" s="142"/>
      <c r="T124" s="142"/>
      <c r="U124" s="142"/>
      <c r="V124" s="142"/>
      <c r="W124" s="142"/>
      <c r="X124" s="142">
        <v>0.15</v>
      </c>
      <c r="Y124" s="142">
        <v>4.0</v>
      </c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</row>
    <row r="125">
      <c r="A125" s="142">
        <f t="shared" si="3"/>
        <v>205</v>
      </c>
      <c r="B125" s="142">
        <v>1900.0</v>
      </c>
      <c r="C125" s="143"/>
      <c r="D125" s="143"/>
      <c r="E125" s="143"/>
      <c r="F125" s="143"/>
      <c r="G125" s="142">
        <v>13.0</v>
      </c>
      <c r="H125" s="143"/>
      <c r="I125" s="143"/>
      <c r="J125" s="142"/>
      <c r="K125" s="143"/>
      <c r="L125" s="142"/>
      <c r="M125" s="143"/>
      <c r="N125" s="143"/>
      <c r="O125" s="143"/>
      <c r="P125" s="143"/>
      <c r="Q125" s="143"/>
      <c r="R125" s="142"/>
      <c r="S125" s="142"/>
      <c r="T125" s="142"/>
      <c r="U125" s="142"/>
      <c r="V125" s="142"/>
      <c r="W125" s="142"/>
      <c r="X125" s="142">
        <v>0.15</v>
      </c>
      <c r="Y125" s="142">
        <v>1.0</v>
      </c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</row>
    <row r="126">
      <c r="A126" s="142">
        <f t="shared" si="3"/>
        <v>205</v>
      </c>
      <c r="B126" s="142">
        <v>400.0</v>
      </c>
      <c r="C126" s="143"/>
      <c r="D126" s="143"/>
      <c r="E126" s="143"/>
      <c r="F126" s="143"/>
      <c r="G126" s="142">
        <v>19.0</v>
      </c>
      <c r="H126" s="143"/>
      <c r="I126" s="143"/>
      <c r="J126" s="142"/>
      <c r="K126" s="143"/>
      <c r="L126" s="142"/>
      <c r="M126" s="143"/>
      <c r="N126" s="143"/>
      <c r="O126" s="143"/>
      <c r="P126" s="143"/>
      <c r="Q126" s="143"/>
      <c r="R126" s="142"/>
      <c r="S126" s="142"/>
      <c r="T126" s="142"/>
      <c r="U126" s="142"/>
      <c r="V126" s="142"/>
      <c r="W126" s="142"/>
      <c r="X126" s="142">
        <v>0.15</v>
      </c>
      <c r="Y126" s="142">
        <v>1.0</v>
      </c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</row>
    <row r="127">
      <c r="A127" s="142">
        <f t="shared" si="3"/>
        <v>205</v>
      </c>
      <c r="B127" s="142">
        <v>150.0</v>
      </c>
      <c r="C127" s="143"/>
      <c r="D127" s="143"/>
      <c r="E127" s="143"/>
      <c r="F127" s="143"/>
      <c r="G127" s="142">
        <v>32.0</v>
      </c>
      <c r="H127" s="143"/>
      <c r="I127" s="143"/>
      <c r="J127" s="142"/>
      <c r="K127" s="143"/>
      <c r="L127" s="142"/>
      <c r="M127" s="143"/>
      <c r="N127" s="143"/>
      <c r="O127" s="143"/>
      <c r="P127" s="143"/>
      <c r="Q127" s="143"/>
      <c r="R127" s="142"/>
      <c r="S127" s="142"/>
      <c r="T127" s="142"/>
      <c r="U127" s="142"/>
      <c r="V127" s="142"/>
      <c r="W127" s="142"/>
      <c r="X127" s="142">
        <v>0.15</v>
      </c>
      <c r="Y127" s="142">
        <v>2.0</v>
      </c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</row>
    <row r="128">
      <c r="A128" s="142">
        <f t="shared" si="3"/>
        <v>205</v>
      </c>
      <c r="B128" s="142">
        <v>40.0</v>
      </c>
      <c r="C128" s="143"/>
      <c r="D128" s="143"/>
      <c r="E128" s="143"/>
      <c r="F128" s="143"/>
      <c r="G128" s="142">
        <v>61.0</v>
      </c>
      <c r="H128" s="143"/>
      <c r="I128" s="143"/>
      <c r="J128" s="142"/>
      <c r="K128" s="143"/>
      <c r="L128" s="142"/>
      <c r="M128" s="143"/>
      <c r="N128" s="143"/>
      <c r="O128" s="143"/>
      <c r="P128" s="143"/>
      <c r="Q128" s="143"/>
      <c r="R128" s="142"/>
      <c r="S128" s="142"/>
      <c r="T128" s="142"/>
      <c r="U128" s="142"/>
      <c r="V128" s="142"/>
      <c r="W128" s="142"/>
      <c r="X128" s="142">
        <v>0.15</v>
      </c>
      <c r="Y128" s="142">
        <v>3.0</v>
      </c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</row>
    <row r="129">
      <c r="A129" s="142">
        <f t="shared" si="3"/>
        <v>205</v>
      </c>
      <c r="B129" s="142">
        <v>10.0</v>
      </c>
      <c r="C129" s="143"/>
      <c r="D129" s="143"/>
      <c r="E129" s="143"/>
      <c r="F129" s="143"/>
      <c r="G129" s="142">
        <v>103.0</v>
      </c>
      <c r="H129" s="143"/>
      <c r="I129" s="143"/>
      <c r="J129" s="142"/>
      <c r="K129" s="143"/>
      <c r="L129" s="142"/>
      <c r="M129" s="143"/>
      <c r="N129" s="143"/>
      <c r="O129" s="143"/>
      <c r="P129" s="143"/>
      <c r="Q129" s="143"/>
      <c r="R129" s="142"/>
      <c r="S129" s="142"/>
      <c r="T129" s="142"/>
      <c r="U129" s="142"/>
      <c r="V129" s="142"/>
      <c r="W129" s="142"/>
      <c r="X129" s="142">
        <v>0.15</v>
      </c>
      <c r="Y129" s="142">
        <v>4.0</v>
      </c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</row>
    <row r="130">
      <c r="A130" s="142">
        <f t="shared" si="3"/>
        <v>205</v>
      </c>
      <c r="B130" s="142">
        <v>1900.0</v>
      </c>
      <c r="C130" s="143"/>
      <c r="D130" s="143"/>
      <c r="E130" s="143"/>
      <c r="F130" s="143"/>
      <c r="G130" s="142"/>
      <c r="H130" s="143"/>
      <c r="I130" s="143"/>
      <c r="J130" s="142"/>
      <c r="K130" s="142">
        <v>0.01</v>
      </c>
      <c r="L130" s="142"/>
      <c r="M130" s="143"/>
      <c r="N130" s="143"/>
      <c r="O130" s="143"/>
      <c r="P130" s="143"/>
      <c r="Q130" s="143"/>
      <c r="R130" s="142"/>
      <c r="S130" s="142"/>
      <c r="T130" s="142"/>
      <c r="U130" s="142"/>
      <c r="V130" s="142"/>
      <c r="W130" s="142"/>
      <c r="X130" s="142">
        <v>0.15</v>
      </c>
      <c r="Y130" s="142">
        <v>1.0</v>
      </c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</row>
    <row r="131">
      <c r="A131" s="142">
        <f t="shared" si="3"/>
        <v>205</v>
      </c>
      <c r="B131" s="142">
        <v>400.0</v>
      </c>
      <c r="C131" s="143"/>
      <c r="D131" s="143"/>
      <c r="E131" s="143"/>
      <c r="F131" s="143"/>
      <c r="G131" s="142"/>
      <c r="H131" s="143"/>
      <c r="I131" s="143"/>
      <c r="J131" s="142"/>
      <c r="K131" s="142">
        <v>0.03</v>
      </c>
      <c r="L131" s="142"/>
      <c r="M131" s="143"/>
      <c r="N131" s="143"/>
      <c r="O131" s="143"/>
      <c r="P131" s="143"/>
      <c r="Q131" s="143"/>
      <c r="R131" s="142"/>
      <c r="S131" s="142"/>
      <c r="T131" s="142"/>
      <c r="U131" s="142"/>
      <c r="V131" s="142"/>
      <c r="W131" s="142"/>
      <c r="X131" s="142">
        <v>0.15</v>
      </c>
      <c r="Y131" s="142">
        <v>1.0</v>
      </c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</row>
    <row r="132">
      <c r="A132" s="142">
        <f t="shared" si="3"/>
        <v>205</v>
      </c>
      <c r="B132" s="142">
        <v>150.0</v>
      </c>
      <c r="C132" s="143"/>
      <c r="D132" s="143"/>
      <c r="E132" s="143"/>
      <c r="F132" s="143"/>
      <c r="G132" s="142"/>
      <c r="H132" s="143"/>
      <c r="I132" s="143"/>
      <c r="J132" s="142"/>
      <c r="K132" s="142">
        <v>0.05</v>
      </c>
      <c r="L132" s="142"/>
      <c r="M132" s="143"/>
      <c r="N132" s="143"/>
      <c r="O132" s="143"/>
      <c r="P132" s="143"/>
      <c r="Q132" s="143"/>
      <c r="R132" s="142"/>
      <c r="S132" s="142"/>
      <c r="T132" s="142"/>
      <c r="U132" s="142"/>
      <c r="V132" s="142"/>
      <c r="W132" s="142"/>
      <c r="X132" s="142">
        <v>0.15</v>
      </c>
      <c r="Y132" s="142">
        <v>2.0</v>
      </c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</row>
    <row r="133">
      <c r="A133" s="142">
        <f t="shared" si="3"/>
        <v>205</v>
      </c>
      <c r="B133" s="142">
        <v>40.0</v>
      </c>
      <c r="C133" s="143"/>
      <c r="D133" s="143"/>
      <c r="E133" s="143"/>
      <c r="F133" s="143"/>
      <c r="G133" s="142"/>
      <c r="H133" s="143"/>
      <c r="I133" s="143"/>
      <c r="J133" s="142"/>
      <c r="K133" s="143">
        <v>0.09</v>
      </c>
      <c r="L133" s="142"/>
      <c r="M133" s="143"/>
      <c r="N133" s="143"/>
      <c r="O133" s="143"/>
      <c r="P133" s="143"/>
      <c r="Q133" s="143"/>
      <c r="R133" s="142"/>
      <c r="S133" s="142"/>
      <c r="T133" s="142"/>
      <c r="U133" s="142"/>
      <c r="V133" s="142"/>
      <c r="W133" s="142"/>
      <c r="X133" s="142">
        <v>0.15</v>
      </c>
      <c r="Y133" s="142">
        <v>3.0</v>
      </c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</row>
    <row r="134">
      <c r="A134" s="142">
        <f t="shared" si="3"/>
        <v>205</v>
      </c>
      <c r="B134" s="142">
        <v>10.0</v>
      </c>
      <c r="C134" s="143"/>
      <c r="D134" s="143"/>
      <c r="E134" s="143"/>
      <c r="F134" s="143"/>
      <c r="G134" s="142"/>
      <c r="H134" s="143"/>
      <c r="I134" s="143"/>
      <c r="J134" s="142"/>
      <c r="K134" s="143">
        <v>0.15</v>
      </c>
      <c r="L134" s="142"/>
      <c r="M134" s="143"/>
      <c r="N134" s="143"/>
      <c r="O134" s="143"/>
      <c r="P134" s="143"/>
      <c r="Q134" s="143"/>
      <c r="R134" s="142"/>
      <c r="S134" s="142"/>
      <c r="T134" s="142"/>
      <c r="U134" s="142"/>
      <c r="V134" s="142"/>
      <c r="W134" s="142"/>
      <c r="X134" s="142">
        <v>0.15</v>
      </c>
      <c r="Y134" s="142">
        <v>4.0</v>
      </c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</row>
    <row r="135">
      <c r="A135" s="43">
        <f t="shared" si="3"/>
        <v>206</v>
      </c>
      <c r="B135" s="43">
        <v>2500.0</v>
      </c>
      <c r="C135" s="14"/>
      <c r="D135" s="14"/>
      <c r="E135" s="14"/>
      <c r="F135" s="14"/>
      <c r="G135" s="14"/>
      <c r="H135" s="14"/>
      <c r="I135" s="14"/>
      <c r="J135" s="14"/>
      <c r="K135" s="14"/>
      <c r="L135" s="57"/>
      <c r="M135" s="57"/>
      <c r="N135" s="57"/>
      <c r="O135" s="57"/>
      <c r="P135" s="57"/>
      <c r="Q135" s="57"/>
      <c r="R135" s="43"/>
      <c r="S135" s="43"/>
      <c r="T135" s="43"/>
      <c r="U135" s="43"/>
      <c r="V135" s="43"/>
      <c r="W135" s="43"/>
      <c r="X135" s="43">
        <v>0.13</v>
      </c>
      <c r="Y135" s="43">
        <v>1.0</v>
      </c>
    </row>
    <row r="136">
      <c r="A136" s="43">
        <f t="shared" si="3"/>
        <v>206</v>
      </c>
      <c r="B136" s="145">
        <f t="shared" ref="B136:B155" si="4">B115/2</f>
        <v>950</v>
      </c>
      <c r="C136" s="57">
        <v>90.0</v>
      </c>
      <c r="D136" s="57"/>
      <c r="E136" s="57"/>
      <c r="F136" s="57"/>
      <c r="G136" s="43"/>
      <c r="H136" s="57"/>
      <c r="I136" s="57"/>
      <c r="J136" s="43"/>
      <c r="K136" s="57"/>
      <c r="L136" s="43"/>
      <c r="M136" s="57"/>
      <c r="N136" s="57"/>
      <c r="O136" s="57"/>
      <c r="P136" s="57"/>
      <c r="Q136" s="57"/>
      <c r="R136" s="43"/>
      <c r="S136" s="43"/>
      <c r="T136" s="43"/>
      <c r="U136" s="43"/>
      <c r="V136" s="43"/>
      <c r="W136" s="43"/>
      <c r="X136" s="43">
        <v>0.13</v>
      </c>
      <c r="Y136" s="43">
        <v>1.0</v>
      </c>
    </row>
    <row r="137">
      <c r="A137" s="43">
        <f t="shared" si="3"/>
        <v>206</v>
      </c>
      <c r="B137" s="145">
        <f t="shared" si="4"/>
        <v>200</v>
      </c>
      <c r="C137" s="57">
        <v>165.0</v>
      </c>
      <c r="D137" s="57"/>
      <c r="E137" s="57"/>
      <c r="F137" s="43"/>
      <c r="G137" s="43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43"/>
      <c r="S137" s="43"/>
      <c r="T137" s="43"/>
      <c r="U137" s="43"/>
      <c r="V137" s="43"/>
      <c r="W137" s="43"/>
      <c r="X137" s="43">
        <v>0.13</v>
      </c>
      <c r="Y137" s="43">
        <v>1.0</v>
      </c>
    </row>
    <row r="138">
      <c r="A138" s="43">
        <f t="shared" si="3"/>
        <v>206</v>
      </c>
      <c r="B138" s="145">
        <f t="shared" si="4"/>
        <v>75</v>
      </c>
      <c r="C138" s="57">
        <v>300.0</v>
      </c>
      <c r="D138" s="43"/>
      <c r="E138" s="43"/>
      <c r="F138" s="57"/>
      <c r="G138" s="43"/>
      <c r="H138" s="43"/>
      <c r="I138" s="57"/>
      <c r="J138" s="57"/>
      <c r="K138" s="57"/>
      <c r="L138" s="57"/>
      <c r="M138" s="57"/>
      <c r="N138" s="57"/>
      <c r="O138" s="57"/>
      <c r="P138" s="57"/>
      <c r="Q138" s="57"/>
      <c r="R138" s="43"/>
      <c r="S138" s="43"/>
      <c r="T138" s="43"/>
      <c r="U138" s="43"/>
      <c r="V138" s="43"/>
      <c r="W138" s="43"/>
      <c r="X138" s="43">
        <v>0.13</v>
      </c>
      <c r="Y138" s="43">
        <v>2.0</v>
      </c>
    </row>
    <row r="139">
      <c r="A139" s="43">
        <f t="shared" si="3"/>
        <v>206</v>
      </c>
      <c r="B139" s="145">
        <f t="shared" si="4"/>
        <v>20</v>
      </c>
      <c r="C139" s="57">
        <v>570.0</v>
      </c>
      <c r="D139" s="57"/>
      <c r="E139" s="57"/>
      <c r="F139" s="57"/>
      <c r="G139" s="43"/>
      <c r="H139" s="57"/>
      <c r="I139" s="43"/>
      <c r="J139" s="57"/>
      <c r="K139" s="57"/>
      <c r="L139" s="57"/>
      <c r="M139" s="57"/>
      <c r="N139" s="57"/>
      <c r="O139" s="57"/>
      <c r="P139" s="57"/>
      <c r="Q139" s="43"/>
      <c r="R139" s="43"/>
      <c r="S139" s="43"/>
      <c r="T139" s="43"/>
      <c r="U139" s="43"/>
      <c r="V139" s="43"/>
      <c r="W139" s="43"/>
      <c r="X139" s="43">
        <v>0.13</v>
      </c>
      <c r="Y139" s="43">
        <v>3.0</v>
      </c>
    </row>
    <row r="140">
      <c r="A140" s="43">
        <f t="shared" si="3"/>
        <v>206</v>
      </c>
      <c r="B140" s="145">
        <f t="shared" si="4"/>
        <v>5</v>
      </c>
      <c r="C140" s="57">
        <v>1050.0</v>
      </c>
      <c r="D140" s="43"/>
      <c r="E140" s="43"/>
      <c r="F140" s="57"/>
      <c r="G140" s="43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43"/>
      <c r="S140" s="43"/>
      <c r="T140" s="43"/>
      <c r="U140" s="43"/>
      <c r="V140" s="43"/>
      <c r="W140" s="43"/>
      <c r="X140" s="43">
        <v>0.13</v>
      </c>
      <c r="Y140" s="43">
        <v>4.0</v>
      </c>
    </row>
    <row r="141">
      <c r="A141" s="43">
        <f t="shared" si="3"/>
        <v>206</v>
      </c>
      <c r="B141" s="145">
        <f t="shared" si="4"/>
        <v>950</v>
      </c>
      <c r="C141" s="57"/>
      <c r="D141" s="57"/>
      <c r="E141" s="2"/>
      <c r="F141" s="43">
        <v>9.0</v>
      </c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43"/>
      <c r="S141" s="43"/>
      <c r="T141" s="43"/>
      <c r="U141" s="43"/>
      <c r="V141" s="43"/>
      <c r="W141" s="43"/>
      <c r="X141" s="43">
        <v>0.13</v>
      </c>
      <c r="Y141" s="43">
        <v>1.0</v>
      </c>
    </row>
    <row r="142">
      <c r="A142" s="43">
        <f t="shared" si="3"/>
        <v>206</v>
      </c>
      <c r="B142" s="145">
        <f t="shared" si="4"/>
        <v>200</v>
      </c>
      <c r="C142" s="57"/>
      <c r="D142" s="57"/>
      <c r="E142" s="43"/>
      <c r="F142" s="43">
        <v>14.0</v>
      </c>
      <c r="G142" s="57"/>
      <c r="H142" s="57"/>
      <c r="I142" s="57"/>
      <c r="J142" s="57"/>
      <c r="K142" s="57"/>
      <c r="L142" s="57"/>
      <c r="M142" s="57"/>
      <c r="N142" s="57"/>
      <c r="O142" s="57"/>
      <c r="P142" s="43"/>
      <c r="Q142" s="57"/>
      <c r="R142" s="43"/>
      <c r="S142" s="43"/>
      <c r="T142" s="43"/>
      <c r="U142" s="43"/>
      <c r="V142" s="43"/>
      <c r="W142" s="43"/>
      <c r="X142" s="43">
        <v>0.13</v>
      </c>
      <c r="Y142" s="43">
        <v>1.0</v>
      </c>
    </row>
    <row r="143">
      <c r="A143" s="43">
        <f t="shared" si="3"/>
        <v>206</v>
      </c>
      <c r="B143" s="145">
        <f t="shared" si="4"/>
        <v>75</v>
      </c>
      <c r="C143" s="43"/>
      <c r="D143" s="43"/>
      <c r="E143" s="43"/>
      <c r="F143" s="43">
        <v>23.0</v>
      </c>
      <c r="G143" s="43"/>
      <c r="H143" s="57"/>
      <c r="I143" s="57"/>
      <c r="J143" s="57"/>
      <c r="K143" s="57"/>
      <c r="L143" s="57"/>
      <c r="M143" s="57"/>
      <c r="N143" s="43"/>
      <c r="O143" s="43"/>
      <c r="P143" s="57"/>
      <c r="Q143" s="57"/>
      <c r="R143" s="43"/>
      <c r="S143" s="43"/>
      <c r="T143" s="43"/>
      <c r="U143" s="43"/>
      <c r="V143" s="43"/>
      <c r="W143" s="43"/>
      <c r="X143" s="43">
        <v>0.13</v>
      </c>
      <c r="Y143" s="43">
        <v>2.0</v>
      </c>
    </row>
    <row r="144">
      <c r="A144" s="43">
        <f t="shared" si="3"/>
        <v>206</v>
      </c>
      <c r="B144" s="145">
        <f t="shared" si="4"/>
        <v>20</v>
      </c>
      <c r="C144" s="57"/>
      <c r="D144" s="57"/>
      <c r="E144" s="43"/>
      <c r="F144" s="57">
        <v>35.0</v>
      </c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43"/>
      <c r="S144" s="43"/>
      <c r="T144" s="43"/>
      <c r="U144" s="43"/>
      <c r="V144" s="43"/>
      <c r="W144" s="43"/>
      <c r="X144" s="43">
        <v>0.13</v>
      </c>
      <c r="Y144" s="43">
        <v>3.0</v>
      </c>
    </row>
    <row r="145">
      <c r="A145" s="43">
        <f t="shared" si="3"/>
        <v>206</v>
      </c>
      <c r="B145" s="145">
        <f t="shared" si="4"/>
        <v>5</v>
      </c>
      <c r="C145" s="57"/>
      <c r="D145" s="57"/>
      <c r="E145" s="43"/>
      <c r="F145" s="43">
        <v>81.0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43"/>
      <c r="S145" s="43"/>
      <c r="T145" s="43"/>
      <c r="U145" s="43"/>
      <c r="V145" s="43"/>
      <c r="W145" s="43"/>
      <c r="X145" s="43">
        <v>0.13</v>
      </c>
      <c r="Y145" s="43">
        <v>4.0</v>
      </c>
    </row>
    <row r="146">
      <c r="A146" s="43">
        <f t="shared" si="3"/>
        <v>206</v>
      </c>
      <c r="B146" s="145">
        <f t="shared" si="4"/>
        <v>950</v>
      </c>
      <c r="C146" s="57"/>
      <c r="D146" s="57"/>
      <c r="E146" s="57"/>
      <c r="F146" s="57"/>
      <c r="G146" s="43">
        <v>13.0</v>
      </c>
      <c r="H146" s="57"/>
      <c r="I146" s="57"/>
      <c r="J146" s="43"/>
      <c r="K146" s="57"/>
      <c r="L146" s="43"/>
      <c r="M146" s="57"/>
      <c r="N146" s="57"/>
      <c r="O146" s="57"/>
      <c r="P146" s="57"/>
      <c r="Q146" s="57"/>
      <c r="R146" s="43"/>
      <c r="S146" s="43"/>
      <c r="T146" s="43"/>
      <c r="U146" s="43"/>
      <c r="V146" s="43"/>
      <c r="W146" s="43"/>
      <c r="X146" s="43">
        <v>0.13</v>
      </c>
      <c r="Y146" s="43">
        <v>1.0</v>
      </c>
    </row>
    <row r="147">
      <c r="A147" s="43">
        <f t="shared" si="3"/>
        <v>206</v>
      </c>
      <c r="B147" s="145">
        <f t="shared" si="4"/>
        <v>200</v>
      </c>
      <c r="C147" s="57"/>
      <c r="D147" s="57"/>
      <c r="E147" s="57"/>
      <c r="F147" s="57"/>
      <c r="G147" s="43">
        <v>19.0</v>
      </c>
      <c r="H147" s="57"/>
      <c r="I147" s="57"/>
      <c r="J147" s="43"/>
      <c r="K147" s="57"/>
      <c r="L147" s="43"/>
      <c r="M147" s="57"/>
      <c r="N147" s="57"/>
      <c r="O147" s="57"/>
      <c r="P147" s="57"/>
      <c r="Q147" s="57"/>
      <c r="R147" s="43"/>
      <c r="S147" s="43"/>
      <c r="T147" s="43"/>
      <c r="U147" s="43"/>
      <c r="V147" s="43"/>
      <c r="W147" s="43"/>
      <c r="X147" s="43">
        <v>0.13</v>
      </c>
      <c r="Y147" s="43">
        <v>1.0</v>
      </c>
    </row>
    <row r="148">
      <c r="A148" s="43">
        <f t="shared" si="3"/>
        <v>206</v>
      </c>
      <c r="B148" s="145">
        <f t="shared" si="4"/>
        <v>75</v>
      </c>
      <c r="C148" s="57"/>
      <c r="D148" s="57"/>
      <c r="E148" s="57"/>
      <c r="F148" s="57"/>
      <c r="G148" s="43">
        <v>32.0</v>
      </c>
      <c r="H148" s="57"/>
      <c r="I148" s="57"/>
      <c r="J148" s="43"/>
      <c r="K148" s="57"/>
      <c r="L148" s="43"/>
      <c r="M148" s="57"/>
      <c r="N148" s="57"/>
      <c r="O148" s="57"/>
      <c r="P148" s="57"/>
      <c r="Q148" s="57"/>
      <c r="R148" s="43"/>
      <c r="S148" s="43"/>
      <c r="T148" s="43"/>
      <c r="U148" s="43"/>
      <c r="V148" s="43"/>
      <c r="W148" s="43"/>
      <c r="X148" s="43">
        <v>0.13</v>
      </c>
      <c r="Y148" s="43">
        <v>2.0</v>
      </c>
    </row>
    <row r="149">
      <c r="A149" s="43">
        <f t="shared" si="3"/>
        <v>206</v>
      </c>
      <c r="B149" s="145">
        <f t="shared" si="4"/>
        <v>20</v>
      </c>
      <c r="C149" s="57"/>
      <c r="D149" s="57"/>
      <c r="E149" s="57"/>
      <c r="F149" s="57"/>
      <c r="G149" s="43">
        <v>61.0</v>
      </c>
      <c r="H149" s="57"/>
      <c r="I149" s="57"/>
      <c r="J149" s="43"/>
      <c r="K149" s="57"/>
      <c r="L149" s="43"/>
      <c r="M149" s="57"/>
      <c r="N149" s="57"/>
      <c r="O149" s="57"/>
      <c r="P149" s="57"/>
      <c r="Q149" s="57"/>
      <c r="R149" s="43"/>
      <c r="S149" s="43"/>
      <c r="T149" s="43"/>
      <c r="U149" s="43"/>
      <c r="V149" s="43"/>
      <c r="W149" s="43"/>
      <c r="X149" s="43">
        <v>0.13</v>
      </c>
      <c r="Y149" s="43">
        <v>3.0</v>
      </c>
    </row>
    <row r="150">
      <c r="A150" s="43">
        <f t="shared" si="3"/>
        <v>206</v>
      </c>
      <c r="B150" s="145">
        <f t="shared" si="4"/>
        <v>5</v>
      </c>
      <c r="C150" s="57"/>
      <c r="D150" s="57"/>
      <c r="E150" s="57"/>
      <c r="F150" s="57"/>
      <c r="G150" s="43">
        <v>103.0</v>
      </c>
      <c r="H150" s="57"/>
      <c r="I150" s="57"/>
      <c r="J150" s="43"/>
      <c r="K150" s="57"/>
      <c r="L150" s="43"/>
      <c r="M150" s="57"/>
      <c r="N150" s="57"/>
      <c r="O150" s="57"/>
      <c r="P150" s="57"/>
      <c r="Q150" s="57"/>
      <c r="R150" s="43"/>
      <c r="S150" s="43"/>
      <c r="T150" s="43"/>
      <c r="U150" s="43"/>
      <c r="V150" s="43"/>
      <c r="W150" s="43"/>
      <c r="X150" s="43">
        <v>0.13</v>
      </c>
      <c r="Y150" s="43">
        <v>4.0</v>
      </c>
    </row>
    <row r="151">
      <c r="A151" s="43">
        <f t="shared" si="3"/>
        <v>206</v>
      </c>
      <c r="B151" s="145">
        <f t="shared" si="4"/>
        <v>950</v>
      </c>
      <c r="C151" s="57"/>
      <c r="D151" s="57"/>
      <c r="E151" s="57"/>
      <c r="F151" s="57"/>
      <c r="G151" s="43"/>
      <c r="H151" s="57"/>
      <c r="I151" s="57"/>
      <c r="J151" s="43"/>
      <c r="K151" s="43">
        <v>0.01</v>
      </c>
      <c r="L151" s="43"/>
      <c r="M151" s="57"/>
      <c r="N151" s="57"/>
      <c r="O151" s="43"/>
      <c r="P151" s="57"/>
      <c r="Q151" s="57"/>
      <c r="R151" s="43"/>
      <c r="S151" s="43"/>
      <c r="T151" s="43"/>
      <c r="U151" s="43"/>
      <c r="V151" s="43"/>
      <c r="W151" s="43"/>
      <c r="X151" s="43">
        <v>0.13</v>
      </c>
      <c r="Y151" s="43">
        <v>1.0</v>
      </c>
    </row>
    <row r="152">
      <c r="A152" s="43">
        <f t="shared" si="3"/>
        <v>206</v>
      </c>
      <c r="B152" s="145">
        <f t="shared" si="4"/>
        <v>200</v>
      </c>
      <c r="C152" s="57"/>
      <c r="D152" s="57"/>
      <c r="E152" s="57"/>
      <c r="F152" s="57"/>
      <c r="G152" s="43"/>
      <c r="H152" s="57"/>
      <c r="I152" s="57"/>
      <c r="J152" s="43"/>
      <c r="K152" s="43">
        <v>0.03</v>
      </c>
      <c r="L152" s="43"/>
      <c r="M152" s="57"/>
      <c r="N152" s="57"/>
      <c r="O152" s="43"/>
      <c r="P152" s="57"/>
      <c r="Q152" s="57"/>
      <c r="R152" s="43"/>
      <c r="S152" s="43"/>
      <c r="T152" s="43"/>
      <c r="U152" s="43"/>
      <c r="V152" s="43"/>
      <c r="W152" s="43"/>
      <c r="X152" s="43">
        <v>0.13</v>
      </c>
      <c r="Y152" s="43">
        <v>1.0</v>
      </c>
    </row>
    <row r="153">
      <c r="A153" s="43">
        <f t="shared" si="3"/>
        <v>206</v>
      </c>
      <c r="B153" s="145">
        <f t="shared" si="4"/>
        <v>75</v>
      </c>
      <c r="C153" s="57"/>
      <c r="D153" s="57"/>
      <c r="E153" s="57"/>
      <c r="F153" s="57"/>
      <c r="G153" s="43"/>
      <c r="H153" s="57"/>
      <c r="I153" s="57"/>
      <c r="J153" s="43"/>
      <c r="K153" s="43">
        <v>0.05</v>
      </c>
      <c r="L153" s="43"/>
      <c r="M153" s="57"/>
      <c r="N153" s="57"/>
      <c r="O153" s="43"/>
      <c r="P153" s="57"/>
      <c r="Q153" s="57"/>
      <c r="R153" s="43"/>
      <c r="S153" s="43"/>
      <c r="T153" s="43"/>
      <c r="U153" s="43"/>
      <c r="V153" s="43"/>
      <c r="W153" s="43"/>
      <c r="X153" s="43">
        <v>0.13</v>
      </c>
      <c r="Y153" s="43">
        <v>2.0</v>
      </c>
    </row>
    <row r="154">
      <c r="A154" s="43">
        <f t="shared" si="3"/>
        <v>206</v>
      </c>
      <c r="B154" s="145">
        <f t="shared" si="4"/>
        <v>20</v>
      </c>
      <c r="C154" s="57"/>
      <c r="D154" s="57"/>
      <c r="E154" s="57"/>
      <c r="F154" s="57"/>
      <c r="G154" s="43"/>
      <c r="H154" s="57"/>
      <c r="I154" s="57"/>
      <c r="J154" s="43"/>
      <c r="K154" s="57">
        <v>0.09</v>
      </c>
      <c r="L154" s="43"/>
      <c r="M154" s="57"/>
      <c r="N154" s="57"/>
      <c r="O154" s="43"/>
      <c r="P154" s="57"/>
      <c r="Q154" s="57"/>
      <c r="R154" s="43"/>
      <c r="S154" s="43"/>
      <c r="T154" s="43"/>
      <c r="U154" s="43"/>
      <c r="V154" s="43"/>
      <c r="W154" s="43"/>
      <c r="X154" s="43">
        <v>0.13</v>
      </c>
      <c r="Y154" s="43">
        <v>3.0</v>
      </c>
    </row>
    <row r="155">
      <c r="A155" s="43">
        <f t="shared" si="3"/>
        <v>206</v>
      </c>
      <c r="B155" s="145">
        <f t="shared" si="4"/>
        <v>5</v>
      </c>
      <c r="C155" s="57"/>
      <c r="D155" s="57"/>
      <c r="E155" s="57"/>
      <c r="F155" s="57"/>
      <c r="G155" s="43"/>
      <c r="H155" s="57"/>
      <c r="I155" s="57"/>
      <c r="J155" s="43"/>
      <c r="K155" s="57">
        <v>0.15</v>
      </c>
      <c r="L155" s="43"/>
      <c r="M155" s="57"/>
      <c r="N155" s="57"/>
      <c r="O155" s="43"/>
      <c r="P155" s="57"/>
      <c r="Q155" s="57"/>
      <c r="R155" s="43"/>
      <c r="S155" s="43"/>
      <c r="T155" s="43"/>
      <c r="U155" s="43"/>
      <c r="V155" s="43"/>
      <c r="W155" s="43"/>
      <c r="X155" s="43">
        <v>0.13</v>
      </c>
      <c r="Y155" s="43">
        <v>4.0</v>
      </c>
    </row>
    <row r="156">
      <c r="A156" s="43">
        <f t="shared" si="3"/>
        <v>206</v>
      </c>
      <c r="B156" s="145">
        <v>1900.0</v>
      </c>
      <c r="C156" s="57"/>
      <c r="D156" s="57"/>
      <c r="E156" s="57"/>
      <c r="F156" s="57"/>
      <c r="G156" s="43"/>
      <c r="H156" s="57"/>
      <c r="I156" s="57"/>
      <c r="J156" s="43"/>
      <c r="K156" s="57"/>
      <c r="L156" s="43"/>
      <c r="M156" s="57"/>
      <c r="N156" s="43">
        <v>0.01</v>
      </c>
      <c r="O156" s="43"/>
      <c r="P156" s="57"/>
      <c r="Q156" s="57"/>
      <c r="R156" s="43"/>
      <c r="S156" s="43"/>
      <c r="T156" s="43"/>
      <c r="U156" s="43"/>
      <c r="V156" s="43"/>
      <c r="W156" s="43"/>
      <c r="X156" s="43">
        <v>0.13</v>
      </c>
      <c r="Y156" s="43">
        <v>1.0</v>
      </c>
    </row>
    <row r="157">
      <c r="A157" s="43">
        <f t="shared" si="3"/>
        <v>206</v>
      </c>
      <c r="B157" s="145">
        <v>400.0</v>
      </c>
      <c r="C157" s="57"/>
      <c r="D157" s="57"/>
      <c r="E157" s="57"/>
      <c r="F157" s="57"/>
      <c r="G157" s="43"/>
      <c r="H157" s="57"/>
      <c r="I157" s="57"/>
      <c r="J157" s="43"/>
      <c r="K157" s="57"/>
      <c r="L157" s="43"/>
      <c r="M157" s="57"/>
      <c r="N157" s="43">
        <v>0.03</v>
      </c>
      <c r="O157" s="43"/>
      <c r="P157" s="57"/>
      <c r="Q157" s="57"/>
      <c r="R157" s="43"/>
      <c r="S157" s="43"/>
      <c r="T157" s="43"/>
      <c r="U157" s="43"/>
      <c r="V157" s="43"/>
      <c r="W157" s="43"/>
      <c r="X157" s="43">
        <v>0.13</v>
      </c>
      <c r="Y157" s="43">
        <v>1.0</v>
      </c>
    </row>
    <row r="158">
      <c r="A158" s="43">
        <f t="shared" si="3"/>
        <v>206</v>
      </c>
      <c r="B158" s="145">
        <v>150.0</v>
      </c>
      <c r="C158" s="57"/>
      <c r="D158" s="57"/>
      <c r="E158" s="57"/>
      <c r="F158" s="57"/>
      <c r="G158" s="43"/>
      <c r="H158" s="57"/>
      <c r="I158" s="57"/>
      <c r="J158" s="43"/>
      <c r="K158" s="57"/>
      <c r="L158" s="43"/>
      <c r="M158" s="57"/>
      <c r="N158" s="43">
        <v>0.05</v>
      </c>
      <c r="O158" s="43"/>
      <c r="P158" s="57"/>
      <c r="Q158" s="57"/>
      <c r="R158" s="43"/>
      <c r="S158" s="43"/>
      <c r="T158" s="43"/>
      <c r="U158" s="43"/>
      <c r="V158" s="43"/>
      <c r="W158" s="43"/>
      <c r="X158" s="43">
        <v>0.13</v>
      </c>
      <c r="Y158" s="43">
        <v>2.0</v>
      </c>
    </row>
    <row r="159">
      <c r="A159" s="43">
        <f t="shared" si="3"/>
        <v>206</v>
      </c>
      <c r="B159" s="145">
        <v>40.0</v>
      </c>
      <c r="C159" s="57"/>
      <c r="D159" s="57"/>
      <c r="E159" s="57"/>
      <c r="F159" s="57"/>
      <c r="G159" s="43"/>
      <c r="H159" s="57"/>
      <c r="I159" s="57"/>
      <c r="J159" s="43"/>
      <c r="K159" s="57"/>
      <c r="L159" s="43"/>
      <c r="M159" s="57"/>
      <c r="N159" s="57">
        <v>0.09</v>
      </c>
      <c r="O159" s="43"/>
      <c r="P159" s="57"/>
      <c r="Q159" s="57"/>
      <c r="R159" s="43"/>
      <c r="S159" s="43"/>
      <c r="T159" s="43"/>
      <c r="U159" s="43"/>
      <c r="V159" s="43"/>
      <c r="W159" s="43"/>
      <c r="X159" s="43">
        <v>0.13</v>
      </c>
      <c r="Y159" s="43">
        <v>3.0</v>
      </c>
    </row>
    <row r="160">
      <c r="A160" s="43">
        <f t="shared" si="3"/>
        <v>206</v>
      </c>
      <c r="B160" s="145">
        <v>10.0</v>
      </c>
      <c r="C160" s="57"/>
      <c r="D160" s="57"/>
      <c r="E160" s="57"/>
      <c r="F160" s="57"/>
      <c r="G160" s="43"/>
      <c r="H160" s="57"/>
      <c r="I160" s="57"/>
      <c r="J160" s="43"/>
      <c r="K160" s="57"/>
      <c r="L160" s="43"/>
      <c r="M160" s="57"/>
      <c r="N160" s="57">
        <v>0.15</v>
      </c>
      <c r="O160" s="43"/>
      <c r="P160" s="57"/>
      <c r="Q160" s="57"/>
      <c r="R160" s="43"/>
      <c r="S160" s="43"/>
      <c r="T160" s="43"/>
      <c r="U160" s="43"/>
      <c r="V160" s="43"/>
      <c r="W160" s="43"/>
      <c r="X160" s="43">
        <v>0.13</v>
      </c>
      <c r="Y160" s="43">
        <v>4.0</v>
      </c>
    </row>
    <row r="161">
      <c r="A161" s="146">
        <f t="shared" si="3"/>
        <v>207</v>
      </c>
      <c r="B161" s="146">
        <v>5350.0</v>
      </c>
      <c r="C161" s="147"/>
      <c r="D161" s="147"/>
      <c r="E161" s="147"/>
      <c r="F161" s="147"/>
      <c r="G161" s="146"/>
      <c r="H161" s="147"/>
      <c r="I161" s="147"/>
      <c r="J161" s="146"/>
      <c r="K161" s="147"/>
      <c r="L161" s="146"/>
      <c r="M161" s="147"/>
      <c r="N161" s="147"/>
      <c r="O161" s="147"/>
      <c r="P161" s="147"/>
      <c r="Q161" s="147"/>
      <c r="R161" s="146"/>
      <c r="S161" s="146"/>
      <c r="T161" s="146"/>
      <c r="U161" s="146"/>
      <c r="V161" s="146"/>
      <c r="W161" s="146"/>
      <c r="X161" s="146">
        <v>0.11</v>
      </c>
      <c r="Y161" s="148">
        <v>1.0</v>
      </c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</row>
    <row r="162">
      <c r="A162" s="146">
        <f t="shared" si="3"/>
        <v>207</v>
      </c>
      <c r="B162" s="146">
        <v>550.0</v>
      </c>
      <c r="C162" s="147">
        <v>90.0</v>
      </c>
      <c r="D162" s="147"/>
      <c r="E162" s="147"/>
      <c r="F162" s="146"/>
      <c r="G162" s="146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6"/>
      <c r="S162" s="146"/>
      <c r="T162" s="146"/>
      <c r="U162" s="146"/>
      <c r="V162" s="146"/>
      <c r="W162" s="146"/>
      <c r="X162" s="146">
        <v>0.11</v>
      </c>
      <c r="Y162" s="148">
        <v>1.0</v>
      </c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</row>
    <row r="163">
      <c r="A163" s="146">
        <f t="shared" si="3"/>
        <v>207</v>
      </c>
      <c r="B163" s="146">
        <f>B142/2</f>
        <v>100</v>
      </c>
      <c r="C163" s="147">
        <v>165.0</v>
      </c>
      <c r="D163" s="146"/>
      <c r="E163" s="146"/>
      <c r="F163" s="147"/>
      <c r="G163" s="146"/>
      <c r="H163" s="146"/>
      <c r="I163" s="147"/>
      <c r="J163" s="147"/>
      <c r="K163" s="147"/>
      <c r="L163" s="147"/>
      <c r="M163" s="147"/>
      <c r="N163" s="147"/>
      <c r="O163" s="147"/>
      <c r="P163" s="147"/>
      <c r="Q163" s="147"/>
      <c r="R163" s="146"/>
      <c r="S163" s="146"/>
      <c r="T163" s="146"/>
      <c r="U163" s="146"/>
      <c r="V163" s="146"/>
      <c r="W163" s="146"/>
      <c r="X163" s="146">
        <v>0.11</v>
      </c>
      <c r="Y163" s="148">
        <v>1.0</v>
      </c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</row>
    <row r="164">
      <c r="A164" s="146">
        <f t="shared" si="3"/>
        <v>207</v>
      </c>
      <c r="B164" s="146">
        <v>35.0</v>
      </c>
      <c r="C164" s="147">
        <v>300.0</v>
      </c>
      <c r="D164" s="147"/>
      <c r="E164" s="147"/>
      <c r="F164" s="147"/>
      <c r="G164" s="146"/>
      <c r="H164" s="147"/>
      <c r="I164" s="146"/>
      <c r="J164" s="147"/>
      <c r="K164" s="147"/>
      <c r="L164" s="147"/>
      <c r="M164" s="147"/>
      <c r="N164" s="147"/>
      <c r="O164" s="147"/>
      <c r="P164" s="147"/>
      <c r="Q164" s="147"/>
      <c r="R164" s="146"/>
      <c r="S164" s="146"/>
      <c r="T164" s="146"/>
      <c r="U164" s="146"/>
      <c r="V164" s="146"/>
      <c r="W164" s="146"/>
      <c r="X164" s="146">
        <v>0.11</v>
      </c>
      <c r="Y164" s="148">
        <v>2.0</v>
      </c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</row>
    <row r="165">
      <c r="A165" s="146">
        <f t="shared" si="3"/>
        <v>207</v>
      </c>
      <c r="B165" s="146">
        <f>B144/2</f>
        <v>10</v>
      </c>
      <c r="C165" s="147">
        <v>570.0</v>
      </c>
      <c r="D165" s="146"/>
      <c r="E165" s="146"/>
      <c r="F165" s="147"/>
      <c r="G165" s="146"/>
      <c r="H165" s="147"/>
      <c r="I165" s="147"/>
      <c r="J165" s="147"/>
      <c r="K165" s="147"/>
      <c r="L165" s="147"/>
      <c r="M165" s="147"/>
      <c r="N165" s="147"/>
      <c r="O165" s="147"/>
      <c r="P165" s="147"/>
      <c r="Q165" s="146"/>
      <c r="R165" s="146"/>
      <c r="S165" s="146"/>
      <c r="T165" s="146"/>
      <c r="U165" s="146"/>
      <c r="V165" s="146"/>
      <c r="W165" s="146"/>
      <c r="X165" s="146">
        <v>0.11</v>
      </c>
      <c r="Y165" s="148">
        <v>3.0</v>
      </c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</row>
    <row r="166">
      <c r="A166" s="146">
        <f t="shared" si="3"/>
        <v>207</v>
      </c>
      <c r="B166" s="146">
        <v>5.0</v>
      </c>
      <c r="C166" s="147">
        <v>1050.0</v>
      </c>
      <c r="D166" s="147"/>
      <c r="E166" s="146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6"/>
      <c r="S166" s="146"/>
      <c r="T166" s="146"/>
      <c r="U166" s="146"/>
      <c r="V166" s="146"/>
      <c r="W166" s="146"/>
      <c r="X166" s="146">
        <v>0.11</v>
      </c>
      <c r="Y166" s="148">
        <v>4.0</v>
      </c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</row>
    <row r="167">
      <c r="A167" s="146">
        <f t="shared" si="3"/>
        <v>207</v>
      </c>
      <c r="B167" s="146">
        <v>550.0</v>
      </c>
      <c r="C167" s="147"/>
      <c r="D167" s="147"/>
      <c r="E167" s="146"/>
      <c r="F167" s="146">
        <v>9.0</v>
      </c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6"/>
      <c r="S167" s="146"/>
      <c r="T167" s="146"/>
      <c r="U167" s="146"/>
      <c r="V167" s="146"/>
      <c r="W167" s="146"/>
      <c r="X167" s="146">
        <v>0.11</v>
      </c>
      <c r="Y167" s="148">
        <v>1.0</v>
      </c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</row>
    <row r="168">
      <c r="A168" s="146">
        <f t="shared" si="3"/>
        <v>207</v>
      </c>
      <c r="B168" s="146">
        <f>B147/2</f>
        <v>100</v>
      </c>
      <c r="C168" s="146"/>
      <c r="D168" s="146"/>
      <c r="E168" s="146"/>
      <c r="F168" s="146">
        <v>14.0</v>
      </c>
      <c r="G168" s="146"/>
      <c r="H168" s="147"/>
      <c r="I168" s="147"/>
      <c r="J168" s="147"/>
      <c r="K168" s="147"/>
      <c r="L168" s="147"/>
      <c r="M168" s="147"/>
      <c r="N168" s="146"/>
      <c r="O168" s="147"/>
      <c r="P168" s="146"/>
      <c r="Q168" s="147"/>
      <c r="R168" s="146"/>
      <c r="S168" s="146"/>
      <c r="T168" s="146"/>
      <c r="U168" s="146"/>
      <c r="V168" s="146"/>
      <c r="W168" s="146"/>
      <c r="X168" s="146">
        <v>0.11</v>
      </c>
      <c r="Y168" s="148">
        <v>1.0</v>
      </c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</row>
    <row r="169">
      <c r="A169" s="146">
        <f t="shared" si="3"/>
        <v>207</v>
      </c>
      <c r="B169" s="146">
        <v>35.0</v>
      </c>
      <c r="C169" s="147"/>
      <c r="D169" s="147"/>
      <c r="E169" s="146"/>
      <c r="F169" s="146">
        <v>23.0</v>
      </c>
      <c r="G169" s="147"/>
      <c r="H169" s="147"/>
      <c r="I169" s="147"/>
      <c r="J169" s="147"/>
      <c r="K169" s="147"/>
      <c r="L169" s="147"/>
      <c r="M169" s="147"/>
      <c r="N169" s="147"/>
      <c r="O169" s="146"/>
      <c r="P169" s="147"/>
      <c r="Q169" s="147"/>
      <c r="R169" s="146"/>
      <c r="S169" s="146"/>
      <c r="T169" s="146"/>
      <c r="U169" s="146"/>
      <c r="V169" s="146"/>
      <c r="W169" s="146"/>
      <c r="X169" s="146">
        <v>0.11</v>
      </c>
      <c r="Y169" s="148">
        <v>2.0</v>
      </c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</row>
    <row r="170">
      <c r="A170" s="146">
        <f t="shared" si="3"/>
        <v>207</v>
      </c>
      <c r="B170" s="146">
        <f>B149/2</f>
        <v>10</v>
      </c>
      <c r="C170" s="147"/>
      <c r="D170" s="147"/>
      <c r="E170" s="146"/>
      <c r="F170" s="147">
        <v>35.0</v>
      </c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6"/>
      <c r="S170" s="146"/>
      <c r="T170" s="146"/>
      <c r="U170" s="146"/>
      <c r="V170" s="146"/>
      <c r="W170" s="146"/>
      <c r="X170" s="146">
        <v>0.11</v>
      </c>
      <c r="Y170" s="148">
        <v>3.0</v>
      </c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</row>
    <row r="171">
      <c r="A171" s="146">
        <f t="shared" si="3"/>
        <v>207</v>
      </c>
      <c r="B171" s="146">
        <v>5.0</v>
      </c>
      <c r="C171" s="147"/>
      <c r="D171" s="147"/>
      <c r="E171" s="147"/>
      <c r="F171" s="146">
        <v>81.0</v>
      </c>
      <c r="G171" s="147"/>
      <c r="H171" s="147"/>
      <c r="I171" s="147"/>
      <c r="J171" s="146"/>
      <c r="K171" s="147"/>
      <c r="L171" s="146"/>
      <c r="M171" s="147"/>
      <c r="N171" s="147"/>
      <c r="O171" s="147"/>
      <c r="P171" s="147"/>
      <c r="Q171" s="147"/>
      <c r="R171" s="146"/>
      <c r="S171" s="146"/>
      <c r="T171" s="146"/>
      <c r="U171" s="146"/>
      <c r="V171" s="146"/>
      <c r="W171" s="146"/>
      <c r="X171" s="146">
        <v>0.11</v>
      </c>
      <c r="Y171" s="148">
        <v>4.0</v>
      </c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</row>
    <row r="172">
      <c r="A172" s="146">
        <f t="shared" si="3"/>
        <v>207</v>
      </c>
      <c r="B172" s="146">
        <v>550.0</v>
      </c>
      <c r="C172" s="147"/>
      <c r="D172" s="147"/>
      <c r="E172" s="147"/>
      <c r="F172" s="147"/>
      <c r="G172" s="146">
        <v>13.0</v>
      </c>
      <c r="H172" s="147"/>
      <c r="I172" s="147"/>
      <c r="J172" s="146"/>
      <c r="K172" s="147"/>
      <c r="L172" s="146"/>
      <c r="M172" s="147"/>
      <c r="N172" s="147"/>
      <c r="O172" s="147"/>
      <c r="P172" s="147"/>
      <c r="Q172" s="147"/>
      <c r="R172" s="146"/>
      <c r="S172" s="146"/>
      <c r="T172" s="146"/>
      <c r="U172" s="146"/>
      <c r="V172" s="146"/>
      <c r="W172" s="146"/>
      <c r="X172" s="146">
        <v>0.11</v>
      </c>
      <c r="Y172" s="148">
        <v>1.0</v>
      </c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</row>
    <row r="173">
      <c r="A173" s="146">
        <f t="shared" si="3"/>
        <v>207</v>
      </c>
      <c r="B173" s="146">
        <f>B152/2</f>
        <v>100</v>
      </c>
      <c r="C173" s="147"/>
      <c r="D173" s="147"/>
      <c r="E173" s="147"/>
      <c r="F173" s="147"/>
      <c r="G173" s="146">
        <v>19.0</v>
      </c>
      <c r="H173" s="147"/>
      <c r="I173" s="147"/>
      <c r="J173" s="146"/>
      <c r="K173" s="147"/>
      <c r="L173" s="146"/>
      <c r="M173" s="147"/>
      <c r="N173" s="147"/>
      <c r="O173" s="147"/>
      <c r="P173" s="147"/>
      <c r="Q173" s="147"/>
      <c r="R173" s="146"/>
      <c r="S173" s="146"/>
      <c r="T173" s="146"/>
      <c r="U173" s="146"/>
      <c r="V173" s="146"/>
      <c r="W173" s="146"/>
      <c r="X173" s="146">
        <v>0.11</v>
      </c>
      <c r="Y173" s="148">
        <v>1.0</v>
      </c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</row>
    <row r="174">
      <c r="A174" s="146">
        <f t="shared" si="3"/>
        <v>207</v>
      </c>
      <c r="B174" s="146">
        <v>35.0</v>
      </c>
      <c r="C174" s="147"/>
      <c r="D174" s="147"/>
      <c r="E174" s="147"/>
      <c r="F174" s="147"/>
      <c r="G174" s="146">
        <v>32.0</v>
      </c>
      <c r="H174" s="147"/>
      <c r="I174" s="147"/>
      <c r="J174" s="146"/>
      <c r="K174" s="147"/>
      <c r="L174" s="146"/>
      <c r="M174" s="147"/>
      <c r="N174" s="147"/>
      <c r="O174" s="147"/>
      <c r="P174" s="147"/>
      <c r="Q174" s="147"/>
      <c r="R174" s="146"/>
      <c r="S174" s="146"/>
      <c r="T174" s="146"/>
      <c r="U174" s="146"/>
      <c r="V174" s="146"/>
      <c r="W174" s="146"/>
      <c r="X174" s="146">
        <v>0.11</v>
      </c>
      <c r="Y174" s="148">
        <v>2.0</v>
      </c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</row>
    <row r="175">
      <c r="A175" s="146">
        <f t="shared" si="3"/>
        <v>207</v>
      </c>
      <c r="B175" s="146">
        <v>10.0</v>
      </c>
      <c r="C175" s="147"/>
      <c r="D175" s="147"/>
      <c r="E175" s="147"/>
      <c r="F175" s="147"/>
      <c r="G175" s="146">
        <v>61.0</v>
      </c>
      <c r="H175" s="147"/>
      <c r="I175" s="147"/>
      <c r="J175" s="146"/>
      <c r="K175" s="147"/>
      <c r="L175" s="146"/>
      <c r="M175" s="147"/>
      <c r="N175" s="147"/>
      <c r="O175" s="147"/>
      <c r="P175" s="147"/>
      <c r="Q175" s="147"/>
      <c r="R175" s="146"/>
      <c r="S175" s="146"/>
      <c r="T175" s="146"/>
      <c r="U175" s="146"/>
      <c r="V175" s="146"/>
      <c r="W175" s="146"/>
      <c r="X175" s="146">
        <v>0.11</v>
      </c>
      <c r="Y175" s="148">
        <v>3.0</v>
      </c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</row>
    <row r="176">
      <c r="A176" s="146">
        <f t="shared" si="3"/>
        <v>207</v>
      </c>
      <c r="B176" s="146">
        <v>5.0</v>
      </c>
      <c r="C176" s="147"/>
      <c r="D176" s="147"/>
      <c r="E176" s="147"/>
      <c r="F176" s="147"/>
      <c r="G176" s="146">
        <v>103.0</v>
      </c>
      <c r="H176" s="147"/>
      <c r="I176" s="147"/>
      <c r="J176" s="146"/>
      <c r="K176" s="147"/>
      <c r="L176" s="147"/>
      <c r="M176" s="147"/>
      <c r="N176" s="147"/>
      <c r="O176" s="147"/>
      <c r="P176" s="147"/>
      <c r="Q176" s="147"/>
      <c r="R176" s="146"/>
      <c r="S176" s="146"/>
      <c r="T176" s="146"/>
      <c r="U176" s="146"/>
      <c r="V176" s="146"/>
      <c r="W176" s="146"/>
      <c r="X176" s="146">
        <v>0.11</v>
      </c>
      <c r="Y176" s="148">
        <v>4.0</v>
      </c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</row>
    <row r="177">
      <c r="A177" s="146">
        <f t="shared" si="3"/>
        <v>207</v>
      </c>
      <c r="B177" s="146">
        <v>550.0</v>
      </c>
      <c r="C177" s="147"/>
      <c r="D177" s="147"/>
      <c r="E177" s="147"/>
      <c r="F177" s="147"/>
      <c r="G177" s="146"/>
      <c r="H177" s="147"/>
      <c r="I177" s="147"/>
      <c r="J177" s="146"/>
      <c r="K177" s="146">
        <v>0.01</v>
      </c>
      <c r="L177" s="146"/>
      <c r="M177" s="147"/>
      <c r="N177" s="147"/>
      <c r="O177" s="146"/>
      <c r="P177" s="147"/>
      <c r="Q177" s="147"/>
      <c r="R177" s="146"/>
      <c r="S177" s="146"/>
      <c r="T177" s="146"/>
      <c r="U177" s="146"/>
      <c r="V177" s="146"/>
      <c r="W177" s="146"/>
      <c r="X177" s="146">
        <v>0.11</v>
      </c>
      <c r="Y177" s="148">
        <v>1.0</v>
      </c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</row>
    <row r="178">
      <c r="A178" s="146">
        <f t="shared" si="3"/>
        <v>207</v>
      </c>
      <c r="B178" s="146">
        <f>B157/2</f>
        <v>200</v>
      </c>
      <c r="C178" s="147"/>
      <c r="D178" s="147"/>
      <c r="E178" s="147"/>
      <c r="F178" s="147"/>
      <c r="G178" s="146"/>
      <c r="H178" s="147"/>
      <c r="I178" s="147"/>
      <c r="J178" s="146"/>
      <c r="K178" s="146">
        <v>0.03</v>
      </c>
      <c r="L178" s="146"/>
      <c r="M178" s="147"/>
      <c r="N178" s="147"/>
      <c r="O178" s="146"/>
      <c r="P178" s="147"/>
      <c r="Q178" s="147"/>
      <c r="R178" s="146"/>
      <c r="S178" s="146"/>
      <c r="T178" s="146"/>
      <c r="U178" s="146"/>
      <c r="V178" s="146"/>
      <c r="W178" s="146"/>
      <c r="X178" s="146">
        <v>0.11</v>
      </c>
      <c r="Y178" s="148">
        <v>1.0</v>
      </c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</row>
    <row r="179">
      <c r="A179" s="146">
        <f t="shared" si="3"/>
        <v>207</v>
      </c>
      <c r="B179" s="146">
        <v>35.0</v>
      </c>
      <c r="C179" s="147"/>
      <c r="D179" s="147"/>
      <c r="E179" s="147"/>
      <c r="F179" s="147"/>
      <c r="G179" s="146"/>
      <c r="H179" s="147"/>
      <c r="I179" s="147"/>
      <c r="J179" s="146"/>
      <c r="K179" s="146">
        <v>0.05</v>
      </c>
      <c r="L179" s="146"/>
      <c r="M179" s="147"/>
      <c r="N179" s="147"/>
      <c r="O179" s="146"/>
      <c r="P179" s="147"/>
      <c r="Q179" s="147"/>
      <c r="R179" s="146"/>
      <c r="S179" s="146"/>
      <c r="T179" s="146"/>
      <c r="U179" s="146"/>
      <c r="V179" s="146"/>
      <c r="W179" s="146"/>
      <c r="X179" s="146">
        <v>0.11</v>
      </c>
      <c r="Y179" s="148">
        <v>2.0</v>
      </c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</row>
    <row r="180">
      <c r="A180" s="146">
        <f t="shared" si="3"/>
        <v>207</v>
      </c>
      <c r="B180" s="146">
        <v>10.0</v>
      </c>
      <c r="C180" s="147"/>
      <c r="D180" s="147"/>
      <c r="E180" s="147"/>
      <c r="F180" s="147"/>
      <c r="G180" s="146"/>
      <c r="H180" s="147"/>
      <c r="I180" s="147"/>
      <c r="J180" s="146"/>
      <c r="K180" s="147">
        <v>0.09</v>
      </c>
      <c r="L180" s="146"/>
      <c r="M180" s="147"/>
      <c r="N180" s="147"/>
      <c r="O180" s="146"/>
      <c r="P180" s="147"/>
      <c r="Q180" s="147"/>
      <c r="R180" s="146"/>
      <c r="S180" s="146"/>
      <c r="T180" s="146"/>
      <c r="U180" s="146"/>
      <c r="V180" s="146"/>
      <c r="W180" s="146"/>
      <c r="X180" s="146">
        <v>0.11</v>
      </c>
      <c r="Y180" s="148">
        <v>3.0</v>
      </c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</row>
    <row r="181">
      <c r="A181" s="146">
        <f t="shared" si="3"/>
        <v>207</v>
      </c>
      <c r="B181" s="146">
        <v>5.0</v>
      </c>
      <c r="C181" s="147"/>
      <c r="D181" s="147"/>
      <c r="E181" s="147"/>
      <c r="F181" s="147"/>
      <c r="G181" s="146"/>
      <c r="H181" s="147"/>
      <c r="I181" s="147"/>
      <c r="J181" s="146"/>
      <c r="K181" s="147">
        <v>0.15</v>
      </c>
      <c r="L181" s="146"/>
      <c r="M181" s="147"/>
      <c r="N181" s="147"/>
      <c r="O181" s="146"/>
      <c r="P181" s="147"/>
      <c r="Q181" s="147"/>
      <c r="R181" s="146"/>
      <c r="S181" s="146"/>
      <c r="T181" s="146"/>
      <c r="U181" s="146"/>
      <c r="V181" s="146"/>
      <c r="W181" s="146"/>
      <c r="X181" s="146">
        <v>0.11</v>
      </c>
      <c r="Y181" s="148">
        <v>4.0</v>
      </c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</row>
    <row r="182">
      <c r="A182" s="146">
        <f t="shared" si="3"/>
        <v>207</v>
      </c>
      <c r="B182" s="146">
        <v>550.0</v>
      </c>
      <c r="C182" s="147"/>
      <c r="D182" s="147"/>
      <c r="E182" s="147"/>
      <c r="F182" s="147"/>
      <c r="G182" s="146"/>
      <c r="H182" s="147"/>
      <c r="I182" s="147"/>
      <c r="J182" s="146"/>
      <c r="K182" s="147"/>
      <c r="L182" s="146"/>
      <c r="M182" s="147"/>
      <c r="N182" s="146">
        <v>0.01</v>
      </c>
      <c r="O182" s="146"/>
      <c r="P182" s="147"/>
      <c r="Q182" s="147"/>
      <c r="R182" s="146"/>
      <c r="S182" s="146"/>
      <c r="T182" s="146"/>
      <c r="U182" s="146"/>
      <c r="V182" s="146"/>
      <c r="W182" s="146"/>
      <c r="X182" s="146">
        <v>0.11</v>
      </c>
      <c r="Y182" s="148">
        <v>1.0</v>
      </c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</row>
    <row r="183">
      <c r="A183" s="146">
        <f t="shared" si="3"/>
        <v>207</v>
      </c>
      <c r="B183" s="146">
        <f>B162/2</f>
        <v>275</v>
      </c>
      <c r="C183" s="147"/>
      <c r="D183" s="147"/>
      <c r="E183" s="147"/>
      <c r="F183" s="147"/>
      <c r="G183" s="146"/>
      <c r="H183" s="147"/>
      <c r="I183" s="147"/>
      <c r="J183" s="146"/>
      <c r="K183" s="147"/>
      <c r="L183" s="146"/>
      <c r="M183" s="147"/>
      <c r="N183" s="146">
        <v>0.03</v>
      </c>
      <c r="O183" s="146"/>
      <c r="P183" s="147"/>
      <c r="Q183" s="147"/>
      <c r="R183" s="146"/>
      <c r="S183" s="146"/>
      <c r="T183" s="146"/>
      <c r="U183" s="146"/>
      <c r="V183" s="146"/>
      <c r="W183" s="146"/>
      <c r="X183" s="146">
        <v>0.11</v>
      </c>
      <c r="Y183" s="148">
        <v>1.0</v>
      </c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</row>
    <row r="184">
      <c r="A184" s="146">
        <f t="shared" si="3"/>
        <v>207</v>
      </c>
      <c r="B184" s="146">
        <v>35.0</v>
      </c>
      <c r="C184" s="147"/>
      <c r="D184" s="147"/>
      <c r="E184" s="147"/>
      <c r="F184" s="147"/>
      <c r="G184" s="146"/>
      <c r="H184" s="147"/>
      <c r="I184" s="147"/>
      <c r="J184" s="146"/>
      <c r="K184" s="147"/>
      <c r="L184" s="146"/>
      <c r="M184" s="147"/>
      <c r="N184" s="146">
        <v>0.05</v>
      </c>
      <c r="O184" s="146"/>
      <c r="P184" s="147"/>
      <c r="Q184" s="147"/>
      <c r="R184" s="146"/>
      <c r="S184" s="146"/>
      <c r="T184" s="146"/>
      <c r="U184" s="146"/>
      <c r="V184" s="146"/>
      <c r="W184" s="146"/>
      <c r="X184" s="146">
        <v>0.11</v>
      </c>
      <c r="Y184" s="148">
        <v>2.0</v>
      </c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</row>
    <row r="185">
      <c r="A185" s="146">
        <f t="shared" si="3"/>
        <v>207</v>
      </c>
      <c r="B185" s="146">
        <v>10.0</v>
      </c>
      <c r="C185" s="147"/>
      <c r="D185" s="147"/>
      <c r="E185" s="147"/>
      <c r="F185" s="147"/>
      <c r="G185" s="146"/>
      <c r="H185" s="147"/>
      <c r="I185" s="147"/>
      <c r="J185" s="146"/>
      <c r="K185" s="147"/>
      <c r="L185" s="146"/>
      <c r="M185" s="147"/>
      <c r="N185" s="147">
        <v>0.09</v>
      </c>
      <c r="O185" s="146"/>
      <c r="P185" s="147"/>
      <c r="Q185" s="147"/>
      <c r="R185" s="146"/>
      <c r="S185" s="146"/>
      <c r="T185" s="146"/>
      <c r="U185" s="146"/>
      <c r="V185" s="146"/>
      <c r="W185" s="146"/>
      <c r="X185" s="146">
        <v>0.11</v>
      </c>
      <c r="Y185" s="148">
        <v>3.0</v>
      </c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</row>
    <row r="186">
      <c r="A186" s="146">
        <f t="shared" si="3"/>
        <v>207</v>
      </c>
      <c r="B186" s="146">
        <v>5.0</v>
      </c>
      <c r="C186" s="147"/>
      <c r="D186" s="147"/>
      <c r="E186" s="147"/>
      <c r="F186" s="147"/>
      <c r="G186" s="146"/>
      <c r="H186" s="147"/>
      <c r="I186" s="147"/>
      <c r="J186" s="146"/>
      <c r="K186" s="147"/>
      <c r="L186" s="146"/>
      <c r="M186" s="147"/>
      <c r="N186" s="147">
        <v>0.15</v>
      </c>
      <c r="O186" s="146"/>
      <c r="P186" s="147"/>
      <c r="Q186" s="147"/>
      <c r="R186" s="146"/>
      <c r="S186" s="146"/>
      <c r="T186" s="146"/>
      <c r="U186" s="146"/>
      <c r="V186" s="146"/>
      <c r="W186" s="146"/>
      <c r="X186" s="146">
        <v>0.11</v>
      </c>
      <c r="Y186" s="148">
        <v>4.0</v>
      </c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</row>
    <row r="187">
      <c r="A187" s="146">
        <f t="shared" si="3"/>
        <v>207</v>
      </c>
      <c r="B187" s="146">
        <v>550.0</v>
      </c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6">
        <v>0.01</v>
      </c>
      <c r="R187" s="146"/>
      <c r="S187" s="146"/>
      <c r="T187" s="146"/>
      <c r="U187" s="146"/>
      <c r="V187" s="146"/>
      <c r="W187" s="146"/>
      <c r="X187" s="146">
        <v>0.11</v>
      </c>
      <c r="Y187" s="148">
        <v>1.0</v>
      </c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</row>
    <row r="188">
      <c r="A188" s="146">
        <f t="shared" si="3"/>
        <v>207</v>
      </c>
      <c r="B188" s="146">
        <f>B167/2</f>
        <v>275</v>
      </c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6">
        <v>0.03</v>
      </c>
      <c r="R188" s="146"/>
      <c r="S188" s="146"/>
      <c r="T188" s="146"/>
      <c r="U188" s="146"/>
      <c r="V188" s="146"/>
      <c r="W188" s="146"/>
      <c r="X188" s="146">
        <v>0.11</v>
      </c>
      <c r="Y188" s="148">
        <v>1.0</v>
      </c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</row>
    <row r="189">
      <c r="A189" s="146">
        <f t="shared" si="3"/>
        <v>207</v>
      </c>
      <c r="B189" s="146">
        <v>35.0</v>
      </c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6">
        <v>0.05</v>
      </c>
      <c r="R189" s="146"/>
      <c r="S189" s="146"/>
      <c r="T189" s="146"/>
      <c r="U189" s="146"/>
      <c r="V189" s="146"/>
      <c r="W189" s="146"/>
      <c r="X189" s="146">
        <v>0.11</v>
      </c>
      <c r="Y189" s="148">
        <v>2.0</v>
      </c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</row>
    <row r="190">
      <c r="A190" s="146">
        <f t="shared" si="3"/>
        <v>207</v>
      </c>
      <c r="B190" s="146">
        <v>10.0</v>
      </c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>
        <v>0.09</v>
      </c>
      <c r="R190" s="146"/>
      <c r="S190" s="146"/>
      <c r="T190" s="146"/>
      <c r="U190" s="146"/>
      <c r="V190" s="146"/>
      <c r="W190" s="146"/>
      <c r="X190" s="146">
        <v>0.11</v>
      </c>
      <c r="Y190" s="148">
        <v>3.0</v>
      </c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</row>
    <row r="191">
      <c r="A191" s="146">
        <f t="shared" si="3"/>
        <v>207</v>
      </c>
      <c r="B191" s="146">
        <v>5.0</v>
      </c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>
        <v>0.15</v>
      </c>
      <c r="R191" s="146"/>
      <c r="S191" s="146"/>
      <c r="T191" s="146"/>
      <c r="U191" s="146"/>
      <c r="V191" s="146"/>
      <c r="W191" s="146"/>
      <c r="X191" s="146">
        <v>0.11</v>
      </c>
      <c r="Y191" s="148">
        <v>4.0</v>
      </c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</row>
    <row r="192">
      <c r="A192" s="145">
        <f t="shared" si="3"/>
        <v>208</v>
      </c>
      <c r="B192" s="145">
        <v>4050.0</v>
      </c>
      <c r="C192" s="150"/>
      <c r="D192" s="150"/>
      <c r="E192" s="150"/>
      <c r="F192" s="150"/>
      <c r="G192" s="145"/>
      <c r="H192" s="150"/>
      <c r="I192" s="150"/>
      <c r="J192" s="145"/>
      <c r="K192" s="150"/>
      <c r="L192" s="145"/>
      <c r="M192" s="150"/>
      <c r="N192" s="150"/>
      <c r="O192" s="150"/>
      <c r="P192" s="150"/>
      <c r="Q192" s="150"/>
      <c r="R192" s="145"/>
      <c r="S192" s="145"/>
      <c r="T192" s="145"/>
      <c r="U192" s="145"/>
      <c r="V192" s="145"/>
      <c r="W192" s="145"/>
      <c r="X192" s="145">
        <v>0.08</v>
      </c>
      <c r="Y192" s="145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5">
        <f t="shared" si="3"/>
        <v>208</v>
      </c>
      <c r="B193" s="145">
        <v>650.0</v>
      </c>
      <c r="C193" s="150">
        <v>90.0</v>
      </c>
      <c r="D193" s="150"/>
      <c r="E193" s="150"/>
      <c r="F193" s="145"/>
      <c r="G193" s="145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5"/>
      <c r="S193" s="145"/>
      <c r="T193" s="145"/>
      <c r="U193" s="145"/>
      <c r="V193" s="145"/>
      <c r="W193" s="145"/>
      <c r="X193" s="145">
        <v>0.08</v>
      </c>
      <c r="Y193" s="145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5">
        <f t="shared" si="3"/>
        <v>208</v>
      </c>
      <c r="B194" s="145">
        <v>150.0</v>
      </c>
      <c r="C194" s="150">
        <v>165.0</v>
      </c>
      <c r="D194" s="145"/>
      <c r="E194" s="145"/>
      <c r="F194" s="150"/>
      <c r="G194" s="145"/>
      <c r="H194" s="145"/>
      <c r="I194" s="150"/>
      <c r="J194" s="150"/>
      <c r="K194" s="150"/>
      <c r="L194" s="150"/>
      <c r="M194" s="150"/>
      <c r="N194" s="150"/>
      <c r="O194" s="150"/>
      <c r="P194" s="150"/>
      <c r="Q194" s="150"/>
      <c r="R194" s="145"/>
      <c r="S194" s="145"/>
      <c r="T194" s="145"/>
      <c r="U194" s="145"/>
      <c r="V194" s="145"/>
      <c r="W194" s="145"/>
      <c r="X194" s="145">
        <v>0.08</v>
      </c>
      <c r="Y194" s="145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5">
        <f t="shared" si="3"/>
        <v>208</v>
      </c>
      <c r="B195" s="145">
        <v>35.0</v>
      </c>
      <c r="C195" s="150">
        <v>300.0</v>
      </c>
      <c r="D195" s="150"/>
      <c r="E195" s="150"/>
      <c r="F195" s="150"/>
      <c r="G195" s="145"/>
      <c r="H195" s="150"/>
      <c r="I195" s="145"/>
      <c r="J195" s="150"/>
      <c r="K195" s="150"/>
      <c r="L195" s="150"/>
      <c r="M195" s="150"/>
      <c r="N195" s="150"/>
      <c r="O195" s="150"/>
      <c r="P195" s="150"/>
      <c r="Q195" s="150"/>
      <c r="R195" s="145"/>
      <c r="S195" s="145"/>
      <c r="T195" s="145"/>
      <c r="U195" s="145"/>
      <c r="V195" s="145"/>
      <c r="W195" s="145"/>
      <c r="X195" s="145">
        <v>0.08</v>
      </c>
      <c r="Y195" s="145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5">
        <f t="shared" si="3"/>
        <v>208</v>
      </c>
      <c r="B196" s="145">
        <v>10.0</v>
      </c>
      <c r="C196" s="150">
        <v>570.0</v>
      </c>
      <c r="D196" s="145"/>
      <c r="E196" s="145"/>
      <c r="F196" s="150"/>
      <c r="G196" s="145"/>
      <c r="H196" s="150"/>
      <c r="I196" s="150"/>
      <c r="J196" s="150"/>
      <c r="K196" s="150"/>
      <c r="L196" s="150"/>
      <c r="M196" s="150"/>
      <c r="N196" s="150"/>
      <c r="O196" s="150"/>
      <c r="P196" s="150"/>
      <c r="Q196" s="145"/>
      <c r="R196" s="145"/>
      <c r="S196" s="145"/>
      <c r="T196" s="145"/>
      <c r="U196" s="145"/>
      <c r="V196" s="145"/>
      <c r="W196" s="145"/>
      <c r="X196" s="145">
        <v>0.08</v>
      </c>
      <c r="Y196" s="145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5">
        <f t="shared" si="3"/>
        <v>208</v>
      </c>
      <c r="B197" s="145">
        <v>5.0</v>
      </c>
      <c r="C197" s="150">
        <v>1050.0</v>
      </c>
      <c r="D197" s="150"/>
      <c r="E197" s="145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5"/>
      <c r="S197" s="145"/>
      <c r="T197" s="145"/>
      <c r="U197" s="145"/>
      <c r="V197" s="145"/>
      <c r="W197" s="145"/>
      <c r="X197" s="145">
        <v>0.08</v>
      </c>
      <c r="Y197" s="145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5">
        <f t="shared" si="3"/>
        <v>208</v>
      </c>
      <c r="B198" s="145">
        <v>650.0</v>
      </c>
      <c r="C198" s="150"/>
      <c r="D198" s="150"/>
      <c r="E198" s="145"/>
      <c r="F198" s="145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5"/>
      <c r="S198" s="145"/>
      <c r="T198" s="145"/>
      <c r="U198" s="145"/>
      <c r="V198" s="145"/>
      <c r="W198" s="145"/>
      <c r="X198" s="145">
        <v>0.08</v>
      </c>
      <c r="Y198" s="145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5">
        <f t="shared" si="3"/>
        <v>208</v>
      </c>
      <c r="B199" s="145">
        <v>150.0</v>
      </c>
      <c r="C199" s="145"/>
      <c r="D199" s="145"/>
      <c r="E199" s="145"/>
      <c r="F199" s="145">
        <v>14.0</v>
      </c>
      <c r="G199" s="145"/>
      <c r="H199" s="150"/>
      <c r="I199" s="150"/>
      <c r="J199" s="150"/>
      <c r="K199" s="150"/>
      <c r="L199" s="150"/>
      <c r="M199" s="150"/>
      <c r="N199" s="145"/>
      <c r="O199" s="150"/>
      <c r="P199" s="145"/>
      <c r="Q199" s="150"/>
      <c r="R199" s="145"/>
      <c r="S199" s="145"/>
      <c r="T199" s="145"/>
      <c r="U199" s="145"/>
      <c r="V199" s="145"/>
      <c r="W199" s="145"/>
      <c r="X199" s="145">
        <v>0.08</v>
      </c>
      <c r="Y199" s="145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5">
        <f t="shared" si="3"/>
        <v>208</v>
      </c>
      <c r="B200" s="145">
        <v>35.0</v>
      </c>
      <c r="C200" s="150"/>
      <c r="D200" s="150"/>
      <c r="E200" s="145"/>
      <c r="F200" s="145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5"/>
      <c r="P200" s="150"/>
      <c r="Q200" s="150"/>
      <c r="R200" s="145"/>
      <c r="S200" s="145"/>
      <c r="T200" s="145"/>
      <c r="U200" s="145"/>
      <c r="V200" s="145"/>
      <c r="W200" s="145"/>
      <c r="X200" s="145">
        <v>0.08</v>
      </c>
      <c r="Y200" s="145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5">
        <f t="shared" si="3"/>
        <v>208</v>
      </c>
      <c r="B201" s="145">
        <v>10.0</v>
      </c>
      <c r="C201" s="150"/>
      <c r="D201" s="150"/>
      <c r="E201" s="145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5"/>
      <c r="S201" s="145"/>
      <c r="T201" s="145"/>
      <c r="U201" s="145"/>
      <c r="V201" s="145"/>
      <c r="W201" s="145"/>
      <c r="X201" s="145">
        <v>0.08</v>
      </c>
      <c r="Y201" s="145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5">
        <f t="shared" si="3"/>
        <v>208</v>
      </c>
      <c r="B202" s="145">
        <v>5.0</v>
      </c>
      <c r="C202" s="150"/>
      <c r="D202" s="150"/>
      <c r="E202" s="150"/>
      <c r="F202" s="145">
        <v>81.0</v>
      </c>
      <c r="G202" s="150"/>
      <c r="H202" s="150"/>
      <c r="I202" s="150"/>
      <c r="J202" s="145"/>
      <c r="K202" s="150"/>
      <c r="L202" s="145"/>
      <c r="M202" s="150"/>
      <c r="N202" s="150"/>
      <c r="O202" s="150"/>
      <c r="P202" s="150"/>
      <c r="Q202" s="150"/>
      <c r="R202" s="145"/>
      <c r="S202" s="145"/>
      <c r="T202" s="145"/>
      <c r="U202" s="145"/>
      <c r="V202" s="145"/>
      <c r="W202" s="145"/>
      <c r="X202" s="145">
        <v>0.08</v>
      </c>
      <c r="Y202" s="145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5">
        <f t="shared" si="3"/>
        <v>208</v>
      </c>
      <c r="B203" s="145">
        <v>650.0</v>
      </c>
      <c r="C203" s="150"/>
      <c r="D203" s="150"/>
      <c r="E203" s="150"/>
      <c r="F203" s="150"/>
      <c r="G203" s="145">
        <v>13.0</v>
      </c>
      <c r="H203" s="150"/>
      <c r="I203" s="150"/>
      <c r="J203" s="145"/>
      <c r="K203" s="150"/>
      <c r="L203" s="145"/>
      <c r="M203" s="150"/>
      <c r="N203" s="150"/>
      <c r="O203" s="150"/>
      <c r="P203" s="150"/>
      <c r="Q203" s="150"/>
      <c r="R203" s="145"/>
      <c r="S203" s="145"/>
      <c r="T203" s="145"/>
      <c r="U203" s="145"/>
      <c r="V203" s="145"/>
      <c r="W203" s="145"/>
      <c r="X203" s="145">
        <v>0.08</v>
      </c>
      <c r="Y203" s="145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5">
        <f t="shared" si="3"/>
        <v>208</v>
      </c>
      <c r="B204" s="145">
        <v>150.0</v>
      </c>
      <c r="C204" s="150"/>
      <c r="D204" s="150"/>
      <c r="E204" s="150"/>
      <c r="F204" s="150"/>
      <c r="G204" s="145">
        <v>19.0</v>
      </c>
      <c r="H204" s="150"/>
      <c r="I204" s="150"/>
      <c r="J204" s="145"/>
      <c r="K204" s="150"/>
      <c r="L204" s="145"/>
      <c r="M204" s="150"/>
      <c r="N204" s="150"/>
      <c r="O204" s="150"/>
      <c r="P204" s="150"/>
      <c r="Q204" s="150"/>
      <c r="R204" s="145"/>
      <c r="S204" s="145"/>
      <c r="T204" s="145"/>
      <c r="U204" s="145"/>
      <c r="V204" s="145"/>
      <c r="W204" s="145"/>
      <c r="X204" s="145">
        <v>0.08</v>
      </c>
      <c r="Y204" s="145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5">
        <f t="shared" si="3"/>
        <v>208</v>
      </c>
      <c r="B205" s="145">
        <v>35.0</v>
      </c>
      <c r="C205" s="150"/>
      <c r="D205" s="150"/>
      <c r="E205" s="150"/>
      <c r="F205" s="150"/>
      <c r="G205" s="145">
        <v>32.0</v>
      </c>
      <c r="H205" s="150"/>
      <c r="I205" s="150"/>
      <c r="J205" s="145"/>
      <c r="K205" s="150"/>
      <c r="L205" s="145"/>
      <c r="M205" s="150"/>
      <c r="N205" s="150"/>
      <c r="O205" s="150"/>
      <c r="P205" s="150"/>
      <c r="Q205" s="150"/>
      <c r="R205" s="145"/>
      <c r="S205" s="145"/>
      <c r="T205" s="145"/>
      <c r="U205" s="145"/>
      <c r="V205" s="145"/>
      <c r="W205" s="145"/>
      <c r="X205" s="145">
        <v>0.08</v>
      </c>
      <c r="Y205" s="145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5">
        <f t="shared" si="3"/>
        <v>208</v>
      </c>
      <c r="B206" s="145">
        <v>10.0</v>
      </c>
      <c r="C206" s="150"/>
      <c r="D206" s="150"/>
      <c r="E206" s="150"/>
      <c r="F206" s="150"/>
      <c r="G206" s="145">
        <v>61.0</v>
      </c>
      <c r="H206" s="150"/>
      <c r="I206" s="150"/>
      <c r="J206" s="145"/>
      <c r="K206" s="150"/>
      <c r="L206" s="145"/>
      <c r="M206" s="150"/>
      <c r="N206" s="150"/>
      <c r="O206" s="150"/>
      <c r="P206" s="150"/>
      <c r="Q206" s="150"/>
      <c r="R206" s="145"/>
      <c r="S206" s="145"/>
      <c r="T206" s="145"/>
      <c r="U206" s="145"/>
      <c r="V206" s="145"/>
      <c r="W206" s="145"/>
      <c r="X206" s="145">
        <v>0.08</v>
      </c>
      <c r="Y206" s="145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5">
        <f t="shared" si="3"/>
        <v>208</v>
      </c>
      <c r="B207" s="145">
        <v>5.0</v>
      </c>
      <c r="C207" s="150"/>
      <c r="D207" s="150"/>
      <c r="E207" s="150"/>
      <c r="F207" s="150"/>
      <c r="G207" s="145">
        <v>103.0</v>
      </c>
      <c r="H207" s="150"/>
      <c r="I207" s="150"/>
      <c r="J207" s="145"/>
      <c r="K207" s="150"/>
      <c r="L207" s="150"/>
      <c r="M207" s="150"/>
      <c r="N207" s="150"/>
      <c r="O207" s="150"/>
      <c r="P207" s="150"/>
      <c r="Q207" s="150"/>
      <c r="R207" s="145"/>
      <c r="S207" s="145"/>
      <c r="T207" s="145"/>
      <c r="U207" s="145"/>
      <c r="V207" s="145"/>
      <c r="W207" s="145"/>
      <c r="X207" s="145">
        <v>0.08</v>
      </c>
      <c r="Y207" s="145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5">
        <f t="shared" si="3"/>
        <v>208</v>
      </c>
      <c r="B208" s="145">
        <v>650.0</v>
      </c>
      <c r="C208" s="150"/>
      <c r="D208" s="150"/>
      <c r="E208" s="150"/>
      <c r="F208" s="150"/>
      <c r="G208" s="145"/>
      <c r="H208" s="150"/>
      <c r="I208" s="150"/>
      <c r="J208" s="145"/>
      <c r="K208" s="145">
        <v>0.01</v>
      </c>
      <c r="L208" s="145"/>
      <c r="M208" s="150"/>
      <c r="N208" s="150"/>
      <c r="O208" s="145"/>
      <c r="P208" s="150"/>
      <c r="Q208" s="150"/>
      <c r="R208" s="145"/>
      <c r="S208" s="145"/>
      <c r="T208" s="145"/>
      <c r="U208" s="145"/>
      <c r="V208" s="145"/>
      <c r="W208" s="145"/>
      <c r="X208" s="145">
        <v>0.08</v>
      </c>
      <c r="Y208" s="145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5">
        <f t="shared" si="3"/>
        <v>208</v>
      </c>
      <c r="B209" s="145">
        <v>150.0</v>
      </c>
      <c r="C209" s="150"/>
      <c r="D209" s="150"/>
      <c r="E209" s="150"/>
      <c r="F209" s="150"/>
      <c r="G209" s="145"/>
      <c r="H209" s="150"/>
      <c r="I209" s="150"/>
      <c r="J209" s="145"/>
      <c r="K209" s="145">
        <v>0.03</v>
      </c>
      <c r="L209" s="145"/>
      <c r="M209" s="150"/>
      <c r="N209" s="150"/>
      <c r="O209" s="145"/>
      <c r="P209" s="150"/>
      <c r="Q209" s="150"/>
      <c r="R209" s="145"/>
      <c r="S209" s="145"/>
      <c r="T209" s="145"/>
      <c r="U209" s="145"/>
      <c r="V209" s="145"/>
      <c r="W209" s="145"/>
      <c r="X209" s="145">
        <v>0.08</v>
      </c>
      <c r="Y209" s="145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5">
        <f t="shared" si="3"/>
        <v>208</v>
      </c>
      <c r="B210" s="145">
        <v>35.0</v>
      </c>
      <c r="C210" s="150"/>
      <c r="D210" s="150"/>
      <c r="E210" s="150"/>
      <c r="F210" s="150"/>
      <c r="G210" s="145"/>
      <c r="H210" s="150"/>
      <c r="I210" s="150"/>
      <c r="J210" s="145"/>
      <c r="K210" s="145">
        <v>0.05</v>
      </c>
      <c r="L210" s="145"/>
      <c r="M210" s="150"/>
      <c r="N210" s="150"/>
      <c r="O210" s="145"/>
      <c r="P210" s="150"/>
      <c r="Q210" s="150"/>
      <c r="R210" s="145"/>
      <c r="S210" s="145"/>
      <c r="T210" s="145"/>
      <c r="U210" s="145"/>
      <c r="V210" s="145"/>
      <c r="W210" s="145"/>
      <c r="X210" s="145">
        <v>0.08</v>
      </c>
      <c r="Y210" s="145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5">
        <f t="shared" si="3"/>
        <v>208</v>
      </c>
      <c r="B211" s="145">
        <v>10.0</v>
      </c>
      <c r="C211" s="150"/>
      <c r="D211" s="150"/>
      <c r="E211" s="150"/>
      <c r="F211" s="150"/>
      <c r="G211" s="145"/>
      <c r="H211" s="150"/>
      <c r="I211" s="150"/>
      <c r="J211" s="145"/>
      <c r="K211" s="150">
        <v>0.09</v>
      </c>
      <c r="L211" s="145"/>
      <c r="M211" s="150"/>
      <c r="N211" s="150"/>
      <c r="O211" s="145"/>
      <c r="P211" s="150"/>
      <c r="Q211" s="150"/>
      <c r="R211" s="145"/>
      <c r="S211" s="145"/>
      <c r="T211" s="145"/>
      <c r="U211" s="145"/>
      <c r="V211" s="145"/>
      <c r="W211" s="145"/>
      <c r="X211" s="145">
        <v>0.08</v>
      </c>
      <c r="Y211" s="145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5">
        <f t="shared" si="3"/>
        <v>208</v>
      </c>
      <c r="B212" s="145">
        <v>5.0</v>
      </c>
      <c r="C212" s="150"/>
      <c r="D212" s="150"/>
      <c r="E212" s="150"/>
      <c r="F212" s="150"/>
      <c r="G212" s="145"/>
      <c r="H212" s="150"/>
      <c r="I212" s="150"/>
      <c r="J212" s="145"/>
      <c r="K212" s="150">
        <v>0.15</v>
      </c>
      <c r="L212" s="145"/>
      <c r="M212" s="150"/>
      <c r="N212" s="150"/>
      <c r="O212" s="145"/>
      <c r="P212" s="150"/>
      <c r="Q212" s="150"/>
      <c r="R212" s="145"/>
      <c r="S212" s="145"/>
      <c r="T212" s="145"/>
      <c r="U212" s="145"/>
      <c r="V212" s="145"/>
      <c r="W212" s="145"/>
      <c r="X212" s="145">
        <v>0.08</v>
      </c>
      <c r="Y212" s="145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5">
        <f t="shared" si="3"/>
        <v>208</v>
      </c>
      <c r="B213" s="145">
        <v>650.0</v>
      </c>
      <c r="C213" s="150"/>
      <c r="D213" s="150"/>
      <c r="E213" s="150"/>
      <c r="F213" s="150"/>
      <c r="G213" s="145"/>
      <c r="H213" s="150"/>
      <c r="I213" s="150"/>
      <c r="J213" s="145"/>
      <c r="K213" s="150"/>
      <c r="L213" s="145"/>
      <c r="M213" s="150"/>
      <c r="N213" s="145">
        <v>0.01</v>
      </c>
      <c r="O213" s="145"/>
      <c r="P213" s="150"/>
      <c r="Q213" s="150"/>
      <c r="R213" s="145"/>
      <c r="S213" s="145"/>
      <c r="T213" s="145"/>
      <c r="U213" s="145"/>
      <c r="V213" s="145"/>
      <c r="W213" s="145"/>
      <c r="X213" s="145">
        <v>0.08</v>
      </c>
      <c r="Y213" s="145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5">
        <f t="shared" si="3"/>
        <v>208</v>
      </c>
      <c r="B214" s="145">
        <v>150.0</v>
      </c>
      <c r="C214" s="150"/>
      <c r="D214" s="150"/>
      <c r="E214" s="150"/>
      <c r="F214" s="150"/>
      <c r="G214" s="145"/>
      <c r="H214" s="150"/>
      <c r="I214" s="150"/>
      <c r="J214" s="145"/>
      <c r="K214" s="150"/>
      <c r="L214" s="145"/>
      <c r="M214" s="150"/>
      <c r="N214" s="145">
        <v>0.03</v>
      </c>
      <c r="O214" s="145"/>
      <c r="P214" s="150"/>
      <c r="Q214" s="150"/>
      <c r="R214" s="145"/>
      <c r="S214" s="145"/>
      <c r="T214" s="145"/>
      <c r="U214" s="145"/>
      <c r="V214" s="145"/>
      <c r="W214" s="145"/>
      <c r="X214" s="145">
        <v>0.08</v>
      </c>
      <c r="Y214" s="145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5">
        <f t="shared" si="3"/>
        <v>208</v>
      </c>
      <c r="B215" s="145">
        <v>35.0</v>
      </c>
      <c r="C215" s="150"/>
      <c r="D215" s="150"/>
      <c r="E215" s="150"/>
      <c r="F215" s="150"/>
      <c r="G215" s="145"/>
      <c r="H215" s="150"/>
      <c r="I215" s="150"/>
      <c r="J215" s="145"/>
      <c r="K215" s="150"/>
      <c r="L215" s="145"/>
      <c r="M215" s="150"/>
      <c r="N215" s="145">
        <v>0.05</v>
      </c>
      <c r="O215" s="145"/>
      <c r="P215" s="150"/>
      <c r="Q215" s="150"/>
      <c r="R215" s="145"/>
      <c r="S215" s="145"/>
      <c r="T215" s="145"/>
      <c r="U215" s="145"/>
      <c r="V215" s="145"/>
      <c r="W215" s="145"/>
      <c r="X215" s="145">
        <v>0.08</v>
      </c>
      <c r="Y215" s="145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5">
        <f t="shared" si="3"/>
        <v>208</v>
      </c>
      <c r="B216" s="145">
        <v>10.0</v>
      </c>
      <c r="C216" s="150"/>
      <c r="D216" s="150"/>
      <c r="E216" s="150"/>
      <c r="F216" s="150"/>
      <c r="G216" s="145"/>
      <c r="H216" s="150"/>
      <c r="I216" s="150"/>
      <c r="J216" s="145"/>
      <c r="K216" s="150"/>
      <c r="L216" s="145"/>
      <c r="M216" s="150"/>
      <c r="N216" s="150">
        <v>0.09</v>
      </c>
      <c r="O216" s="145"/>
      <c r="P216" s="150"/>
      <c r="Q216" s="150"/>
      <c r="R216" s="145"/>
      <c r="S216" s="145"/>
      <c r="T216" s="145"/>
      <c r="U216" s="145"/>
      <c r="V216" s="145"/>
      <c r="W216" s="145"/>
      <c r="X216" s="145">
        <v>0.08</v>
      </c>
      <c r="Y216" s="145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5">
        <f t="shared" si="3"/>
        <v>208</v>
      </c>
      <c r="B217" s="145">
        <v>5.0</v>
      </c>
      <c r="C217" s="150"/>
      <c r="D217" s="150"/>
      <c r="E217" s="150"/>
      <c r="F217" s="150"/>
      <c r="G217" s="145"/>
      <c r="H217" s="150"/>
      <c r="I217" s="150"/>
      <c r="J217" s="145"/>
      <c r="K217" s="150"/>
      <c r="L217" s="145"/>
      <c r="M217" s="150"/>
      <c r="N217" s="150">
        <v>0.15</v>
      </c>
      <c r="O217" s="145"/>
      <c r="P217" s="150"/>
      <c r="Q217" s="150"/>
      <c r="R217" s="145"/>
      <c r="S217" s="145"/>
      <c r="T217" s="145"/>
      <c r="U217" s="145"/>
      <c r="V217" s="145"/>
      <c r="W217" s="145"/>
      <c r="X217" s="145">
        <v>0.08</v>
      </c>
      <c r="Y217" s="145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5">
        <f t="shared" si="3"/>
        <v>208</v>
      </c>
      <c r="B218" s="145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5">
        <v>0.01</v>
      </c>
      <c r="R218" s="145"/>
      <c r="S218" s="145"/>
      <c r="T218" s="145"/>
      <c r="U218" s="145"/>
      <c r="V218" s="145"/>
      <c r="W218" s="145"/>
      <c r="X218" s="145">
        <v>0.08</v>
      </c>
      <c r="Y218" s="145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5">
        <f t="shared" si="3"/>
        <v>208</v>
      </c>
      <c r="B219" s="145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5">
        <v>0.03</v>
      </c>
      <c r="R219" s="145"/>
      <c r="S219" s="145"/>
      <c r="T219" s="145"/>
      <c r="U219" s="145"/>
      <c r="V219" s="145"/>
      <c r="W219" s="145"/>
      <c r="X219" s="145">
        <v>0.08</v>
      </c>
      <c r="Y219" s="145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5">
        <f t="shared" si="3"/>
        <v>208</v>
      </c>
      <c r="B220" s="145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5">
        <v>0.05</v>
      </c>
      <c r="R220" s="145"/>
      <c r="S220" s="145"/>
      <c r="T220" s="145"/>
      <c r="U220" s="145"/>
      <c r="V220" s="145"/>
      <c r="W220" s="145"/>
      <c r="X220" s="145">
        <v>0.08</v>
      </c>
      <c r="Y220" s="145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5">
        <f t="shared" si="3"/>
        <v>208</v>
      </c>
      <c r="B221" s="145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5"/>
      <c r="S221" s="145"/>
      <c r="T221" s="145"/>
      <c r="U221" s="145"/>
      <c r="V221" s="145"/>
      <c r="W221" s="145"/>
      <c r="X221" s="145">
        <v>0.08</v>
      </c>
      <c r="Y221" s="145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5">
        <f t="shared" si="3"/>
        <v>208</v>
      </c>
      <c r="B222" s="145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5"/>
      <c r="S222" s="145"/>
      <c r="T222" s="145"/>
      <c r="U222" s="145"/>
      <c r="V222" s="145"/>
      <c r="W222" s="145"/>
      <c r="X222" s="145">
        <v>0.08</v>
      </c>
      <c r="Y222" s="145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5">
        <f t="shared" si="3"/>
        <v>208</v>
      </c>
      <c r="B223" s="145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5">
        <v>0.01</v>
      </c>
      <c r="M223" s="150"/>
      <c r="N223" s="150"/>
      <c r="O223" s="150"/>
      <c r="P223" s="150"/>
      <c r="Q223" s="150"/>
      <c r="R223" s="145"/>
      <c r="S223" s="145"/>
      <c r="T223" s="145"/>
      <c r="U223" s="145"/>
      <c r="V223" s="145"/>
      <c r="W223" s="145"/>
      <c r="X223" s="145">
        <v>0.08</v>
      </c>
      <c r="Y223" s="145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5">
        <f t="shared" si="3"/>
        <v>208</v>
      </c>
      <c r="B224" s="145">
        <v>150.0</v>
      </c>
      <c r="C224" s="150"/>
      <c r="D224" s="150"/>
      <c r="E224" s="150"/>
      <c r="F224" s="150"/>
      <c r="G224" s="145"/>
      <c r="H224" s="150"/>
      <c r="I224" s="150"/>
      <c r="J224" s="150"/>
      <c r="K224" s="150"/>
      <c r="L224" s="145">
        <v>0.03</v>
      </c>
      <c r="M224" s="150"/>
      <c r="N224" s="150"/>
      <c r="O224" s="150"/>
      <c r="P224" s="150"/>
      <c r="Q224" s="150"/>
      <c r="R224" s="145"/>
      <c r="S224" s="145"/>
      <c r="T224" s="145"/>
      <c r="U224" s="145"/>
      <c r="V224" s="145"/>
      <c r="W224" s="145"/>
      <c r="X224" s="145">
        <v>0.08</v>
      </c>
      <c r="Y224" s="145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5">
        <f t="shared" si="3"/>
        <v>208</v>
      </c>
      <c r="B225" s="145">
        <v>35.0</v>
      </c>
      <c r="C225" s="150"/>
      <c r="D225" s="150"/>
      <c r="E225" s="150"/>
      <c r="F225" s="150"/>
      <c r="G225" s="145"/>
      <c r="H225" s="145"/>
      <c r="I225" s="150"/>
      <c r="J225" s="150"/>
      <c r="K225" s="150"/>
      <c r="L225" s="145">
        <v>0.05</v>
      </c>
      <c r="M225" s="150"/>
      <c r="N225" s="150"/>
      <c r="O225" s="150"/>
      <c r="P225" s="150"/>
      <c r="Q225" s="150"/>
      <c r="R225" s="145"/>
      <c r="S225" s="145"/>
      <c r="T225" s="145"/>
      <c r="U225" s="145"/>
      <c r="V225" s="145"/>
      <c r="W225" s="145"/>
      <c r="X225" s="145">
        <v>0.08</v>
      </c>
      <c r="Y225" s="145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5">
        <f t="shared" si="3"/>
        <v>208</v>
      </c>
      <c r="B226" s="145">
        <v>10.0</v>
      </c>
      <c r="C226" s="150"/>
      <c r="D226" s="150"/>
      <c r="E226" s="150"/>
      <c r="F226" s="150"/>
      <c r="G226" s="145"/>
      <c r="H226" s="150"/>
      <c r="I226" s="145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5"/>
      <c r="S226" s="145"/>
      <c r="T226" s="145"/>
      <c r="U226" s="145"/>
      <c r="V226" s="145"/>
      <c r="W226" s="145"/>
      <c r="X226" s="145">
        <v>0.08</v>
      </c>
      <c r="Y226" s="145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5">
        <f t="shared" si="3"/>
        <v>208</v>
      </c>
      <c r="B227" s="145">
        <v>5.0</v>
      </c>
      <c r="C227" s="150"/>
      <c r="D227" s="150"/>
      <c r="E227" s="150"/>
      <c r="F227" s="150"/>
      <c r="G227" s="145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5"/>
      <c r="R227" s="145"/>
      <c r="S227" s="145"/>
      <c r="T227" s="145"/>
      <c r="U227" s="145"/>
      <c r="V227" s="145"/>
      <c r="W227" s="145"/>
      <c r="X227" s="145">
        <v>0.08</v>
      </c>
      <c r="Y227" s="145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42">
        <v>209.0</v>
      </c>
      <c r="B228" s="142">
        <v>950.0</v>
      </c>
      <c r="C228" s="142">
        <v>65.0</v>
      </c>
      <c r="D228" s="143"/>
      <c r="E228" s="143"/>
      <c r="F228" s="143"/>
      <c r="G228" s="142"/>
      <c r="H228" s="143"/>
      <c r="I228" s="143"/>
      <c r="J228" s="142"/>
      <c r="K228" s="143"/>
      <c r="L228" s="142"/>
      <c r="M228" s="143"/>
      <c r="N228" s="143"/>
      <c r="O228" s="143"/>
      <c r="P228" s="143"/>
      <c r="Q228" s="143"/>
      <c r="R228" s="142"/>
      <c r="S228" s="142"/>
      <c r="T228" s="142"/>
      <c r="U228" s="142"/>
      <c r="V228" s="142"/>
      <c r="W228" s="142"/>
      <c r="X228" s="142">
        <v>0.15</v>
      </c>
      <c r="Y228" s="142">
        <v>1.0</v>
      </c>
    </row>
    <row r="229">
      <c r="A229" s="142">
        <v>209.0</v>
      </c>
      <c r="B229" s="142">
        <v>200.0</v>
      </c>
      <c r="C229" s="142">
        <v>115.0</v>
      </c>
      <c r="D229" s="143"/>
      <c r="E229" s="143"/>
      <c r="F229" s="142"/>
      <c r="G229" s="142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2"/>
      <c r="S229" s="142"/>
      <c r="T229" s="142"/>
      <c r="U229" s="142"/>
      <c r="V229" s="142"/>
      <c r="W229" s="142"/>
      <c r="X229" s="142">
        <v>0.15</v>
      </c>
      <c r="Y229" s="142">
        <v>1.0</v>
      </c>
    </row>
    <row r="230">
      <c r="A230" s="142">
        <v>209.0</v>
      </c>
      <c r="B230" s="142">
        <v>75.0</v>
      </c>
      <c r="C230" s="142">
        <v>210.0</v>
      </c>
      <c r="D230" s="143"/>
      <c r="E230" s="142"/>
      <c r="F230" s="143"/>
      <c r="G230" s="142"/>
      <c r="H230" s="142"/>
      <c r="I230" s="143"/>
      <c r="J230" s="143"/>
      <c r="K230" s="143"/>
      <c r="L230" s="143"/>
      <c r="M230" s="143"/>
      <c r="N230" s="143"/>
      <c r="O230" s="143"/>
      <c r="P230" s="143"/>
      <c r="Q230" s="143"/>
      <c r="R230" s="142"/>
      <c r="S230" s="142"/>
      <c r="T230" s="142"/>
      <c r="U230" s="142"/>
      <c r="V230" s="142"/>
      <c r="W230" s="142"/>
      <c r="X230" s="142">
        <v>0.15</v>
      </c>
      <c r="Y230" s="142">
        <v>2.0</v>
      </c>
    </row>
    <row r="231">
      <c r="A231" s="142">
        <v>209.0</v>
      </c>
      <c r="B231" s="142">
        <v>20.0</v>
      </c>
      <c r="C231" s="142">
        <v>400.0</v>
      </c>
      <c r="D231" s="143"/>
      <c r="E231" s="143"/>
      <c r="F231" s="143"/>
      <c r="G231" s="142"/>
      <c r="H231" s="143"/>
      <c r="I231" s="142"/>
      <c r="J231" s="143"/>
      <c r="K231" s="143"/>
      <c r="L231" s="143"/>
      <c r="M231" s="143"/>
      <c r="N231" s="143"/>
      <c r="O231" s="143"/>
      <c r="P231" s="143"/>
      <c r="Q231" s="143"/>
      <c r="R231" s="142"/>
      <c r="S231" s="142"/>
      <c r="T231" s="142"/>
      <c r="U231" s="142"/>
      <c r="V231" s="142"/>
      <c r="W231" s="142"/>
      <c r="X231" s="142">
        <v>0.15</v>
      </c>
      <c r="Y231" s="142">
        <v>3.0</v>
      </c>
    </row>
    <row r="232">
      <c r="A232" s="142">
        <v>209.0</v>
      </c>
      <c r="B232" s="142">
        <v>5.0</v>
      </c>
      <c r="C232" s="142">
        <v>730.0</v>
      </c>
      <c r="D232" s="143"/>
      <c r="E232" s="142"/>
      <c r="F232" s="143"/>
      <c r="G232" s="142"/>
      <c r="H232" s="143"/>
      <c r="I232" s="143"/>
      <c r="J232" s="143"/>
      <c r="K232" s="143"/>
      <c r="L232" s="143"/>
      <c r="M232" s="143"/>
      <c r="N232" s="143"/>
      <c r="O232" s="143"/>
      <c r="P232" s="143"/>
      <c r="Q232" s="142"/>
      <c r="R232" s="142"/>
      <c r="S232" s="142"/>
      <c r="T232" s="142"/>
      <c r="U232" s="142"/>
      <c r="V232" s="142"/>
      <c r="W232" s="142"/>
      <c r="X232" s="142">
        <v>0.15</v>
      </c>
      <c r="Y232" s="142">
        <v>4.0</v>
      </c>
    </row>
    <row r="233">
      <c r="A233" s="142">
        <v>209.0</v>
      </c>
      <c r="B233" s="142">
        <v>1900.0</v>
      </c>
      <c r="C233" s="143"/>
      <c r="D233" s="143"/>
      <c r="E233" s="142"/>
      <c r="F233" s="142">
        <v>6.0</v>
      </c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2"/>
      <c r="S233" s="142"/>
      <c r="T233" s="142"/>
      <c r="U233" s="142"/>
      <c r="V233" s="142"/>
      <c r="W233" s="142"/>
      <c r="X233" s="142">
        <v>0.15</v>
      </c>
      <c r="Y233" s="142">
        <v>1.0</v>
      </c>
    </row>
    <row r="234">
      <c r="A234" s="142">
        <v>209.0</v>
      </c>
      <c r="B234" s="142">
        <v>400.0</v>
      </c>
      <c r="C234" s="143"/>
      <c r="D234" s="143"/>
      <c r="E234" s="142"/>
      <c r="F234" s="142">
        <v>10.0</v>
      </c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2"/>
      <c r="S234" s="142"/>
      <c r="T234" s="142"/>
      <c r="U234" s="142"/>
      <c r="V234" s="142"/>
      <c r="W234" s="142"/>
      <c r="X234" s="142">
        <v>0.15</v>
      </c>
      <c r="Y234" s="142">
        <v>1.0</v>
      </c>
    </row>
    <row r="235">
      <c r="A235" s="142">
        <v>209.0</v>
      </c>
      <c r="B235" s="142">
        <v>150.0</v>
      </c>
      <c r="C235" s="142"/>
      <c r="D235" s="142"/>
      <c r="E235" s="142"/>
      <c r="F235" s="142">
        <v>16.0</v>
      </c>
      <c r="G235" s="143"/>
      <c r="H235" s="143"/>
      <c r="I235" s="143"/>
      <c r="J235" s="143"/>
      <c r="K235" s="143"/>
      <c r="L235" s="143"/>
      <c r="M235" s="143"/>
      <c r="N235" s="142"/>
      <c r="O235" s="142"/>
      <c r="P235" s="142"/>
      <c r="Q235" s="143"/>
      <c r="R235" s="142"/>
      <c r="S235" s="142"/>
      <c r="T235" s="142"/>
      <c r="U235" s="142"/>
      <c r="V235" s="142"/>
      <c r="W235" s="142"/>
      <c r="X235" s="142">
        <v>0.15</v>
      </c>
      <c r="Y235" s="142">
        <v>2.0</v>
      </c>
    </row>
    <row r="236">
      <c r="A236" s="142">
        <v>209.0</v>
      </c>
      <c r="B236" s="142">
        <v>40.0</v>
      </c>
      <c r="C236" s="143"/>
      <c r="D236" s="143"/>
      <c r="E236" s="142"/>
      <c r="F236" s="142">
        <v>24.0</v>
      </c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2"/>
      <c r="S236" s="142"/>
      <c r="T236" s="142"/>
      <c r="U236" s="142"/>
      <c r="V236" s="142"/>
      <c r="W236" s="142"/>
      <c r="X236" s="142">
        <v>0.15</v>
      </c>
      <c r="Y236" s="142">
        <v>3.0</v>
      </c>
    </row>
    <row r="237">
      <c r="A237" s="142">
        <v>209.0</v>
      </c>
      <c r="B237" s="142">
        <v>10.0</v>
      </c>
      <c r="C237" s="143"/>
      <c r="D237" s="143"/>
      <c r="E237" s="142"/>
      <c r="F237" s="142">
        <v>57.0</v>
      </c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2"/>
      <c r="S237" s="142"/>
      <c r="T237" s="142"/>
      <c r="U237" s="142"/>
      <c r="V237" s="142"/>
      <c r="W237" s="142"/>
      <c r="X237" s="142">
        <v>0.15</v>
      </c>
      <c r="Y237" s="142">
        <v>4.0</v>
      </c>
    </row>
    <row r="238">
      <c r="A238" s="142">
        <v>209.0</v>
      </c>
      <c r="B238" s="142">
        <v>1900.0</v>
      </c>
      <c r="C238" s="143"/>
      <c r="D238" s="143"/>
      <c r="E238" s="143"/>
      <c r="F238" s="143"/>
      <c r="G238" s="142">
        <v>9.0</v>
      </c>
      <c r="H238" s="143"/>
      <c r="I238" s="143"/>
      <c r="J238" s="142"/>
      <c r="K238" s="143"/>
      <c r="L238" s="142"/>
      <c r="M238" s="143"/>
      <c r="N238" s="143"/>
      <c r="O238" s="143"/>
      <c r="P238" s="143"/>
      <c r="Q238" s="143"/>
      <c r="R238" s="142"/>
      <c r="S238" s="142"/>
      <c r="T238" s="142"/>
      <c r="U238" s="142"/>
      <c r="V238" s="142"/>
      <c r="W238" s="142"/>
      <c r="X238" s="142">
        <v>0.15</v>
      </c>
      <c r="Y238" s="142">
        <v>1.0</v>
      </c>
    </row>
    <row r="239">
      <c r="A239" s="142">
        <v>209.0</v>
      </c>
      <c r="B239" s="142">
        <v>400.0</v>
      </c>
      <c r="C239" s="143"/>
      <c r="D239" s="143"/>
      <c r="E239" s="143"/>
      <c r="F239" s="143"/>
      <c r="G239" s="142">
        <v>13.0</v>
      </c>
      <c r="H239" s="143"/>
      <c r="I239" s="143"/>
      <c r="J239" s="142"/>
      <c r="K239" s="143"/>
      <c r="L239" s="142"/>
      <c r="M239" s="143"/>
      <c r="N239" s="143"/>
      <c r="O239" s="143"/>
      <c r="P239" s="143"/>
      <c r="Q239" s="143"/>
      <c r="R239" s="142"/>
      <c r="S239" s="142"/>
      <c r="T239" s="142"/>
      <c r="U239" s="142"/>
      <c r="V239" s="142"/>
      <c r="W239" s="142"/>
      <c r="X239" s="142">
        <v>0.15</v>
      </c>
      <c r="Y239" s="142">
        <v>1.0</v>
      </c>
    </row>
    <row r="240">
      <c r="A240" s="142">
        <v>209.0</v>
      </c>
      <c r="B240" s="142">
        <v>150.0</v>
      </c>
      <c r="C240" s="143"/>
      <c r="D240" s="143"/>
      <c r="E240" s="143"/>
      <c r="F240" s="143"/>
      <c r="G240" s="142">
        <v>22.0</v>
      </c>
      <c r="H240" s="143"/>
      <c r="I240" s="143"/>
      <c r="J240" s="142"/>
      <c r="K240" s="143"/>
      <c r="L240" s="142"/>
      <c r="M240" s="143"/>
      <c r="N240" s="143"/>
      <c r="O240" s="143"/>
      <c r="P240" s="143"/>
      <c r="Q240" s="143"/>
      <c r="R240" s="142"/>
      <c r="S240" s="142"/>
      <c r="T240" s="142"/>
      <c r="U240" s="142"/>
      <c r="V240" s="142"/>
      <c r="W240" s="142"/>
      <c r="X240" s="142">
        <v>0.15</v>
      </c>
      <c r="Y240" s="142">
        <v>2.0</v>
      </c>
    </row>
    <row r="241">
      <c r="A241" s="142">
        <v>209.0</v>
      </c>
      <c r="B241" s="142">
        <v>40.0</v>
      </c>
      <c r="C241" s="143"/>
      <c r="D241" s="143"/>
      <c r="E241" s="143"/>
      <c r="F241" s="143"/>
      <c r="G241" s="142">
        <v>42.0</v>
      </c>
      <c r="H241" s="143"/>
      <c r="I241" s="143"/>
      <c r="J241" s="142"/>
      <c r="K241" s="143"/>
      <c r="L241" s="142"/>
      <c r="M241" s="143"/>
      <c r="N241" s="143"/>
      <c r="O241" s="143"/>
      <c r="P241" s="143"/>
      <c r="Q241" s="143"/>
      <c r="R241" s="142"/>
      <c r="S241" s="142"/>
      <c r="T241" s="142"/>
      <c r="U241" s="142"/>
      <c r="V241" s="142"/>
      <c r="W241" s="142"/>
      <c r="X241" s="142">
        <v>0.15</v>
      </c>
      <c r="Y241" s="142">
        <v>3.0</v>
      </c>
    </row>
    <row r="242">
      <c r="A242" s="142">
        <v>209.0</v>
      </c>
      <c r="B242" s="142">
        <v>10.0</v>
      </c>
      <c r="C242" s="143"/>
      <c r="D242" s="143"/>
      <c r="E242" s="143"/>
      <c r="F242" s="143"/>
      <c r="G242" s="142">
        <v>72.0</v>
      </c>
      <c r="H242" s="143"/>
      <c r="I242" s="143"/>
      <c r="J242" s="142"/>
      <c r="K242" s="143"/>
      <c r="L242" s="142"/>
      <c r="M242" s="143"/>
      <c r="N242" s="143"/>
      <c r="O242" s="143"/>
      <c r="P242" s="143"/>
      <c r="Q242" s="143"/>
      <c r="R242" s="142"/>
      <c r="S242" s="142"/>
      <c r="T242" s="142"/>
      <c r="U242" s="142"/>
      <c r="V242" s="142"/>
      <c r="W242" s="142"/>
      <c r="X242" s="142">
        <v>0.15</v>
      </c>
      <c r="Y242" s="142">
        <v>4.0</v>
      </c>
    </row>
    <row r="243">
      <c r="A243" s="142">
        <v>209.0</v>
      </c>
      <c r="B243" s="142">
        <v>950.0</v>
      </c>
      <c r="C243" s="143"/>
      <c r="D243" s="142">
        <v>4.0</v>
      </c>
      <c r="E243" s="143"/>
      <c r="F243" s="142"/>
      <c r="G243" s="143"/>
      <c r="H243" s="143"/>
      <c r="I243" s="143"/>
      <c r="J243" s="142"/>
      <c r="K243" s="143"/>
      <c r="L243" s="142"/>
      <c r="M243" s="143"/>
      <c r="N243" s="143"/>
      <c r="O243" s="143"/>
      <c r="P243" s="143"/>
      <c r="Q243" s="143"/>
      <c r="R243" s="142"/>
      <c r="S243" s="142"/>
      <c r="T243" s="142"/>
      <c r="U243" s="142"/>
      <c r="V243" s="142"/>
      <c r="W243" s="142"/>
      <c r="X243" s="142">
        <v>0.15</v>
      </c>
      <c r="Y243" s="142">
        <v>1.0</v>
      </c>
    </row>
    <row r="244">
      <c r="A244" s="142">
        <v>209.0</v>
      </c>
      <c r="B244" s="142">
        <v>200.0</v>
      </c>
      <c r="C244" s="143"/>
      <c r="D244" s="142">
        <v>8.0</v>
      </c>
      <c r="E244" s="143"/>
      <c r="F244" s="142"/>
      <c r="G244" s="143"/>
      <c r="H244" s="143"/>
      <c r="I244" s="143"/>
      <c r="J244" s="142"/>
      <c r="K244" s="143"/>
      <c r="L244" s="142"/>
      <c r="M244" s="143"/>
      <c r="N244" s="143"/>
      <c r="O244" s="143"/>
      <c r="P244" s="143"/>
      <c r="Q244" s="143"/>
      <c r="R244" s="142"/>
      <c r="S244" s="142"/>
      <c r="T244" s="142"/>
      <c r="U244" s="142"/>
      <c r="V244" s="142"/>
      <c r="W244" s="142"/>
      <c r="X244" s="142">
        <v>0.15</v>
      </c>
      <c r="Y244" s="142">
        <v>1.0</v>
      </c>
    </row>
    <row r="245">
      <c r="A245" s="142">
        <v>209.0</v>
      </c>
      <c r="B245" s="142">
        <v>75.0</v>
      </c>
      <c r="C245" s="142"/>
      <c r="D245" s="142">
        <v>11.0</v>
      </c>
      <c r="E245" s="142"/>
      <c r="F245" s="142"/>
      <c r="G245" s="142"/>
      <c r="H245" s="143"/>
      <c r="I245" s="143"/>
      <c r="J245" s="142"/>
      <c r="K245" s="143"/>
      <c r="L245" s="142"/>
      <c r="M245" s="143"/>
      <c r="N245" s="143"/>
      <c r="O245" s="143"/>
      <c r="P245" s="143"/>
      <c r="Q245" s="143"/>
      <c r="R245" s="142"/>
      <c r="S245" s="142"/>
      <c r="T245" s="142"/>
      <c r="U245" s="142"/>
      <c r="V245" s="142"/>
      <c r="W245" s="142"/>
      <c r="X245" s="142">
        <v>0.15</v>
      </c>
      <c r="Y245" s="142">
        <v>2.0</v>
      </c>
    </row>
    <row r="246">
      <c r="A246" s="142">
        <v>209.0</v>
      </c>
      <c r="B246" s="142">
        <v>20.0</v>
      </c>
      <c r="C246" s="143"/>
      <c r="D246" s="142">
        <v>17.0</v>
      </c>
      <c r="E246" s="143"/>
      <c r="F246" s="142"/>
      <c r="G246" s="143"/>
      <c r="H246" s="143"/>
      <c r="I246" s="143"/>
      <c r="J246" s="142"/>
      <c r="K246" s="143"/>
      <c r="L246" s="142"/>
      <c r="M246" s="143"/>
      <c r="N246" s="143"/>
      <c r="O246" s="143"/>
      <c r="P246" s="143"/>
      <c r="Q246" s="143"/>
      <c r="R246" s="142"/>
      <c r="S246" s="142"/>
      <c r="T246" s="142"/>
      <c r="U246" s="142"/>
      <c r="V246" s="142"/>
      <c r="W246" s="142"/>
      <c r="X246" s="142">
        <v>0.15</v>
      </c>
      <c r="Y246" s="142">
        <v>3.0</v>
      </c>
    </row>
    <row r="247">
      <c r="A247" s="142">
        <v>209.0</v>
      </c>
      <c r="B247" s="142">
        <v>5.0</v>
      </c>
      <c r="C247" s="143"/>
      <c r="D247" s="142">
        <v>40.0</v>
      </c>
      <c r="E247" s="143"/>
      <c r="F247" s="142"/>
      <c r="G247" s="143"/>
      <c r="H247" s="143"/>
      <c r="I247" s="143"/>
      <c r="J247" s="142"/>
      <c r="K247" s="143"/>
      <c r="L247" s="142"/>
      <c r="M247" s="143"/>
      <c r="N247" s="143"/>
      <c r="O247" s="143"/>
      <c r="P247" s="143"/>
      <c r="Q247" s="143"/>
      <c r="R247" s="142"/>
      <c r="S247" s="142"/>
      <c r="T247" s="142"/>
      <c r="U247" s="142"/>
      <c r="V247" s="142"/>
      <c r="W247" s="142"/>
      <c r="X247" s="142">
        <v>0.15</v>
      </c>
      <c r="Y247" s="142">
        <v>4.0</v>
      </c>
    </row>
    <row r="248">
      <c r="A248" s="142">
        <v>209.0</v>
      </c>
      <c r="B248" s="142">
        <v>950.0</v>
      </c>
      <c r="C248" s="143"/>
      <c r="D248" s="143"/>
      <c r="E248" s="142">
        <v>6.0</v>
      </c>
      <c r="F248" s="142"/>
      <c r="G248" s="142"/>
      <c r="H248" s="143"/>
      <c r="I248" s="143"/>
      <c r="J248" s="142"/>
      <c r="K248" s="143"/>
      <c r="L248" s="142"/>
      <c r="M248" s="143"/>
      <c r="N248" s="143"/>
      <c r="O248" s="143"/>
      <c r="P248" s="143"/>
      <c r="Q248" s="143"/>
      <c r="R248" s="142"/>
      <c r="S248" s="142"/>
      <c r="T248" s="142"/>
      <c r="U248" s="142"/>
      <c r="V248" s="142"/>
      <c r="W248" s="142"/>
      <c r="X248" s="142">
        <v>0.15</v>
      </c>
      <c r="Y248" s="142">
        <v>1.0</v>
      </c>
    </row>
    <row r="249">
      <c r="A249" s="142">
        <v>209.0</v>
      </c>
      <c r="B249" s="142">
        <v>200.0</v>
      </c>
      <c r="C249" s="143"/>
      <c r="D249" s="143"/>
      <c r="E249" s="142">
        <v>10.0</v>
      </c>
      <c r="F249" s="142"/>
      <c r="G249" s="142"/>
      <c r="H249" s="143"/>
      <c r="I249" s="143"/>
      <c r="J249" s="142"/>
      <c r="K249" s="143"/>
      <c r="L249" s="142"/>
      <c r="M249" s="143"/>
      <c r="N249" s="143"/>
      <c r="O249" s="143"/>
      <c r="P249" s="143"/>
      <c r="Q249" s="143"/>
      <c r="R249" s="142"/>
      <c r="S249" s="142"/>
      <c r="T249" s="142"/>
      <c r="U249" s="142"/>
      <c r="V249" s="142"/>
      <c r="W249" s="142"/>
      <c r="X249" s="142">
        <v>0.15</v>
      </c>
      <c r="Y249" s="142">
        <v>1.0</v>
      </c>
    </row>
    <row r="250">
      <c r="A250" s="142">
        <v>209.0</v>
      </c>
      <c r="B250" s="142">
        <v>75.0</v>
      </c>
      <c r="C250" s="143"/>
      <c r="D250" s="143"/>
      <c r="E250" s="142">
        <v>17.0</v>
      </c>
      <c r="F250" s="142"/>
      <c r="G250" s="142"/>
      <c r="H250" s="143"/>
      <c r="I250" s="143"/>
      <c r="J250" s="142"/>
      <c r="K250" s="143"/>
      <c r="L250" s="142"/>
      <c r="M250" s="143"/>
      <c r="N250" s="143"/>
      <c r="O250" s="143"/>
      <c r="P250" s="143"/>
      <c r="Q250" s="143"/>
      <c r="R250" s="142"/>
      <c r="S250" s="142"/>
      <c r="T250" s="142"/>
      <c r="U250" s="142"/>
      <c r="V250" s="142"/>
      <c r="W250" s="142"/>
      <c r="X250" s="142">
        <v>0.15</v>
      </c>
      <c r="Y250" s="142">
        <v>2.0</v>
      </c>
    </row>
    <row r="251">
      <c r="A251" s="142">
        <v>209.0</v>
      </c>
      <c r="B251" s="142">
        <v>20.0</v>
      </c>
      <c r="C251" s="143"/>
      <c r="D251" s="143"/>
      <c r="E251" s="142">
        <v>30.0</v>
      </c>
      <c r="F251" s="142"/>
      <c r="G251" s="142"/>
      <c r="H251" s="143"/>
      <c r="I251" s="143"/>
      <c r="J251" s="142"/>
      <c r="K251" s="143"/>
      <c r="L251" s="142"/>
      <c r="M251" s="143"/>
      <c r="N251" s="143"/>
      <c r="O251" s="143"/>
      <c r="P251" s="143"/>
      <c r="Q251" s="143"/>
      <c r="R251" s="142"/>
      <c r="S251" s="142"/>
      <c r="T251" s="142"/>
      <c r="U251" s="142"/>
      <c r="V251" s="142"/>
      <c r="W251" s="142"/>
      <c r="X251" s="142">
        <v>0.15</v>
      </c>
      <c r="Y251" s="142">
        <v>3.0</v>
      </c>
    </row>
    <row r="252">
      <c r="A252" s="142">
        <v>209.0</v>
      </c>
      <c r="B252" s="142">
        <v>5.0</v>
      </c>
      <c r="C252" s="143"/>
      <c r="D252" s="143"/>
      <c r="E252" s="142">
        <v>51.0</v>
      </c>
      <c r="F252" s="142"/>
      <c r="G252" s="142"/>
      <c r="H252" s="143"/>
      <c r="I252" s="143"/>
      <c r="J252" s="142"/>
      <c r="K252" s="143"/>
      <c r="L252" s="142"/>
      <c r="M252" s="143"/>
      <c r="N252" s="143"/>
      <c r="O252" s="143"/>
      <c r="P252" s="143"/>
      <c r="Q252" s="143"/>
      <c r="R252" s="142"/>
      <c r="S252" s="142"/>
      <c r="T252" s="142"/>
      <c r="U252" s="142"/>
      <c r="V252" s="142"/>
      <c r="W252" s="142"/>
      <c r="X252" s="142">
        <v>0.15</v>
      </c>
      <c r="Y252" s="142">
        <v>4.0</v>
      </c>
    </row>
    <row r="253">
      <c r="A253" s="142">
        <v>209.0</v>
      </c>
      <c r="B253" s="142">
        <v>950.0</v>
      </c>
      <c r="C253" s="143"/>
      <c r="D253" s="143"/>
      <c r="E253" s="143"/>
      <c r="F253" s="143"/>
      <c r="G253" s="142"/>
      <c r="H253" s="143"/>
      <c r="I253" s="143"/>
      <c r="J253" s="142"/>
      <c r="K253" s="142"/>
      <c r="L253" s="142"/>
      <c r="M253" s="143"/>
      <c r="N253" s="143"/>
      <c r="O253" s="143"/>
      <c r="P253" s="142">
        <v>0.01</v>
      </c>
      <c r="Q253" s="143"/>
      <c r="R253" s="142"/>
      <c r="S253" s="142"/>
      <c r="T253" s="142"/>
      <c r="U253" s="142"/>
      <c r="V253" s="142"/>
      <c r="W253" s="142"/>
      <c r="X253" s="142">
        <v>0.15</v>
      </c>
      <c r="Y253" s="142">
        <v>1.0</v>
      </c>
    </row>
    <row r="254">
      <c r="A254" s="142">
        <v>209.0</v>
      </c>
      <c r="B254" s="142">
        <v>200.0</v>
      </c>
      <c r="C254" s="143"/>
      <c r="D254" s="143"/>
      <c r="E254" s="143"/>
      <c r="F254" s="143"/>
      <c r="G254" s="142"/>
      <c r="H254" s="143"/>
      <c r="I254" s="143"/>
      <c r="J254" s="142"/>
      <c r="K254" s="142"/>
      <c r="L254" s="142"/>
      <c r="M254" s="143"/>
      <c r="N254" s="143"/>
      <c r="O254" s="143"/>
      <c r="P254" s="142">
        <v>0.02</v>
      </c>
      <c r="Q254" s="143"/>
      <c r="R254" s="142"/>
      <c r="S254" s="142"/>
      <c r="T254" s="142"/>
      <c r="U254" s="142"/>
      <c r="V254" s="142"/>
      <c r="W254" s="142"/>
      <c r="X254" s="142">
        <v>0.15</v>
      </c>
      <c r="Y254" s="142">
        <v>1.0</v>
      </c>
    </row>
    <row r="255">
      <c r="A255" s="142">
        <v>209.0</v>
      </c>
      <c r="B255" s="142">
        <v>75.0</v>
      </c>
      <c r="C255" s="143"/>
      <c r="D255" s="143"/>
      <c r="E255" s="143"/>
      <c r="F255" s="143"/>
      <c r="G255" s="142"/>
      <c r="H255" s="143"/>
      <c r="I255" s="143"/>
      <c r="J255" s="142"/>
      <c r="K255" s="142"/>
      <c r="L255" s="142"/>
      <c r="M255" s="143"/>
      <c r="N255" s="143"/>
      <c r="O255" s="143"/>
      <c r="P255" s="142">
        <v>0.04</v>
      </c>
      <c r="Q255" s="143"/>
      <c r="R255" s="142"/>
      <c r="S255" s="142"/>
      <c r="T255" s="142"/>
      <c r="U255" s="142"/>
      <c r="V255" s="142"/>
      <c r="W255" s="142"/>
      <c r="X255" s="142">
        <v>0.15</v>
      </c>
      <c r="Y255" s="142">
        <v>2.0</v>
      </c>
    </row>
    <row r="256">
      <c r="A256" s="142">
        <v>209.0</v>
      </c>
      <c r="B256" s="142">
        <v>20.0</v>
      </c>
      <c r="C256" s="143"/>
      <c r="D256" s="143"/>
      <c r="E256" s="143"/>
      <c r="F256" s="143"/>
      <c r="G256" s="142"/>
      <c r="H256" s="143"/>
      <c r="I256" s="143"/>
      <c r="J256" s="142"/>
      <c r="K256" s="142"/>
      <c r="L256" s="142"/>
      <c r="M256" s="143"/>
      <c r="N256" s="143"/>
      <c r="O256" s="143"/>
      <c r="P256" s="142">
        <v>0.07</v>
      </c>
      <c r="Q256" s="143"/>
      <c r="R256" s="142"/>
      <c r="S256" s="142"/>
      <c r="T256" s="142"/>
      <c r="U256" s="142"/>
      <c r="V256" s="142"/>
      <c r="W256" s="142"/>
      <c r="X256" s="142">
        <v>0.15</v>
      </c>
      <c r="Y256" s="142">
        <v>3.0</v>
      </c>
    </row>
    <row r="257">
      <c r="A257" s="142">
        <v>209.0</v>
      </c>
      <c r="B257" s="142">
        <v>5.0</v>
      </c>
      <c r="C257" s="143"/>
      <c r="D257" s="143"/>
      <c r="E257" s="143"/>
      <c r="F257" s="143"/>
      <c r="G257" s="142"/>
      <c r="H257" s="143"/>
      <c r="I257" s="143"/>
      <c r="J257" s="142"/>
      <c r="K257" s="142"/>
      <c r="L257" s="142"/>
      <c r="M257" s="143"/>
      <c r="N257" s="143"/>
      <c r="O257" s="143"/>
      <c r="P257" s="142">
        <v>0.1</v>
      </c>
      <c r="Q257" s="143"/>
      <c r="R257" s="142"/>
      <c r="S257" s="142"/>
      <c r="T257" s="142"/>
      <c r="U257" s="142"/>
      <c r="V257" s="142"/>
      <c r="W257" s="142"/>
      <c r="X257" s="142">
        <v>0.15</v>
      </c>
      <c r="Y257" s="142">
        <v>4.0</v>
      </c>
    </row>
    <row r="258">
      <c r="A258" s="145">
        <v>210.0</v>
      </c>
      <c r="B258" s="43">
        <v>2700.0</v>
      </c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5">
        <v>210.0</v>
      </c>
      <c r="B259" s="145">
        <v>950.0</v>
      </c>
      <c r="C259" s="145">
        <v>65.0</v>
      </c>
      <c r="D259" s="150"/>
      <c r="E259" s="150"/>
      <c r="F259" s="150"/>
      <c r="G259" s="145"/>
      <c r="H259" s="150"/>
      <c r="I259" s="150"/>
      <c r="J259" s="145"/>
      <c r="K259" s="150"/>
      <c r="L259" s="145"/>
      <c r="M259" s="150"/>
      <c r="N259" s="150"/>
      <c r="O259" s="150"/>
      <c r="P259" s="150"/>
      <c r="Q259" s="150"/>
      <c r="R259" s="145"/>
      <c r="S259" s="145"/>
      <c r="T259" s="145"/>
      <c r="U259" s="145"/>
      <c r="V259" s="145"/>
      <c r="W259" s="145"/>
      <c r="X259" s="43">
        <v>0.13</v>
      </c>
      <c r="Y259" s="145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5">
        <v>210.0</v>
      </c>
      <c r="B260" s="145">
        <v>200.0</v>
      </c>
      <c r="C260" s="145">
        <v>115.0</v>
      </c>
      <c r="D260" s="150"/>
      <c r="E260" s="150"/>
      <c r="F260" s="145"/>
      <c r="G260" s="145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5"/>
      <c r="S260" s="145"/>
      <c r="T260" s="145"/>
      <c r="U260" s="145"/>
      <c r="V260" s="145"/>
      <c r="W260" s="145"/>
      <c r="X260" s="43">
        <v>0.13</v>
      </c>
      <c r="Y260" s="145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5">
        <v>210.0</v>
      </c>
      <c r="B261" s="145">
        <v>75.0</v>
      </c>
      <c r="C261" s="145">
        <v>210.0</v>
      </c>
      <c r="D261" s="150"/>
      <c r="E261" s="145"/>
      <c r="F261" s="150"/>
      <c r="G261" s="145"/>
      <c r="H261" s="145"/>
      <c r="I261" s="150"/>
      <c r="J261" s="150"/>
      <c r="K261" s="150"/>
      <c r="L261" s="150"/>
      <c r="M261" s="150"/>
      <c r="N261" s="150"/>
      <c r="O261" s="150"/>
      <c r="P261" s="150"/>
      <c r="Q261" s="150"/>
      <c r="R261" s="145"/>
      <c r="S261" s="145"/>
      <c r="T261" s="145"/>
      <c r="U261" s="145"/>
      <c r="V261" s="145"/>
      <c r="W261" s="145"/>
      <c r="X261" s="43">
        <v>0.13</v>
      </c>
      <c r="Y261" s="145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5">
        <v>210.0</v>
      </c>
      <c r="B262" s="145">
        <v>20.0</v>
      </c>
      <c r="C262" s="145">
        <v>400.0</v>
      </c>
      <c r="D262" s="150"/>
      <c r="E262" s="150"/>
      <c r="F262" s="150"/>
      <c r="G262" s="145"/>
      <c r="H262" s="150"/>
      <c r="I262" s="145"/>
      <c r="J262" s="150"/>
      <c r="K262" s="150"/>
      <c r="L262" s="150"/>
      <c r="M262" s="150"/>
      <c r="N262" s="150"/>
      <c r="O262" s="150"/>
      <c r="P262" s="150"/>
      <c r="Q262" s="150"/>
      <c r="R262" s="145"/>
      <c r="S262" s="145"/>
      <c r="T262" s="145"/>
      <c r="U262" s="145"/>
      <c r="V262" s="145"/>
      <c r="W262" s="145"/>
      <c r="X262" s="43">
        <v>0.13</v>
      </c>
      <c r="Y262" s="145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5">
        <v>210.0</v>
      </c>
      <c r="B263" s="145">
        <v>5.0</v>
      </c>
      <c r="C263" s="145">
        <v>730.0</v>
      </c>
      <c r="D263" s="150"/>
      <c r="E263" s="145"/>
      <c r="F263" s="150"/>
      <c r="G263" s="145"/>
      <c r="H263" s="150"/>
      <c r="I263" s="150"/>
      <c r="J263" s="150"/>
      <c r="K263" s="150"/>
      <c r="L263" s="150"/>
      <c r="M263" s="150"/>
      <c r="N263" s="150"/>
      <c r="O263" s="150"/>
      <c r="P263" s="150"/>
      <c r="Q263" s="145"/>
      <c r="R263" s="145"/>
      <c r="S263" s="145"/>
      <c r="T263" s="145"/>
      <c r="U263" s="145"/>
      <c r="V263" s="145"/>
      <c r="W263" s="145"/>
      <c r="X263" s="43">
        <v>0.13</v>
      </c>
      <c r="Y263" s="145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5">
        <v>210.0</v>
      </c>
      <c r="B264" s="145">
        <v>950.0</v>
      </c>
      <c r="C264" s="150"/>
      <c r="D264" s="150"/>
      <c r="E264" s="145"/>
      <c r="F264" s="145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5"/>
      <c r="S264" s="145"/>
      <c r="T264" s="145"/>
      <c r="U264" s="145"/>
      <c r="V264" s="145"/>
      <c r="W264" s="145"/>
      <c r="X264" s="43">
        <v>0.13</v>
      </c>
      <c r="Y264" s="145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5">
        <v>210.0</v>
      </c>
      <c r="B265" s="145">
        <v>200.0</v>
      </c>
      <c r="C265" s="150"/>
      <c r="D265" s="150"/>
      <c r="E265" s="145"/>
      <c r="F265" s="145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5"/>
      <c r="S265" s="145"/>
      <c r="T265" s="145"/>
      <c r="U265" s="145"/>
      <c r="V265" s="145"/>
      <c r="W265" s="145"/>
      <c r="X265" s="43">
        <v>0.13</v>
      </c>
      <c r="Y265" s="145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5">
        <v>210.0</v>
      </c>
      <c r="B266" s="145">
        <v>75.0</v>
      </c>
      <c r="C266" s="145"/>
      <c r="D266" s="145"/>
      <c r="E266" s="145"/>
      <c r="F266" s="145">
        <v>16.0</v>
      </c>
      <c r="G266" s="150"/>
      <c r="H266" s="150"/>
      <c r="I266" s="150"/>
      <c r="J266" s="150"/>
      <c r="K266" s="150"/>
      <c r="L266" s="150"/>
      <c r="M266" s="150"/>
      <c r="N266" s="145"/>
      <c r="O266" s="145"/>
      <c r="P266" s="145"/>
      <c r="Q266" s="150"/>
      <c r="R266" s="145"/>
      <c r="S266" s="145"/>
      <c r="T266" s="145"/>
      <c r="U266" s="145"/>
      <c r="V266" s="145"/>
      <c r="W266" s="145"/>
      <c r="X266" s="43">
        <v>0.13</v>
      </c>
      <c r="Y266" s="145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5">
        <v>210.0</v>
      </c>
      <c r="B267" s="145">
        <v>20.0</v>
      </c>
      <c r="C267" s="150"/>
      <c r="D267" s="150"/>
      <c r="E267" s="145"/>
      <c r="F267" s="145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5"/>
      <c r="S267" s="145"/>
      <c r="T267" s="145"/>
      <c r="U267" s="145"/>
      <c r="V267" s="145"/>
      <c r="W267" s="145"/>
      <c r="X267" s="43">
        <v>0.13</v>
      </c>
      <c r="Y267" s="145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5">
        <v>210.0</v>
      </c>
      <c r="B268" s="145">
        <v>5.0</v>
      </c>
      <c r="C268" s="150"/>
      <c r="D268" s="150"/>
      <c r="E268" s="145"/>
      <c r="F268" s="145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5"/>
      <c r="S268" s="145"/>
      <c r="T268" s="145"/>
      <c r="U268" s="145"/>
      <c r="V268" s="145"/>
      <c r="W268" s="145"/>
      <c r="X268" s="43">
        <v>0.13</v>
      </c>
      <c r="Y268" s="145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5">
        <v>210.0</v>
      </c>
      <c r="B269" s="145">
        <v>950.0</v>
      </c>
      <c r="C269" s="150"/>
      <c r="D269" s="150"/>
      <c r="E269" s="150"/>
      <c r="F269" s="150"/>
      <c r="G269" s="145">
        <v>9.0</v>
      </c>
      <c r="H269" s="150"/>
      <c r="I269" s="150"/>
      <c r="J269" s="145"/>
      <c r="K269" s="150"/>
      <c r="L269" s="145"/>
      <c r="M269" s="150"/>
      <c r="N269" s="150"/>
      <c r="O269" s="150"/>
      <c r="P269" s="150"/>
      <c r="Q269" s="150"/>
      <c r="R269" s="145"/>
      <c r="S269" s="145"/>
      <c r="T269" s="145"/>
      <c r="U269" s="145"/>
      <c r="V269" s="145"/>
      <c r="W269" s="145"/>
      <c r="X269" s="43">
        <v>0.13</v>
      </c>
      <c r="Y269" s="145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5">
        <v>210.0</v>
      </c>
      <c r="B270" s="145">
        <v>200.0</v>
      </c>
      <c r="C270" s="150"/>
      <c r="D270" s="150"/>
      <c r="E270" s="150"/>
      <c r="F270" s="150"/>
      <c r="G270" s="145">
        <v>13.0</v>
      </c>
      <c r="H270" s="150"/>
      <c r="I270" s="150"/>
      <c r="J270" s="145"/>
      <c r="K270" s="150"/>
      <c r="L270" s="145"/>
      <c r="M270" s="150"/>
      <c r="N270" s="150"/>
      <c r="O270" s="150"/>
      <c r="P270" s="150"/>
      <c r="Q270" s="150"/>
      <c r="R270" s="145"/>
      <c r="S270" s="145"/>
      <c r="T270" s="145"/>
      <c r="U270" s="145"/>
      <c r="V270" s="145"/>
      <c r="W270" s="145"/>
      <c r="X270" s="43">
        <v>0.13</v>
      </c>
      <c r="Y270" s="145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5">
        <v>210.0</v>
      </c>
      <c r="B271" s="145">
        <v>75.0</v>
      </c>
      <c r="C271" s="150"/>
      <c r="D271" s="150"/>
      <c r="E271" s="150"/>
      <c r="F271" s="150"/>
      <c r="G271" s="145">
        <v>22.0</v>
      </c>
      <c r="H271" s="150"/>
      <c r="I271" s="150"/>
      <c r="J271" s="145"/>
      <c r="K271" s="150"/>
      <c r="L271" s="145"/>
      <c r="M271" s="150"/>
      <c r="N271" s="150"/>
      <c r="O271" s="150"/>
      <c r="P271" s="150"/>
      <c r="Q271" s="150"/>
      <c r="R271" s="145"/>
      <c r="S271" s="145"/>
      <c r="T271" s="145"/>
      <c r="U271" s="145"/>
      <c r="V271" s="145"/>
      <c r="W271" s="145"/>
      <c r="X271" s="43">
        <v>0.13</v>
      </c>
      <c r="Y271" s="145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5">
        <v>210.0</v>
      </c>
      <c r="B272" s="145">
        <v>20.0</v>
      </c>
      <c r="C272" s="150"/>
      <c r="D272" s="150"/>
      <c r="E272" s="150"/>
      <c r="F272" s="150"/>
      <c r="G272" s="145">
        <v>42.0</v>
      </c>
      <c r="H272" s="150"/>
      <c r="I272" s="150"/>
      <c r="J272" s="145"/>
      <c r="K272" s="150"/>
      <c r="L272" s="145"/>
      <c r="M272" s="150"/>
      <c r="N272" s="150"/>
      <c r="O272" s="150"/>
      <c r="P272" s="150"/>
      <c r="Q272" s="150"/>
      <c r="R272" s="145"/>
      <c r="S272" s="145"/>
      <c r="T272" s="145"/>
      <c r="U272" s="145"/>
      <c r="V272" s="145"/>
      <c r="W272" s="145"/>
      <c r="X272" s="43">
        <v>0.13</v>
      </c>
      <c r="Y272" s="145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5">
        <v>210.0</v>
      </c>
      <c r="B273" s="145">
        <v>5.0</v>
      </c>
      <c r="C273" s="150"/>
      <c r="D273" s="150"/>
      <c r="E273" s="150"/>
      <c r="F273" s="150"/>
      <c r="G273" s="145">
        <v>72.0</v>
      </c>
      <c r="H273" s="150"/>
      <c r="I273" s="150"/>
      <c r="J273" s="145"/>
      <c r="K273" s="150"/>
      <c r="L273" s="145"/>
      <c r="M273" s="150"/>
      <c r="N273" s="150"/>
      <c r="O273" s="150"/>
      <c r="P273" s="150"/>
      <c r="Q273" s="150"/>
      <c r="R273" s="145"/>
      <c r="S273" s="145"/>
      <c r="T273" s="145"/>
      <c r="U273" s="145"/>
      <c r="V273" s="145"/>
      <c r="W273" s="145"/>
      <c r="X273" s="43">
        <v>0.13</v>
      </c>
      <c r="Y273" s="145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5">
        <v>210.0</v>
      </c>
      <c r="B274" s="145">
        <v>950.0</v>
      </c>
      <c r="C274" s="150"/>
      <c r="D274" s="145">
        <v>4.0</v>
      </c>
      <c r="E274" s="150"/>
      <c r="F274" s="145"/>
      <c r="G274" s="150"/>
      <c r="H274" s="150"/>
      <c r="I274" s="150"/>
      <c r="J274" s="145"/>
      <c r="K274" s="150"/>
      <c r="L274" s="145"/>
      <c r="M274" s="150"/>
      <c r="N274" s="150"/>
      <c r="O274" s="150"/>
      <c r="P274" s="150"/>
      <c r="Q274" s="150"/>
      <c r="R274" s="145"/>
      <c r="S274" s="145"/>
      <c r="T274" s="145"/>
      <c r="U274" s="145"/>
      <c r="V274" s="145"/>
      <c r="W274" s="145"/>
      <c r="X274" s="43">
        <v>0.13</v>
      </c>
      <c r="Y274" s="145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5">
        <v>210.0</v>
      </c>
      <c r="B275" s="145">
        <v>200.0</v>
      </c>
      <c r="C275" s="150"/>
      <c r="D275" s="145">
        <v>8.0</v>
      </c>
      <c r="E275" s="150"/>
      <c r="F275" s="145"/>
      <c r="G275" s="150"/>
      <c r="H275" s="150"/>
      <c r="I275" s="150"/>
      <c r="J275" s="145"/>
      <c r="K275" s="150"/>
      <c r="L275" s="145"/>
      <c r="M275" s="150"/>
      <c r="N275" s="150"/>
      <c r="O275" s="150"/>
      <c r="P275" s="150"/>
      <c r="Q275" s="150"/>
      <c r="R275" s="145"/>
      <c r="S275" s="145"/>
      <c r="T275" s="145"/>
      <c r="U275" s="145"/>
      <c r="V275" s="145"/>
      <c r="W275" s="145"/>
      <c r="X275" s="43">
        <v>0.13</v>
      </c>
      <c r="Y275" s="145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5">
        <v>210.0</v>
      </c>
      <c r="B276" s="145">
        <v>75.0</v>
      </c>
      <c r="C276" s="145"/>
      <c r="D276" s="145">
        <v>11.0</v>
      </c>
      <c r="E276" s="145"/>
      <c r="F276" s="145"/>
      <c r="G276" s="145"/>
      <c r="H276" s="150"/>
      <c r="I276" s="150"/>
      <c r="J276" s="145"/>
      <c r="K276" s="150"/>
      <c r="L276" s="145"/>
      <c r="M276" s="150"/>
      <c r="N276" s="150"/>
      <c r="O276" s="150"/>
      <c r="P276" s="150"/>
      <c r="Q276" s="150"/>
      <c r="R276" s="145"/>
      <c r="S276" s="145"/>
      <c r="T276" s="145"/>
      <c r="U276" s="145"/>
      <c r="V276" s="145"/>
      <c r="W276" s="145"/>
      <c r="X276" s="43">
        <v>0.13</v>
      </c>
      <c r="Y276" s="145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5">
        <v>210.0</v>
      </c>
      <c r="B277" s="145">
        <v>20.0</v>
      </c>
      <c r="C277" s="150"/>
      <c r="D277" s="145">
        <v>17.0</v>
      </c>
      <c r="E277" s="150"/>
      <c r="F277" s="145"/>
      <c r="G277" s="150"/>
      <c r="H277" s="150"/>
      <c r="I277" s="150"/>
      <c r="J277" s="145"/>
      <c r="K277" s="150"/>
      <c r="L277" s="145"/>
      <c r="M277" s="150"/>
      <c r="N277" s="150"/>
      <c r="O277" s="150"/>
      <c r="P277" s="150"/>
      <c r="Q277" s="150"/>
      <c r="R277" s="145"/>
      <c r="S277" s="145"/>
      <c r="T277" s="145"/>
      <c r="U277" s="145"/>
      <c r="V277" s="145"/>
      <c r="W277" s="145"/>
      <c r="X277" s="43">
        <v>0.13</v>
      </c>
      <c r="Y277" s="145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5">
        <v>210.0</v>
      </c>
      <c r="B278" s="145">
        <v>5.0</v>
      </c>
      <c r="C278" s="150"/>
      <c r="D278" s="145">
        <v>40.0</v>
      </c>
      <c r="E278" s="150"/>
      <c r="F278" s="145"/>
      <c r="G278" s="150"/>
      <c r="H278" s="150"/>
      <c r="I278" s="150"/>
      <c r="J278" s="145"/>
      <c r="K278" s="150"/>
      <c r="L278" s="145"/>
      <c r="M278" s="150"/>
      <c r="N278" s="150"/>
      <c r="O278" s="150"/>
      <c r="P278" s="150"/>
      <c r="Q278" s="150"/>
      <c r="R278" s="145"/>
      <c r="S278" s="145"/>
      <c r="T278" s="145"/>
      <c r="U278" s="145"/>
      <c r="V278" s="145"/>
      <c r="W278" s="145"/>
      <c r="X278" s="43">
        <v>0.13</v>
      </c>
      <c r="Y278" s="145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5">
        <v>210.0</v>
      </c>
      <c r="B279" s="145">
        <v>500.0</v>
      </c>
      <c r="C279" s="150"/>
      <c r="D279" s="150"/>
      <c r="E279" s="145">
        <v>6.0</v>
      </c>
      <c r="F279" s="145"/>
      <c r="G279" s="145"/>
      <c r="H279" s="150"/>
      <c r="I279" s="150"/>
      <c r="J279" s="145"/>
      <c r="K279" s="150"/>
      <c r="L279" s="145"/>
      <c r="M279" s="150"/>
      <c r="N279" s="150"/>
      <c r="O279" s="150"/>
      <c r="P279" s="150"/>
      <c r="Q279" s="150"/>
      <c r="R279" s="145"/>
      <c r="S279" s="145"/>
      <c r="T279" s="145"/>
      <c r="U279" s="145"/>
      <c r="V279" s="145"/>
      <c r="W279" s="145"/>
      <c r="X279" s="43">
        <v>0.13</v>
      </c>
      <c r="Y279" s="145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5">
        <v>210.0</v>
      </c>
      <c r="B280" s="145">
        <v>200.0</v>
      </c>
      <c r="C280" s="150"/>
      <c r="D280" s="150"/>
      <c r="E280" s="145">
        <v>10.0</v>
      </c>
      <c r="F280" s="145"/>
      <c r="G280" s="145"/>
      <c r="H280" s="150"/>
      <c r="I280" s="150"/>
      <c r="J280" s="145"/>
      <c r="K280" s="150"/>
      <c r="L280" s="145"/>
      <c r="M280" s="150"/>
      <c r="N280" s="150"/>
      <c r="O280" s="150"/>
      <c r="P280" s="150"/>
      <c r="Q280" s="150"/>
      <c r="R280" s="145"/>
      <c r="S280" s="145"/>
      <c r="T280" s="145"/>
      <c r="U280" s="145"/>
      <c r="V280" s="145"/>
      <c r="W280" s="145"/>
      <c r="X280" s="43">
        <v>0.13</v>
      </c>
      <c r="Y280" s="145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5">
        <v>210.0</v>
      </c>
      <c r="B281" s="145">
        <v>75.0</v>
      </c>
      <c r="C281" s="150"/>
      <c r="D281" s="150"/>
      <c r="E281" s="145">
        <v>17.0</v>
      </c>
      <c r="F281" s="145"/>
      <c r="G281" s="145"/>
      <c r="H281" s="150"/>
      <c r="I281" s="150"/>
      <c r="J281" s="145"/>
      <c r="K281" s="150"/>
      <c r="L281" s="145"/>
      <c r="M281" s="150"/>
      <c r="N281" s="150"/>
      <c r="O281" s="150"/>
      <c r="P281" s="150"/>
      <c r="Q281" s="150"/>
      <c r="R281" s="145"/>
      <c r="S281" s="145"/>
      <c r="T281" s="145"/>
      <c r="U281" s="145"/>
      <c r="V281" s="145"/>
      <c r="W281" s="145"/>
      <c r="X281" s="43">
        <v>0.13</v>
      </c>
      <c r="Y281" s="145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5">
        <v>210.0</v>
      </c>
      <c r="B282" s="145">
        <v>20.0</v>
      </c>
      <c r="C282" s="150"/>
      <c r="D282" s="150"/>
      <c r="E282" s="145">
        <v>30.0</v>
      </c>
      <c r="F282" s="145"/>
      <c r="G282" s="145"/>
      <c r="H282" s="150"/>
      <c r="I282" s="150"/>
      <c r="J282" s="145"/>
      <c r="K282" s="150"/>
      <c r="L282" s="145"/>
      <c r="M282" s="150"/>
      <c r="N282" s="150"/>
      <c r="O282" s="150"/>
      <c r="P282" s="150"/>
      <c r="Q282" s="150"/>
      <c r="R282" s="145"/>
      <c r="S282" s="145"/>
      <c r="T282" s="145"/>
      <c r="U282" s="145"/>
      <c r="V282" s="145"/>
      <c r="W282" s="145"/>
      <c r="X282" s="43">
        <v>0.13</v>
      </c>
      <c r="Y282" s="145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5">
        <v>210.0</v>
      </c>
      <c r="B283" s="145">
        <v>5.0</v>
      </c>
      <c r="C283" s="150"/>
      <c r="D283" s="150"/>
      <c r="E283" s="145">
        <v>51.0</v>
      </c>
      <c r="F283" s="145"/>
      <c r="G283" s="145"/>
      <c r="H283" s="150"/>
      <c r="I283" s="150"/>
      <c r="J283" s="145"/>
      <c r="K283" s="150"/>
      <c r="L283" s="145"/>
      <c r="M283" s="150"/>
      <c r="N283" s="150"/>
      <c r="O283" s="150"/>
      <c r="P283" s="150"/>
      <c r="Q283" s="150"/>
      <c r="R283" s="145"/>
      <c r="S283" s="145"/>
      <c r="T283" s="145"/>
      <c r="U283" s="145"/>
      <c r="V283" s="145"/>
      <c r="W283" s="145"/>
      <c r="X283" s="43">
        <v>0.13</v>
      </c>
      <c r="Y283" s="145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5">
        <v>210.0</v>
      </c>
      <c r="B284" s="145">
        <v>500.0</v>
      </c>
      <c r="C284" s="150"/>
      <c r="D284" s="150"/>
      <c r="E284" s="150"/>
      <c r="F284" s="150"/>
      <c r="G284" s="145"/>
      <c r="H284" s="150"/>
      <c r="I284" s="150"/>
      <c r="J284" s="145"/>
      <c r="K284" s="145"/>
      <c r="L284" s="145"/>
      <c r="M284" s="150"/>
      <c r="N284" s="150"/>
      <c r="O284" s="150"/>
      <c r="P284" s="145">
        <v>0.01</v>
      </c>
      <c r="Q284" s="150"/>
      <c r="R284" s="145"/>
      <c r="S284" s="145"/>
      <c r="T284" s="145"/>
      <c r="U284" s="145"/>
      <c r="V284" s="145"/>
      <c r="W284" s="145"/>
      <c r="X284" s="43">
        <v>0.13</v>
      </c>
      <c r="Y284" s="145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5">
        <v>210.0</v>
      </c>
      <c r="B285" s="145">
        <v>200.0</v>
      </c>
      <c r="C285" s="150"/>
      <c r="D285" s="150"/>
      <c r="E285" s="150"/>
      <c r="F285" s="150"/>
      <c r="G285" s="145"/>
      <c r="H285" s="150"/>
      <c r="I285" s="150"/>
      <c r="J285" s="145"/>
      <c r="K285" s="145"/>
      <c r="L285" s="145"/>
      <c r="M285" s="150"/>
      <c r="N285" s="150"/>
      <c r="O285" s="150"/>
      <c r="P285" s="145">
        <v>0.02</v>
      </c>
      <c r="Q285" s="150"/>
      <c r="R285" s="145"/>
      <c r="S285" s="145"/>
      <c r="T285" s="145"/>
      <c r="U285" s="145"/>
      <c r="V285" s="145"/>
      <c r="W285" s="145"/>
      <c r="X285" s="43">
        <v>0.13</v>
      </c>
      <c r="Y285" s="145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5">
        <v>210.0</v>
      </c>
      <c r="B286" s="145">
        <v>75.0</v>
      </c>
      <c r="C286" s="150"/>
      <c r="D286" s="150"/>
      <c r="E286" s="150"/>
      <c r="F286" s="150"/>
      <c r="G286" s="145"/>
      <c r="H286" s="150"/>
      <c r="I286" s="150"/>
      <c r="J286" s="145"/>
      <c r="K286" s="145"/>
      <c r="L286" s="145"/>
      <c r="M286" s="150"/>
      <c r="N286" s="150"/>
      <c r="O286" s="150"/>
      <c r="P286" s="145">
        <v>0.04</v>
      </c>
      <c r="Q286" s="150"/>
      <c r="R286" s="145"/>
      <c r="S286" s="145"/>
      <c r="T286" s="145"/>
      <c r="U286" s="145"/>
      <c r="V286" s="145"/>
      <c r="W286" s="145"/>
      <c r="X286" s="43">
        <v>0.13</v>
      </c>
      <c r="Y286" s="145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5">
        <v>210.0</v>
      </c>
      <c r="B287" s="145">
        <v>20.0</v>
      </c>
      <c r="C287" s="150"/>
      <c r="D287" s="150"/>
      <c r="E287" s="150"/>
      <c r="F287" s="150"/>
      <c r="G287" s="145"/>
      <c r="H287" s="150"/>
      <c r="I287" s="150"/>
      <c r="J287" s="145"/>
      <c r="K287" s="145"/>
      <c r="L287" s="145"/>
      <c r="M287" s="150"/>
      <c r="N287" s="150"/>
      <c r="O287" s="150"/>
      <c r="P287" s="145">
        <v>0.07</v>
      </c>
      <c r="Q287" s="150"/>
      <c r="R287" s="145"/>
      <c r="S287" s="145"/>
      <c r="T287" s="145"/>
      <c r="U287" s="145"/>
      <c r="V287" s="145"/>
      <c r="W287" s="145"/>
      <c r="X287" s="43">
        <v>0.13</v>
      </c>
      <c r="Y287" s="145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5">
        <v>210.0</v>
      </c>
      <c r="B288" s="145">
        <v>5.0</v>
      </c>
      <c r="C288" s="150"/>
      <c r="D288" s="150"/>
      <c r="E288" s="150"/>
      <c r="F288" s="150"/>
      <c r="G288" s="145"/>
      <c r="H288" s="150"/>
      <c r="I288" s="150"/>
      <c r="J288" s="145"/>
      <c r="K288" s="145"/>
      <c r="L288" s="145"/>
      <c r="M288" s="150"/>
      <c r="N288" s="150"/>
      <c r="O288" s="150"/>
      <c r="P288" s="145">
        <v>0.1</v>
      </c>
      <c r="Q288" s="150"/>
      <c r="R288" s="145"/>
      <c r="S288" s="145"/>
      <c r="T288" s="145"/>
      <c r="U288" s="145"/>
      <c r="V288" s="145"/>
      <c r="W288" s="145"/>
      <c r="X288" s="43">
        <v>0.13</v>
      </c>
      <c r="Y288" s="145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5">
        <v>210.0</v>
      </c>
      <c r="B289" s="145">
        <v>550.0</v>
      </c>
      <c r="C289" s="150"/>
      <c r="D289" s="150"/>
      <c r="E289" s="150"/>
      <c r="F289" s="150"/>
      <c r="G289" s="145"/>
      <c r="H289" s="150"/>
      <c r="I289" s="150"/>
      <c r="J289" s="145"/>
      <c r="K289" s="145"/>
      <c r="L289" s="145"/>
      <c r="M289" s="150"/>
      <c r="N289" s="150"/>
      <c r="O289" s="150"/>
      <c r="P289" s="145"/>
      <c r="Q289" s="150"/>
      <c r="R289" s="145"/>
      <c r="S289" s="145"/>
      <c r="T289" s="145"/>
      <c r="U289" s="145"/>
      <c r="V289" s="145"/>
      <c r="W289" s="145">
        <v>0.02</v>
      </c>
      <c r="X289" s="43">
        <v>0.13</v>
      </c>
      <c r="Y289" s="145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5">
        <v>210.0</v>
      </c>
      <c r="B290" s="145">
        <v>100.0</v>
      </c>
      <c r="C290" s="150"/>
      <c r="D290" s="150"/>
      <c r="E290" s="150"/>
      <c r="F290" s="150"/>
      <c r="G290" s="145"/>
      <c r="H290" s="150"/>
      <c r="I290" s="150"/>
      <c r="J290" s="145"/>
      <c r="K290" s="145"/>
      <c r="L290" s="145"/>
      <c r="M290" s="150"/>
      <c r="N290" s="150"/>
      <c r="O290" s="150"/>
      <c r="P290" s="145"/>
      <c r="Q290" s="150"/>
      <c r="R290" s="145"/>
      <c r="S290" s="145"/>
      <c r="T290" s="145"/>
      <c r="U290" s="145"/>
      <c r="V290" s="145"/>
      <c r="W290" s="145">
        <v>0.04</v>
      </c>
      <c r="X290" s="43">
        <v>0.13</v>
      </c>
      <c r="Y290" s="145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5">
        <v>210.0</v>
      </c>
      <c r="B291" s="145">
        <v>35.0</v>
      </c>
      <c r="C291" s="150"/>
      <c r="D291" s="150"/>
      <c r="E291" s="150"/>
      <c r="F291" s="150"/>
      <c r="G291" s="145"/>
      <c r="H291" s="150"/>
      <c r="I291" s="150"/>
      <c r="J291" s="145"/>
      <c r="K291" s="145"/>
      <c r="L291" s="145"/>
      <c r="M291" s="150"/>
      <c r="N291" s="150"/>
      <c r="O291" s="150"/>
      <c r="P291" s="145"/>
      <c r="Q291" s="150"/>
      <c r="R291" s="145"/>
      <c r="S291" s="145"/>
      <c r="T291" s="145"/>
      <c r="U291" s="145"/>
      <c r="V291" s="145"/>
      <c r="W291" s="145">
        <v>0.08</v>
      </c>
      <c r="X291" s="43">
        <v>0.13</v>
      </c>
      <c r="Y291" s="145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5">
        <v>210.0</v>
      </c>
      <c r="B292" s="145">
        <v>10.0</v>
      </c>
      <c r="C292" s="150"/>
      <c r="D292" s="150"/>
      <c r="E292" s="150"/>
      <c r="F292" s="150"/>
      <c r="G292" s="145"/>
      <c r="H292" s="150"/>
      <c r="I292" s="150"/>
      <c r="J292" s="145"/>
      <c r="K292" s="145"/>
      <c r="L292" s="145"/>
      <c r="M292" s="150"/>
      <c r="N292" s="150"/>
      <c r="O292" s="150"/>
      <c r="P292" s="145"/>
      <c r="Q292" s="150"/>
      <c r="R292" s="145"/>
      <c r="S292" s="145"/>
      <c r="T292" s="145"/>
      <c r="U292" s="145"/>
      <c r="V292" s="145"/>
      <c r="W292" s="145">
        <v>0.013</v>
      </c>
      <c r="X292" s="43">
        <v>0.13</v>
      </c>
      <c r="Y292" s="145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5">
        <v>210.0</v>
      </c>
      <c r="B293" s="145">
        <v>5.0</v>
      </c>
      <c r="C293" s="150"/>
      <c r="D293" s="150"/>
      <c r="E293" s="150"/>
      <c r="F293" s="150"/>
      <c r="G293" s="145"/>
      <c r="H293" s="150"/>
      <c r="I293" s="150"/>
      <c r="J293" s="145"/>
      <c r="K293" s="145"/>
      <c r="L293" s="145"/>
      <c r="M293" s="150"/>
      <c r="N293" s="150"/>
      <c r="O293" s="150"/>
      <c r="P293" s="145"/>
      <c r="Q293" s="150"/>
      <c r="R293" s="145"/>
      <c r="S293" s="145"/>
      <c r="T293" s="145"/>
      <c r="U293" s="145"/>
      <c r="V293" s="145"/>
      <c r="W293" s="145">
        <v>0.2</v>
      </c>
      <c r="X293" s="43">
        <v>0.13</v>
      </c>
      <c r="Y293" s="145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8">
        <v>211.0</v>
      </c>
      <c r="B294" s="148">
        <v>2000.0</v>
      </c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</row>
    <row r="295">
      <c r="A295" s="148">
        <v>211.0</v>
      </c>
      <c r="B295" s="148">
        <v>950.0</v>
      </c>
      <c r="C295" s="148">
        <v>65.0</v>
      </c>
      <c r="D295" s="154"/>
      <c r="E295" s="154"/>
      <c r="F295" s="154"/>
      <c r="G295" s="148"/>
      <c r="H295" s="154"/>
      <c r="I295" s="154"/>
      <c r="J295" s="148"/>
      <c r="K295" s="154"/>
      <c r="L295" s="148"/>
      <c r="M295" s="154"/>
      <c r="N295" s="154"/>
      <c r="O295" s="154"/>
      <c r="P295" s="154"/>
      <c r="Q295" s="154"/>
      <c r="R295" s="148"/>
      <c r="S295" s="148"/>
      <c r="T295" s="148"/>
      <c r="U295" s="148"/>
      <c r="V295" s="148"/>
      <c r="W295" s="148"/>
      <c r="X295" s="146">
        <v>0.11</v>
      </c>
      <c r="Y295" s="148">
        <v>1.0</v>
      </c>
    </row>
    <row r="296">
      <c r="A296" s="148">
        <v>211.0</v>
      </c>
      <c r="B296" s="148">
        <v>200.0</v>
      </c>
      <c r="C296" s="148">
        <v>115.0</v>
      </c>
      <c r="D296" s="154"/>
      <c r="E296" s="154"/>
      <c r="F296" s="148"/>
      <c r="G296" s="148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48"/>
      <c r="S296" s="148"/>
      <c r="T296" s="148"/>
      <c r="U296" s="148"/>
      <c r="V296" s="148"/>
      <c r="W296" s="148"/>
      <c r="X296" s="146">
        <v>0.11</v>
      </c>
      <c r="Y296" s="148">
        <v>1.0</v>
      </c>
    </row>
    <row r="297">
      <c r="A297" s="148">
        <v>211.0</v>
      </c>
      <c r="B297" s="148">
        <v>75.0</v>
      </c>
      <c r="C297" s="148">
        <v>210.0</v>
      </c>
      <c r="D297" s="154"/>
      <c r="E297" s="148"/>
      <c r="F297" s="154"/>
      <c r="G297" s="148"/>
      <c r="H297" s="148"/>
      <c r="I297" s="154"/>
      <c r="J297" s="154"/>
      <c r="K297" s="154"/>
      <c r="L297" s="154"/>
      <c r="M297" s="154"/>
      <c r="N297" s="154"/>
      <c r="O297" s="154"/>
      <c r="P297" s="154"/>
      <c r="Q297" s="154"/>
      <c r="R297" s="148"/>
      <c r="S297" s="148"/>
      <c r="T297" s="148"/>
      <c r="U297" s="148"/>
      <c r="V297" s="148"/>
      <c r="W297" s="148"/>
      <c r="X297" s="146">
        <v>0.11</v>
      </c>
      <c r="Y297" s="148">
        <v>2.0</v>
      </c>
    </row>
    <row r="298">
      <c r="A298" s="148">
        <v>211.0</v>
      </c>
      <c r="B298" s="148">
        <v>20.0</v>
      </c>
      <c r="C298" s="148">
        <v>400.0</v>
      </c>
      <c r="D298" s="154"/>
      <c r="E298" s="154"/>
      <c r="F298" s="154"/>
      <c r="G298" s="148"/>
      <c r="H298" s="154"/>
      <c r="I298" s="148"/>
      <c r="J298" s="154"/>
      <c r="K298" s="154"/>
      <c r="L298" s="154"/>
      <c r="M298" s="154"/>
      <c r="N298" s="154"/>
      <c r="O298" s="154"/>
      <c r="P298" s="154"/>
      <c r="Q298" s="154"/>
      <c r="R298" s="148"/>
      <c r="S298" s="148"/>
      <c r="T298" s="148"/>
      <c r="U298" s="148"/>
      <c r="V298" s="148"/>
      <c r="W298" s="148"/>
      <c r="X298" s="146">
        <v>0.11</v>
      </c>
      <c r="Y298" s="148">
        <v>3.0</v>
      </c>
    </row>
    <row r="299">
      <c r="A299" s="148">
        <v>211.0</v>
      </c>
      <c r="B299" s="148">
        <v>5.0</v>
      </c>
      <c r="C299" s="148">
        <v>730.0</v>
      </c>
      <c r="D299" s="154"/>
      <c r="E299" s="148"/>
      <c r="F299" s="154"/>
      <c r="G299" s="148"/>
      <c r="H299" s="154"/>
      <c r="I299" s="154"/>
      <c r="J299" s="154"/>
      <c r="K299" s="154"/>
      <c r="L299" s="154"/>
      <c r="M299" s="154"/>
      <c r="N299" s="154"/>
      <c r="O299" s="154"/>
      <c r="P299" s="154"/>
      <c r="Q299" s="148"/>
      <c r="R299" s="148"/>
      <c r="S299" s="148"/>
      <c r="T299" s="148"/>
      <c r="U299" s="148"/>
      <c r="V299" s="148"/>
      <c r="W299" s="148"/>
      <c r="X299" s="146">
        <v>0.11</v>
      </c>
      <c r="Y299" s="148">
        <v>4.0</v>
      </c>
    </row>
    <row r="300">
      <c r="A300" s="148">
        <v>211.0</v>
      </c>
      <c r="B300" s="148">
        <v>950.0</v>
      </c>
      <c r="C300" s="154"/>
      <c r="D300" s="154"/>
      <c r="E300" s="148"/>
      <c r="F300" s="148">
        <v>6.0</v>
      </c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48"/>
      <c r="S300" s="148"/>
      <c r="T300" s="148"/>
      <c r="U300" s="148"/>
      <c r="V300" s="148"/>
      <c r="W300" s="148"/>
      <c r="X300" s="146">
        <v>0.11</v>
      </c>
      <c r="Y300" s="148">
        <v>1.0</v>
      </c>
    </row>
    <row r="301">
      <c r="A301" s="148">
        <v>211.0</v>
      </c>
      <c r="B301" s="148">
        <v>200.0</v>
      </c>
      <c r="C301" s="154"/>
      <c r="D301" s="154"/>
      <c r="E301" s="148"/>
      <c r="F301" s="148">
        <v>10.0</v>
      </c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48"/>
      <c r="S301" s="148"/>
      <c r="T301" s="148"/>
      <c r="U301" s="148"/>
      <c r="V301" s="148"/>
      <c r="W301" s="148"/>
      <c r="X301" s="146">
        <v>0.11</v>
      </c>
      <c r="Y301" s="148">
        <v>1.0</v>
      </c>
    </row>
    <row r="302">
      <c r="A302" s="148">
        <v>211.0</v>
      </c>
      <c r="B302" s="148">
        <v>75.0</v>
      </c>
      <c r="C302" s="148"/>
      <c r="D302" s="148"/>
      <c r="E302" s="148"/>
      <c r="F302" s="148">
        <v>16.0</v>
      </c>
      <c r="G302" s="154"/>
      <c r="H302" s="154"/>
      <c r="I302" s="154"/>
      <c r="J302" s="154"/>
      <c r="K302" s="154"/>
      <c r="L302" s="154"/>
      <c r="M302" s="154"/>
      <c r="N302" s="148"/>
      <c r="O302" s="148"/>
      <c r="P302" s="148"/>
      <c r="Q302" s="154"/>
      <c r="R302" s="148"/>
      <c r="S302" s="148"/>
      <c r="T302" s="148"/>
      <c r="U302" s="148"/>
      <c r="V302" s="148"/>
      <c r="W302" s="148"/>
      <c r="X302" s="146">
        <v>0.11</v>
      </c>
      <c r="Y302" s="148">
        <v>2.0</v>
      </c>
    </row>
    <row r="303">
      <c r="A303" s="148">
        <v>211.0</v>
      </c>
      <c r="B303" s="148">
        <v>20.0</v>
      </c>
      <c r="C303" s="154"/>
      <c r="D303" s="154"/>
      <c r="E303" s="148"/>
      <c r="F303" s="148">
        <v>24.0</v>
      </c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48"/>
      <c r="S303" s="148"/>
      <c r="T303" s="148"/>
      <c r="U303" s="148"/>
      <c r="V303" s="148"/>
      <c r="W303" s="148"/>
      <c r="X303" s="146">
        <v>0.11</v>
      </c>
      <c r="Y303" s="148">
        <v>3.0</v>
      </c>
    </row>
    <row r="304">
      <c r="A304" s="148">
        <v>211.0</v>
      </c>
      <c r="B304" s="148">
        <v>5.0</v>
      </c>
      <c r="C304" s="154"/>
      <c r="D304" s="154"/>
      <c r="E304" s="148"/>
      <c r="F304" s="148">
        <v>57.0</v>
      </c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48"/>
      <c r="S304" s="148"/>
      <c r="T304" s="148"/>
      <c r="U304" s="148"/>
      <c r="V304" s="148"/>
      <c r="W304" s="148"/>
      <c r="X304" s="146">
        <v>0.11</v>
      </c>
      <c r="Y304" s="148">
        <v>4.0</v>
      </c>
    </row>
    <row r="305">
      <c r="A305" s="148">
        <v>211.0</v>
      </c>
      <c r="B305" s="148">
        <v>950.0</v>
      </c>
      <c r="C305" s="154"/>
      <c r="D305" s="154"/>
      <c r="E305" s="154"/>
      <c r="F305" s="154"/>
      <c r="G305" s="148">
        <v>9.0</v>
      </c>
      <c r="H305" s="154"/>
      <c r="I305" s="154"/>
      <c r="J305" s="148"/>
      <c r="K305" s="154"/>
      <c r="L305" s="148"/>
      <c r="M305" s="154"/>
      <c r="N305" s="154"/>
      <c r="O305" s="154"/>
      <c r="P305" s="154"/>
      <c r="Q305" s="154"/>
      <c r="R305" s="148"/>
      <c r="S305" s="148"/>
      <c r="T305" s="148"/>
      <c r="U305" s="148"/>
      <c r="V305" s="148"/>
      <c r="W305" s="148"/>
      <c r="X305" s="146">
        <v>0.11</v>
      </c>
      <c r="Y305" s="148">
        <v>1.0</v>
      </c>
    </row>
    <row r="306">
      <c r="A306" s="148">
        <v>211.0</v>
      </c>
      <c r="B306" s="148">
        <v>200.0</v>
      </c>
      <c r="C306" s="154"/>
      <c r="D306" s="154"/>
      <c r="E306" s="154"/>
      <c r="F306" s="154"/>
      <c r="G306" s="148">
        <v>13.0</v>
      </c>
      <c r="H306" s="154"/>
      <c r="I306" s="154"/>
      <c r="J306" s="148"/>
      <c r="K306" s="154"/>
      <c r="L306" s="148"/>
      <c r="M306" s="154"/>
      <c r="N306" s="154"/>
      <c r="O306" s="154"/>
      <c r="P306" s="154"/>
      <c r="Q306" s="154"/>
      <c r="R306" s="148"/>
      <c r="S306" s="148"/>
      <c r="T306" s="148"/>
      <c r="U306" s="148"/>
      <c r="V306" s="148"/>
      <c r="W306" s="148"/>
      <c r="X306" s="146">
        <v>0.11</v>
      </c>
      <c r="Y306" s="148">
        <v>1.0</v>
      </c>
    </row>
    <row r="307">
      <c r="A307" s="148">
        <v>211.0</v>
      </c>
      <c r="B307" s="148">
        <v>75.0</v>
      </c>
      <c r="C307" s="154"/>
      <c r="D307" s="154"/>
      <c r="E307" s="154"/>
      <c r="F307" s="154"/>
      <c r="G307" s="148">
        <v>22.0</v>
      </c>
      <c r="H307" s="154"/>
      <c r="I307" s="154"/>
      <c r="J307" s="148"/>
      <c r="K307" s="154"/>
      <c r="L307" s="148"/>
      <c r="M307" s="154"/>
      <c r="N307" s="154"/>
      <c r="O307" s="154"/>
      <c r="P307" s="154"/>
      <c r="Q307" s="154"/>
      <c r="R307" s="148"/>
      <c r="S307" s="148"/>
      <c r="T307" s="148"/>
      <c r="U307" s="148"/>
      <c r="V307" s="148"/>
      <c r="W307" s="148"/>
      <c r="X307" s="146">
        <v>0.11</v>
      </c>
      <c r="Y307" s="148">
        <v>2.0</v>
      </c>
    </row>
    <row r="308">
      <c r="A308" s="148">
        <v>211.0</v>
      </c>
      <c r="B308" s="148">
        <v>20.0</v>
      </c>
      <c r="C308" s="154"/>
      <c r="D308" s="154"/>
      <c r="E308" s="154"/>
      <c r="F308" s="154"/>
      <c r="G308" s="148">
        <v>42.0</v>
      </c>
      <c r="H308" s="154"/>
      <c r="I308" s="154"/>
      <c r="J308" s="148"/>
      <c r="K308" s="154"/>
      <c r="L308" s="148"/>
      <c r="M308" s="154"/>
      <c r="N308" s="154"/>
      <c r="O308" s="154"/>
      <c r="P308" s="154"/>
      <c r="Q308" s="154"/>
      <c r="R308" s="148"/>
      <c r="S308" s="148"/>
      <c r="T308" s="148"/>
      <c r="U308" s="148"/>
      <c r="V308" s="148"/>
      <c r="W308" s="148"/>
      <c r="X308" s="146">
        <v>0.11</v>
      </c>
      <c r="Y308" s="148">
        <v>3.0</v>
      </c>
    </row>
    <row r="309">
      <c r="A309" s="148">
        <v>211.0</v>
      </c>
      <c r="B309" s="148">
        <v>5.0</v>
      </c>
      <c r="C309" s="154"/>
      <c r="D309" s="154"/>
      <c r="E309" s="154"/>
      <c r="F309" s="154"/>
      <c r="G309" s="148">
        <v>72.0</v>
      </c>
      <c r="H309" s="154"/>
      <c r="I309" s="154"/>
      <c r="J309" s="148"/>
      <c r="K309" s="154"/>
      <c r="L309" s="148"/>
      <c r="M309" s="154"/>
      <c r="N309" s="154"/>
      <c r="O309" s="154"/>
      <c r="P309" s="154"/>
      <c r="Q309" s="154"/>
      <c r="R309" s="148"/>
      <c r="S309" s="148"/>
      <c r="T309" s="148"/>
      <c r="U309" s="148"/>
      <c r="V309" s="148"/>
      <c r="W309" s="148"/>
      <c r="X309" s="146">
        <v>0.11</v>
      </c>
      <c r="Y309" s="148">
        <v>4.0</v>
      </c>
    </row>
    <row r="310">
      <c r="A310" s="148">
        <v>211.0</v>
      </c>
      <c r="B310" s="148">
        <v>950.0</v>
      </c>
      <c r="C310" s="154"/>
      <c r="D310" s="148">
        <v>4.0</v>
      </c>
      <c r="E310" s="154"/>
      <c r="F310" s="148"/>
      <c r="G310" s="154"/>
      <c r="H310" s="154"/>
      <c r="I310" s="154"/>
      <c r="J310" s="148"/>
      <c r="K310" s="154"/>
      <c r="L310" s="148"/>
      <c r="M310" s="154"/>
      <c r="N310" s="154"/>
      <c r="O310" s="154"/>
      <c r="P310" s="154"/>
      <c r="Q310" s="154"/>
      <c r="R310" s="148"/>
      <c r="S310" s="148"/>
      <c r="T310" s="148"/>
      <c r="U310" s="148"/>
      <c r="V310" s="148"/>
      <c r="W310" s="148"/>
      <c r="X310" s="146">
        <v>0.11</v>
      </c>
      <c r="Y310" s="148">
        <v>1.0</v>
      </c>
    </row>
    <row r="311">
      <c r="A311" s="148">
        <v>211.0</v>
      </c>
      <c r="B311" s="148">
        <v>200.0</v>
      </c>
      <c r="C311" s="154"/>
      <c r="D311" s="148">
        <v>8.0</v>
      </c>
      <c r="E311" s="154"/>
      <c r="F311" s="148"/>
      <c r="G311" s="154"/>
      <c r="H311" s="154"/>
      <c r="I311" s="154"/>
      <c r="J311" s="148"/>
      <c r="K311" s="154"/>
      <c r="L311" s="148"/>
      <c r="M311" s="154"/>
      <c r="N311" s="154"/>
      <c r="O311" s="154"/>
      <c r="P311" s="154"/>
      <c r="Q311" s="154"/>
      <c r="R311" s="148"/>
      <c r="S311" s="148"/>
      <c r="T311" s="148"/>
      <c r="U311" s="148"/>
      <c r="V311" s="148"/>
      <c r="W311" s="148"/>
      <c r="X311" s="146">
        <v>0.11</v>
      </c>
      <c r="Y311" s="148">
        <v>1.0</v>
      </c>
    </row>
    <row r="312">
      <c r="A312" s="148">
        <v>211.0</v>
      </c>
      <c r="B312" s="148">
        <v>75.0</v>
      </c>
      <c r="C312" s="148"/>
      <c r="D312" s="148">
        <v>11.0</v>
      </c>
      <c r="E312" s="148"/>
      <c r="F312" s="148"/>
      <c r="G312" s="148"/>
      <c r="H312" s="154"/>
      <c r="I312" s="154"/>
      <c r="J312" s="148"/>
      <c r="K312" s="154"/>
      <c r="L312" s="148"/>
      <c r="M312" s="154"/>
      <c r="N312" s="154"/>
      <c r="O312" s="154"/>
      <c r="P312" s="154"/>
      <c r="Q312" s="154"/>
      <c r="R312" s="148"/>
      <c r="S312" s="148"/>
      <c r="T312" s="148"/>
      <c r="U312" s="148"/>
      <c r="V312" s="148"/>
      <c r="W312" s="148"/>
      <c r="X312" s="146">
        <v>0.11</v>
      </c>
      <c r="Y312" s="148">
        <v>2.0</v>
      </c>
    </row>
    <row r="313">
      <c r="A313" s="148">
        <v>211.0</v>
      </c>
      <c r="B313" s="148">
        <v>20.0</v>
      </c>
      <c r="C313" s="154"/>
      <c r="D313" s="148">
        <v>17.0</v>
      </c>
      <c r="E313" s="154"/>
      <c r="F313" s="148"/>
      <c r="G313" s="154"/>
      <c r="H313" s="154"/>
      <c r="I313" s="154"/>
      <c r="J313" s="148"/>
      <c r="K313" s="154"/>
      <c r="L313" s="148"/>
      <c r="M313" s="154"/>
      <c r="N313" s="154"/>
      <c r="O313" s="154"/>
      <c r="P313" s="154"/>
      <c r="Q313" s="154"/>
      <c r="R313" s="148"/>
      <c r="S313" s="148"/>
      <c r="T313" s="148"/>
      <c r="U313" s="148"/>
      <c r="V313" s="148"/>
      <c r="W313" s="148"/>
      <c r="X313" s="146">
        <v>0.11</v>
      </c>
      <c r="Y313" s="148">
        <v>3.0</v>
      </c>
    </row>
    <row r="314">
      <c r="A314" s="148">
        <v>211.0</v>
      </c>
      <c r="B314" s="148">
        <v>5.0</v>
      </c>
      <c r="C314" s="154"/>
      <c r="D314" s="148">
        <v>40.0</v>
      </c>
      <c r="E314" s="154"/>
      <c r="F314" s="148"/>
      <c r="G314" s="154"/>
      <c r="H314" s="154"/>
      <c r="I314" s="154"/>
      <c r="J314" s="148"/>
      <c r="K314" s="154"/>
      <c r="L314" s="148"/>
      <c r="M314" s="154"/>
      <c r="N314" s="154"/>
      <c r="O314" s="154"/>
      <c r="P314" s="154"/>
      <c r="Q314" s="154"/>
      <c r="R314" s="148"/>
      <c r="S314" s="148"/>
      <c r="T314" s="148"/>
      <c r="U314" s="148"/>
      <c r="V314" s="148"/>
      <c r="W314" s="148"/>
      <c r="X314" s="146">
        <v>0.11</v>
      </c>
      <c r="Y314" s="148">
        <v>4.0</v>
      </c>
    </row>
    <row r="315">
      <c r="A315" s="148">
        <v>211.0</v>
      </c>
      <c r="B315" s="148">
        <v>500.0</v>
      </c>
      <c r="C315" s="154"/>
      <c r="D315" s="154"/>
      <c r="E315" s="148">
        <v>6.0</v>
      </c>
      <c r="F315" s="148"/>
      <c r="G315" s="148"/>
      <c r="H315" s="154"/>
      <c r="I315" s="154"/>
      <c r="J315" s="148"/>
      <c r="K315" s="154"/>
      <c r="L315" s="148"/>
      <c r="M315" s="154"/>
      <c r="N315" s="154"/>
      <c r="O315" s="154"/>
      <c r="P315" s="154"/>
      <c r="Q315" s="154"/>
      <c r="R315" s="148"/>
      <c r="S315" s="148"/>
      <c r="T315" s="148"/>
      <c r="U315" s="148"/>
      <c r="V315" s="148"/>
      <c r="W315" s="148"/>
      <c r="X315" s="146">
        <v>0.11</v>
      </c>
      <c r="Y315" s="148">
        <v>1.0</v>
      </c>
    </row>
    <row r="316">
      <c r="A316" s="148">
        <v>211.0</v>
      </c>
      <c r="B316" s="148">
        <v>200.0</v>
      </c>
      <c r="C316" s="154"/>
      <c r="D316" s="154"/>
      <c r="E316" s="148">
        <v>10.0</v>
      </c>
      <c r="F316" s="148"/>
      <c r="G316" s="148"/>
      <c r="H316" s="154"/>
      <c r="I316" s="154"/>
      <c r="J316" s="148"/>
      <c r="K316" s="154"/>
      <c r="L316" s="148"/>
      <c r="M316" s="154"/>
      <c r="N316" s="154"/>
      <c r="O316" s="154"/>
      <c r="P316" s="154"/>
      <c r="Q316" s="154"/>
      <c r="R316" s="148"/>
      <c r="S316" s="148"/>
      <c r="T316" s="148"/>
      <c r="U316" s="148"/>
      <c r="V316" s="148"/>
      <c r="W316" s="148"/>
      <c r="X316" s="146">
        <v>0.11</v>
      </c>
      <c r="Y316" s="148">
        <v>1.0</v>
      </c>
    </row>
    <row r="317">
      <c r="A317" s="148">
        <v>211.0</v>
      </c>
      <c r="B317" s="148">
        <v>75.0</v>
      </c>
      <c r="C317" s="154"/>
      <c r="D317" s="154"/>
      <c r="E317" s="148">
        <v>17.0</v>
      </c>
      <c r="F317" s="148"/>
      <c r="G317" s="148"/>
      <c r="H317" s="154"/>
      <c r="I317" s="154"/>
      <c r="J317" s="148"/>
      <c r="K317" s="154"/>
      <c r="L317" s="148"/>
      <c r="M317" s="154"/>
      <c r="N317" s="154"/>
      <c r="O317" s="154"/>
      <c r="P317" s="154"/>
      <c r="Q317" s="154"/>
      <c r="R317" s="148"/>
      <c r="S317" s="148"/>
      <c r="T317" s="148"/>
      <c r="U317" s="148"/>
      <c r="V317" s="148"/>
      <c r="W317" s="148"/>
      <c r="X317" s="146">
        <v>0.11</v>
      </c>
      <c r="Y317" s="148">
        <v>2.0</v>
      </c>
    </row>
    <row r="318">
      <c r="A318" s="148">
        <v>211.0</v>
      </c>
      <c r="B318" s="148">
        <v>20.0</v>
      </c>
      <c r="C318" s="154"/>
      <c r="D318" s="154"/>
      <c r="E318" s="148">
        <v>30.0</v>
      </c>
      <c r="F318" s="148"/>
      <c r="G318" s="148"/>
      <c r="H318" s="154"/>
      <c r="I318" s="154"/>
      <c r="J318" s="148"/>
      <c r="K318" s="154"/>
      <c r="L318" s="148"/>
      <c r="M318" s="154"/>
      <c r="N318" s="154"/>
      <c r="O318" s="154"/>
      <c r="P318" s="154"/>
      <c r="Q318" s="154"/>
      <c r="R318" s="148"/>
      <c r="S318" s="148"/>
      <c r="T318" s="148"/>
      <c r="U318" s="148"/>
      <c r="V318" s="148"/>
      <c r="W318" s="148"/>
      <c r="X318" s="146">
        <v>0.11</v>
      </c>
      <c r="Y318" s="148">
        <v>3.0</v>
      </c>
    </row>
    <row r="319">
      <c r="A319" s="148">
        <v>211.0</v>
      </c>
      <c r="B319" s="148">
        <v>5.0</v>
      </c>
      <c r="C319" s="154"/>
      <c r="D319" s="154"/>
      <c r="E319" s="148">
        <v>51.0</v>
      </c>
      <c r="F319" s="148"/>
      <c r="G319" s="148"/>
      <c r="H319" s="154"/>
      <c r="I319" s="154"/>
      <c r="J319" s="148"/>
      <c r="K319" s="154"/>
      <c r="L319" s="148"/>
      <c r="M319" s="154"/>
      <c r="N319" s="154"/>
      <c r="O319" s="154"/>
      <c r="P319" s="154"/>
      <c r="Q319" s="154"/>
      <c r="R319" s="148"/>
      <c r="S319" s="148"/>
      <c r="T319" s="148"/>
      <c r="U319" s="148"/>
      <c r="V319" s="148"/>
      <c r="W319" s="148"/>
      <c r="X319" s="146">
        <v>0.11</v>
      </c>
      <c r="Y319" s="148">
        <v>4.0</v>
      </c>
    </row>
    <row r="320">
      <c r="A320" s="148">
        <v>211.0</v>
      </c>
      <c r="B320" s="148">
        <v>500.0</v>
      </c>
      <c r="C320" s="154"/>
      <c r="D320" s="154"/>
      <c r="E320" s="154"/>
      <c r="F320" s="154"/>
      <c r="G320" s="148"/>
      <c r="H320" s="154"/>
      <c r="I320" s="154"/>
      <c r="J320" s="148"/>
      <c r="K320" s="148"/>
      <c r="L320" s="148"/>
      <c r="M320" s="154"/>
      <c r="N320" s="154"/>
      <c r="O320" s="154"/>
      <c r="P320" s="148">
        <v>0.01</v>
      </c>
      <c r="Q320" s="154"/>
      <c r="R320" s="148"/>
      <c r="S320" s="148"/>
      <c r="T320" s="148"/>
      <c r="U320" s="148"/>
      <c r="V320" s="148"/>
      <c r="W320" s="148"/>
      <c r="X320" s="146">
        <v>0.11</v>
      </c>
      <c r="Y320" s="148">
        <v>1.0</v>
      </c>
    </row>
    <row r="321">
      <c r="A321" s="148">
        <v>211.0</v>
      </c>
      <c r="B321" s="148">
        <v>200.0</v>
      </c>
      <c r="C321" s="154"/>
      <c r="D321" s="154"/>
      <c r="E321" s="154"/>
      <c r="F321" s="154"/>
      <c r="G321" s="148"/>
      <c r="H321" s="154"/>
      <c r="I321" s="154"/>
      <c r="J321" s="148"/>
      <c r="K321" s="148"/>
      <c r="L321" s="148"/>
      <c r="M321" s="154"/>
      <c r="N321" s="154"/>
      <c r="O321" s="154"/>
      <c r="P321" s="148">
        <v>0.02</v>
      </c>
      <c r="Q321" s="154"/>
      <c r="R321" s="148"/>
      <c r="S321" s="148"/>
      <c r="T321" s="148"/>
      <c r="U321" s="148"/>
      <c r="V321" s="148"/>
      <c r="W321" s="148"/>
      <c r="X321" s="146">
        <v>0.11</v>
      </c>
      <c r="Y321" s="148">
        <v>1.0</v>
      </c>
    </row>
    <row r="322">
      <c r="A322" s="148">
        <v>211.0</v>
      </c>
      <c r="B322" s="148">
        <v>75.0</v>
      </c>
      <c r="C322" s="154"/>
      <c r="D322" s="154"/>
      <c r="E322" s="154"/>
      <c r="F322" s="154"/>
      <c r="G322" s="148"/>
      <c r="H322" s="154"/>
      <c r="I322" s="154"/>
      <c r="J322" s="148"/>
      <c r="K322" s="148"/>
      <c r="L322" s="148"/>
      <c r="M322" s="154"/>
      <c r="N322" s="154"/>
      <c r="O322" s="154"/>
      <c r="P322" s="148">
        <v>0.04</v>
      </c>
      <c r="Q322" s="154"/>
      <c r="R322" s="148"/>
      <c r="S322" s="148"/>
      <c r="T322" s="148"/>
      <c r="U322" s="148"/>
      <c r="V322" s="148"/>
      <c r="W322" s="148"/>
      <c r="X322" s="146">
        <v>0.11</v>
      </c>
      <c r="Y322" s="148">
        <v>2.0</v>
      </c>
    </row>
    <row r="323">
      <c r="A323" s="148">
        <v>211.0</v>
      </c>
      <c r="B323" s="148">
        <v>20.0</v>
      </c>
      <c r="C323" s="154"/>
      <c r="D323" s="154"/>
      <c r="E323" s="154"/>
      <c r="F323" s="154"/>
      <c r="G323" s="148"/>
      <c r="H323" s="154"/>
      <c r="I323" s="154"/>
      <c r="J323" s="148"/>
      <c r="K323" s="148"/>
      <c r="L323" s="148"/>
      <c r="M323" s="154"/>
      <c r="N323" s="154"/>
      <c r="O323" s="154"/>
      <c r="P323" s="148">
        <v>0.07</v>
      </c>
      <c r="Q323" s="154"/>
      <c r="R323" s="148"/>
      <c r="S323" s="148"/>
      <c r="T323" s="148"/>
      <c r="U323" s="148"/>
      <c r="V323" s="148"/>
      <c r="W323" s="148"/>
      <c r="X323" s="146">
        <v>0.11</v>
      </c>
      <c r="Y323" s="148">
        <v>3.0</v>
      </c>
    </row>
    <row r="324">
      <c r="A324" s="148">
        <v>211.0</v>
      </c>
      <c r="B324" s="148">
        <v>5.0</v>
      </c>
      <c r="C324" s="154"/>
      <c r="D324" s="154"/>
      <c r="E324" s="154"/>
      <c r="F324" s="154"/>
      <c r="G324" s="148"/>
      <c r="H324" s="154"/>
      <c r="I324" s="154"/>
      <c r="J324" s="148"/>
      <c r="K324" s="148"/>
      <c r="L324" s="148"/>
      <c r="M324" s="154"/>
      <c r="N324" s="154"/>
      <c r="O324" s="154"/>
      <c r="P324" s="148">
        <v>0.1</v>
      </c>
      <c r="Q324" s="154"/>
      <c r="R324" s="148"/>
      <c r="S324" s="148"/>
      <c r="T324" s="148"/>
      <c r="U324" s="148"/>
      <c r="V324" s="148"/>
      <c r="W324" s="148"/>
      <c r="X324" s="146">
        <v>0.11</v>
      </c>
      <c r="Y324" s="148">
        <v>4.0</v>
      </c>
    </row>
    <row r="325">
      <c r="A325" s="148">
        <v>211.0</v>
      </c>
      <c r="B325" s="148">
        <v>550.0</v>
      </c>
      <c r="C325" s="154"/>
      <c r="D325" s="154"/>
      <c r="E325" s="154"/>
      <c r="F325" s="154"/>
      <c r="G325" s="148"/>
      <c r="H325" s="154"/>
      <c r="I325" s="154"/>
      <c r="J325" s="148"/>
      <c r="K325" s="148"/>
      <c r="L325" s="148"/>
      <c r="M325" s="154"/>
      <c r="N325" s="154"/>
      <c r="O325" s="154"/>
      <c r="P325" s="148"/>
      <c r="Q325" s="154"/>
      <c r="R325" s="148"/>
      <c r="S325" s="148"/>
      <c r="T325" s="148"/>
      <c r="U325" s="148"/>
      <c r="V325" s="148"/>
      <c r="W325" s="148">
        <v>0.02</v>
      </c>
      <c r="X325" s="146">
        <v>0.11</v>
      </c>
      <c r="Y325" s="148">
        <v>1.0</v>
      </c>
    </row>
    <row r="326">
      <c r="A326" s="148">
        <v>211.0</v>
      </c>
      <c r="B326" s="148">
        <v>100.0</v>
      </c>
      <c r="C326" s="154"/>
      <c r="D326" s="154"/>
      <c r="E326" s="154"/>
      <c r="F326" s="154"/>
      <c r="G326" s="148"/>
      <c r="H326" s="154"/>
      <c r="I326" s="154"/>
      <c r="J326" s="148"/>
      <c r="K326" s="148"/>
      <c r="L326" s="148"/>
      <c r="M326" s="154"/>
      <c r="N326" s="154"/>
      <c r="O326" s="154"/>
      <c r="P326" s="148"/>
      <c r="Q326" s="154"/>
      <c r="R326" s="148"/>
      <c r="S326" s="148"/>
      <c r="T326" s="148"/>
      <c r="U326" s="148"/>
      <c r="V326" s="148"/>
      <c r="W326" s="148">
        <v>0.04</v>
      </c>
      <c r="X326" s="146">
        <v>0.11</v>
      </c>
      <c r="Y326" s="148">
        <v>1.0</v>
      </c>
    </row>
    <row r="327">
      <c r="A327" s="148">
        <v>211.0</v>
      </c>
      <c r="B327" s="148">
        <v>35.0</v>
      </c>
      <c r="C327" s="154"/>
      <c r="D327" s="154"/>
      <c r="E327" s="154"/>
      <c r="F327" s="154"/>
      <c r="G327" s="148"/>
      <c r="H327" s="154"/>
      <c r="I327" s="154"/>
      <c r="J327" s="148"/>
      <c r="K327" s="148"/>
      <c r="L327" s="148"/>
      <c r="M327" s="154"/>
      <c r="N327" s="154"/>
      <c r="O327" s="154"/>
      <c r="P327" s="148"/>
      <c r="Q327" s="154"/>
      <c r="R327" s="148"/>
      <c r="S327" s="148"/>
      <c r="T327" s="148"/>
      <c r="U327" s="148"/>
      <c r="V327" s="148"/>
      <c r="W327" s="148">
        <v>0.08</v>
      </c>
      <c r="X327" s="146">
        <v>0.11</v>
      </c>
      <c r="Y327" s="148">
        <v>2.0</v>
      </c>
    </row>
    <row r="328">
      <c r="A328" s="148">
        <v>211.0</v>
      </c>
      <c r="B328" s="148">
        <v>10.0</v>
      </c>
      <c r="C328" s="154"/>
      <c r="D328" s="154"/>
      <c r="E328" s="154"/>
      <c r="F328" s="154"/>
      <c r="G328" s="148"/>
      <c r="H328" s="154"/>
      <c r="I328" s="154"/>
      <c r="J328" s="148"/>
      <c r="K328" s="148"/>
      <c r="L328" s="148"/>
      <c r="M328" s="154"/>
      <c r="N328" s="154"/>
      <c r="O328" s="154"/>
      <c r="P328" s="148"/>
      <c r="Q328" s="154"/>
      <c r="R328" s="148"/>
      <c r="S328" s="148"/>
      <c r="T328" s="148"/>
      <c r="U328" s="148"/>
      <c r="V328" s="148"/>
      <c r="W328" s="148">
        <v>0.013</v>
      </c>
      <c r="X328" s="146">
        <v>0.11</v>
      </c>
      <c r="Y328" s="148">
        <v>3.0</v>
      </c>
    </row>
    <row r="329">
      <c r="A329" s="148">
        <v>211.0</v>
      </c>
      <c r="B329" s="148">
        <v>5.0</v>
      </c>
      <c r="C329" s="154"/>
      <c r="D329" s="154"/>
      <c r="E329" s="154"/>
      <c r="F329" s="154"/>
      <c r="G329" s="148"/>
      <c r="H329" s="154"/>
      <c r="I329" s="154"/>
      <c r="J329" s="148"/>
      <c r="K329" s="148"/>
      <c r="L329" s="148"/>
      <c r="M329" s="154"/>
      <c r="N329" s="154"/>
      <c r="O329" s="154"/>
      <c r="P329" s="148"/>
      <c r="Q329" s="154"/>
      <c r="R329" s="148"/>
      <c r="S329" s="148"/>
      <c r="T329" s="148"/>
      <c r="U329" s="148"/>
      <c r="V329" s="148"/>
      <c r="W329" s="148">
        <v>0.2</v>
      </c>
      <c r="X329" s="146">
        <v>0.11</v>
      </c>
      <c r="Y329" s="148">
        <v>4.0</v>
      </c>
    </row>
    <row r="330">
      <c r="A330" s="148">
        <v>211.0</v>
      </c>
      <c r="B330" s="148">
        <v>550.0</v>
      </c>
      <c r="C330" s="154"/>
      <c r="D330" s="154"/>
      <c r="E330" s="154"/>
      <c r="F330" s="154"/>
      <c r="G330" s="148"/>
      <c r="H330" s="154"/>
      <c r="I330" s="154"/>
      <c r="J330" s="148"/>
      <c r="K330" s="148"/>
      <c r="L330" s="148"/>
      <c r="M330" s="154"/>
      <c r="N330" s="154"/>
      <c r="O330" s="154"/>
      <c r="P330" s="148"/>
      <c r="Q330" s="154"/>
      <c r="R330" s="148"/>
      <c r="S330" s="148"/>
      <c r="T330" s="148"/>
      <c r="U330" s="148"/>
      <c r="V330" s="148">
        <v>0.01</v>
      </c>
      <c r="W330" s="148"/>
      <c r="X330" s="146">
        <v>0.11</v>
      </c>
      <c r="Y330" s="148">
        <v>1.0</v>
      </c>
    </row>
    <row r="331">
      <c r="A331" s="148">
        <v>211.0</v>
      </c>
      <c r="B331" s="148">
        <v>100.0</v>
      </c>
      <c r="C331" s="154"/>
      <c r="D331" s="154"/>
      <c r="E331" s="154"/>
      <c r="F331" s="154"/>
      <c r="G331" s="148"/>
      <c r="H331" s="154"/>
      <c r="I331" s="154"/>
      <c r="J331" s="148"/>
      <c r="K331" s="148"/>
      <c r="L331" s="148"/>
      <c r="M331" s="154"/>
      <c r="N331" s="154"/>
      <c r="O331" s="154"/>
      <c r="P331" s="148"/>
      <c r="Q331" s="154"/>
      <c r="R331" s="148"/>
      <c r="S331" s="148"/>
      <c r="T331" s="148"/>
      <c r="U331" s="148"/>
      <c r="V331" s="148">
        <v>0.03</v>
      </c>
      <c r="W331" s="148"/>
      <c r="X331" s="146">
        <v>0.11</v>
      </c>
      <c r="Y331" s="148">
        <v>1.0</v>
      </c>
    </row>
    <row r="332">
      <c r="A332" s="148">
        <v>211.0</v>
      </c>
      <c r="B332" s="148">
        <v>35.0</v>
      </c>
      <c r="C332" s="154"/>
      <c r="D332" s="154"/>
      <c r="E332" s="154"/>
      <c r="F332" s="154"/>
      <c r="G332" s="148"/>
      <c r="H332" s="154"/>
      <c r="I332" s="154"/>
      <c r="J332" s="148"/>
      <c r="K332" s="148"/>
      <c r="L332" s="148"/>
      <c r="M332" s="154"/>
      <c r="N332" s="154"/>
      <c r="O332" s="154"/>
      <c r="P332" s="148"/>
      <c r="Q332" s="154"/>
      <c r="R332" s="148"/>
      <c r="S332" s="148"/>
      <c r="T332" s="148"/>
      <c r="U332" s="148"/>
      <c r="V332" s="148">
        <v>0.06</v>
      </c>
      <c r="W332" s="148"/>
      <c r="X332" s="146">
        <v>0.11</v>
      </c>
      <c r="Y332" s="148">
        <v>2.0</v>
      </c>
    </row>
    <row r="333">
      <c r="A333" s="148">
        <v>211.0</v>
      </c>
      <c r="B333" s="148">
        <v>10.0</v>
      </c>
      <c r="C333" s="154"/>
      <c r="D333" s="154"/>
      <c r="E333" s="154"/>
      <c r="F333" s="154"/>
      <c r="G333" s="148"/>
      <c r="H333" s="154"/>
      <c r="I333" s="154"/>
      <c r="J333" s="148"/>
      <c r="K333" s="148"/>
      <c r="L333" s="148"/>
      <c r="M333" s="154"/>
      <c r="N333" s="154"/>
      <c r="O333" s="154"/>
      <c r="P333" s="148"/>
      <c r="Q333" s="154"/>
      <c r="R333" s="148"/>
      <c r="S333" s="148"/>
      <c r="T333" s="148"/>
      <c r="U333" s="148"/>
      <c r="V333" s="148">
        <v>0.1</v>
      </c>
      <c r="W333" s="148"/>
      <c r="X333" s="146">
        <v>0.11</v>
      </c>
      <c r="Y333" s="148">
        <v>3.0</v>
      </c>
    </row>
    <row r="334">
      <c r="A334" s="148">
        <v>211.0</v>
      </c>
      <c r="B334" s="148">
        <v>5.0</v>
      </c>
      <c r="C334" s="154"/>
      <c r="D334" s="154"/>
      <c r="E334" s="154"/>
      <c r="F334" s="154"/>
      <c r="G334" s="148"/>
      <c r="H334" s="154"/>
      <c r="I334" s="154"/>
      <c r="J334" s="148"/>
      <c r="K334" s="148"/>
      <c r="L334" s="148"/>
      <c r="M334" s="154"/>
      <c r="N334" s="154"/>
      <c r="O334" s="154"/>
      <c r="P334" s="148"/>
      <c r="Q334" s="154"/>
      <c r="R334" s="148"/>
      <c r="S334" s="148"/>
      <c r="T334" s="148"/>
      <c r="U334" s="148"/>
      <c r="V334" s="148">
        <v>0.15</v>
      </c>
      <c r="W334" s="148"/>
      <c r="X334" s="146">
        <v>0.11</v>
      </c>
      <c r="Y334" s="148">
        <v>4.0</v>
      </c>
    </row>
    <row r="335">
      <c r="A335" s="145">
        <v>212.0</v>
      </c>
      <c r="B335" s="145">
        <v>1900.0</v>
      </c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</row>
    <row r="336">
      <c r="A336" s="145">
        <v>212.0</v>
      </c>
      <c r="B336" s="145">
        <v>950.0</v>
      </c>
      <c r="C336" s="145">
        <v>65.0</v>
      </c>
      <c r="D336" s="150"/>
      <c r="E336" s="150"/>
      <c r="F336" s="150"/>
      <c r="G336" s="145"/>
      <c r="H336" s="150"/>
      <c r="I336" s="150"/>
      <c r="J336" s="145"/>
      <c r="K336" s="150"/>
      <c r="L336" s="145"/>
      <c r="M336" s="150"/>
      <c r="N336" s="150"/>
      <c r="O336" s="150"/>
      <c r="P336" s="150"/>
      <c r="Q336" s="150"/>
      <c r="R336" s="145"/>
      <c r="S336" s="145"/>
      <c r="T336" s="145"/>
      <c r="U336" s="145"/>
      <c r="V336" s="145"/>
      <c r="W336" s="145"/>
      <c r="X336" s="145">
        <v>0.08</v>
      </c>
      <c r="Y336" s="145">
        <v>1.0</v>
      </c>
    </row>
    <row r="337">
      <c r="A337" s="145">
        <v>212.0</v>
      </c>
      <c r="B337" s="145">
        <v>200.0</v>
      </c>
      <c r="C337" s="145">
        <v>115.0</v>
      </c>
      <c r="D337" s="150"/>
      <c r="E337" s="150"/>
      <c r="F337" s="145"/>
      <c r="G337" s="145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5"/>
      <c r="S337" s="145"/>
      <c r="T337" s="145"/>
      <c r="U337" s="145"/>
      <c r="V337" s="145"/>
      <c r="W337" s="145"/>
      <c r="X337" s="145">
        <v>0.08</v>
      </c>
      <c r="Y337" s="145">
        <v>1.0</v>
      </c>
    </row>
    <row r="338">
      <c r="A338" s="145">
        <v>212.0</v>
      </c>
      <c r="B338" s="145">
        <v>75.0</v>
      </c>
      <c r="C338" s="145">
        <v>210.0</v>
      </c>
      <c r="D338" s="150"/>
      <c r="E338" s="145"/>
      <c r="F338" s="150"/>
      <c r="G338" s="145"/>
      <c r="H338" s="145"/>
      <c r="I338" s="150"/>
      <c r="J338" s="150"/>
      <c r="K338" s="150"/>
      <c r="L338" s="150"/>
      <c r="M338" s="150"/>
      <c r="N338" s="150"/>
      <c r="O338" s="150"/>
      <c r="P338" s="150"/>
      <c r="Q338" s="150"/>
      <c r="R338" s="145"/>
      <c r="S338" s="145"/>
      <c r="T338" s="145"/>
      <c r="U338" s="145"/>
      <c r="V338" s="145"/>
      <c r="W338" s="145"/>
      <c r="X338" s="145">
        <v>0.08</v>
      </c>
      <c r="Y338" s="145">
        <v>2.0</v>
      </c>
    </row>
    <row r="339">
      <c r="A339" s="145">
        <v>212.0</v>
      </c>
      <c r="B339" s="145">
        <v>20.0</v>
      </c>
      <c r="C339" s="145">
        <v>400.0</v>
      </c>
      <c r="D339" s="150"/>
      <c r="E339" s="150"/>
      <c r="F339" s="150"/>
      <c r="G339" s="145"/>
      <c r="H339" s="150"/>
      <c r="I339" s="145"/>
      <c r="J339" s="150"/>
      <c r="K339" s="150"/>
      <c r="L339" s="150"/>
      <c r="M339" s="150"/>
      <c r="N339" s="150"/>
      <c r="O339" s="150"/>
      <c r="P339" s="150"/>
      <c r="Q339" s="150"/>
      <c r="R339" s="145"/>
      <c r="S339" s="145"/>
      <c r="T339" s="145"/>
      <c r="U339" s="145"/>
      <c r="V339" s="145"/>
      <c r="W339" s="145"/>
      <c r="X339" s="145">
        <v>0.08</v>
      </c>
      <c r="Y339" s="145">
        <v>3.0</v>
      </c>
    </row>
    <row r="340">
      <c r="A340" s="145">
        <v>212.0</v>
      </c>
      <c r="B340" s="145">
        <v>5.0</v>
      </c>
      <c r="C340" s="145">
        <v>730.0</v>
      </c>
      <c r="D340" s="150"/>
      <c r="E340" s="145"/>
      <c r="F340" s="150"/>
      <c r="G340" s="145"/>
      <c r="H340" s="150"/>
      <c r="I340" s="150"/>
      <c r="J340" s="150"/>
      <c r="K340" s="150"/>
      <c r="L340" s="150"/>
      <c r="M340" s="150"/>
      <c r="N340" s="150"/>
      <c r="O340" s="150"/>
      <c r="P340" s="150"/>
      <c r="Q340" s="145"/>
      <c r="R340" s="145"/>
      <c r="S340" s="145"/>
      <c r="T340" s="145"/>
      <c r="U340" s="145"/>
      <c r="V340" s="145"/>
      <c r="W340" s="145"/>
      <c r="X340" s="145">
        <v>0.08</v>
      </c>
      <c r="Y340" s="145">
        <v>4.0</v>
      </c>
    </row>
    <row r="341">
      <c r="A341" s="145">
        <v>212.0</v>
      </c>
      <c r="B341" s="145">
        <v>750.0</v>
      </c>
      <c r="C341" s="150"/>
      <c r="D341" s="150"/>
      <c r="E341" s="145"/>
      <c r="F341" s="145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5"/>
      <c r="S341" s="145"/>
      <c r="T341" s="145"/>
      <c r="U341" s="145"/>
      <c r="V341" s="145"/>
      <c r="W341" s="145"/>
      <c r="X341" s="145">
        <v>0.08</v>
      </c>
      <c r="Y341" s="145">
        <v>1.0</v>
      </c>
    </row>
    <row r="342">
      <c r="A342" s="145">
        <v>212.0</v>
      </c>
      <c r="B342" s="145">
        <v>200.0</v>
      </c>
      <c r="C342" s="150"/>
      <c r="D342" s="150"/>
      <c r="E342" s="145"/>
      <c r="F342" s="145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5"/>
      <c r="S342" s="145"/>
      <c r="T342" s="145"/>
      <c r="U342" s="145"/>
      <c r="V342" s="145"/>
      <c r="W342" s="145"/>
      <c r="X342" s="145">
        <v>0.08</v>
      </c>
      <c r="Y342" s="145">
        <v>1.0</v>
      </c>
    </row>
    <row r="343">
      <c r="A343" s="145">
        <v>212.0</v>
      </c>
      <c r="B343" s="145">
        <v>75.0</v>
      </c>
      <c r="C343" s="145"/>
      <c r="D343" s="145"/>
      <c r="E343" s="145"/>
      <c r="F343" s="145">
        <v>16.0</v>
      </c>
      <c r="G343" s="150"/>
      <c r="H343" s="150"/>
      <c r="I343" s="150"/>
      <c r="J343" s="150"/>
      <c r="K343" s="150"/>
      <c r="L343" s="150"/>
      <c r="M343" s="150"/>
      <c r="N343" s="145"/>
      <c r="O343" s="145"/>
      <c r="P343" s="145"/>
      <c r="Q343" s="150"/>
      <c r="R343" s="145"/>
      <c r="S343" s="145"/>
      <c r="T343" s="145"/>
      <c r="U343" s="145"/>
      <c r="V343" s="145"/>
      <c r="W343" s="145"/>
      <c r="X343" s="145">
        <v>0.08</v>
      </c>
      <c r="Y343" s="145">
        <v>2.0</v>
      </c>
    </row>
    <row r="344">
      <c r="A344" s="145">
        <v>212.0</v>
      </c>
      <c r="B344" s="145">
        <v>20.0</v>
      </c>
      <c r="C344" s="150"/>
      <c r="D344" s="150"/>
      <c r="E344" s="145"/>
      <c r="F344" s="145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5"/>
      <c r="S344" s="145"/>
      <c r="T344" s="145"/>
      <c r="U344" s="145"/>
      <c r="V344" s="145"/>
      <c r="W344" s="145"/>
      <c r="X344" s="145">
        <v>0.08</v>
      </c>
      <c r="Y344" s="145">
        <v>3.0</v>
      </c>
    </row>
    <row r="345">
      <c r="A345" s="145">
        <v>212.0</v>
      </c>
      <c r="B345" s="145">
        <v>5.0</v>
      </c>
      <c r="C345" s="150"/>
      <c r="D345" s="150"/>
      <c r="E345" s="145"/>
      <c r="F345" s="145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5"/>
      <c r="S345" s="145"/>
      <c r="T345" s="145"/>
      <c r="U345" s="145"/>
      <c r="V345" s="145"/>
      <c r="W345" s="145"/>
      <c r="X345" s="145">
        <v>0.08</v>
      </c>
      <c r="Y345" s="145">
        <v>4.0</v>
      </c>
    </row>
    <row r="346">
      <c r="A346" s="145">
        <v>212.0</v>
      </c>
      <c r="B346" s="145">
        <v>750.0</v>
      </c>
      <c r="C346" s="150"/>
      <c r="D346" s="150"/>
      <c r="E346" s="150"/>
      <c r="F346" s="150"/>
      <c r="G346" s="145">
        <v>9.0</v>
      </c>
      <c r="H346" s="150"/>
      <c r="I346" s="150"/>
      <c r="J346" s="145"/>
      <c r="K346" s="150"/>
      <c r="L346" s="145"/>
      <c r="M346" s="150"/>
      <c r="N346" s="150"/>
      <c r="O346" s="150"/>
      <c r="P346" s="150"/>
      <c r="Q346" s="150"/>
      <c r="R346" s="145"/>
      <c r="S346" s="145"/>
      <c r="T346" s="145"/>
      <c r="U346" s="145"/>
      <c r="V346" s="145"/>
      <c r="W346" s="145"/>
      <c r="X346" s="145">
        <v>0.08</v>
      </c>
      <c r="Y346" s="145">
        <v>1.0</v>
      </c>
    </row>
    <row r="347">
      <c r="A347" s="145">
        <v>212.0</v>
      </c>
      <c r="B347" s="145">
        <v>200.0</v>
      </c>
      <c r="C347" s="150"/>
      <c r="D347" s="150"/>
      <c r="E347" s="150"/>
      <c r="F347" s="150"/>
      <c r="G347" s="145">
        <v>13.0</v>
      </c>
      <c r="H347" s="150"/>
      <c r="I347" s="150"/>
      <c r="J347" s="145"/>
      <c r="K347" s="150"/>
      <c r="L347" s="145"/>
      <c r="M347" s="150"/>
      <c r="N347" s="150"/>
      <c r="O347" s="150"/>
      <c r="P347" s="150"/>
      <c r="Q347" s="150"/>
      <c r="R347" s="145"/>
      <c r="S347" s="145"/>
      <c r="T347" s="145"/>
      <c r="U347" s="145"/>
      <c r="V347" s="145"/>
      <c r="W347" s="145"/>
      <c r="X347" s="145">
        <v>0.08</v>
      </c>
      <c r="Y347" s="145">
        <v>1.0</v>
      </c>
    </row>
    <row r="348">
      <c r="A348" s="145">
        <v>212.0</v>
      </c>
      <c r="B348" s="145">
        <v>75.0</v>
      </c>
      <c r="C348" s="150"/>
      <c r="D348" s="150"/>
      <c r="E348" s="150"/>
      <c r="F348" s="150"/>
      <c r="G348" s="145">
        <v>22.0</v>
      </c>
      <c r="H348" s="150"/>
      <c r="I348" s="150"/>
      <c r="J348" s="145"/>
      <c r="K348" s="150"/>
      <c r="L348" s="145"/>
      <c r="M348" s="150"/>
      <c r="N348" s="150"/>
      <c r="O348" s="150"/>
      <c r="P348" s="150"/>
      <c r="Q348" s="150"/>
      <c r="R348" s="145"/>
      <c r="S348" s="145"/>
      <c r="T348" s="145"/>
      <c r="U348" s="145"/>
      <c r="V348" s="145"/>
      <c r="W348" s="145"/>
      <c r="X348" s="145">
        <v>0.08</v>
      </c>
      <c r="Y348" s="145">
        <v>2.0</v>
      </c>
    </row>
    <row r="349">
      <c r="A349" s="145">
        <v>212.0</v>
      </c>
      <c r="B349" s="145">
        <v>20.0</v>
      </c>
      <c r="C349" s="150"/>
      <c r="D349" s="150"/>
      <c r="E349" s="150"/>
      <c r="F349" s="150"/>
      <c r="G349" s="145">
        <v>42.0</v>
      </c>
      <c r="H349" s="150"/>
      <c r="I349" s="150"/>
      <c r="J349" s="145"/>
      <c r="K349" s="150"/>
      <c r="L349" s="145"/>
      <c r="M349" s="150"/>
      <c r="N349" s="150"/>
      <c r="O349" s="150"/>
      <c r="P349" s="150"/>
      <c r="Q349" s="150"/>
      <c r="R349" s="145"/>
      <c r="S349" s="145"/>
      <c r="T349" s="145"/>
      <c r="U349" s="145"/>
      <c r="V349" s="145"/>
      <c r="W349" s="145"/>
      <c r="X349" s="145">
        <v>0.08</v>
      </c>
      <c r="Y349" s="145">
        <v>3.0</v>
      </c>
    </row>
    <row r="350">
      <c r="A350" s="145">
        <v>212.0</v>
      </c>
      <c r="B350" s="145">
        <v>5.0</v>
      </c>
      <c r="C350" s="150"/>
      <c r="D350" s="150"/>
      <c r="E350" s="150"/>
      <c r="F350" s="150"/>
      <c r="G350" s="145">
        <v>72.0</v>
      </c>
      <c r="H350" s="150"/>
      <c r="I350" s="150"/>
      <c r="J350" s="145"/>
      <c r="K350" s="150"/>
      <c r="L350" s="145"/>
      <c r="M350" s="150"/>
      <c r="N350" s="150"/>
      <c r="O350" s="150"/>
      <c r="P350" s="150"/>
      <c r="Q350" s="150"/>
      <c r="R350" s="145"/>
      <c r="S350" s="145"/>
      <c r="T350" s="145"/>
      <c r="U350" s="145"/>
      <c r="V350" s="145"/>
      <c r="W350" s="145"/>
      <c r="X350" s="145">
        <v>0.08</v>
      </c>
      <c r="Y350" s="145">
        <v>4.0</v>
      </c>
    </row>
    <row r="351">
      <c r="A351" s="145">
        <v>212.0</v>
      </c>
      <c r="B351" s="145">
        <v>750.0</v>
      </c>
      <c r="C351" s="150"/>
      <c r="D351" s="145">
        <v>4.0</v>
      </c>
      <c r="E351" s="150"/>
      <c r="F351" s="145"/>
      <c r="G351" s="150"/>
      <c r="H351" s="150"/>
      <c r="I351" s="150"/>
      <c r="J351" s="145"/>
      <c r="K351" s="150"/>
      <c r="L351" s="145"/>
      <c r="M351" s="150"/>
      <c r="N351" s="150"/>
      <c r="O351" s="150"/>
      <c r="P351" s="150"/>
      <c r="Q351" s="150"/>
      <c r="R351" s="145"/>
      <c r="S351" s="145"/>
      <c r="T351" s="145"/>
      <c r="U351" s="145"/>
      <c r="V351" s="145"/>
      <c r="W351" s="145"/>
      <c r="X351" s="145">
        <v>0.08</v>
      </c>
      <c r="Y351" s="145">
        <v>1.0</v>
      </c>
    </row>
    <row r="352">
      <c r="A352" s="145">
        <v>212.0</v>
      </c>
      <c r="B352" s="145">
        <v>200.0</v>
      </c>
      <c r="C352" s="150"/>
      <c r="D352" s="145">
        <v>8.0</v>
      </c>
      <c r="E352" s="150"/>
      <c r="F352" s="145"/>
      <c r="G352" s="150"/>
      <c r="H352" s="150"/>
      <c r="I352" s="150"/>
      <c r="J352" s="145"/>
      <c r="K352" s="150"/>
      <c r="L352" s="145"/>
      <c r="M352" s="150"/>
      <c r="N352" s="150"/>
      <c r="O352" s="150"/>
      <c r="P352" s="150"/>
      <c r="Q352" s="150"/>
      <c r="R352" s="145"/>
      <c r="S352" s="145"/>
      <c r="T352" s="145"/>
      <c r="U352" s="145"/>
      <c r="V352" s="145"/>
      <c r="W352" s="145"/>
      <c r="X352" s="145">
        <v>0.08</v>
      </c>
      <c r="Y352" s="145">
        <v>1.0</v>
      </c>
    </row>
    <row r="353">
      <c r="A353" s="145">
        <v>212.0</v>
      </c>
      <c r="B353" s="145">
        <v>75.0</v>
      </c>
      <c r="C353" s="145"/>
      <c r="D353" s="145">
        <v>11.0</v>
      </c>
      <c r="E353" s="145"/>
      <c r="F353" s="145"/>
      <c r="G353" s="145"/>
      <c r="H353" s="150"/>
      <c r="I353" s="150"/>
      <c r="J353" s="145"/>
      <c r="K353" s="150"/>
      <c r="L353" s="145"/>
      <c r="M353" s="150"/>
      <c r="N353" s="150"/>
      <c r="O353" s="150"/>
      <c r="P353" s="150"/>
      <c r="Q353" s="150"/>
      <c r="R353" s="145"/>
      <c r="S353" s="145"/>
      <c r="T353" s="145"/>
      <c r="U353" s="145"/>
      <c r="V353" s="145"/>
      <c r="W353" s="145"/>
      <c r="X353" s="145">
        <v>0.08</v>
      </c>
      <c r="Y353" s="145">
        <v>2.0</v>
      </c>
    </row>
    <row r="354">
      <c r="A354" s="145">
        <v>212.0</v>
      </c>
      <c r="B354" s="145">
        <v>20.0</v>
      </c>
      <c r="C354" s="150"/>
      <c r="D354" s="145">
        <v>17.0</v>
      </c>
      <c r="E354" s="150"/>
      <c r="F354" s="145"/>
      <c r="G354" s="150"/>
      <c r="H354" s="150"/>
      <c r="I354" s="150"/>
      <c r="J354" s="145"/>
      <c r="K354" s="150"/>
      <c r="L354" s="145"/>
      <c r="M354" s="150"/>
      <c r="N354" s="150"/>
      <c r="O354" s="150"/>
      <c r="P354" s="150"/>
      <c r="Q354" s="150"/>
      <c r="R354" s="145"/>
      <c r="S354" s="145"/>
      <c r="T354" s="145"/>
      <c r="U354" s="145"/>
      <c r="V354" s="145"/>
      <c r="W354" s="145"/>
      <c r="X354" s="145">
        <v>0.08</v>
      </c>
      <c r="Y354" s="145">
        <v>3.0</v>
      </c>
    </row>
    <row r="355">
      <c r="A355" s="145">
        <v>212.0</v>
      </c>
      <c r="B355" s="145">
        <v>5.0</v>
      </c>
      <c r="C355" s="150"/>
      <c r="D355" s="145">
        <v>40.0</v>
      </c>
      <c r="E355" s="150"/>
      <c r="F355" s="145"/>
      <c r="G355" s="150"/>
      <c r="H355" s="150"/>
      <c r="I355" s="150"/>
      <c r="J355" s="145"/>
      <c r="K355" s="150"/>
      <c r="L355" s="145"/>
      <c r="M355" s="150"/>
      <c r="N355" s="150"/>
      <c r="O355" s="150"/>
      <c r="P355" s="150"/>
      <c r="Q355" s="150"/>
      <c r="R355" s="145"/>
      <c r="S355" s="145"/>
      <c r="T355" s="145"/>
      <c r="U355" s="145"/>
      <c r="V355" s="145"/>
      <c r="W355" s="145"/>
      <c r="X355" s="145">
        <v>0.08</v>
      </c>
      <c r="Y355" s="145">
        <v>4.0</v>
      </c>
    </row>
    <row r="356">
      <c r="A356" s="145">
        <v>212.0</v>
      </c>
      <c r="B356" s="145">
        <v>500.0</v>
      </c>
      <c r="C356" s="150"/>
      <c r="D356" s="150"/>
      <c r="E356" s="145">
        <v>6.0</v>
      </c>
      <c r="F356" s="145"/>
      <c r="G356" s="145"/>
      <c r="H356" s="150"/>
      <c r="I356" s="150"/>
      <c r="J356" s="145"/>
      <c r="K356" s="150"/>
      <c r="L356" s="145"/>
      <c r="M356" s="150"/>
      <c r="N356" s="150"/>
      <c r="O356" s="150"/>
      <c r="P356" s="150"/>
      <c r="Q356" s="150"/>
      <c r="R356" s="145"/>
      <c r="S356" s="145"/>
      <c r="T356" s="145"/>
      <c r="U356" s="145"/>
      <c r="V356" s="145"/>
      <c r="W356" s="145"/>
      <c r="X356" s="145">
        <v>0.08</v>
      </c>
      <c r="Y356" s="145">
        <v>1.0</v>
      </c>
    </row>
    <row r="357">
      <c r="A357" s="145">
        <v>212.0</v>
      </c>
      <c r="B357" s="145">
        <v>200.0</v>
      </c>
      <c r="C357" s="150"/>
      <c r="D357" s="150"/>
      <c r="E357" s="145">
        <v>10.0</v>
      </c>
      <c r="F357" s="145"/>
      <c r="G357" s="145"/>
      <c r="H357" s="150"/>
      <c r="I357" s="150"/>
      <c r="J357" s="145"/>
      <c r="K357" s="150"/>
      <c r="L357" s="145"/>
      <c r="M357" s="150"/>
      <c r="N357" s="150"/>
      <c r="O357" s="150"/>
      <c r="P357" s="150"/>
      <c r="Q357" s="150"/>
      <c r="R357" s="145"/>
      <c r="S357" s="145"/>
      <c r="T357" s="145"/>
      <c r="U357" s="145"/>
      <c r="V357" s="145"/>
      <c r="W357" s="145"/>
      <c r="X357" s="145">
        <v>0.08</v>
      </c>
      <c r="Y357" s="145">
        <v>1.0</v>
      </c>
    </row>
    <row r="358">
      <c r="A358" s="145">
        <v>212.0</v>
      </c>
      <c r="B358" s="145">
        <v>75.0</v>
      </c>
      <c r="C358" s="150"/>
      <c r="D358" s="150"/>
      <c r="E358" s="145">
        <v>17.0</v>
      </c>
      <c r="F358" s="145"/>
      <c r="G358" s="145"/>
      <c r="H358" s="150"/>
      <c r="I358" s="150"/>
      <c r="J358" s="145"/>
      <c r="K358" s="150"/>
      <c r="L358" s="145"/>
      <c r="M358" s="150"/>
      <c r="N358" s="150"/>
      <c r="O358" s="150"/>
      <c r="P358" s="150"/>
      <c r="Q358" s="150"/>
      <c r="R358" s="145"/>
      <c r="S358" s="145"/>
      <c r="T358" s="145"/>
      <c r="U358" s="145"/>
      <c r="V358" s="145"/>
      <c r="W358" s="145"/>
      <c r="X358" s="145">
        <v>0.08</v>
      </c>
      <c r="Y358" s="145">
        <v>2.0</v>
      </c>
    </row>
    <row r="359">
      <c r="A359" s="145">
        <v>212.0</v>
      </c>
      <c r="B359" s="145">
        <v>20.0</v>
      </c>
      <c r="C359" s="150"/>
      <c r="D359" s="150"/>
      <c r="E359" s="145">
        <v>30.0</v>
      </c>
      <c r="F359" s="145"/>
      <c r="G359" s="145"/>
      <c r="H359" s="150"/>
      <c r="I359" s="150"/>
      <c r="J359" s="145"/>
      <c r="K359" s="150"/>
      <c r="L359" s="145"/>
      <c r="M359" s="150"/>
      <c r="N359" s="150"/>
      <c r="O359" s="150"/>
      <c r="P359" s="150"/>
      <c r="Q359" s="150"/>
      <c r="R359" s="145"/>
      <c r="S359" s="145"/>
      <c r="T359" s="145"/>
      <c r="U359" s="145"/>
      <c r="V359" s="145"/>
      <c r="W359" s="145"/>
      <c r="X359" s="145">
        <v>0.08</v>
      </c>
      <c r="Y359" s="145">
        <v>3.0</v>
      </c>
    </row>
    <row r="360">
      <c r="A360" s="145">
        <v>212.0</v>
      </c>
      <c r="B360" s="145">
        <v>5.0</v>
      </c>
      <c r="C360" s="150"/>
      <c r="D360" s="150"/>
      <c r="E360" s="145">
        <v>51.0</v>
      </c>
      <c r="F360" s="145"/>
      <c r="G360" s="145"/>
      <c r="H360" s="150"/>
      <c r="I360" s="150"/>
      <c r="J360" s="145"/>
      <c r="K360" s="150"/>
      <c r="L360" s="145"/>
      <c r="M360" s="150"/>
      <c r="N360" s="150"/>
      <c r="O360" s="150"/>
      <c r="P360" s="150"/>
      <c r="Q360" s="150"/>
      <c r="R360" s="145"/>
      <c r="S360" s="145"/>
      <c r="T360" s="145"/>
      <c r="U360" s="145"/>
      <c r="V360" s="145"/>
      <c r="W360" s="145"/>
      <c r="X360" s="145">
        <v>0.08</v>
      </c>
      <c r="Y360" s="145">
        <v>4.0</v>
      </c>
    </row>
    <row r="361">
      <c r="A361" s="145">
        <v>212.0</v>
      </c>
      <c r="B361" s="145">
        <v>500.0</v>
      </c>
      <c r="C361" s="150"/>
      <c r="D361" s="150"/>
      <c r="E361" s="150"/>
      <c r="F361" s="150"/>
      <c r="G361" s="145"/>
      <c r="H361" s="150"/>
      <c r="I361" s="150"/>
      <c r="J361" s="145"/>
      <c r="K361" s="145"/>
      <c r="L361" s="145"/>
      <c r="M361" s="150"/>
      <c r="N361" s="150"/>
      <c r="O361" s="150"/>
      <c r="P361" s="145">
        <v>0.01</v>
      </c>
      <c r="Q361" s="150"/>
      <c r="R361" s="145"/>
      <c r="S361" s="145"/>
      <c r="T361" s="145"/>
      <c r="U361" s="145"/>
      <c r="V361" s="145"/>
      <c r="W361" s="145"/>
      <c r="X361" s="145">
        <v>0.08</v>
      </c>
      <c r="Y361" s="145">
        <v>1.0</v>
      </c>
    </row>
    <row r="362">
      <c r="A362" s="145">
        <v>212.0</v>
      </c>
      <c r="B362" s="145">
        <v>200.0</v>
      </c>
      <c r="C362" s="150"/>
      <c r="D362" s="150"/>
      <c r="E362" s="150"/>
      <c r="F362" s="150"/>
      <c r="G362" s="145"/>
      <c r="H362" s="150"/>
      <c r="I362" s="150"/>
      <c r="J362" s="145"/>
      <c r="K362" s="145"/>
      <c r="L362" s="145"/>
      <c r="M362" s="150"/>
      <c r="N362" s="150"/>
      <c r="O362" s="150"/>
      <c r="P362" s="145">
        <v>0.02</v>
      </c>
      <c r="Q362" s="150"/>
      <c r="R362" s="145"/>
      <c r="S362" s="145"/>
      <c r="T362" s="145"/>
      <c r="U362" s="145"/>
      <c r="V362" s="145"/>
      <c r="W362" s="145"/>
      <c r="X362" s="145">
        <v>0.08</v>
      </c>
      <c r="Y362" s="145">
        <v>1.0</v>
      </c>
    </row>
    <row r="363">
      <c r="A363" s="145">
        <v>212.0</v>
      </c>
      <c r="B363" s="145">
        <v>75.0</v>
      </c>
      <c r="C363" s="150"/>
      <c r="D363" s="150"/>
      <c r="E363" s="150"/>
      <c r="F363" s="150"/>
      <c r="G363" s="145"/>
      <c r="H363" s="150"/>
      <c r="I363" s="150"/>
      <c r="J363" s="145"/>
      <c r="K363" s="145"/>
      <c r="L363" s="145"/>
      <c r="M363" s="150"/>
      <c r="N363" s="150"/>
      <c r="O363" s="150"/>
      <c r="P363" s="145">
        <v>0.04</v>
      </c>
      <c r="Q363" s="150"/>
      <c r="R363" s="145"/>
      <c r="S363" s="145"/>
      <c r="T363" s="145"/>
      <c r="U363" s="145"/>
      <c r="V363" s="145"/>
      <c r="W363" s="145"/>
      <c r="X363" s="145">
        <v>0.08</v>
      </c>
      <c r="Y363" s="145">
        <v>2.0</v>
      </c>
    </row>
    <row r="364">
      <c r="A364" s="145">
        <v>212.0</v>
      </c>
      <c r="B364" s="145">
        <v>20.0</v>
      </c>
      <c r="C364" s="150"/>
      <c r="D364" s="150"/>
      <c r="E364" s="150"/>
      <c r="F364" s="150"/>
      <c r="G364" s="145"/>
      <c r="H364" s="150"/>
      <c r="I364" s="150"/>
      <c r="J364" s="145"/>
      <c r="K364" s="145"/>
      <c r="L364" s="145"/>
      <c r="M364" s="150"/>
      <c r="N364" s="150"/>
      <c r="O364" s="150"/>
      <c r="P364" s="145">
        <v>0.07</v>
      </c>
      <c r="Q364" s="150"/>
      <c r="R364" s="145"/>
      <c r="S364" s="145"/>
      <c r="T364" s="145"/>
      <c r="U364" s="145"/>
      <c r="V364" s="145"/>
      <c r="W364" s="145"/>
      <c r="X364" s="145">
        <v>0.08</v>
      </c>
      <c r="Y364" s="145">
        <v>3.0</v>
      </c>
    </row>
    <row r="365">
      <c r="A365" s="145">
        <v>212.0</v>
      </c>
      <c r="B365" s="145">
        <v>5.0</v>
      </c>
      <c r="C365" s="150"/>
      <c r="D365" s="150"/>
      <c r="E365" s="150"/>
      <c r="F365" s="150"/>
      <c r="G365" s="145"/>
      <c r="H365" s="150"/>
      <c r="I365" s="150"/>
      <c r="J365" s="145"/>
      <c r="K365" s="145"/>
      <c r="L365" s="145"/>
      <c r="M365" s="150"/>
      <c r="N365" s="150"/>
      <c r="O365" s="150"/>
      <c r="P365" s="145">
        <v>0.1</v>
      </c>
      <c r="Q365" s="150"/>
      <c r="R365" s="145"/>
      <c r="S365" s="145"/>
      <c r="T365" s="145"/>
      <c r="U365" s="145"/>
      <c r="V365" s="145"/>
      <c r="W365" s="145"/>
      <c r="X365" s="145">
        <v>0.08</v>
      </c>
      <c r="Y365" s="145">
        <v>4.0</v>
      </c>
    </row>
    <row r="366">
      <c r="A366" s="145">
        <v>212.0</v>
      </c>
      <c r="B366" s="145">
        <v>550.0</v>
      </c>
      <c r="C366" s="150"/>
      <c r="D366" s="150"/>
      <c r="E366" s="150"/>
      <c r="F366" s="150"/>
      <c r="G366" s="145"/>
      <c r="H366" s="150"/>
      <c r="I366" s="150"/>
      <c r="J366" s="145"/>
      <c r="K366" s="145"/>
      <c r="L366" s="145"/>
      <c r="M366" s="150"/>
      <c r="N366" s="150"/>
      <c r="O366" s="150"/>
      <c r="P366" s="145"/>
      <c r="Q366" s="150"/>
      <c r="R366" s="145"/>
      <c r="S366" s="145"/>
      <c r="T366" s="145"/>
      <c r="U366" s="145"/>
      <c r="V366" s="145"/>
      <c r="W366" s="145">
        <v>0.02</v>
      </c>
      <c r="X366" s="145">
        <v>0.08</v>
      </c>
      <c r="Y366" s="145">
        <v>1.0</v>
      </c>
    </row>
    <row r="367">
      <c r="A367" s="145">
        <v>212.0</v>
      </c>
      <c r="B367" s="145">
        <v>100.0</v>
      </c>
      <c r="C367" s="150"/>
      <c r="D367" s="150"/>
      <c r="E367" s="150"/>
      <c r="F367" s="150"/>
      <c r="G367" s="145"/>
      <c r="H367" s="150"/>
      <c r="I367" s="150"/>
      <c r="J367" s="145"/>
      <c r="K367" s="145"/>
      <c r="L367" s="145"/>
      <c r="M367" s="150"/>
      <c r="N367" s="150"/>
      <c r="O367" s="150"/>
      <c r="P367" s="145"/>
      <c r="Q367" s="150"/>
      <c r="R367" s="145"/>
      <c r="S367" s="145"/>
      <c r="T367" s="145"/>
      <c r="U367" s="145"/>
      <c r="V367" s="145"/>
      <c r="W367" s="145">
        <v>0.04</v>
      </c>
      <c r="X367" s="145">
        <v>0.08</v>
      </c>
      <c r="Y367" s="145">
        <v>1.0</v>
      </c>
    </row>
    <row r="368">
      <c r="A368" s="145">
        <v>212.0</v>
      </c>
      <c r="B368" s="145">
        <v>35.0</v>
      </c>
      <c r="C368" s="150"/>
      <c r="D368" s="150"/>
      <c r="E368" s="150"/>
      <c r="F368" s="150"/>
      <c r="G368" s="145"/>
      <c r="H368" s="150"/>
      <c r="I368" s="150"/>
      <c r="J368" s="145"/>
      <c r="K368" s="145"/>
      <c r="L368" s="145"/>
      <c r="M368" s="150"/>
      <c r="N368" s="150"/>
      <c r="O368" s="150"/>
      <c r="P368" s="145"/>
      <c r="Q368" s="150"/>
      <c r="R368" s="145"/>
      <c r="S368" s="145"/>
      <c r="T368" s="145"/>
      <c r="U368" s="145"/>
      <c r="V368" s="145"/>
      <c r="W368" s="145">
        <v>0.08</v>
      </c>
      <c r="X368" s="145">
        <v>0.08</v>
      </c>
      <c r="Y368" s="145">
        <v>2.0</v>
      </c>
    </row>
    <row r="369">
      <c r="A369" s="145">
        <v>212.0</v>
      </c>
      <c r="B369" s="145">
        <v>10.0</v>
      </c>
      <c r="C369" s="150"/>
      <c r="D369" s="150"/>
      <c r="E369" s="150"/>
      <c r="F369" s="150"/>
      <c r="G369" s="145"/>
      <c r="H369" s="150"/>
      <c r="I369" s="150"/>
      <c r="J369" s="145"/>
      <c r="K369" s="145"/>
      <c r="L369" s="145"/>
      <c r="M369" s="150"/>
      <c r="N369" s="150"/>
      <c r="O369" s="150"/>
      <c r="P369" s="145"/>
      <c r="Q369" s="150"/>
      <c r="R369" s="145"/>
      <c r="S369" s="145"/>
      <c r="T369" s="145"/>
      <c r="U369" s="145"/>
      <c r="V369" s="145"/>
      <c r="W369" s="145">
        <v>0.013</v>
      </c>
      <c r="X369" s="145">
        <v>0.08</v>
      </c>
      <c r="Y369" s="145">
        <v>3.0</v>
      </c>
    </row>
    <row r="370">
      <c r="A370" s="145">
        <v>212.0</v>
      </c>
      <c r="B370" s="145">
        <v>5.0</v>
      </c>
      <c r="C370" s="150"/>
      <c r="D370" s="150"/>
      <c r="E370" s="150"/>
      <c r="F370" s="150"/>
      <c r="G370" s="145"/>
      <c r="H370" s="150"/>
      <c r="I370" s="150"/>
      <c r="J370" s="145"/>
      <c r="K370" s="145"/>
      <c r="L370" s="145"/>
      <c r="M370" s="150"/>
      <c r="N370" s="150"/>
      <c r="O370" s="150"/>
      <c r="P370" s="145"/>
      <c r="Q370" s="150"/>
      <c r="R370" s="145"/>
      <c r="S370" s="145"/>
      <c r="T370" s="145"/>
      <c r="U370" s="145"/>
      <c r="V370" s="145"/>
      <c r="W370" s="145">
        <v>0.2</v>
      </c>
      <c r="X370" s="145">
        <v>0.08</v>
      </c>
      <c r="Y370" s="145">
        <v>4.0</v>
      </c>
    </row>
    <row r="371">
      <c r="A371" s="145">
        <v>212.0</v>
      </c>
      <c r="B371" s="145">
        <v>550.0</v>
      </c>
      <c r="C371" s="150"/>
      <c r="D371" s="150"/>
      <c r="E371" s="150"/>
      <c r="F371" s="150"/>
      <c r="G371" s="145"/>
      <c r="H371" s="150"/>
      <c r="I371" s="150"/>
      <c r="J371" s="145"/>
      <c r="K371" s="145"/>
      <c r="L371" s="145"/>
      <c r="M371" s="150"/>
      <c r="N371" s="150"/>
      <c r="O371" s="150"/>
      <c r="P371" s="145"/>
      <c r="Q371" s="150"/>
      <c r="R371" s="145"/>
      <c r="S371" s="145"/>
      <c r="T371" s="145"/>
      <c r="U371" s="145"/>
      <c r="V371" s="145">
        <v>0.01</v>
      </c>
      <c r="W371" s="145"/>
      <c r="X371" s="145">
        <v>0.08</v>
      </c>
      <c r="Y371" s="145">
        <v>1.0</v>
      </c>
    </row>
    <row r="372">
      <c r="A372" s="145">
        <v>212.0</v>
      </c>
      <c r="B372" s="145">
        <v>100.0</v>
      </c>
      <c r="C372" s="150"/>
      <c r="D372" s="150"/>
      <c r="E372" s="150"/>
      <c r="F372" s="150"/>
      <c r="G372" s="145"/>
      <c r="H372" s="150"/>
      <c r="I372" s="150"/>
      <c r="J372" s="145"/>
      <c r="K372" s="145"/>
      <c r="L372" s="145"/>
      <c r="M372" s="150"/>
      <c r="N372" s="150"/>
      <c r="O372" s="150"/>
      <c r="P372" s="145"/>
      <c r="Q372" s="150"/>
      <c r="R372" s="145"/>
      <c r="S372" s="145"/>
      <c r="T372" s="145"/>
      <c r="U372" s="145"/>
      <c r="V372" s="145">
        <v>0.03</v>
      </c>
      <c r="W372" s="145"/>
      <c r="X372" s="145">
        <v>0.08</v>
      </c>
      <c r="Y372" s="145">
        <v>1.0</v>
      </c>
    </row>
    <row r="373">
      <c r="A373" s="145">
        <v>212.0</v>
      </c>
      <c r="B373" s="145">
        <v>35.0</v>
      </c>
      <c r="C373" s="150"/>
      <c r="D373" s="150"/>
      <c r="E373" s="150"/>
      <c r="F373" s="150"/>
      <c r="G373" s="145"/>
      <c r="H373" s="150"/>
      <c r="I373" s="150"/>
      <c r="J373" s="145"/>
      <c r="K373" s="145"/>
      <c r="L373" s="145"/>
      <c r="M373" s="150"/>
      <c r="N373" s="150"/>
      <c r="O373" s="150"/>
      <c r="P373" s="145"/>
      <c r="Q373" s="150"/>
      <c r="R373" s="145"/>
      <c r="S373" s="145"/>
      <c r="T373" s="145"/>
      <c r="U373" s="145"/>
      <c r="V373" s="145">
        <v>0.06</v>
      </c>
      <c r="W373" s="145"/>
      <c r="X373" s="145">
        <v>0.08</v>
      </c>
      <c r="Y373" s="145">
        <v>2.0</v>
      </c>
    </row>
    <row r="374">
      <c r="A374" s="145">
        <v>212.0</v>
      </c>
      <c r="B374" s="145">
        <v>10.0</v>
      </c>
      <c r="C374" s="150"/>
      <c r="D374" s="150"/>
      <c r="E374" s="150"/>
      <c r="F374" s="150"/>
      <c r="G374" s="145"/>
      <c r="H374" s="150"/>
      <c r="I374" s="150"/>
      <c r="J374" s="145"/>
      <c r="K374" s="145"/>
      <c r="L374" s="145"/>
      <c r="M374" s="150"/>
      <c r="N374" s="150"/>
      <c r="O374" s="150"/>
      <c r="P374" s="145"/>
      <c r="Q374" s="150"/>
      <c r="R374" s="145"/>
      <c r="S374" s="145"/>
      <c r="T374" s="145"/>
      <c r="U374" s="145"/>
      <c r="V374" s="145">
        <v>0.1</v>
      </c>
      <c r="W374" s="145"/>
      <c r="X374" s="145">
        <v>0.08</v>
      </c>
      <c r="Y374" s="145">
        <v>3.0</v>
      </c>
    </row>
    <row r="375">
      <c r="A375" s="145">
        <v>212.0</v>
      </c>
      <c r="B375" s="145">
        <v>5.0</v>
      </c>
      <c r="C375" s="150"/>
      <c r="D375" s="150"/>
      <c r="E375" s="150"/>
      <c r="F375" s="150"/>
      <c r="G375" s="145"/>
      <c r="H375" s="150"/>
      <c r="I375" s="150"/>
      <c r="J375" s="145"/>
      <c r="K375" s="145"/>
      <c r="L375" s="145"/>
      <c r="M375" s="150"/>
      <c r="N375" s="150"/>
      <c r="O375" s="150"/>
      <c r="P375" s="145"/>
      <c r="Q375" s="150"/>
      <c r="R375" s="145"/>
      <c r="S375" s="145"/>
      <c r="T375" s="145"/>
      <c r="U375" s="145"/>
      <c r="V375" s="145">
        <v>0.15</v>
      </c>
      <c r="W375" s="145"/>
      <c r="X375" s="145">
        <v>0.08</v>
      </c>
      <c r="Y375" s="145">
        <v>4.0</v>
      </c>
    </row>
    <row r="376">
      <c r="A376" s="145">
        <v>212.0</v>
      </c>
      <c r="B376" s="145">
        <v>550.0</v>
      </c>
      <c r="C376" s="150"/>
      <c r="D376" s="150"/>
      <c r="E376" s="150"/>
      <c r="F376" s="150"/>
      <c r="G376" s="145"/>
      <c r="H376" s="150"/>
      <c r="I376" s="150"/>
      <c r="J376" s="145"/>
      <c r="K376" s="145"/>
      <c r="L376" s="145"/>
      <c r="M376" s="150"/>
      <c r="N376" s="150"/>
      <c r="O376" s="150"/>
      <c r="P376" s="145"/>
      <c r="Q376" s="150"/>
      <c r="R376" s="145"/>
      <c r="S376" s="145">
        <v>0.02</v>
      </c>
      <c r="T376" s="145"/>
      <c r="U376" s="145"/>
      <c r="V376" s="145"/>
      <c r="W376" s="145"/>
      <c r="X376" s="145">
        <v>0.08</v>
      </c>
      <c r="Y376" s="145">
        <v>1.0</v>
      </c>
    </row>
    <row r="377">
      <c r="A377" s="145">
        <v>212.0</v>
      </c>
      <c r="B377" s="145">
        <v>100.0</v>
      </c>
      <c r="C377" s="150"/>
      <c r="D377" s="150"/>
      <c r="E377" s="150"/>
      <c r="F377" s="150"/>
      <c r="G377" s="145"/>
      <c r="H377" s="150"/>
      <c r="I377" s="150"/>
      <c r="J377" s="145"/>
      <c r="K377" s="145"/>
      <c r="L377" s="145"/>
      <c r="M377" s="150"/>
      <c r="N377" s="150"/>
      <c r="O377" s="150"/>
      <c r="P377" s="145"/>
      <c r="Q377" s="150"/>
      <c r="R377" s="145"/>
      <c r="S377" s="145">
        <v>0.04</v>
      </c>
      <c r="T377" s="145"/>
      <c r="U377" s="145"/>
      <c r="V377" s="145"/>
      <c r="W377" s="145"/>
      <c r="X377" s="145">
        <v>0.08</v>
      </c>
      <c r="Y377" s="145">
        <v>1.0</v>
      </c>
    </row>
    <row r="378">
      <c r="A378" s="145">
        <v>212.0</v>
      </c>
      <c r="B378" s="145">
        <v>35.0</v>
      </c>
      <c r="C378" s="150"/>
      <c r="D378" s="150"/>
      <c r="E378" s="150"/>
      <c r="F378" s="150"/>
      <c r="G378" s="145"/>
      <c r="H378" s="150"/>
      <c r="I378" s="150"/>
      <c r="J378" s="145"/>
      <c r="K378" s="145"/>
      <c r="L378" s="145"/>
      <c r="M378" s="150"/>
      <c r="N378" s="150"/>
      <c r="O378" s="150"/>
      <c r="P378" s="145"/>
      <c r="Q378" s="150"/>
      <c r="R378" s="145"/>
      <c r="S378" s="145">
        <v>0.08</v>
      </c>
      <c r="T378" s="145"/>
      <c r="U378" s="145"/>
      <c r="V378" s="145"/>
      <c r="W378" s="145"/>
      <c r="X378" s="145">
        <v>0.08</v>
      </c>
      <c r="Y378" s="145">
        <v>2.0</v>
      </c>
    </row>
    <row r="379">
      <c r="A379" s="145">
        <v>212.0</v>
      </c>
      <c r="B379" s="145">
        <v>10.0</v>
      </c>
      <c r="C379" s="150"/>
      <c r="D379" s="150"/>
      <c r="E379" s="150"/>
      <c r="F379" s="150"/>
      <c r="G379" s="145"/>
      <c r="H379" s="150"/>
      <c r="I379" s="150"/>
      <c r="J379" s="145"/>
      <c r="K379" s="145"/>
      <c r="L379" s="145"/>
      <c r="M379" s="150"/>
      <c r="N379" s="150"/>
      <c r="O379" s="150"/>
      <c r="P379" s="145"/>
      <c r="Q379" s="150"/>
      <c r="R379" s="145"/>
      <c r="S379" s="145">
        <v>0.013</v>
      </c>
      <c r="T379" s="145"/>
      <c r="U379" s="145"/>
      <c r="V379" s="145"/>
      <c r="W379" s="145"/>
      <c r="X379" s="145">
        <v>0.08</v>
      </c>
      <c r="Y379" s="145">
        <v>3.0</v>
      </c>
    </row>
    <row r="380">
      <c r="A380" s="145">
        <v>212.0</v>
      </c>
      <c r="B380" s="145">
        <v>5.0</v>
      </c>
      <c r="C380" s="150"/>
      <c r="D380" s="150"/>
      <c r="E380" s="150"/>
      <c r="F380" s="150"/>
      <c r="G380" s="145"/>
      <c r="H380" s="150"/>
      <c r="I380" s="150"/>
      <c r="J380" s="145"/>
      <c r="K380" s="145"/>
      <c r="L380" s="145"/>
      <c r="M380" s="150"/>
      <c r="N380" s="150"/>
      <c r="O380" s="150"/>
      <c r="P380" s="145"/>
      <c r="Q380" s="150"/>
      <c r="R380" s="145"/>
      <c r="S380" s="145">
        <v>0.2</v>
      </c>
      <c r="T380" s="145"/>
      <c r="U380" s="145"/>
      <c r="V380" s="145"/>
      <c r="W380" s="145"/>
      <c r="X380" s="145">
        <v>0.08</v>
      </c>
      <c r="Y380" s="145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">
        <v>1764</v>
      </c>
      <c r="B1" s="43" t="s">
        <v>1848</v>
      </c>
    </row>
    <row r="2">
      <c r="A2" s="43">
        <v>1000.0</v>
      </c>
      <c r="B2" s="43">
        <v>9999.0</v>
      </c>
    </row>
    <row r="3">
      <c r="A3" s="43">
        <v>1001.0</v>
      </c>
      <c r="B3" s="43">
        <v>9999.0</v>
      </c>
    </row>
    <row r="4">
      <c r="A4" s="43">
        <v>8001.0</v>
      </c>
      <c r="B4" s="43">
        <v>9999.0</v>
      </c>
    </row>
    <row r="5">
      <c r="A5" s="43">
        <v>8002.0</v>
      </c>
      <c r="B5" s="43">
        <v>9999.0</v>
      </c>
    </row>
    <row r="6">
      <c r="A6" s="43">
        <v>8003.0</v>
      </c>
      <c r="B6" s="43">
        <v>9999.0</v>
      </c>
    </row>
    <row r="7">
      <c r="A7" s="43">
        <v>2000.0</v>
      </c>
      <c r="B7" s="43">
        <v>9999.0</v>
      </c>
    </row>
    <row r="8">
      <c r="A8" s="43">
        <v>2001.0</v>
      </c>
      <c r="B8" s="43">
        <v>9999.0</v>
      </c>
    </row>
    <row r="9">
      <c r="A9" s="43">
        <v>2002.0</v>
      </c>
      <c r="B9" s="43">
        <v>9999.0</v>
      </c>
    </row>
    <row r="10">
      <c r="A10" s="43">
        <v>2005.0</v>
      </c>
      <c r="B10" s="43">
        <v>100.0</v>
      </c>
    </row>
    <row r="11">
      <c r="A11" s="43">
        <v>2006.0</v>
      </c>
      <c r="B11" s="43">
        <v>100.0</v>
      </c>
    </row>
    <row r="12">
      <c r="A12" s="43">
        <v>2007.0</v>
      </c>
      <c r="B12" s="43">
        <v>9999.0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0" t="s">
        <v>1764</v>
      </c>
      <c r="B1" s="40" t="s">
        <v>1855</v>
      </c>
      <c r="C1" s="40" t="s">
        <v>1857</v>
      </c>
    </row>
    <row r="2">
      <c r="A2" s="43">
        <v>8000.0</v>
      </c>
      <c r="B2" s="55" t="s">
        <v>17</v>
      </c>
      <c r="C2" s="43">
        <v>9999.0</v>
      </c>
    </row>
    <row r="3">
      <c r="A3" s="43">
        <v>8001.0</v>
      </c>
      <c r="B3" s="55" t="s">
        <v>53</v>
      </c>
      <c r="C3" s="43">
        <v>9999.0</v>
      </c>
    </row>
    <row r="4">
      <c r="A4" s="43">
        <v>8002.0</v>
      </c>
      <c r="B4" s="55" t="s">
        <v>1858</v>
      </c>
      <c r="C4" s="43">
        <v>9999.0</v>
      </c>
    </row>
    <row r="5">
      <c r="A5" s="43">
        <v>8003.0</v>
      </c>
      <c r="B5" s="55" t="s">
        <v>1859</v>
      </c>
      <c r="C5" s="43">
        <v>9999.0</v>
      </c>
    </row>
    <row r="6">
      <c r="A6" s="43">
        <v>8003.0</v>
      </c>
      <c r="B6" s="55" t="s">
        <v>1860</v>
      </c>
      <c r="C6" s="43">
        <v>9999.0</v>
      </c>
    </row>
    <row r="7">
      <c r="A7" s="43">
        <v>1000.0</v>
      </c>
      <c r="B7" s="55" t="s">
        <v>1861</v>
      </c>
      <c r="C7" s="43">
        <v>99.0</v>
      </c>
    </row>
    <row r="8">
      <c r="A8" s="43">
        <v>1001.0</v>
      </c>
      <c r="B8" s="55" t="s">
        <v>1862</v>
      </c>
      <c r="C8" s="43">
        <v>99.0</v>
      </c>
    </row>
    <row r="9">
      <c r="A9" s="43">
        <v>2000.0</v>
      </c>
      <c r="B9" s="55" t="s">
        <v>1863</v>
      </c>
      <c r="C9" s="43">
        <v>1.0</v>
      </c>
    </row>
    <row r="10">
      <c r="A10" s="43">
        <v>2001.0</v>
      </c>
      <c r="B10" s="55" t="s">
        <v>1864</v>
      </c>
      <c r="C10" s="43">
        <v>1.0</v>
      </c>
    </row>
    <row r="11">
      <c r="A11" s="43">
        <v>2002.0</v>
      </c>
      <c r="B11" s="55" t="s">
        <v>1866</v>
      </c>
      <c r="C11" s="43">
        <v>1.0</v>
      </c>
    </row>
    <row r="12">
      <c r="A12" s="43">
        <v>2003.0</v>
      </c>
      <c r="B12" s="55" t="s">
        <v>1867</v>
      </c>
      <c r="C12" s="43">
        <v>1.0</v>
      </c>
    </row>
    <row r="13">
      <c r="A13" s="43">
        <v>2004.0</v>
      </c>
      <c r="B13" s="55" t="s">
        <v>1868</v>
      </c>
      <c r="C13" s="43">
        <v>1.0</v>
      </c>
    </row>
    <row r="14">
      <c r="A14" s="43">
        <v>2005.0</v>
      </c>
      <c r="B14" s="55" t="s">
        <v>1869</v>
      </c>
      <c r="C14" s="43">
        <v>1.0</v>
      </c>
    </row>
    <row r="15">
      <c r="A15" s="43">
        <v>2006.0</v>
      </c>
      <c r="B15" s="55" t="s">
        <v>1870</v>
      </c>
      <c r="C15" s="43">
        <v>1.0</v>
      </c>
    </row>
    <row r="16">
      <c r="A16" s="43">
        <v>2007.0</v>
      </c>
      <c r="B16" s="55" t="s">
        <v>1871</v>
      </c>
      <c r="C16" s="43">
        <v>1.0</v>
      </c>
    </row>
    <row r="17">
      <c r="A17" s="43">
        <v>2008.0</v>
      </c>
      <c r="B17" s="55" t="s">
        <v>1872</v>
      </c>
      <c r="C17" s="43">
        <v>1.0</v>
      </c>
    </row>
    <row r="18">
      <c r="A18" s="43">
        <v>2009.0</v>
      </c>
      <c r="B18" s="55" t="s">
        <v>1873</v>
      </c>
      <c r="C18" s="43">
        <v>1.0</v>
      </c>
    </row>
    <row r="19">
      <c r="A19" s="43">
        <v>9000.0</v>
      </c>
      <c r="B19" s="55" t="s">
        <v>1874</v>
      </c>
      <c r="C19" s="43">
        <v>100.0</v>
      </c>
    </row>
    <row r="20">
      <c r="A20" s="43">
        <f>card!A3-900</f>
        <v>9101</v>
      </c>
      <c r="B20" s="55" t="s">
        <v>1876</v>
      </c>
      <c r="C20" s="43">
        <v>100.0</v>
      </c>
    </row>
    <row r="21">
      <c r="A21" s="43">
        <f>card!A4-900</f>
        <v>9102</v>
      </c>
      <c r="B21" s="55" t="s">
        <v>1877</v>
      </c>
      <c r="C21" s="43">
        <v>100.0</v>
      </c>
    </row>
    <row r="22">
      <c r="A22" s="43">
        <f>card!A5-900</f>
        <v>9103</v>
      </c>
      <c r="B22" s="55" t="s">
        <v>1879</v>
      </c>
      <c r="C22" s="43">
        <v>100.0</v>
      </c>
    </row>
    <row r="23">
      <c r="A23" s="43">
        <f>card!A6-900</f>
        <v>9104</v>
      </c>
      <c r="B23" s="55" t="s">
        <v>1880</v>
      </c>
      <c r="C23" s="43">
        <v>100.0</v>
      </c>
    </row>
    <row r="24">
      <c r="A24" s="43">
        <f>card!A7-900</f>
        <v>9105</v>
      </c>
      <c r="B24" s="55" t="s">
        <v>1881</v>
      </c>
      <c r="C24" s="43">
        <v>100.0</v>
      </c>
    </row>
    <row r="25">
      <c r="A25" s="43">
        <f>card!A8-900</f>
        <v>9106</v>
      </c>
      <c r="B25" s="55" t="s">
        <v>1883</v>
      </c>
      <c r="C25" s="43">
        <v>100.0</v>
      </c>
    </row>
    <row r="26">
      <c r="A26" s="43">
        <f>card!A9-900</f>
        <v>9107</v>
      </c>
      <c r="B26" s="55" t="s">
        <v>1884</v>
      </c>
      <c r="C26" s="43">
        <v>100.0</v>
      </c>
    </row>
    <row r="27">
      <c r="A27" s="43">
        <f>card!A10-900</f>
        <v>9108</v>
      </c>
      <c r="B27" s="55" t="s">
        <v>1886</v>
      </c>
      <c r="C27" s="43">
        <v>100.0</v>
      </c>
    </row>
    <row r="28">
      <c r="A28" s="43">
        <f>card!A11-900</f>
        <v>9109</v>
      </c>
      <c r="B28" s="55" t="s">
        <v>1887</v>
      </c>
      <c r="C28" s="43">
        <v>100.0</v>
      </c>
    </row>
    <row r="29">
      <c r="A29" s="43">
        <f>card!A12-900</f>
        <v>9110</v>
      </c>
      <c r="B29" s="55" t="s">
        <v>1888</v>
      </c>
      <c r="C29" s="43">
        <v>100.0</v>
      </c>
    </row>
    <row r="30">
      <c r="A30" s="43">
        <f>card!A13-900</f>
        <v>9111</v>
      </c>
      <c r="B30" s="55" t="s">
        <v>1890</v>
      </c>
      <c r="C30" s="43">
        <v>100.0</v>
      </c>
    </row>
    <row r="31">
      <c r="A31" s="43">
        <f>card!A14-900</f>
        <v>9112</v>
      </c>
      <c r="B31" s="55" t="s">
        <v>1891</v>
      </c>
      <c r="C31" s="43">
        <v>100.0</v>
      </c>
    </row>
    <row r="32">
      <c r="A32" s="43">
        <f>card!A15-900</f>
        <v>9113</v>
      </c>
      <c r="B32" s="55" t="s">
        <v>1892</v>
      </c>
      <c r="C32" s="43">
        <v>100.0</v>
      </c>
    </row>
    <row r="33">
      <c r="A33" s="43">
        <f>card!A16-900</f>
        <v>9114</v>
      </c>
      <c r="B33" s="55" t="s">
        <v>1893</v>
      </c>
      <c r="C33" s="43">
        <v>100.0</v>
      </c>
    </row>
    <row r="34">
      <c r="A34" s="43">
        <f>card!A17-900</f>
        <v>9115</v>
      </c>
      <c r="B34" s="55" t="s">
        <v>1895</v>
      </c>
      <c r="C34" s="43">
        <v>100.0</v>
      </c>
    </row>
    <row r="35">
      <c r="A35" s="43">
        <f>card!A18-900</f>
        <v>9116</v>
      </c>
      <c r="B35" s="55" t="s">
        <v>1896</v>
      </c>
      <c r="C35" s="43">
        <v>100.0</v>
      </c>
    </row>
    <row r="36">
      <c r="A36" s="43">
        <f>card!A19-900</f>
        <v>9117</v>
      </c>
      <c r="B36" s="55" t="s">
        <v>1897</v>
      </c>
      <c r="C36" s="43">
        <v>100.0</v>
      </c>
    </row>
    <row r="37">
      <c r="A37" s="43">
        <f>card!A20-900</f>
        <v>9118</v>
      </c>
      <c r="B37" s="55" t="s">
        <v>1899</v>
      </c>
      <c r="C37" s="43">
        <v>100.0</v>
      </c>
    </row>
    <row r="38">
      <c r="A38" s="43">
        <f>card!A21-900</f>
        <v>9119</v>
      </c>
      <c r="B38" s="55" t="s">
        <v>1900</v>
      </c>
      <c r="C38" s="43">
        <v>100.0</v>
      </c>
    </row>
    <row r="39">
      <c r="A39" s="43">
        <f>card!A22-900</f>
        <v>9120</v>
      </c>
      <c r="B39" s="55" t="s">
        <v>1901</v>
      </c>
      <c r="C39" s="43">
        <v>100.0</v>
      </c>
    </row>
    <row r="40">
      <c r="A40" s="43">
        <f>card!A23-900</f>
        <v>9121</v>
      </c>
      <c r="B40" s="55" t="s">
        <v>1903</v>
      </c>
      <c r="C40" s="43">
        <v>100.0</v>
      </c>
    </row>
    <row r="41">
      <c r="A41" s="43">
        <f>card!A24-900</f>
        <v>9122</v>
      </c>
      <c r="B41" s="55" t="s">
        <v>1904</v>
      </c>
      <c r="C41" s="43">
        <v>100.0</v>
      </c>
    </row>
    <row r="42">
      <c r="A42" s="43">
        <f>card!A25-900</f>
        <v>9123</v>
      </c>
      <c r="B42" s="55" t="s">
        <v>1905</v>
      </c>
      <c r="C42" s="43">
        <v>100.0</v>
      </c>
    </row>
    <row r="43">
      <c r="A43" s="43">
        <f>card!A26-900</f>
        <v>9124</v>
      </c>
      <c r="B43" s="55" t="s">
        <v>1907</v>
      </c>
      <c r="C43" s="43">
        <v>100.0</v>
      </c>
    </row>
    <row r="44">
      <c r="A44" s="43">
        <f>card!A27-900</f>
        <v>9125</v>
      </c>
      <c r="B44" s="55" t="s">
        <v>1908</v>
      </c>
      <c r="C44" s="43">
        <v>100.0</v>
      </c>
    </row>
    <row r="45">
      <c r="A45" s="43">
        <f>card!A28-900</f>
        <v>9126</v>
      </c>
      <c r="B45" s="55" t="s">
        <v>1909</v>
      </c>
      <c r="C45" s="43">
        <v>100.0</v>
      </c>
    </row>
    <row r="46">
      <c r="A46" s="43">
        <f>card!A29-900</f>
        <v>9127</v>
      </c>
      <c r="B46" s="55" t="s">
        <v>1910</v>
      </c>
      <c r="C46" s="43">
        <v>100.0</v>
      </c>
    </row>
    <row r="47">
      <c r="A47" s="43">
        <f>card!A30-900</f>
        <v>9128</v>
      </c>
      <c r="B47" s="55" t="s">
        <v>1912</v>
      </c>
      <c r="C47" s="43">
        <v>100.0</v>
      </c>
    </row>
    <row r="48">
      <c r="A48" s="43">
        <f>card!A31-900</f>
        <v>9129</v>
      </c>
      <c r="B48" s="55" t="s">
        <v>1913</v>
      </c>
      <c r="C48" s="43">
        <v>100.0</v>
      </c>
    </row>
    <row r="49">
      <c r="A49" s="43">
        <f>card!A32-900</f>
        <v>9130</v>
      </c>
      <c r="B49" s="55" t="s">
        <v>1915</v>
      </c>
      <c r="C49" s="43">
        <v>100.0</v>
      </c>
    </row>
    <row r="50">
      <c r="A50" s="43">
        <f>card!A33-900</f>
        <v>9131</v>
      </c>
      <c r="B50" s="43" t="s">
        <v>1916</v>
      </c>
      <c r="C50" s="43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4" t="s">
        <v>990</v>
      </c>
      <c r="B1" s="4" t="s">
        <v>1930</v>
      </c>
      <c r="C1" s="4" t="s">
        <v>173</v>
      </c>
      <c r="D1" s="4" t="s">
        <v>1932</v>
      </c>
      <c r="E1" s="4" t="s">
        <v>1933</v>
      </c>
      <c r="F1" s="4" t="s">
        <v>1934</v>
      </c>
      <c r="G1" s="4" t="s">
        <v>1935</v>
      </c>
      <c r="H1" s="4" t="s">
        <v>1936</v>
      </c>
      <c r="I1" s="4" t="s">
        <v>1937</v>
      </c>
      <c r="J1" s="4" t="s">
        <v>1938</v>
      </c>
      <c r="K1" s="4" t="s">
        <v>1939</v>
      </c>
      <c r="L1" s="4" t="s">
        <v>1940</v>
      </c>
      <c r="M1" s="4" t="s">
        <v>1941</v>
      </c>
      <c r="N1" s="4" t="s">
        <v>1942</v>
      </c>
      <c r="O1" s="4" t="s">
        <v>1943</v>
      </c>
    </row>
    <row r="2">
      <c r="A2" s="4">
        <v>200.0</v>
      </c>
      <c r="B2" s="63" t="str">
        <f t="shared" ref="B2:B20" si="1">"40001,40002,40003,40004"</f>
        <v>40001,40002,40003,40004</v>
      </c>
      <c r="C2" s="4">
        <v>1.0</v>
      </c>
      <c r="D2" s="14" t="str">
        <f t="shared" ref="D2:D61" si="2">"2000,2001,2002,2003,2004"</f>
        <v>2000,2001,2002,2003,2004</v>
      </c>
      <c r="E2" s="4">
        <v>3.0</v>
      </c>
      <c r="F2" s="4">
        <v>0.6</v>
      </c>
      <c r="G2" s="43">
        <v>8001.0</v>
      </c>
      <c r="H2" s="4">
        <v>95.0</v>
      </c>
      <c r="I2" s="4">
        <v>0.05</v>
      </c>
      <c r="J2" s="43">
        <v>1000.0</v>
      </c>
      <c r="K2" s="4">
        <v>1.0</v>
      </c>
      <c r="L2" s="4">
        <v>1.0</v>
      </c>
      <c r="M2" s="43">
        <v>8000.0</v>
      </c>
      <c r="N2" s="4">
        <v>150.0</v>
      </c>
      <c r="O2" s="4">
        <v>1.0</v>
      </c>
    </row>
    <row r="3">
      <c r="A3" s="4">
        <f t="shared" ref="A3:A61" si="3">A2+1</f>
        <v>201</v>
      </c>
      <c r="B3" s="63" t="str">
        <f t="shared" si="1"/>
        <v>40001,40002,40003,40004</v>
      </c>
      <c r="C3" s="4">
        <v>1.0</v>
      </c>
      <c r="D3" s="14" t="str">
        <f t="shared" si="2"/>
        <v>2000,2001,2002,2003,2004</v>
      </c>
      <c r="E3" s="4">
        <v>3.0</v>
      </c>
      <c r="F3" s="4">
        <v>0.6</v>
      </c>
      <c r="G3" s="43">
        <v>8001.0</v>
      </c>
      <c r="H3" s="4">
        <v>95.0</v>
      </c>
      <c r="I3" s="4">
        <v>0.05</v>
      </c>
      <c r="J3" s="43">
        <v>1000.0</v>
      </c>
      <c r="K3" s="4">
        <v>1.0</v>
      </c>
      <c r="L3" s="4">
        <v>1.0</v>
      </c>
      <c r="M3" s="43">
        <v>8000.0</v>
      </c>
      <c r="N3" s="4">
        <v>150.0</v>
      </c>
      <c r="O3" s="4">
        <v>1.0</v>
      </c>
    </row>
    <row r="4">
      <c r="A4" s="4">
        <f t="shared" si="3"/>
        <v>202</v>
      </c>
      <c r="B4" s="63" t="str">
        <f t="shared" si="1"/>
        <v>40001,40002,40003,40004</v>
      </c>
      <c r="C4" s="4">
        <f t="shared" ref="C4:C61" si="4">C2+1</f>
        <v>2</v>
      </c>
      <c r="D4" s="14" t="str">
        <f t="shared" si="2"/>
        <v>2000,2001,2002,2003,2004</v>
      </c>
      <c r="E4" s="4">
        <v>3.0</v>
      </c>
      <c r="F4" s="4">
        <v>0.6</v>
      </c>
      <c r="G4" s="43">
        <v>8001.0</v>
      </c>
      <c r="H4" s="4">
        <v>95.0</v>
      </c>
      <c r="I4" s="4">
        <v>0.05</v>
      </c>
      <c r="J4" s="43">
        <v>1000.0</v>
      </c>
      <c r="K4" s="4">
        <v>1.0</v>
      </c>
      <c r="L4" s="4">
        <v>1.0</v>
      </c>
      <c r="M4" s="43">
        <v>8000.0</v>
      </c>
      <c r="N4" s="4">
        <v>150.0</v>
      </c>
      <c r="O4" s="4">
        <v>1.0</v>
      </c>
    </row>
    <row r="5">
      <c r="A5" s="4">
        <f t="shared" si="3"/>
        <v>203</v>
      </c>
      <c r="B5" s="63" t="str">
        <f t="shared" si="1"/>
        <v>40001,40002,40003,40004</v>
      </c>
      <c r="C5" s="4">
        <f t="shared" si="4"/>
        <v>2</v>
      </c>
      <c r="D5" s="14" t="str">
        <f t="shared" si="2"/>
        <v>2000,2001,2002,2003,2004</v>
      </c>
      <c r="E5" s="4">
        <v>3.0</v>
      </c>
      <c r="F5" s="4">
        <v>0.6</v>
      </c>
      <c r="G5" s="43">
        <v>8001.0</v>
      </c>
      <c r="H5" s="4">
        <v>95.0</v>
      </c>
      <c r="I5" s="4">
        <v>0.05</v>
      </c>
      <c r="J5" s="43">
        <v>1000.0</v>
      </c>
      <c r="K5" s="4">
        <v>1.0</v>
      </c>
      <c r="L5" s="4">
        <v>1.0</v>
      </c>
      <c r="M5" s="43">
        <v>8000.0</v>
      </c>
      <c r="N5" s="4">
        <v>150.0</v>
      </c>
      <c r="O5" s="4">
        <v>1.0</v>
      </c>
    </row>
    <row r="6">
      <c r="A6" s="4">
        <f t="shared" si="3"/>
        <v>204</v>
      </c>
      <c r="B6" s="63" t="str">
        <f t="shared" si="1"/>
        <v>40001,40002,40003,40004</v>
      </c>
      <c r="C6" s="4">
        <f t="shared" si="4"/>
        <v>3</v>
      </c>
      <c r="D6" s="14" t="str">
        <f t="shared" si="2"/>
        <v>2000,2001,2002,2003,2004</v>
      </c>
      <c r="E6" s="4">
        <v>3.0</v>
      </c>
      <c r="F6" s="4">
        <v>0.6</v>
      </c>
      <c r="G6" s="43">
        <v>8001.0</v>
      </c>
      <c r="H6" s="4">
        <v>95.0</v>
      </c>
      <c r="I6" s="4">
        <v>0.05</v>
      </c>
      <c r="J6" s="43">
        <v>1000.0</v>
      </c>
      <c r="K6" s="4">
        <v>1.0</v>
      </c>
      <c r="L6" s="4">
        <v>1.0</v>
      </c>
      <c r="M6" s="43">
        <v>8000.0</v>
      </c>
      <c r="N6" s="4">
        <v>150.0</v>
      </c>
      <c r="O6" s="4">
        <v>1.0</v>
      </c>
    </row>
    <row r="7">
      <c r="A7" s="4">
        <f t="shared" si="3"/>
        <v>205</v>
      </c>
      <c r="B7" s="63" t="str">
        <f t="shared" si="1"/>
        <v>40001,40002,40003,40004</v>
      </c>
      <c r="C7" s="4">
        <f t="shared" si="4"/>
        <v>3</v>
      </c>
      <c r="D7" s="14" t="str">
        <f t="shared" si="2"/>
        <v>2000,2001,2002,2003,2004</v>
      </c>
      <c r="E7" s="4">
        <v>3.0</v>
      </c>
      <c r="F7" s="4">
        <v>0.6</v>
      </c>
      <c r="G7" s="43">
        <v>8001.0</v>
      </c>
      <c r="H7" s="4">
        <v>95.0</v>
      </c>
      <c r="I7" s="4">
        <v>0.05</v>
      </c>
      <c r="J7" s="43">
        <v>1000.0</v>
      </c>
      <c r="K7" s="4">
        <v>1.0</v>
      </c>
      <c r="L7" s="4">
        <v>1.0</v>
      </c>
      <c r="M7" s="43">
        <v>8000.0</v>
      </c>
      <c r="N7" s="4">
        <v>150.0</v>
      </c>
      <c r="O7" s="4">
        <v>1.0</v>
      </c>
    </row>
    <row r="8">
      <c r="A8" s="4">
        <f t="shared" si="3"/>
        <v>206</v>
      </c>
      <c r="B8" s="63" t="str">
        <f t="shared" si="1"/>
        <v>40001,40002,40003,40004</v>
      </c>
      <c r="C8" s="4">
        <f t="shared" si="4"/>
        <v>4</v>
      </c>
      <c r="D8" s="14" t="str">
        <f t="shared" si="2"/>
        <v>2000,2001,2002,2003,2004</v>
      </c>
      <c r="E8" s="4">
        <v>3.0</v>
      </c>
      <c r="F8" s="4">
        <v>0.6</v>
      </c>
      <c r="G8" s="43">
        <v>8001.0</v>
      </c>
      <c r="H8" s="4">
        <v>95.0</v>
      </c>
      <c r="I8" s="4">
        <v>0.05</v>
      </c>
      <c r="J8" s="43">
        <v>1000.0</v>
      </c>
      <c r="K8" s="4">
        <v>1.0</v>
      </c>
      <c r="L8" s="4">
        <v>1.0</v>
      </c>
      <c r="M8" s="43">
        <v>8000.0</v>
      </c>
      <c r="N8" s="4">
        <v>150.0</v>
      </c>
      <c r="O8" s="4">
        <v>1.0</v>
      </c>
    </row>
    <row r="9">
      <c r="A9" s="4">
        <f t="shared" si="3"/>
        <v>207</v>
      </c>
      <c r="B9" s="63" t="str">
        <f t="shared" si="1"/>
        <v>40001,40002,40003,40004</v>
      </c>
      <c r="C9" s="4">
        <f t="shared" si="4"/>
        <v>4</v>
      </c>
      <c r="D9" s="14" t="str">
        <f t="shared" si="2"/>
        <v>2000,2001,2002,2003,2004</v>
      </c>
      <c r="E9" s="4">
        <v>3.0</v>
      </c>
      <c r="F9" s="4">
        <v>0.6</v>
      </c>
      <c r="G9" s="43">
        <v>8001.0</v>
      </c>
      <c r="H9" s="4">
        <v>95.0</v>
      </c>
      <c r="I9" s="4">
        <v>0.05</v>
      </c>
      <c r="J9" s="43">
        <v>1000.0</v>
      </c>
      <c r="K9" s="4">
        <v>1.0</v>
      </c>
      <c r="L9" s="4">
        <v>1.0</v>
      </c>
      <c r="M9" s="43">
        <v>8000.0</v>
      </c>
      <c r="N9" s="4">
        <v>150.0</v>
      </c>
      <c r="O9" s="4">
        <v>1.0</v>
      </c>
    </row>
    <row r="10">
      <c r="A10" s="4">
        <f t="shared" si="3"/>
        <v>208</v>
      </c>
      <c r="B10" s="63" t="str">
        <f t="shared" si="1"/>
        <v>40001,40002,40003,40004</v>
      </c>
      <c r="C10" s="4">
        <f t="shared" si="4"/>
        <v>5</v>
      </c>
      <c r="D10" s="14" t="str">
        <f t="shared" si="2"/>
        <v>2000,2001,2002,2003,2004</v>
      </c>
      <c r="E10" s="4">
        <v>3.0</v>
      </c>
      <c r="F10" s="4">
        <v>0.6</v>
      </c>
      <c r="G10" s="43">
        <v>8001.0</v>
      </c>
      <c r="H10" s="4">
        <v>95.0</v>
      </c>
      <c r="I10" s="4">
        <v>0.05</v>
      </c>
      <c r="J10" s="43">
        <v>1000.0</v>
      </c>
      <c r="K10" s="4">
        <v>1.0</v>
      </c>
      <c r="L10" s="4">
        <v>1.0</v>
      </c>
      <c r="M10" s="43">
        <v>8000.0</v>
      </c>
      <c r="N10" s="4">
        <v>150.0</v>
      </c>
      <c r="O10" s="4">
        <v>1.0</v>
      </c>
    </row>
    <row r="11">
      <c r="A11" s="4">
        <f t="shared" si="3"/>
        <v>209</v>
      </c>
      <c r="B11" s="63" t="str">
        <f t="shared" si="1"/>
        <v>40001,40002,40003,40004</v>
      </c>
      <c r="C11" s="4">
        <f t="shared" si="4"/>
        <v>5</v>
      </c>
      <c r="D11" s="14" t="str">
        <f t="shared" si="2"/>
        <v>2000,2001,2002,2003,2004</v>
      </c>
      <c r="E11" s="4">
        <v>3.0</v>
      </c>
      <c r="F11" s="4">
        <v>0.6</v>
      </c>
      <c r="G11" s="43">
        <v>8001.0</v>
      </c>
      <c r="H11" s="4">
        <v>95.0</v>
      </c>
      <c r="I11" s="4">
        <v>0.05</v>
      </c>
      <c r="J11" s="43">
        <v>1000.0</v>
      </c>
      <c r="K11" s="4">
        <v>1.0</v>
      </c>
      <c r="L11" s="4">
        <v>1.0</v>
      </c>
      <c r="M11" s="43">
        <v>8000.0</v>
      </c>
      <c r="N11" s="4">
        <v>150.0</v>
      </c>
      <c r="O11" s="4">
        <v>1.0</v>
      </c>
    </row>
    <row r="12">
      <c r="A12" s="4">
        <f t="shared" si="3"/>
        <v>210</v>
      </c>
      <c r="B12" s="63" t="str">
        <f t="shared" si="1"/>
        <v>40001,40002,40003,40004</v>
      </c>
      <c r="C12" s="4">
        <f t="shared" si="4"/>
        <v>6</v>
      </c>
      <c r="D12" s="14" t="str">
        <f t="shared" si="2"/>
        <v>2000,2001,2002,2003,2004</v>
      </c>
      <c r="E12" s="4">
        <v>3.0</v>
      </c>
      <c r="F12" s="4">
        <v>0.6</v>
      </c>
      <c r="G12" s="43">
        <v>8001.0</v>
      </c>
      <c r="H12" s="4">
        <v>95.0</v>
      </c>
      <c r="I12" s="4">
        <v>0.05</v>
      </c>
      <c r="J12" s="43">
        <v>1000.0</v>
      </c>
      <c r="K12" s="4">
        <v>1.0</v>
      </c>
      <c r="L12" s="4">
        <v>1.0</v>
      </c>
      <c r="M12" s="43">
        <v>8000.0</v>
      </c>
      <c r="N12" s="4">
        <v>150.0</v>
      </c>
      <c r="O12" s="4">
        <v>1.0</v>
      </c>
    </row>
    <row r="13">
      <c r="A13" s="4">
        <f t="shared" si="3"/>
        <v>211</v>
      </c>
      <c r="B13" s="63" t="str">
        <f t="shared" si="1"/>
        <v>40001,40002,40003,40004</v>
      </c>
      <c r="C13" s="4">
        <f t="shared" si="4"/>
        <v>6</v>
      </c>
      <c r="D13" s="14" t="str">
        <f t="shared" si="2"/>
        <v>2000,2001,2002,2003,2004</v>
      </c>
      <c r="E13" s="4">
        <v>3.0</v>
      </c>
      <c r="F13" s="4">
        <v>0.6</v>
      </c>
      <c r="G13" s="43">
        <v>8001.0</v>
      </c>
      <c r="H13" s="4">
        <v>95.0</v>
      </c>
      <c r="I13" s="4">
        <v>0.05</v>
      </c>
      <c r="J13" s="43">
        <v>1000.0</v>
      </c>
      <c r="K13" s="4">
        <v>1.0</v>
      </c>
      <c r="L13" s="4">
        <v>1.0</v>
      </c>
      <c r="M13" s="43">
        <v>8000.0</v>
      </c>
      <c r="N13" s="4">
        <v>150.0</v>
      </c>
      <c r="O13" s="4">
        <v>1.0</v>
      </c>
    </row>
    <row r="14">
      <c r="A14" s="4">
        <f t="shared" si="3"/>
        <v>212</v>
      </c>
      <c r="B14" s="63" t="str">
        <f t="shared" si="1"/>
        <v>40001,40002,40003,40004</v>
      </c>
      <c r="C14" s="4">
        <f t="shared" si="4"/>
        <v>7</v>
      </c>
      <c r="D14" s="14" t="str">
        <f t="shared" si="2"/>
        <v>2000,2001,2002,2003,2004</v>
      </c>
      <c r="E14" s="4">
        <v>3.0</v>
      </c>
      <c r="F14" s="4">
        <v>0.6</v>
      </c>
      <c r="G14" s="43">
        <v>8001.0</v>
      </c>
      <c r="H14" s="4">
        <v>95.0</v>
      </c>
      <c r="I14" s="4">
        <v>0.05</v>
      </c>
      <c r="J14" s="43">
        <v>1000.0</v>
      </c>
      <c r="K14" s="4">
        <v>1.0</v>
      </c>
      <c r="L14" s="4">
        <v>1.0</v>
      </c>
      <c r="M14" s="43">
        <v>8000.0</v>
      </c>
      <c r="N14" s="4">
        <v>150.0</v>
      </c>
      <c r="O14" s="4">
        <v>1.0</v>
      </c>
    </row>
    <row r="15">
      <c r="A15" s="4">
        <f t="shared" si="3"/>
        <v>213</v>
      </c>
      <c r="B15" s="63" t="str">
        <f t="shared" si="1"/>
        <v>40001,40002,40003,40004</v>
      </c>
      <c r="C15" s="4">
        <f t="shared" si="4"/>
        <v>7</v>
      </c>
      <c r="D15" s="14" t="str">
        <f t="shared" si="2"/>
        <v>2000,2001,2002,2003,2004</v>
      </c>
      <c r="E15" s="4">
        <v>3.0</v>
      </c>
      <c r="F15" s="4">
        <v>0.6</v>
      </c>
      <c r="G15" s="43">
        <v>8001.0</v>
      </c>
      <c r="H15" s="4">
        <v>95.0</v>
      </c>
      <c r="I15" s="4">
        <v>0.05</v>
      </c>
      <c r="J15" s="43">
        <v>1000.0</v>
      </c>
      <c r="K15" s="4">
        <v>1.0</v>
      </c>
      <c r="L15" s="4">
        <v>1.0</v>
      </c>
      <c r="M15" s="43">
        <v>8000.0</v>
      </c>
      <c r="N15" s="4">
        <v>150.0</v>
      </c>
      <c r="O15" s="4">
        <v>1.0</v>
      </c>
    </row>
    <row r="16">
      <c r="A16" s="4">
        <f t="shared" si="3"/>
        <v>214</v>
      </c>
      <c r="B16" s="63" t="str">
        <f t="shared" si="1"/>
        <v>40001,40002,40003,40004</v>
      </c>
      <c r="C16" s="4">
        <f t="shared" si="4"/>
        <v>8</v>
      </c>
      <c r="D16" s="14" t="str">
        <f t="shared" si="2"/>
        <v>2000,2001,2002,2003,2004</v>
      </c>
      <c r="E16" s="4">
        <v>3.0</v>
      </c>
      <c r="F16" s="4">
        <v>0.6</v>
      </c>
      <c r="G16" s="43">
        <v>8001.0</v>
      </c>
      <c r="H16" s="4">
        <v>95.0</v>
      </c>
      <c r="I16" s="4">
        <v>0.05</v>
      </c>
      <c r="J16" s="43">
        <v>1000.0</v>
      </c>
      <c r="K16" s="4">
        <v>1.0</v>
      </c>
      <c r="L16" s="4">
        <v>1.0</v>
      </c>
      <c r="M16" s="43">
        <v>8000.0</v>
      </c>
      <c r="N16" s="4">
        <v>150.0</v>
      </c>
      <c r="O16" s="4">
        <v>1.0</v>
      </c>
    </row>
    <row r="17">
      <c r="A17" s="4">
        <f t="shared" si="3"/>
        <v>215</v>
      </c>
      <c r="B17" s="63" t="str">
        <f t="shared" si="1"/>
        <v>40001,40002,40003,40004</v>
      </c>
      <c r="C17" s="4">
        <f t="shared" si="4"/>
        <v>8</v>
      </c>
      <c r="D17" s="14" t="str">
        <f t="shared" si="2"/>
        <v>2000,2001,2002,2003,2004</v>
      </c>
      <c r="E17" s="4">
        <v>3.0</v>
      </c>
      <c r="F17" s="4">
        <v>0.6</v>
      </c>
      <c r="G17" s="43">
        <v>8001.0</v>
      </c>
      <c r="H17" s="4">
        <v>95.0</v>
      </c>
      <c r="I17" s="4">
        <v>0.05</v>
      </c>
      <c r="J17" s="43">
        <v>1000.0</v>
      </c>
      <c r="K17" s="4">
        <v>1.0</v>
      </c>
      <c r="L17" s="4">
        <v>1.0</v>
      </c>
      <c r="M17" s="43">
        <v>8000.0</v>
      </c>
      <c r="N17" s="4">
        <v>150.0</v>
      </c>
      <c r="O17" s="4">
        <v>1.0</v>
      </c>
    </row>
    <row r="18">
      <c r="A18" s="4">
        <f t="shared" si="3"/>
        <v>216</v>
      </c>
      <c r="B18" s="63" t="str">
        <f t="shared" si="1"/>
        <v>40001,40002,40003,40004</v>
      </c>
      <c r="C18" s="4">
        <f t="shared" si="4"/>
        <v>9</v>
      </c>
      <c r="D18" s="14" t="str">
        <f t="shared" si="2"/>
        <v>2000,2001,2002,2003,2004</v>
      </c>
      <c r="E18" s="4">
        <v>3.0</v>
      </c>
      <c r="F18" s="4">
        <v>0.6</v>
      </c>
      <c r="G18" s="43">
        <v>8001.0</v>
      </c>
      <c r="H18" s="4">
        <v>95.0</v>
      </c>
      <c r="I18" s="4">
        <v>0.05</v>
      </c>
      <c r="J18" s="43">
        <v>1000.0</v>
      </c>
      <c r="K18" s="4">
        <v>1.0</v>
      </c>
      <c r="L18" s="4">
        <v>1.0</v>
      </c>
      <c r="M18" s="43">
        <v>8000.0</v>
      </c>
      <c r="N18" s="4">
        <v>150.0</v>
      </c>
      <c r="O18" s="4">
        <v>1.0</v>
      </c>
    </row>
    <row r="19">
      <c r="A19" s="4">
        <f t="shared" si="3"/>
        <v>217</v>
      </c>
      <c r="B19" s="63" t="str">
        <f t="shared" si="1"/>
        <v>40001,40002,40003,40004</v>
      </c>
      <c r="C19" s="4">
        <f t="shared" si="4"/>
        <v>9</v>
      </c>
      <c r="D19" s="14" t="str">
        <f t="shared" si="2"/>
        <v>2000,2001,2002,2003,2004</v>
      </c>
      <c r="E19" s="4">
        <v>3.0</v>
      </c>
      <c r="F19" s="4">
        <v>0.6</v>
      </c>
      <c r="G19" s="43">
        <v>8001.0</v>
      </c>
      <c r="H19" s="4">
        <v>95.0</v>
      </c>
      <c r="I19" s="4">
        <v>0.05</v>
      </c>
      <c r="J19" s="43">
        <v>1000.0</v>
      </c>
      <c r="K19" s="4">
        <v>1.0</v>
      </c>
      <c r="L19" s="4">
        <v>1.0</v>
      </c>
      <c r="M19" s="43">
        <v>8000.0</v>
      </c>
      <c r="N19" s="4">
        <v>150.0</v>
      </c>
      <c r="O19" s="4">
        <v>1.0</v>
      </c>
    </row>
    <row r="20">
      <c r="A20" s="4">
        <f t="shared" si="3"/>
        <v>218</v>
      </c>
      <c r="B20" s="63" t="str">
        <f t="shared" si="1"/>
        <v>40001,40002,40003,40004</v>
      </c>
      <c r="C20" s="4">
        <f t="shared" si="4"/>
        <v>10</v>
      </c>
      <c r="D20" s="14" t="str">
        <f t="shared" si="2"/>
        <v>2000,2001,2002,2003,2004</v>
      </c>
      <c r="E20" s="4">
        <v>3.0</v>
      </c>
      <c r="F20" s="4">
        <v>0.6</v>
      </c>
      <c r="G20" s="43">
        <v>8001.0</v>
      </c>
      <c r="H20" s="4">
        <v>95.0</v>
      </c>
      <c r="I20" s="4">
        <v>0.05</v>
      </c>
      <c r="J20" s="43">
        <v>1000.0</v>
      </c>
      <c r="K20" s="4">
        <v>1.0</v>
      </c>
      <c r="L20" s="4">
        <v>1.0</v>
      </c>
      <c r="M20" s="43">
        <v>8000.0</v>
      </c>
      <c r="N20" s="4">
        <v>150.0</v>
      </c>
      <c r="O20" s="4">
        <v>1.0</v>
      </c>
    </row>
    <row r="21">
      <c r="A21" s="4">
        <f t="shared" si="3"/>
        <v>219</v>
      </c>
      <c r="B21" s="63" t="str">
        <f>"40001,40002,40003,40004,50001"</f>
        <v>40001,40002,40003,40004,50001</v>
      </c>
      <c r="C21" s="4">
        <f t="shared" si="4"/>
        <v>10</v>
      </c>
      <c r="D21" s="14" t="str">
        <f t="shared" si="2"/>
        <v>2000,2001,2002,2003,2004</v>
      </c>
      <c r="E21" s="4">
        <v>3.0</v>
      </c>
      <c r="F21" s="4">
        <v>0.6</v>
      </c>
      <c r="G21" s="43">
        <v>8001.0</v>
      </c>
      <c r="H21" s="4">
        <v>95.0</v>
      </c>
      <c r="I21" s="4">
        <v>0.05</v>
      </c>
      <c r="J21" s="43">
        <v>1000.0</v>
      </c>
      <c r="K21" s="4">
        <v>1.0</v>
      </c>
      <c r="L21" s="4">
        <v>1.0</v>
      </c>
      <c r="M21" s="43">
        <v>8000.0</v>
      </c>
      <c r="N21" s="4">
        <v>150.0</v>
      </c>
      <c r="O21" s="4">
        <v>1.0</v>
      </c>
    </row>
    <row r="22">
      <c r="A22" s="4">
        <f t="shared" si="3"/>
        <v>220</v>
      </c>
      <c r="B22" s="63" t="str">
        <f t="shared" ref="B22:B40" si="5">"40011,40012,40013,40014,40015"</f>
        <v>40011,40012,40013,40014,40015</v>
      </c>
      <c r="C22" s="4">
        <f t="shared" si="4"/>
        <v>11</v>
      </c>
      <c r="D22" s="14" t="str">
        <f t="shared" si="2"/>
        <v>2000,2001,2002,2003,2004</v>
      </c>
      <c r="E22" s="4">
        <v>5.0</v>
      </c>
      <c r="F22" s="4">
        <v>0.6</v>
      </c>
      <c r="G22" s="43">
        <v>8001.0</v>
      </c>
      <c r="H22" s="4">
        <v>100.0</v>
      </c>
      <c r="I22" s="4">
        <v>0.05</v>
      </c>
      <c r="J22" s="43">
        <v>1000.0</v>
      </c>
      <c r="K22" s="4">
        <v>1.0</v>
      </c>
      <c r="L22" s="4">
        <v>1.0</v>
      </c>
      <c r="M22" s="43">
        <v>8000.0</v>
      </c>
      <c r="N22" s="4">
        <v>155.0</v>
      </c>
      <c r="O22" s="4">
        <v>1.0</v>
      </c>
    </row>
    <row r="23">
      <c r="A23" s="4">
        <f t="shared" si="3"/>
        <v>221</v>
      </c>
      <c r="B23" s="63" t="str">
        <f t="shared" si="5"/>
        <v>40011,40012,40013,40014,40015</v>
      </c>
      <c r="C23" s="4">
        <f t="shared" si="4"/>
        <v>11</v>
      </c>
      <c r="D23" s="14" t="str">
        <f t="shared" si="2"/>
        <v>2000,2001,2002,2003,2004</v>
      </c>
      <c r="E23" s="4">
        <v>5.0</v>
      </c>
      <c r="F23" s="4">
        <v>0.6</v>
      </c>
      <c r="G23" s="43">
        <v>8001.0</v>
      </c>
      <c r="H23" s="4">
        <v>100.0</v>
      </c>
      <c r="I23" s="4">
        <v>0.05</v>
      </c>
      <c r="J23" s="43">
        <v>1000.0</v>
      </c>
      <c r="K23" s="4">
        <v>1.0</v>
      </c>
      <c r="L23" s="4">
        <v>1.0</v>
      </c>
      <c r="M23" s="43">
        <v>8000.0</v>
      </c>
      <c r="N23" s="4">
        <v>155.0</v>
      </c>
      <c r="O23" s="4">
        <v>1.0</v>
      </c>
    </row>
    <row r="24">
      <c r="A24" s="4">
        <f t="shared" si="3"/>
        <v>222</v>
      </c>
      <c r="B24" s="63" t="str">
        <f t="shared" si="5"/>
        <v>40011,40012,40013,40014,40015</v>
      </c>
      <c r="C24" s="4">
        <f t="shared" si="4"/>
        <v>12</v>
      </c>
      <c r="D24" s="14" t="str">
        <f t="shared" si="2"/>
        <v>2000,2001,2002,2003,2004</v>
      </c>
      <c r="E24" s="4">
        <v>5.0</v>
      </c>
      <c r="F24" s="4">
        <v>0.6</v>
      </c>
      <c r="G24" s="43">
        <v>8001.0</v>
      </c>
      <c r="H24" s="4">
        <v>100.0</v>
      </c>
      <c r="I24" s="4">
        <v>0.05</v>
      </c>
      <c r="J24" s="43">
        <v>1000.0</v>
      </c>
      <c r="K24" s="4">
        <v>1.0</v>
      </c>
      <c r="L24" s="4">
        <v>1.0</v>
      </c>
      <c r="M24" s="43">
        <v>8000.0</v>
      </c>
      <c r="N24" s="4">
        <v>155.0</v>
      </c>
      <c r="O24" s="4">
        <v>1.0</v>
      </c>
    </row>
    <row r="25">
      <c r="A25" s="4">
        <f t="shared" si="3"/>
        <v>223</v>
      </c>
      <c r="B25" s="63" t="str">
        <f t="shared" si="5"/>
        <v>40011,40012,40013,40014,40015</v>
      </c>
      <c r="C25" s="4">
        <f t="shared" si="4"/>
        <v>12</v>
      </c>
      <c r="D25" s="14" t="str">
        <f t="shared" si="2"/>
        <v>2000,2001,2002,2003,2004</v>
      </c>
      <c r="E25" s="4">
        <v>5.0</v>
      </c>
      <c r="F25" s="4">
        <v>0.6</v>
      </c>
      <c r="G25" s="43">
        <v>8001.0</v>
      </c>
      <c r="H25" s="4">
        <v>100.0</v>
      </c>
      <c r="I25" s="4">
        <v>0.05</v>
      </c>
      <c r="J25" s="43">
        <v>1000.0</v>
      </c>
      <c r="K25" s="4">
        <v>1.0</v>
      </c>
      <c r="L25" s="4">
        <v>1.0</v>
      </c>
      <c r="M25" s="43">
        <v>8000.0</v>
      </c>
      <c r="N25" s="4">
        <v>155.0</v>
      </c>
      <c r="O25" s="4">
        <v>1.0</v>
      </c>
    </row>
    <row r="26">
      <c r="A26" s="4">
        <f t="shared" si="3"/>
        <v>224</v>
      </c>
      <c r="B26" s="63" t="str">
        <f t="shared" si="5"/>
        <v>40011,40012,40013,40014,40015</v>
      </c>
      <c r="C26" s="4">
        <f t="shared" si="4"/>
        <v>13</v>
      </c>
      <c r="D26" s="14" t="str">
        <f t="shared" si="2"/>
        <v>2000,2001,2002,2003,2004</v>
      </c>
      <c r="E26" s="4">
        <v>5.0</v>
      </c>
      <c r="F26" s="4">
        <v>0.6</v>
      </c>
      <c r="G26" s="43">
        <v>8001.0</v>
      </c>
      <c r="H26" s="4">
        <v>100.0</v>
      </c>
      <c r="I26" s="4">
        <v>0.05</v>
      </c>
      <c r="J26" s="43">
        <v>1000.0</v>
      </c>
      <c r="K26" s="4">
        <v>1.0</v>
      </c>
      <c r="L26" s="4">
        <v>1.0</v>
      </c>
      <c r="M26" s="43">
        <v>8000.0</v>
      </c>
      <c r="N26" s="4">
        <v>155.0</v>
      </c>
      <c r="O26" s="4">
        <v>1.0</v>
      </c>
    </row>
    <row r="27">
      <c r="A27" s="4">
        <f t="shared" si="3"/>
        <v>225</v>
      </c>
      <c r="B27" s="63" t="str">
        <f t="shared" si="5"/>
        <v>40011,40012,40013,40014,40015</v>
      </c>
      <c r="C27" s="4">
        <f t="shared" si="4"/>
        <v>13</v>
      </c>
      <c r="D27" s="14" t="str">
        <f t="shared" si="2"/>
        <v>2000,2001,2002,2003,2004</v>
      </c>
      <c r="E27" s="4">
        <v>5.0</v>
      </c>
      <c r="F27" s="4">
        <v>0.6</v>
      </c>
      <c r="G27" s="43">
        <v>8001.0</v>
      </c>
      <c r="H27" s="4">
        <v>100.0</v>
      </c>
      <c r="I27" s="4">
        <v>0.05</v>
      </c>
      <c r="J27" s="43">
        <v>1000.0</v>
      </c>
      <c r="K27" s="4">
        <v>1.0</v>
      </c>
      <c r="L27" s="4">
        <v>1.0</v>
      </c>
      <c r="M27" s="43">
        <v>8000.0</v>
      </c>
      <c r="N27" s="4">
        <v>155.0</v>
      </c>
      <c r="O27" s="4">
        <v>1.0</v>
      </c>
    </row>
    <row r="28">
      <c r="A28" s="4">
        <f t="shared" si="3"/>
        <v>226</v>
      </c>
      <c r="B28" s="63" t="str">
        <f t="shared" si="5"/>
        <v>40011,40012,40013,40014,40015</v>
      </c>
      <c r="C28" s="4">
        <f t="shared" si="4"/>
        <v>14</v>
      </c>
      <c r="D28" s="14" t="str">
        <f t="shared" si="2"/>
        <v>2000,2001,2002,2003,2004</v>
      </c>
      <c r="E28" s="4">
        <v>5.0</v>
      </c>
      <c r="F28" s="4">
        <v>0.6</v>
      </c>
      <c r="G28" s="43">
        <v>8001.0</v>
      </c>
      <c r="H28" s="4">
        <v>100.0</v>
      </c>
      <c r="I28" s="4">
        <v>0.05</v>
      </c>
      <c r="J28" s="43">
        <v>1000.0</v>
      </c>
      <c r="K28" s="4">
        <v>1.0</v>
      </c>
      <c r="L28" s="4">
        <v>1.0</v>
      </c>
      <c r="M28" s="43">
        <v>8000.0</v>
      </c>
      <c r="N28" s="4">
        <v>155.0</v>
      </c>
      <c r="O28" s="4">
        <v>1.0</v>
      </c>
    </row>
    <row r="29">
      <c r="A29" s="4">
        <f t="shared" si="3"/>
        <v>227</v>
      </c>
      <c r="B29" s="63" t="str">
        <f t="shared" si="5"/>
        <v>40011,40012,40013,40014,40015</v>
      </c>
      <c r="C29" s="4">
        <f t="shared" si="4"/>
        <v>14</v>
      </c>
      <c r="D29" s="14" t="str">
        <f t="shared" si="2"/>
        <v>2000,2001,2002,2003,2004</v>
      </c>
      <c r="E29" s="4">
        <v>5.0</v>
      </c>
      <c r="F29" s="4">
        <v>0.6</v>
      </c>
      <c r="G29" s="43">
        <v>8001.0</v>
      </c>
      <c r="H29" s="4">
        <v>100.0</v>
      </c>
      <c r="I29" s="4">
        <v>0.05</v>
      </c>
      <c r="J29" s="43">
        <v>1000.0</v>
      </c>
      <c r="K29" s="4">
        <v>1.0</v>
      </c>
      <c r="L29" s="4">
        <v>1.0</v>
      </c>
      <c r="M29" s="43">
        <v>8000.0</v>
      </c>
      <c r="N29" s="4">
        <v>155.0</v>
      </c>
      <c r="O29" s="4">
        <v>1.0</v>
      </c>
    </row>
    <row r="30">
      <c r="A30" s="4">
        <f t="shared" si="3"/>
        <v>228</v>
      </c>
      <c r="B30" s="63" t="str">
        <f t="shared" si="5"/>
        <v>40011,40012,40013,40014,40015</v>
      </c>
      <c r="C30" s="4">
        <f t="shared" si="4"/>
        <v>15</v>
      </c>
      <c r="D30" s="14" t="str">
        <f t="shared" si="2"/>
        <v>2000,2001,2002,2003,2004</v>
      </c>
      <c r="E30" s="4">
        <v>5.0</v>
      </c>
      <c r="F30" s="4">
        <v>0.6</v>
      </c>
      <c r="G30" s="43">
        <v>8001.0</v>
      </c>
      <c r="H30" s="4">
        <v>100.0</v>
      </c>
      <c r="I30" s="4">
        <v>0.05</v>
      </c>
      <c r="J30" s="43">
        <v>1000.0</v>
      </c>
      <c r="K30" s="4">
        <v>1.0</v>
      </c>
      <c r="L30" s="4">
        <v>1.0</v>
      </c>
      <c r="M30" s="43">
        <v>8000.0</v>
      </c>
      <c r="N30" s="4">
        <v>155.0</v>
      </c>
      <c r="O30" s="4">
        <v>1.0</v>
      </c>
    </row>
    <row r="31">
      <c r="A31" s="4">
        <f t="shared" si="3"/>
        <v>229</v>
      </c>
      <c r="B31" s="63" t="str">
        <f t="shared" si="5"/>
        <v>40011,40012,40013,40014,40015</v>
      </c>
      <c r="C31" s="4">
        <f t="shared" si="4"/>
        <v>15</v>
      </c>
      <c r="D31" s="14" t="str">
        <f t="shared" si="2"/>
        <v>2000,2001,2002,2003,2004</v>
      </c>
      <c r="E31" s="4">
        <v>5.0</v>
      </c>
      <c r="F31" s="4">
        <v>0.6</v>
      </c>
      <c r="G31" s="43">
        <v>8001.0</v>
      </c>
      <c r="H31" s="4">
        <v>100.0</v>
      </c>
      <c r="I31" s="4">
        <v>0.05</v>
      </c>
      <c r="J31" s="43">
        <v>1000.0</v>
      </c>
      <c r="K31" s="4">
        <v>1.0</v>
      </c>
      <c r="L31" s="4">
        <v>1.0</v>
      </c>
      <c r="M31" s="43">
        <v>8000.0</v>
      </c>
      <c r="N31" s="4">
        <v>155.0</v>
      </c>
      <c r="O31" s="4">
        <v>1.0</v>
      </c>
    </row>
    <row r="32">
      <c r="A32" s="4">
        <f t="shared" si="3"/>
        <v>230</v>
      </c>
      <c r="B32" s="63" t="str">
        <f t="shared" si="5"/>
        <v>40011,40012,40013,40014,40015</v>
      </c>
      <c r="C32" s="4">
        <f t="shared" si="4"/>
        <v>16</v>
      </c>
      <c r="D32" s="14" t="str">
        <f t="shared" si="2"/>
        <v>2000,2001,2002,2003,2004</v>
      </c>
      <c r="E32" s="4">
        <v>5.0</v>
      </c>
      <c r="F32" s="4">
        <v>0.6</v>
      </c>
      <c r="G32" s="43">
        <v>8001.0</v>
      </c>
      <c r="H32" s="4">
        <v>100.0</v>
      </c>
      <c r="I32" s="4">
        <v>0.05</v>
      </c>
      <c r="J32" s="43">
        <v>1000.0</v>
      </c>
      <c r="K32" s="4">
        <v>1.0</v>
      </c>
      <c r="L32" s="4">
        <v>1.0</v>
      </c>
      <c r="M32" s="43">
        <v>8000.0</v>
      </c>
      <c r="N32" s="4">
        <v>155.0</v>
      </c>
      <c r="O32" s="4">
        <v>1.0</v>
      </c>
    </row>
    <row r="33">
      <c r="A33" s="4">
        <f t="shared" si="3"/>
        <v>231</v>
      </c>
      <c r="B33" s="63" t="str">
        <f t="shared" si="5"/>
        <v>40011,40012,40013,40014,40015</v>
      </c>
      <c r="C33" s="4">
        <f t="shared" si="4"/>
        <v>16</v>
      </c>
      <c r="D33" s="14" t="str">
        <f t="shared" si="2"/>
        <v>2000,2001,2002,2003,2004</v>
      </c>
      <c r="E33" s="4">
        <v>5.0</v>
      </c>
      <c r="F33" s="4">
        <v>0.6</v>
      </c>
      <c r="G33" s="43">
        <v>8001.0</v>
      </c>
      <c r="H33" s="4">
        <v>100.0</v>
      </c>
      <c r="I33" s="4">
        <v>0.05</v>
      </c>
      <c r="J33" s="43">
        <v>1000.0</v>
      </c>
      <c r="K33" s="4">
        <v>1.0</v>
      </c>
      <c r="L33" s="4">
        <v>1.0</v>
      </c>
      <c r="M33" s="43">
        <v>8000.0</v>
      </c>
      <c r="N33" s="4">
        <v>155.0</v>
      </c>
      <c r="O33" s="4">
        <v>1.0</v>
      </c>
    </row>
    <row r="34">
      <c r="A34" s="4">
        <f t="shared" si="3"/>
        <v>232</v>
      </c>
      <c r="B34" s="63" t="str">
        <f t="shared" si="5"/>
        <v>40011,40012,40013,40014,40015</v>
      </c>
      <c r="C34" s="4">
        <f t="shared" si="4"/>
        <v>17</v>
      </c>
      <c r="D34" s="14" t="str">
        <f t="shared" si="2"/>
        <v>2000,2001,2002,2003,2004</v>
      </c>
      <c r="E34" s="4">
        <v>5.0</v>
      </c>
      <c r="F34" s="4">
        <v>0.6</v>
      </c>
      <c r="G34" s="43">
        <v>8001.0</v>
      </c>
      <c r="H34" s="4">
        <v>100.0</v>
      </c>
      <c r="I34" s="4">
        <v>0.05</v>
      </c>
      <c r="J34" s="43">
        <v>1000.0</v>
      </c>
      <c r="K34" s="4">
        <v>1.0</v>
      </c>
      <c r="L34" s="4">
        <v>1.0</v>
      </c>
      <c r="M34" s="43">
        <v>8000.0</v>
      </c>
      <c r="N34" s="4">
        <v>155.0</v>
      </c>
      <c r="O34" s="4">
        <v>1.0</v>
      </c>
    </row>
    <row r="35">
      <c r="A35" s="4">
        <f t="shared" si="3"/>
        <v>233</v>
      </c>
      <c r="B35" s="63" t="str">
        <f t="shared" si="5"/>
        <v>40011,40012,40013,40014,40015</v>
      </c>
      <c r="C35" s="4">
        <f t="shared" si="4"/>
        <v>17</v>
      </c>
      <c r="D35" s="14" t="str">
        <f t="shared" si="2"/>
        <v>2000,2001,2002,2003,2004</v>
      </c>
      <c r="E35" s="4">
        <v>5.0</v>
      </c>
      <c r="F35" s="4">
        <v>0.6</v>
      </c>
      <c r="G35" s="43">
        <v>8001.0</v>
      </c>
      <c r="H35" s="4">
        <v>100.0</v>
      </c>
      <c r="I35" s="4">
        <v>0.05</v>
      </c>
      <c r="J35" s="43">
        <v>1000.0</v>
      </c>
      <c r="K35" s="4">
        <v>1.0</v>
      </c>
      <c r="L35" s="4">
        <v>1.0</v>
      </c>
      <c r="M35" s="43">
        <v>8000.0</v>
      </c>
      <c r="N35" s="4">
        <v>155.0</v>
      </c>
      <c r="O35" s="4">
        <v>1.0</v>
      </c>
    </row>
    <row r="36">
      <c r="A36" s="4">
        <f t="shared" si="3"/>
        <v>234</v>
      </c>
      <c r="B36" s="63" t="str">
        <f t="shared" si="5"/>
        <v>40011,40012,40013,40014,40015</v>
      </c>
      <c r="C36" s="4">
        <f t="shared" si="4"/>
        <v>18</v>
      </c>
      <c r="D36" s="14" t="str">
        <f t="shared" si="2"/>
        <v>2000,2001,2002,2003,2004</v>
      </c>
      <c r="E36" s="4">
        <v>5.0</v>
      </c>
      <c r="F36" s="4">
        <v>0.6</v>
      </c>
      <c r="G36" s="43">
        <v>8001.0</v>
      </c>
      <c r="H36" s="4">
        <v>100.0</v>
      </c>
      <c r="I36" s="4">
        <v>0.05</v>
      </c>
      <c r="J36" s="43">
        <v>1000.0</v>
      </c>
      <c r="K36" s="4">
        <v>1.0</v>
      </c>
      <c r="L36" s="4">
        <v>1.0</v>
      </c>
      <c r="M36" s="43">
        <v>8000.0</v>
      </c>
      <c r="N36" s="4">
        <v>155.0</v>
      </c>
      <c r="O36" s="4">
        <v>1.0</v>
      </c>
    </row>
    <row r="37">
      <c r="A37" s="4">
        <f t="shared" si="3"/>
        <v>235</v>
      </c>
      <c r="B37" s="63" t="str">
        <f t="shared" si="5"/>
        <v>40011,40012,40013,40014,40015</v>
      </c>
      <c r="C37" s="4">
        <f t="shared" si="4"/>
        <v>18</v>
      </c>
      <c r="D37" s="14" t="str">
        <f t="shared" si="2"/>
        <v>2000,2001,2002,2003,2004</v>
      </c>
      <c r="E37" s="4">
        <v>5.0</v>
      </c>
      <c r="F37" s="4">
        <v>0.6</v>
      </c>
      <c r="G37" s="43">
        <v>8001.0</v>
      </c>
      <c r="H37" s="4">
        <v>100.0</v>
      </c>
      <c r="I37" s="4">
        <v>0.05</v>
      </c>
      <c r="J37" s="43">
        <v>1000.0</v>
      </c>
      <c r="K37" s="4">
        <v>1.0</v>
      </c>
      <c r="L37" s="4">
        <v>1.0</v>
      </c>
      <c r="M37" s="43">
        <v>8000.0</v>
      </c>
      <c r="N37" s="4">
        <v>155.0</v>
      </c>
      <c r="O37" s="4">
        <v>1.0</v>
      </c>
    </row>
    <row r="38">
      <c r="A38" s="4">
        <f t="shared" si="3"/>
        <v>236</v>
      </c>
      <c r="B38" s="63" t="str">
        <f t="shared" si="5"/>
        <v>40011,40012,40013,40014,40015</v>
      </c>
      <c r="C38" s="4">
        <f t="shared" si="4"/>
        <v>19</v>
      </c>
      <c r="D38" s="14" t="str">
        <f t="shared" si="2"/>
        <v>2000,2001,2002,2003,2004</v>
      </c>
      <c r="E38" s="4">
        <v>5.0</v>
      </c>
      <c r="F38" s="4">
        <v>0.6</v>
      </c>
      <c r="G38" s="43">
        <v>8001.0</v>
      </c>
      <c r="H38" s="4">
        <v>100.0</v>
      </c>
      <c r="I38" s="4">
        <v>0.05</v>
      </c>
      <c r="J38" s="43">
        <v>1000.0</v>
      </c>
      <c r="K38" s="4">
        <v>1.0</v>
      </c>
      <c r="L38" s="4">
        <v>1.0</v>
      </c>
      <c r="M38" s="43">
        <v>8000.0</v>
      </c>
      <c r="N38" s="4">
        <v>155.0</v>
      </c>
      <c r="O38" s="4">
        <v>1.0</v>
      </c>
    </row>
    <row r="39">
      <c r="A39" s="4">
        <f t="shared" si="3"/>
        <v>237</v>
      </c>
      <c r="B39" s="63" t="str">
        <f t="shared" si="5"/>
        <v>40011,40012,40013,40014,40015</v>
      </c>
      <c r="C39" s="4">
        <f t="shared" si="4"/>
        <v>19</v>
      </c>
      <c r="D39" s="14" t="str">
        <f t="shared" si="2"/>
        <v>2000,2001,2002,2003,2004</v>
      </c>
      <c r="E39" s="4">
        <v>5.0</v>
      </c>
      <c r="F39" s="4">
        <v>0.6</v>
      </c>
      <c r="G39" s="43">
        <v>8001.0</v>
      </c>
      <c r="H39" s="4">
        <v>100.0</v>
      </c>
      <c r="I39" s="4">
        <v>0.05</v>
      </c>
      <c r="J39" s="43">
        <v>1000.0</v>
      </c>
      <c r="K39" s="4">
        <v>1.0</v>
      </c>
      <c r="L39" s="4">
        <v>1.0</v>
      </c>
      <c r="M39" s="43">
        <v>8000.0</v>
      </c>
      <c r="N39" s="4">
        <v>155.0</v>
      </c>
      <c r="O39" s="4">
        <v>1.0</v>
      </c>
    </row>
    <row r="40">
      <c r="A40" s="4">
        <f t="shared" si="3"/>
        <v>238</v>
      </c>
      <c r="B40" s="63" t="str">
        <f t="shared" si="5"/>
        <v>40011,40012,40013,40014,40015</v>
      </c>
      <c r="C40" s="4">
        <f t="shared" si="4"/>
        <v>20</v>
      </c>
      <c r="D40" s="14" t="str">
        <f t="shared" si="2"/>
        <v>2000,2001,2002,2003,2004</v>
      </c>
      <c r="E40" s="4">
        <v>5.0</v>
      </c>
      <c r="F40" s="4">
        <v>0.6</v>
      </c>
      <c r="G40" s="43">
        <v>8001.0</v>
      </c>
      <c r="H40" s="4">
        <v>100.0</v>
      </c>
      <c r="I40" s="4">
        <v>0.05</v>
      </c>
      <c r="J40" s="43">
        <v>1000.0</v>
      </c>
      <c r="K40" s="4">
        <v>1.0</v>
      </c>
      <c r="L40" s="4">
        <v>1.0</v>
      </c>
      <c r="M40" s="43">
        <v>8000.0</v>
      </c>
      <c r="N40" s="4">
        <v>155.0</v>
      </c>
      <c r="O40" s="4">
        <v>1.0</v>
      </c>
    </row>
    <row r="41">
      <c r="A41" s="4">
        <f t="shared" si="3"/>
        <v>239</v>
      </c>
      <c r="B41" s="63" t="str">
        <f>"40011,40012,40013,40014,40015,50002"</f>
        <v>40011,40012,40013,40014,40015,50002</v>
      </c>
      <c r="C41" s="4">
        <f t="shared" si="4"/>
        <v>20</v>
      </c>
      <c r="D41" s="14" t="str">
        <f t="shared" si="2"/>
        <v>2000,2001,2002,2003,2004</v>
      </c>
      <c r="E41" s="4">
        <v>5.0</v>
      </c>
      <c r="F41" s="4">
        <v>0.6</v>
      </c>
      <c r="G41" s="43">
        <v>8001.0</v>
      </c>
      <c r="H41" s="4">
        <v>100.0</v>
      </c>
      <c r="I41" s="4">
        <v>0.05</v>
      </c>
      <c r="J41" s="43">
        <v>1000.0</v>
      </c>
      <c r="K41" s="4">
        <v>1.0</v>
      </c>
      <c r="L41" s="4">
        <v>1.0</v>
      </c>
      <c r="M41" s="43">
        <v>8000.0</v>
      </c>
      <c r="N41" s="4">
        <v>155.0</v>
      </c>
      <c r="O41" s="4">
        <v>1.0</v>
      </c>
    </row>
    <row r="42">
      <c r="A42" s="4">
        <f t="shared" si="3"/>
        <v>240</v>
      </c>
      <c r="B42" s="63" t="str">
        <f t="shared" ref="B42:B60" si="6">"40006,40007,40008,40009,40010"</f>
        <v>40006,40007,40008,40009,40010</v>
      </c>
      <c r="C42" s="4">
        <f t="shared" si="4"/>
        <v>21</v>
      </c>
      <c r="D42" s="14" t="str">
        <f t="shared" si="2"/>
        <v>2000,2001,2002,2003,2004</v>
      </c>
      <c r="E42" s="4">
        <v>7.0</v>
      </c>
      <c r="F42" s="4">
        <v>0.6</v>
      </c>
      <c r="G42" s="43">
        <v>8001.0</v>
      </c>
      <c r="H42" s="4">
        <v>105.0</v>
      </c>
      <c r="I42" s="4">
        <v>0.05</v>
      </c>
      <c r="J42" s="43">
        <v>1000.0</v>
      </c>
      <c r="K42" s="4">
        <v>1.0</v>
      </c>
      <c r="L42" s="4">
        <v>1.0</v>
      </c>
      <c r="M42" s="43">
        <v>8000.0</v>
      </c>
      <c r="N42" s="4">
        <v>160.0</v>
      </c>
      <c r="O42" s="4">
        <v>1.0</v>
      </c>
    </row>
    <row r="43">
      <c r="A43" s="4">
        <f t="shared" si="3"/>
        <v>241</v>
      </c>
      <c r="B43" s="63" t="str">
        <f t="shared" si="6"/>
        <v>40006,40007,40008,40009,40010</v>
      </c>
      <c r="C43" s="4">
        <f t="shared" si="4"/>
        <v>21</v>
      </c>
      <c r="D43" s="14" t="str">
        <f t="shared" si="2"/>
        <v>2000,2001,2002,2003,2004</v>
      </c>
      <c r="E43" s="4">
        <v>7.0</v>
      </c>
      <c r="F43" s="4">
        <v>0.6</v>
      </c>
      <c r="G43" s="43">
        <v>8001.0</v>
      </c>
      <c r="H43" s="4">
        <v>105.0</v>
      </c>
      <c r="I43" s="4">
        <v>0.05</v>
      </c>
      <c r="J43" s="43">
        <v>1000.0</v>
      </c>
      <c r="K43" s="4">
        <v>1.0</v>
      </c>
      <c r="L43" s="4">
        <v>1.0</v>
      </c>
      <c r="M43" s="43">
        <v>8000.0</v>
      </c>
      <c r="N43" s="4">
        <v>160.0</v>
      </c>
      <c r="O43" s="4">
        <v>1.0</v>
      </c>
    </row>
    <row r="44">
      <c r="A44" s="4">
        <f t="shared" si="3"/>
        <v>242</v>
      </c>
      <c r="B44" s="63" t="str">
        <f t="shared" si="6"/>
        <v>40006,40007,40008,40009,40010</v>
      </c>
      <c r="C44" s="4">
        <f t="shared" si="4"/>
        <v>22</v>
      </c>
      <c r="D44" s="14" t="str">
        <f t="shared" si="2"/>
        <v>2000,2001,2002,2003,2004</v>
      </c>
      <c r="E44" s="4">
        <v>7.0</v>
      </c>
      <c r="F44" s="4">
        <v>0.6</v>
      </c>
      <c r="G44" s="43">
        <v>8001.0</v>
      </c>
      <c r="H44" s="4">
        <v>105.0</v>
      </c>
      <c r="I44" s="4">
        <v>0.05</v>
      </c>
      <c r="J44" s="43">
        <v>1000.0</v>
      </c>
      <c r="K44" s="4">
        <v>1.0</v>
      </c>
      <c r="L44" s="4">
        <v>1.0</v>
      </c>
      <c r="M44" s="43">
        <v>8000.0</v>
      </c>
      <c r="N44" s="4">
        <v>160.0</v>
      </c>
      <c r="O44" s="4">
        <v>1.0</v>
      </c>
    </row>
    <row r="45">
      <c r="A45" s="4">
        <f t="shared" si="3"/>
        <v>243</v>
      </c>
      <c r="B45" s="63" t="str">
        <f t="shared" si="6"/>
        <v>40006,40007,40008,40009,40010</v>
      </c>
      <c r="C45" s="4">
        <f t="shared" si="4"/>
        <v>22</v>
      </c>
      <c r="D45" s="14" t="str">
        <f t="shared" si="2"/>
        <v>2000,2001,2002,2003,2004</v>
      </c>
      <c r="E45" s="4">
        <v>7.0</v>
      </c>
      <c r="F45" s="4">
        <v>0.6</v>
      </c>
      <c r="G45" s="43">
        <v>8001.0</v>
      </c>
      <c r="H45" s="4">
        <v>105.0</v>
      </c>
      <c r="I45" s="4">
        <v>0.05</v>
      </c>
      <c r="J45" s="43">
        <v>1000.0</v>
      </c>
      <c r="K45" s="4">
        <v>1.0</v>
      </c>
      <c r="L45" s="4">
        <v>1.0</v>
      </c>
      <c r="M45" s="43">
        <v>8000.0</v>
      </c>
      <c r="N45" s="4">
        <v>160.0</v>
      </c>
      <c r="O45" s="4">
        <v>1.0</v>
      </c>
    </row>
    <row r="46">
      <c r="A46" s="4">
        <f t="shared" si="3"/>
        <v>244</v>
      </c>
      <c r="B46" s="63" t="str">
        <f t="shared" si="6"/>
        <v>40006,40007,40008,40009,40010</v>
      </c>
      <c r="C46" s="4">
        <f t="shared" si="4"/>
        <v>23</v>
      </c>
      <c r="D46" s="14" t="str">
        <f t="shared" si="2"/>
        <v>2000,2001,2002,2003,2004</v>
      </c>
      <c r="E46" s="4">
        <v>7.0</v>
      </c>
      <c r="F46" s="4">
        <v>0.6</v>
      </c>
      <c r="G46" s="43">
        <v>8001.0</v>
      </c>
      <c r="H46" s="4">
        <v>105.0</v>
      </c>
      <c r="I46" s="4">
        <v>0.05</v>
      </c>
      <c r="J46" s="43">
        <v>1000.0</v>
      </c>
      <c r="K46" s="4">
        <v>1.0</v>
      </c>
      <c r="L46" s="4">
        <v>1.0</v>
      </c>
      <c r="M46" s="43">
        <v>8000.0</v>
      </c>
      <c r="N46" s="4">
        <v>160.0</v>
      </c>
      <c r="O46" s="4">
        <v>1.0</v>
      </c>
    </row>
    <row r="47">
      <c r="A47" s="4">
        <f t="shared" si="3"/>
        <v>245</v>
      </c>
      <c r="B47" s="63" t="str">
        <f t="shared" si="6"/>
        <v>40006,40007,40008,40009,40010</v>
      </c>
      <c r="C47" s="4">
        <f t="shared" si="4"/>
        <v>23</v>
      </c>
      <c r="D47" s="14" t="str">
        <f t="shared" si="2"/>
        <v>2000,2001,2002,2003,2004</v>
      </c>
      <c r="E47" s="4">
        <v>7.0</v>
      </c>
      <c r="F47" s="4">
        <v>0.6</v>
      </c>
      <c r="G47" s="43">
        <v>8001.0</v>
      </c>
      <c r="H47" s="4">
        <v>105.0</v>
      </c>
      <c r="I47" s="4">
        <v>0.05</v>
      </c>
      <c r="J47" s="43">
        <v>1000.0</v>
      </c>
      <c r="K47" s="4">
        <v>1.0</v>
      </c>
      <c r="L47" s="4">
        <v>1.0</v>
      </c>
      <c r="M47" s="43">
        <v>8000.0</v>
      </c>
      <c r="N47" s="4">
        <v>160.0</v>
      </c>
      <c r="O47" s="4">
        <v>1.0</v>
      </c>
    </row>
    <row r="48">
      <c r="A48" s="4">
        <f t="shared" si="3"/>
        <v>246</v>
      </c>
      <c r="B48" s="63" t="str">
        <f t="shared" si="6"/>
        <v>40006,40007,40008,40009,40010</v>
      </c>
      <c r="C48" s="4">
        <f t="shared" si="4"/>
        <v>24</v>
      </c>
      <c r="D48" s="14" t="str">
        <f t="shared" si="2"/>
        <v>2000,2001,2002,2003,2004</v>
      </c>
      <c r="E48" s="4">
        <v>7.0</v>
      </c>
      <c r="F48" s="4">
        <v>0.6</v>
      </c>
      <c r="G48" s="43">
        <v>8001.0</v>
      </c>
      <c r="H48" s="4">
        <v>105.0</v>
      </c>
      <c r="I48" s="4">
        <v>0.05</v>
      </c>
      <c r="J48" s="43">
        <v>1000.0</v>
      </c>
      <c r="K48" s="4">
        <v>1.0</v>
      </c>
      <c r="L48" s="4">
        <v>1.0</v>
      </c>
      <c r="M48" s="43">
        <v>8000.0</v>
      </c>
      <c r="N48" s="4">
        <v>160.0</v>
      </c>
      <c r="O48" s="4">
        <v>1.0</v>
      </c>
    </row>
    <row r="49">
      <c r="A49" s="4">
        <f t="shared" si="3"/>
        <v>247</v>
      </c>
      <c r="B49" s="63" t="str">
        <f t="shared" si="6"/>
        <v>40006,40007,40008,40009,40010</v>
      </c>
      <c r="C49" s="4">
        <f t="shared" si="4"/>
        <v>24</v>
      </c>
      <c r="D49" s="14" t="str">
        <f t="shared" si="2"/>
        <v>2000,2001,2002,2003,2004</v>
      </c>
      <c r="E49" s="4">
        <v>7.0</v>
      </c>
      <c r="F49" s="4">
        <v>0.6</v>
      </c>
      <c r="G49" s="43">
        <v>8001.0</v>
      </c>
      <c r="H49" s="4">
        <v>105.0</v>
      </c>
      <c r="I49" s="4">
        <v>0.05</v>
      </c>
      <c r="J49" s="43">
        <v>1000.0</v>
      </c>
      <c r="K49" s="4">
        <v>1.0</v>
      </c>
      <c r="L49" s="4">
        <v>1.0</v>
      </c>
      <c r="M49" s="43">
        <v>8000.0</v>
      </c>
      <c r="N49" s="4">
        <v>160.0</v>
      </c>
      <c r="O49" s="4">
        <v>1.0</v>
      </c>
    </row>
    <row r="50">
      <c r="A50" s="4">
        <f t="shared" si="3"/>
        <v>248</v>
      </c>
      <c r="B50" s="63" t="str">
        <f t="shared" si="6"/>
        <v>40006,40007,40008,40009,40010</v>
      </c>
      <c r="C50" s="4">
        <f t="shared" si="4"/>
        <v>25</v>
      </c>
      <c r="D50" s="14" t="str">
        <f t="shared" si="2"/>
        <v>2000,2001,2002,2003,2004</v>
      </c>
      <c r="E50" s="4">
        <v>7.0</v>
      </c>
      <c r="F50" s="4">
        <v>0.6</v>
      </c>
      <c r="G50" s="43">
        <v>8001.0</v>
      </c>
      <c r="H50" s="4">
        <v>105.0</v>
      </c>
      <c r="I50" s="4">
        <v>0.05</v>
      </c>
      <c r="J50" s="43">
        <v>1000.0</v>
      </c>
      <c r="K50" s="4">
        <v>1.0</v>
      </c>
      <c r="L50" s="4">
        <v>1.0</v>
      </c>
      <c r="M50" s="43">
        <v>8000.0</v>
      </c>
      <c r="N50" s="4">
        <v>160.0</v>
      </c>
      <c r="O50" s="4">
        <v>1.0</v>
      </c>
    </row>
    <row r="51">
      <c r="A51" s="4">
        <f t="shared" si="3"/>
        <v>249</v>
      </c>
      <c r="B51" s="63" t="str">
        <f t="shared" si="6"/>
        <v>40006,40007,40008,40009,40010</v>
      </c>
      <c r="C51" s="4">
        <f t="shared" si="4"/>
        <v>25</v>
      </c>
      <c r="D51" s="14" t="str">
        <f t="shared" si="2"/>
        <v>2000,2001,2002,2003,2004</v>
      </c>
      <c r="E51" s="4">
        <v>7.0</v>
      </c>
      <c r="F51" s="4">
        <v>0.6</v>
      </c>
      <c r="G51" s="43">
        <v>8001.0</v>
      </c>
      <c r="H51" s="4">
        <v>105.0</v>
      </c>
      <c r="I51" s="4">
        <v>0.05</v>
      </c>
      <c r="J51" s="43">
        <v>1000.0</v>
      </c>
      <c r="K51" s="4">
        <v>1.0</v>
      </c>
      <c r="L51" s="4">
        <v>1.0</v>
      </c>
      <c r="M51" s="43">
        <v>8000.0</v>
      </c>
      <c r="N51" s="4">
        <v>160.0</v>
      </c>
      <c r="O51" s="4">
        <v>1.0</v>
      </c>
    </row>
    <row r="52">
      <c r="A52" s="4">
        <f t="shared" si="3"/>
        <v>250</v>
      </c>
      <c r="B52" s="63" t="str">
        <f t="shared" si="6"/>
        <v>40006,40007,40008,40009,40010</v>
      </c>
      <c r="C52" s="4">
        <f t="shared" si="4"/>
        <v>26</v>
      </c>
      <c r="D52" s="14" t="str">
        <f t="shared" si="2"/>
        <v>2000,2001,2002,2003,2004</v>
      </c>
      <c r="E52" s="4">
        <v>7.0</v>
      </c>
      <c r="F52" s="4">
        <v>0.6</v>
      </c>
      <c r="G52" s="43">
        <v>8001.0</v>
      </c>
      <c r="H52" s="4">
        <v>105.0</v>
      </c>
      <c r="I52" s="4">
        <v>0.05</v>
      </c>
      <c r="J52" s="43">
        <v>1000.0</v>
      </c>
      <c r="K52" s="4">
        <v>1.0</v>
      </c>
      <c r="L52" s="4">
        <v>1.0</v>
      </c>
      <c r="M52" s="43">
        <v>8000.0</v>
      </c>
      <c r="N52" s="4">
        <v>160.0</v>
      </c>
      <c r="O52" s="4">
        <v>1.0</v>
      </c>
    </row>
    <row r="53">
      <c r="A53" s="4">
        <f t="shared" si="3"/>
        <v>251</v>
      </c>
      <c r="B53" s="63" t="str">
        <f t="shared" si="6"/>
        <v>40006,40007,40008,40009,40010</v>
      </c>
      <c r="C53" s="4">
        <f t="shared" si="4"/>
        <v>26</v>
      </c>
      <c r="D53" s="14" t="str">
        <f t="shared" si="2"/>
        <v>2000,2001,2002,2003,2004</v>
      </c>
      <c r="E53" s="4">
        <v>7.0</v>
      </c>
      <c r="F53" s="4">
        <v>0.6</v>
      </c>
      <c r="G53" s="43">
        <v>8001.0</v>
      </c>
      <c r="H53" s="4">
        <v>105.0</v>
      </c>
      <c r="I53" s="4">
        <v>0.05</v>
      </c>
      <c r="J53" s="43">
        <v>1000.0</v>
      </c>
      <c r="K53" s="4">
        <v>1.0</v>
      </c>
      <c r="L53" s="4">
        <v>1.0</v>
      </c>
      <c r="M53" s="43">
        <v>8000.0</v>
      </c>
      <c r="N53" s="4">
        <v>160.0</v>
      </c>
      <c r="O53" s="4">
        <v>1.0</v>
      </c>
    </row>
    <row r="54">
      <c r="A54" s="4">
        <f t="shared" si="3"/>
        <v>252</v>
      </c>
      <c r="B54" s="63" t="str">
        <f t="shared" si="6"/>
        <v>40006,40007,40008,40009,40010</v>
      </c>
      <c r="C54" s="4">
        <f t="shared" si="4"/>
        <v>27</v>
      </c>
      <c r="D54" s="14" t="str">
        <f t="shared" si="2"/>
        <v>2000,2001,2002,2003,2004</v>
      </c>
      <c r="E54" s="4">
        <v>7.0</v>
      </c>
      <c r="F54" s="4">
        <v>0.6</v>
      </c>
      <c r="G54" s="43">
        <v>8001.0</v>
      </c>
      <c r="H54" s="4">
        <v>105.0</v>
      </c>
      <c r="I54" s="4">
        <v>0.05</v>
      </c>
      <c r="J54" s="43">
        <v>1000.0</v>
      </c>
      <c r="K54" s="4">
        <v>1.0</v>
      </c>
      <c r="L54" s="4">
        <v>1.0</v>
      </c>
      <c r="M54" s="43">
        <v>8000.0</v>
      </c>
      <c r="N54" s="4">
        <v>160.0</v>
      </c>
      <c r="O54" s="4">
        <v>1.0</v>
      </c>
    </row>
    <row r="55">
      <c r="A55" s="4">
        <f t="shared" si="3"/>
        <v>253</v>
      </c>
      <c r="B55" s="63" t="str">
        <f t="shared" si="6"/>
        <v>40006,40007,40008,40009,40010</v>
      </c>
      <c r="C55" s="4">
        <f t="shared" si="4"/>
        <v>27</v>
      </c>
      <c r="D55" s="14" t="str">
        <f t="shared" si="2"/>
        <v>2000,2001,2002,2003,2004</v>
      </c>
      <c r="E55" s="4">
        <v>7.0</v>
      </c>
      <c r="F55" s="4">
        <v>0.6</v>
      </c>
      <c r="G55" s="43">
        <v>8001.0</v>
      </c>
      <c r="H55" s="4">
        <v>105.0</v>
      </c>
      <c r="I55" s="4">
        <v>0.05</v>
      </c>
      <c r="J55" s="43">
        <v>1000.0</v>
      </c>
      <c r="K55" s="4">
        <v>1.0</v>
      </c>
      <c r="L55" s="4">
        <v>1.0</v>
      </c>
      <c r="M55" s="43">
        <v>8000.0</v>
      </c>
      <c r="N55" s="4">
        <v>160.0</v>
      </c>
      <c r="O55" s="4">
        <v>1.0</v>
      </c>
    </row>
    <row r="56">
      <c r="A56" s="4">
        <f t="shared" si="3"/>
        <v>254</v>
      </c>
      <c r="B56" s="63" t="str">
        <f t="shared" si="6"/>
        <v>40006,40007,40008,40009,40010</v>
      </c>
      <c r="C56" s="4">
        <f t="shared" si="4"/>
        <v>28</v>
      </c>
      <c r="D56" s="14" t="str">
        <f t="shared" si="2"/>
        <v>2000,2001,2002,2003,2004</v>
      </c>
      <c r="E56" s="4">
        <v>7.0</v>
      </c>
      <c r="F56" s="4">
        <v>0.6</v>
      </c>
      <c r="G56" s="43">
        <v>8001.0</v>
      </c>
      <c r="H56" s="4">
        <v>105.0</v>
      </c>
      <c r="I56" s="4">
        <v>0.05</v>
      </c>
      <c r="J56" s="43">
        <v>1000.0</v>
      </c>
      <c r="K56" s="4">
        <v>1.0</v>
      </c>
      <c r="L56" s="4">
        <v>1.0</v>
      </c>
      <c r="M56" s="43">
        <v>8000.0</v>
      </c>
      <c r="N56" s="4">
        <v>160.0</v>
      </c>
      <c r="O56" s="4">
        <v>1.0</v>
      </c>
    </row>
    <row r="57">
      <c r="A57" s="4">
        <f t="shared" si="3"/>
        <v>255</v>
      </c>
      <c r="B57" s="63" t="str">
        <f t="shared" si="6"/>
        <v>40006,40007,40008,40009,40010</v>
      </c>
      <c r="C57" s="4">
        <f t="shared" si="4"/>
        <v>28</v>
      </c>
      <c r="D57" s="14" t="str">
        <f t="shared" si="2"/>
        <v>2000,2001,2002,2003,2004</v>
      </c>
      <c r="E57" s="4">
        <v>7.0</v>
      </c>
      <c r="F57" s="4">
        <v>0.6</v>
      </c>
      <c r="G57" s="43">
        <v>8001.0</v>
      </c>
      <c r="H57" s="4">
        <v>105.0</v>
      </c>
      <c r="I57" s="4">
        <v>0.05</v>
      </c>
      <c r="J57" s="43">
        <v>1000.0</v>
      </c>
      <c r="K57" s="4">
        <v>1.0</v>
      </c>
      <c r="L57" s="4">
        <v>1.0</v>
      </c>
      <c r="M57" s="43">
        <v>8000.0</v>
      </c>
      <c r="N57" s="4">
        <v>160.0</v>
      </c>
      <c r="O57" s="4">
        <v>1.0</v>
      </c>
    </row>
    <row r="58">
      <c r="A58" s="4">
        <f t="shared" si="3"/>
        <v>256</v>
      </c>
      <c r="B58" s="63" t="str">
        <f t="shared" si="6"/>
        <v>40006,40007,40008,40009,40010</v>
      </c>
      <c r="C58" s="4">
        <f t="shared" si="4"/>
        <v>29</v>
      </c>
      <c r="D58" s="14" t="str">
        <f t="shared" si="2"/>
        <v>2000,2001,2002,2003,2004</v>
      </c>
      <c r="E58" s="4">
        <v>7.0</v>
      </c>
      <c r="F58" s="4">
        <v>0.6</v>
      </c>
      <c r="G58" s="43">
        <v>8001.0</v>
      </c>
      <c r="H58" s="4">
        <v>105.0</v>
      </c>
      <c r="I58" s="4">
        <v>0.05</v>
      </c>
      <c r="J58" s="43">
        <v>1000.0</v>
      </c>
      <c r="K58" s="4">
        <v>1.0</v>
      </c>
      <c r="L58" s="4">
        <v>1.0</v>
      </c>
      <c r="M58" s="43">
        <v>8000.0</v>
      </c>
      <c r="N58" s="4">
        <v>160.0</v>
      </c>
      <c r="O58" s="4">
        <v>1.0</v>
      </c>
    </row>
    <row r="59">
      <c r="A59" s="4">
        <f t="shared" si="3"/>
        <v>257</v>
      </c>
      <c r="B59" s="63" t="str">
        <f t="shared" si="6"/>
        <v>40006,40007,40008,40009,40010</v>
      </c>
      <c r="C59" s="4">
        <f t="shared" si="4"/>
        <v>29</v>
      </c>
      <c r="D59" s="14" t="str">
        <f t="shared" si="2"/>
        <v>2000,2001,2002,2003,2004</v>
      </c>
      <c r="E59" s="4">
        <v>7.0</v>
      </c>
      <c r="F59" s="4">
        <v>0.6</v>
      </c>
      <c r="G59" s="43">
        <v>8001.0</v>
      </c>
      <c r="H59" s="4">
        <v>105.0</v>
      </c>
      <c r="I59" s="4">
        <v>0.05</v>
      </c>
      <c r="J59" s="43">
        <v>1000.0</v>
      </c>
      <c r="K59" s="4">
        <v>1.0</v>
      </c>
      <c r="L59" s="4">
        <v>1.0</v>
      </c>
      <c r="M59" s="43">
        <v>8000.0</v>
      </c>
      <c r="N59" s="4">
        <v>160.0</v>
      </c>
      <c r="O59" s="4">
        <v>1.0</v>
      </c>
    </row>
    <row r="60">
      <c r="A60" s="4">
        <f t="shared" si="3"/>
        <v>258</v>
      </c>
      <c r="B60" s="63" t="str">
        <f t="shared" si="6"/>
        <v>40006,40007,40008,40009,40010</v>
      </c>
      <c r="C60" s="4">
        <f t="shared" si="4"/>
        <v>30</v>
      </c>
      <c r="D60" s="14" t="str">
        <f t="shared" si="2"/>
        <v>2000,2001,2002,2003,2004</v>
      </c>
      <c r="E60" s="4">
        <v>7.0</v>
      </c>
      <c r="F60" s="4">
        <v>0.6</v>
      </c>
      <c r="G60" s="43">
        <v>8001.0</v>
      </c>
      <c r="H60" s="4">
        <v>105.0</v>
      </c>
      <c r="I60" s="4">
        <v>0.05</v>
      </c>
      <c r="J60" s="43">
        <v>1000.0</v>
      </c>
      <c r="K60" s="4">
        <v>1.0</v>
      </c>
      <c r="L60" s="4">
        <v>1.0</v>
      </c>
      <c r="M60" s="43">
        <v>8000.0</v>
      </c>
      <c r="N60" s="4">
        <v>160.0</v>
      </c>
      <c r="O60" s="4">
        <v>1.0</v>
      </c>
    </row>
    <row r="61">
      <c r="A61" s="4">
        <f t="shared" si="3"/>
        <v>259</v>
      </c>
      <c r="B61" s="63" t="str">
        <f>"40006,40007,40008,40009,40010,50003"</f>
        <v>40006,40007,40008,40009,40010,50003</v>
      </c>
      <c r="C61" s="4">
        <f t="shared" si="4"/>
        <v>30</v>
      </c>
      <c r="D61" s="14" t="str">
        <f t="shared" si="2"/>
        <v>2000,2001,2002,2003,2004</v>
      </c>
      <c r="E61" s="4">
        <v>7.0</v>
      </c>
      <c r="F61" s="4">
        <v>0.6</v>
      </c>
      <c r="G61" s="43">
        <v>8001.0</v>
      </c>
      <c r="H61" s="4">
        <v>105.0</v>
      </c>
      <c r="I61" s="4">
        <v>0.05</v>
      </c>
      <c r="J61" s="43">
        <v>1000.0</v>
      </c>
      <c r="K61" s="4">
        <v>1.0</v>
      </c>
      <c r="L61" s="4">
        <v>1.0</v>
      </c>
      <c r="M61" s="43">
        <v>8000.0</v>
      </c>
      <c r="N61" s="4">
        <v>160.0</v>
      </c>
      <c r="O61" s="4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9"/>
    </row>
    <row r="2">
      <c r="A2" s="40" t="s">
        <v>1764</v>
      </c>
      <c r="B2" s="40" t="s">
        <v>937</v>
      </c>
      <c r="C2" s="40" t="s">
        <v>173</v>
      </c>
      <c r="D2" s="40" t="s">
        <v>68</v>
      </c>
      <c r="E2" s="40" t="s">
        <v>250</v>
      </c>
      <c r="F2" s="40" t="s">
        <v>252</v>
      </c>
      <c r="G2" s="40" t="s">
        <v>254</v>
      </c>
      <c r="H2" s="40" t="s">
        <v>256</v>
      </c>
      <c r="I2" s="40" t="s">
        <v>73</v>
      </c>
      <c r="J2" s="40" t="s">
        <v>265</v>
      </c>
      <c r="K2" s="40" t="s">
        <v>259</v>
      </c>
      <c r="L2" s="40" t="s">
        <v>263</v>
      </c>
      <c r="M2" s="40" t="s">
        <v>269</v>
      </c>
      <c r="N2" s="40" t="s">
        <v>270</v>
      </c>
      <c r="O2" s="40" t="s">
        <v>271</v>
      </c>
      <c r="P2" s="40" t="s">
        <v>272</v>
      </c>
      <c r="Q2" s="40" t="s">
        <v>273</v>
      </c>
      <c r="R2" s="40" t="s">
        <v>274</v>
      </c>
      <c r="S2" s="40" t="s">
        <v>267</v>
      </c>
    </row>
    <row r="3">
      <c r="A3" s="43">
        <v>700.0</v>
      </c>
      <c r="B3" s="43" t="s">
        <v>1956</v>
      </c>
      <c r="C3" s="43">
        <v>1.0</v>
      </c>
      <c r="D3" s="43">
        <v>10.0</v>
      </c>
      <c r="E3" s="57"/>
      <c r="F3" s="57"/>
      <c r="G3" s="57"/>
      <c r="H3" s="57"/>
      <c r="I3" s="57"/>
      <c r="J3" s="57"/>
      <c r="K3" s="14"/>
      <c r="L3" s="14"/>
      <c r="M3" s="14"/>
      <c r="N3" s="14"/>
      <c r="O3" s="14"/>
      <c r="P3" s="14"/>
      <c r="Q3" s="14"/>
      <c r="R3" s="14"/>
      <c r="S3" s="14"/>
    </row>
    <row r="4">
      <c r="A4" s="43">
        <v>700.0</v>
      </c>
      <c r="B4" s="43" t="s">
        <v>1957</v>
      </c>
      <c r="C4" s="43">
        <v>2.0</v>
      </c>
      <c r="D4" s="43">
        <f t="shared" ref="D4:D8" si="1">D3+4</f>
        <v>14</v>
      </c>
      <c r="E4" s="57"/>
      <c r="F4" s="57"/>
      <c r="G4" s="57"/>
      <c r="H4" s="57"/>
      <c r="I4" s="57"/>
      <c r="J4" s="57"/>
      <c r="K4" s="14"/>
      <c r="L4" s="14"/>
      <c r="M4" s="14"/>
      <c r="N4" s="14"/>
      <c r="O4" s="14"/>
      <c r="P4" s="14"/>
      <c r="Q4" s="14"/>
      <c r="R4" s="14"/>
      <c r="S4" s="14"/>
    </row>
    <row r="5">
      <c r="A5" s="43">
        <v>700.0</v>
      </c>
      <c r="B5" s="43" t="s">
        <v>1958</v>
      </c>
      <c r="C5" s="43">
        <v>3.0</v>
      </c>
      <c r="D5" s="43">
        <f t="shared" si="1"/>
        <v>18</v>
      </c>
      <c r="E5" s="57"/>
      <c r="F5" s="57"/>
      <c r="G5" s="57"/>
      <c r="H5" s="57"/>
      <c r="I5" s="57"/>
      <c r="J5" s="57"/>
      <c r="K5" s="14"/>
      <c r="L5" s="14"/>
      <c r="M5" s="14"/>
      <c r="N5" s="14"/>
      <c r="O5" s="14"/>
      <c r="P5" s="14"/>
      <c r="Q5" s="14"/>
      <c r="R5" s="14"/>
      <c r="S5" s="14"/>
    </row>
    <row r="6">
      <c r="A6" s="43">
        <v>700.0</v>
      </c>
      <c r="B6" s="43" t="s">
        <v>1959</v>
      </c>
      <c r="C6" s="43">
        <v>4.0</v>
      </c>
      <c r="D6" s="43">
        <f t="shared" si="1"/>
        <v>22</v>
      </c>
      <c r="E6" s="57"/>
      <c r="F6" s="57"/>
      <c r="G6" s="57"/>
      <c r="H6" s="57"/>
      <c r="I6" s="57"/>
      <c r="J6" s="57"/>
      <c r="K6" s="14"/>
      <c r="L6" s="14"/>
      <c r="M6" s="14"/>
      <c r="N6" s="14"/>
      <c r="O6" s="14"/>
      <c r="P6" s="14"/>
      <c r="Q6" s="14"/>
      <c r="R6" s="14"/>
      <c r="S6" s="14"/>
    </row>
    <row r="7">
      <c r="A7" s="43">
        <v>700.0</v>
      </c>
      <c r="B7" s="43" t="s">
        <v>1960</v>
      </c>
      <c r="C7" s="43">
        <v>5.0</v>
      </c>
      <c r="D7" s="43">
        <f t="shared" si="1"/>
        <v>26</v>
      </c>
      <c r="E7" s="57"/>
      <c r="F7" s="57"/>
      <c r="G7" s="57"/>
      <c r="H7" s="57"/>
      <c r="I7" s="57"/>
      <c r="J7" s="57"/>
      <c r="K7" s="14"/>
      <c r="L7" s="14"/>
      <c r="M7" s="14"/>
      <c r="N7" s="14"/>
      <c r="O7" s="14"/>
      <c r="P7" s="14"/>
      <c r="Q7" s="14"/>
      <c r="R7" s="14"/>
      <c r="S7" s="14"/>
    </row>
    <row r="8">
      <c r="A8" s="43">
        <v>700.0</v>
      </c>
      <c r="B8" s="43" t="s">
        <v>1961</v>
      </c>
      <c r="C8" s="43">
        <v>6.0</v>
      </c>
      <c r="D8" s="43">
        <f t="shared" si="1"/>
        <v>30</v>
      </c>
      <c r="E8" s="57"/>
      <c r="F8" s="57"/>
      <c r="G8" s="57"/>
      <c r="H8" s="57"/>
      <c r="I8" s="57"/>
      <c r="J8" s="57"/>
      <c r="K8" s="14"/>
      <c r="L8" s="14"/>
      <c r="M8" s="14"/>
      <c r="N8" s="14"/>
      <c r="O8" s="14"/>
      <c r="P8" s="14"/>
      <c r="Q8" s="14"/>
      <c r="R8" s="14"/>
      <c r="S8" s="14"/>
    </row>
    <row r="9">
      <c r="A9" s="43">
        <v>700.0</v>
      </c>
      <c r="B9" s="43" t="s">
        <v>1962</v>
      </c>
      <c r="C9" s="43">
        <v>7.0</v>
      </c>
      <c r="D9" s="43">
        <f t="shared" ref="D9:D12" si="2">D8+5</f>
        <v>35</v>
      </c>
      <c r="E9" s="57"/>
      <c r="F9" s="57"/>
      <c r="G9" s="57"/>
      <c r="H9" s="57"/>
      <c r="I9" s="57"/>
      <c r="J9" s="57"/>
      <c r="K9" s="14"/>
      <c r="L9" s="14"/>
      <c r="M9" s="14"/>
      <c r="N9" s="14"/>
      <c r="O9" s="14"/>
      <c r="P9" s="14"/>
      <c r="Q9" s="14"/>
      <c r="R9" s="14"/>
      <c r="S9" s="14"/>
    </row>
    <row r="10">
      <c r="A10" s="43">
        <v>700.0</v>
      </c>
      <c r="B10" s="43" t="s">
        <v>1963</v>
      </c>
      <c r="C10" s="43">
        <v>8.0</v>
      </c>
      <c r="D10" s="43">
        <f t="shared" si="2"/>
        <v>40</v>
      </c>
      <c r="E10" s="57"/>
      <c r="F10" s="57"/>
      <c r="G10" s="57"/>
      <c r="H10" s="57"/>
      <c r="I10" s="57"/>
      <c r="J10" s="57"/>
      <c r="K10" s="14"/>
      <c r="L10" s="14"/>
      <c r="M10" s="14"/>
      <c r="N10" s="14"/>
      <c r="O10" s="14"/>
      <c r="P10" s="14"/>
      <c r="Q10" s="14"/>
      <c r="R10" s="14"/>
      <c r="S10" s="14"/>
    </row>
    <row r="11">
      <c r="A11" s="43">
        <v>700.0</v>
      </c>
      <c r="B11" s="43" t="s">
        <v>1964</v>
      </c>
      <c r="C11" s="43">
        <v>9.0</v>
      </c>
      <c r="D11" s="43">
        <f t="shared" si="2"/>
        <v>45</v>
      </c>
      <c r="E11" s="57"/>
      <c r="F11" s="57"/>
      <c r="G11" s="57"/>
      <c r="H11" s="57"/>
      <c r="I11" s="57"/>
      <c r="J11" s="57"/>
      <c r="K11" s="14"/>
      <c r="L11" s="14"/>
      <c r="M11" s="14"/>
      <c r="N11" s="14"/>
      <c r="O11" s="14"/>
      <c r="P11" s="14"/>
      <c r="Q11" s="14"/>
      <c r="R11" s="14"/>
      <c r="S11" s="14"/>
    </row>
    <row r="12">
      <c r="A12" s="43">
        <v>700.0</v>
      </c>
      <c r="B12" s="43" t="s">
        <v>1965</v>
      </c>
      <c r="C12" s="43">
        <v>10.0</v>
      </c>
      <c r="D12" s="43">
        <f t="shared" si="2"/>
        <v>50</v>
      </c>
      <c r="E12" s="57"/>
      <c r="F12" s="57"/>
      <c r="G12" s="57"/>
      <c r="H12" s="57"/>
      <c r="I12" s="57"/>
      <c r="J12" s="57"/>
      <c r="K12" s="14"/>
      <c r="L12" s="14"/>
      <c r="M12" s="14"/>
      <c r="N12" s="14"/>
      <c r="O12" s="14"/>
      <c r="P12" s="14"/>
      <c r="Q12" s="14"/>
      <c r="R12" s="14"/>
      <c r="S12" s="14"/>
    </row>
    <row r="13">
      <c r="A13" s="43">
        <v>701.0</v>
      </c>
      <c r="B13" s="43" t="s">
        <v>1966</v>
      </c>
      <c r="C13" s="43">
        <v>1.0</v>
      </c>
      <c r="D13" s="43">
        <v>10.0</v>
      </c>
      <c r="E13" s="57"/>
      <c r="F13" s="57"/>
      <c r="G13" s="57"/>
      <c r="H13" s="57"/>
      <c r="I13" s="57"/>
      <c r="J13" s="57"/>
      <c r="K13" s="14"/>
      <c r="L13" s="14"/>
      <c r="M13" s="14"/>
      <c r="N13" s="14"/>
      <c r="O13" s="14"/>
      <c r="P13" s="14"/>
      <c r="Q13" s="14"/>
      <c r="R13" s="14"/>
      <c r="S13" s="14"/>
    </row>
    <row r="14">
      <c r="A14" s="43">
        <v>701.0</v>
      </c>
      <c r="B14" s="43" t="s">
        <v>1967</v>
      </c>
      <c r="C14" s="43">
        <v>2.0</v>
      </c>
      <c r="D14" s="43">
        <f t="shared" ref="D14:D18" si="3">D13+4</f>
        <v>14</v>
      </c>
      <c r="E14" s="57"/>
      <c r="F14" s="57"/>
      <c r="G14" s="57"/>
      <c r="H14" s="57"/>
      <c r="I14" s="57"/>
      <c r="J14" s="57"/>
      <c r="K14" s="14"/>
      <c r="L14" s="14"/>
      <c r="M14" s="14"/>
      <c r="N14" s="14"/>
      <c r="O14" s="14"/>
      <c r="P14" s="14"/>
      <c r="Q14" s="14"/>
      <c r="R14" s="14"/>
      <c r="S14" s="14"/>
    </row>
    <row r="15">
      <c r="A15" s="43">
        <v>701.0</v>
      </c>
      <c r="B15" s="43" t="s">
        <v>1968</v>
      </c>
      <c r="C15" s="43">
        <v>3.0</v>
      </c>
      <c r="D15" s="43">
        <f t="shared" si="3"/>
        <v>18</v>
      </c>
      <c r="E15" s="57"/>
      <c r="F15" s="57"/>
      <c r="G15" s="57"/>
      <c r="H15" s="57"/>
      <c r="I15" s="57"/>
      <c r="J15" s="57"/>
      <c r="K15" s="14"/>
      <c r="L15" s="14"/>
      <c r="M15" s="14"/>
      <c r="N15" s="14"/>
      <c r="O15" s="14"/>
      <c r="P15" s="14"/>
      <c r="Q15" s="14"/>
      <c r="R15" s="14"/>
      <c r="S15" s="14"/>
    </row>
    <row r="16">
      <c r="A16" s="43">
        <v>701.0</v>
      </c>
      <c r="B16" s="43" t="s">
        <v>1969</v>
      </c>
      <c r="C16" s="43">
        <v>4.0</v>
      </c>
      <c r="D16" s="43">
        <f t="shared" si="3"/>
        <v>22</v>
      </c>
      <c r="E16" s="57"/>
      <c r="F16" s="57"/>
      <c r="G16" s="57"/>
      <c r="H16" s="57"/>
      <c r="I16" s="57"/>
      <c r="J16" s="57"/>
      <c r="K16" s="14"/>
      <c r="L16" s="14"/>
      <c r="M16" s="14"/>
      <c r="N16" s="14"/>
      <c r="O16" s="14"/>
      <c r="P16" s="14"/>
      <c r="Q16" s="14"/>
      <c r="R16" s="14"/>
      <c r="S16" s="14"/>
    </row>
    <row r="17">
      <c r="A17" s="43">
        <v>701.0</v>
      </c>
      <c r="B17" s="43" t="s">
        <v>1970</v>
      </c>
      <c r="C17" s="43">
        <v>5.0</v>
      </c>
      <c r="D17" s="43">
        <f t="shared" si="3"/>
        <v>26</v>
      </c>
      <c r="E17" s="57"/>
      <c r="F17" s="57"/>
      <c r="G17" s="57"/>
      <c r="H17" s="57"/>
      <c r="I17" s="57"/>
      <c r="J17" s="57"/>
      <c r="K17" s="14"/>
      <c r="L17" s="14"/>
      <c r="M17" s="14"/>
      <c r="N17" s="14"/>
      <c r="O17" s="14"/>
      <c r="P17" s="14"/>
      <c r="Q17" s="14"/>
      <c r="R17" s="14"/>
      <c r="S17" s="14"/>
    </row>
    <row r="18">
      <c r="A18" s="43">
        <v>701.0</v>
      </c>
      <c r="B18" s="43" t="s">
        <v>1971</v>
      </c>
      <c r="C18" s="43">
        <v>6.0</v>
      </c>
      <c r="D18" s="43">
        <f t="shared" si="3"/>
        <v>30</v>
      </c>
      <c r="E18" s="57"/>
      <c r="F18" s="57"/>
      <c r="G18" s="57"/>
      <c r="H18" s="57"/>
      <c r="I18" s="57"/>
      <c r="J18" s="57"/>
      <c r="K18" s="14"/>
      <c r="L18" s="14"/>
      <c r="M18" s="14"/>
      <c r="N18" s="14"/>
      <c r="O18" s="14"/>
      <c r="P18" s="14"/>
      <c r="Q18" s="14"/>
      <c r="R18" s="14"/>
      <c r="S18" s="14"/>
    </row>
    <row r="19">
      <c r="A19" s="43">
        <v>701.0</v>
      </c>
      <c r="B19" s="43" t="s">
        <v>1972</v>
      </c>
      <c r="C19" s="43">
        <v>7.0</v>
      </c>
      <c r="D19" s="43">
        <f t="shared" ref="D19:D22" si="4">D18+5</f>
        <v>35</v>
      </c>
      <c r="E19" s="57"/>
      <c r="F19" s="57"/>
      <c r="G19" s="57"/>
      <c r="H19" s="57"/>
      <c r="I19" s="57"/>
      <c r="J19" s="57"/>
      <c r="K19" s="14"/>
      <c r="L19" s="14"/>
      <c r="M19" s="14"/>
      <c r="N19" s="14"/>
      <c r="O19" s="14"/>
      <c r="P19" s="14"/>
      <c r="Q19" s="14"/>
      <c r="R19" s="14"/>
      <c r="S19" s="14"/>
    </row>
    <row r="20">
      <c r="A20" s="43">
        <v>701.0</v>
      </c>
      <c r="B20" s="43" t="s">
        <v>1973</v>
      </c>
      <c r="C20" s="43">
        <v>8.0</v>
      </c>
      <c r="D20" s="43">
        <f t="shared" si="4"/>
        <v>40</v>
      </c>
      <c r="E20" s="57"/>
      <c r="F20" s="57"/>
      <c r="G20" s="57"/>
      <c r="H20" s="57"/>
      <c r="I20" s="57"/>
      <c r="J20" s="57"/>
      <c r="K20" s="14"/>
      <c r="L20" s="14"/>
      <c r="M20" s="14"/>
      <c r="N20" s="14"/>
      <c r="O20" s="14"/>
      <c r="P20" s="14"/>
      <c r="Q20" s="14"/>
      <c r="R20" s="14"/>
      <c r="S20" s="14"/>
    </row>
    <row r="21">
      <c r="A21" s="43">
        <v>701.0</v>
      </c>
      <c r="B21" s="43" t="s">
        <v>1974</v>
      </c>
      <c r="C21" s="43">
        <v>9.0</v>
      </c>
      <c r="D21" s="43">
        <f t="shared" si="4"/>
        <v>45</v>
      </c>
      <c r="E21" s="57"/>
      <c r="F21" s="57"/>
      <c r="G21" s="57"/>
      <c r="H21" s="57"/>
      <c r="I21" s="57"/>
      <c r="J21" s="57"/>
      <c r="K21" s="14"/>
      <c r="L21" s="14"/>
      <c r="M21" s="14"/>
      <c r="N21" s="14"/>
      <c r="O21" s="14"/>
      <c r="P21" s="14"/>
      <c r="Q21" s="14"/>
      <c r="R21" s="14"/>
      <c r="S21" s="14"/>
    </row>
    <row r="22">
      <c r="A22" s="43">
        <v>701.0</v>
      </c>
      <c r="B22" s="43" t="s">
        <v>1975</v>
      </c>
      <c r="C22" s="43">
        <v>10.0</v>
      </c>
      <c r="D22" s="43">
        <f t="shared" si="4"/>
        <v>50</v>
      </c>
      <c r="E22" s="57"/>
      <c r="F22" s="57"/>
      <c r="G22" s="57"/>
      <c r="H22" s="57"/>
      <c r="I22" s="57"/>
      <c r="J22" s="57"/>
      <c r="K22" s="14"/>
      <c r="L22" s="14"/>
      <c r="M22" s="14"/>
      <c r="N22" s="14"/>
      <c r="O22" s="14"/>
      <c r="P22" s="14"/>
      <c r="Q22" s="14"/>
      <c r="R22" s="14"/>
      <c r="S22" s="14"/>
    </row>
    <row r="23">
      <c r="A23" s="43">
        <v>702.0</v>
      </c>
      <c r="B23" s="43" t="s">
        <v>1976</v>
      </c>
      <c r="C23" s="43">
        <v>1.0</v>
      </c>
      <c r="D23" s="43">
        <v>10.0</v>
      </c>
      <c r="E23" s="57"/>
      <c r="F23" s="57"/>
      <c r="G23" s="57"/>
      <c r="H23" s="57"/>
      <c r="I23" s="57"/>
      <c r="J23" s="57"/>
      <c r="K23" s="14"/>
      <c r="L23" s="14"/>
      <c r="M23" s="14"/>
      <c r="N23" s="14"/>
      <c r="O23" s="14"/>
      <c r="P23" s="14"/>
      <c r="Q23" s="14"/>
      <c r="R23" s="14"/>
      <c r="S23" s="14"/>
    </row>
    <row r="24">
      <c r="A24" s="43">
        <v>702.0</v>
      </c>
      <c r="B24" s="43" t="s">
        <v>1976</v>
      </c>
      <c r="C24" s="43">
        <v>2.0</v>
      </c>
      <c r="D24" s="43">
        <f t="shared" ref="D24:D28" si="5">D23+4</f>
        <v>14</v>
      </c>
      <c r="E24" s="57"/>
      <c r="F24" s="57"/>
      <c r="G24" s="57"/>
      <c r="H24" s="57"/>
      <c r="I24" s="57"/>
      <c r="J24" s="57"/>
      <c r="K24" s="14"/>
      <c r="L24" s="14"/>
      <c r="M24" s="14"/>
      <c r="N24" s="14"/>
      <c r="O24" s="14"/>
      <c r="P24" s="14"/>
      <c r="Q24" s="14"/>
      <c r="R24" s="14"/>
      <c r="S24" s="14"/>
    </row>
    <row r="25">
      <c r="A25" s="43">
        <v>702.0</v>
      </c>
      <c r="B25" s="43" t="s">
        <v>1976</v>
      </c>
      <c r="C25" s="43">
        <v>3.0</v>
      </c>
      <c r="D25" s="43">
        <f t="shared" si="5"/>
        <v>18</v>
      </c>
      <c r="E25" s="57"/>
      <c r="F25" s="57"/>
      <c r="G25" s="57"/>
      <c r="H25" s="57"/>
      <c r="I25" s="57"/>
      <c r="J25" s="57"/>
      <c r="K25" s="14"/>
      <c r="L25" s="14"/>
      <c r="M25" s="14"/>
      <c r="N25" s="14"/>
      <c r="O25" s="14"/>
      <c r="P25" s="14"/>
      <c r="Q25" s="14"/>
      <c r="R25" s="14"/>
      <c r="S25" s="14"/>
    </row>
    <row r="26">
      <c r="A26" s="43">
        <v>702.0</v>
      </c>
      <c r="B26" s="43" t="s">
        <v>1976</v>
      </c>
      <c r="C26" s="43">
        <v>4.0</v>
      </c>
      <c r="D26" s="43">
        <f t="shared" si="5"/>
        <v>22</v>
      </c>
      <c r="E26" s="57"/>
      <c r="F26" s="57"/>
      <c r="G26" s="57"/>
      <c r="H26" s="57"/>
      <c r="I26" s="57"/>
      <c r="J26" s="57"/>
      <c r="K26" s="14"/>
      <c r="L26" s="14"/>
      <c r="M26" s="14"/>
      <c r="N26" s="14"/>
      <c r="O26" s="14"/>
      <c r="P26" s="14"/>
      <c r="Q26" s="14"/>
      <c r="R26" s="14"/>
      <c r="S26" s="14"/>
    </row>
    <row r="27">
      <c r="A27" s="43">
        <v>702.0</v>
      </c>
      <c r="B27" s="43" t="s">
        <v>1976</v>
      </c>
      <c r="C27" s="43">
        <v>5.0</v>
      </c>
      <c r="D27" s="43">
        <f t="shared" si="5"/>
        <v>26</v>
      </c>
      <c r="E27" s="57"/>
      <c r="F27" s="57"/>
      <c r="G27" s="57"/>
      <c r="H27" s="57"/>
      <c r="I27" s="57"/>
      <c r="J27" s="57"/>
      <c r="K27" s="14"/>
      <c r="L27" s="14"/>
      <c r="M27" s="14"/>
      <c r="N27" s="14"/>
      <c r="O27" s="14"/>
      <c r="P27" s="14"/>
      <c r="Q27" s="14"/>
      <c r="R27" s="14"/>
      <c r="S27" s="14"/>
    </row>
    <row r="28">
      <c r="A28" s="43">
        <v>702.0</v>
      </c>
      <c r="B28" s="43" t="s">
        <v>1976</v>
      </c>
      <c r="C28" s="43">
        <v>6.0</v>
      </c>
      <c r="D28" s="43">
        <f t="shared" si="5"/>
        <v>30</v>
      </c>
      <c r="E28" s="57"/>
      <c r="F28" s="57"/>
      <c r="G28" s="57"/>
      <c r="H28" s="57"/>
      <c r="I28" s="57"/>
      <c r="J28" s="57"/>
      <c r="K28" s="14"/>
      <c r="L28" s="14"/>
      <c r="M28" s="14"/>
      <c r="N28" s="14"/>
      <c r="O28" s="14"/>
      <c r="P28" s="14"/>
      <c r="Q28" s="14"/>
      <c r="R28" s="14"/>
      <c r="S28" s="14"/>
    </row>
    <row r="29">
      <c r="A29" s="43">
        <v>702.0</v>
      </c>
      <c r="B29" s="43" t="s">
        <v>1976</v>
      </c>
      <c r="C29" s="43">
        <v>7.0</v>
      </c>
      <c r="D29" s="43">
        <f t="shared" ref="D29:D32" si="6">D28+5</f>
        <v>35</v>
      </c>
      <c r="E29" s="57"/>
      <c r="F29" s="57"/>
      <c r="G29" s="57"/>
      <c r="H29" s="57"/>
      <c r="I29" s="57"/>
      <c r="J29" s="57"/>
      <c r="K29" s="14"/>
      <c r="L29" s="14"/>
      <c r="M29" s="14"/>
      <c r="N29" s="14"/>
      <c r="O29" s="14"/>
      <c r="P29" s="14"/>
      <c r="Q29" s="14"/>
      <c r="R29" s="14"/>
      <c r="S29" s="14"/>
    </row>
    <row r="30">
      <c r="A30" s="43">
        <v>702.0</v>
      </c>
      <c r="B30" s="43" t="s">
        <v>1976</v>
      </c>
      <c r="C30" s="43">
        <v>8.0</v>
      </c>
      <c r="D30" s="43">
        <f t="shared" si="6"/>
        <v>40</v>
      </c>
      <c r="E30" s="57"/>
      <c r="F30" s="57"/>
      <c r="G30" s="57"/>
      <c r="H30" s="57"/>
      <c r="I30" s="57"/>
      <c r="J30" s="57"/>
      <c r="K30" s="14"/>
      <c r="L30" s="14"/>
      <c r="M30" s="14"/>
      <c r="N30" s="14"/>
      <c r="O30" s="14"/>
      <c r="P30" s="14"/>
      <c r="Q30" s="14"/>
      <c r="R30" s="14"/>
      <c r="S30" s="14"/>
    </row>
    <row r="31">
      <c r="A31" s="43">
        <v>702.0</v>
      </c>
      <c r="B31" s="43" t="s">
        <v>1976</v>
      </c>
      <c r="C31" s="43">
        <v>9.0</v>
      </c>
      <c r="D31" s="43">
        <f t="shared" si="6"/>
        <v>45</v>
      </c>
      <c r="E31" s="57"/>
      <c r="F31" s="57"/>
      <c r="G31" s="57"/>
      <c r="H31" s="57"/>
      <c r="I31" s="57"/>
      <c r="J31" s="57"/>
      <c r="K31" s="14"/>
      <c r="L31" s="14"/>
      <c r="M31" s="14"/>
      <c r="N31" s="14"/>
      <c r="O31" s="14"/>
      <c r="P31" s="14"/>
      <c r="Q31" s="14"/>
      <c r="R31" s="14"/>
      <c r="S31" s="14"/>
    </row>
    <row r="32">
      <c r="A32" s="43">
        <v>702.0</v>
      </c>
      <c r="B32" s="43" t="s">
        <v>1976</v>
      </c>
      <c r="C32" s="43">
        <v>10.0</v>
      </c>
      <c r="D32" s="43">
        <f t="shared" si="6"/>
        <v>50</v>
      </c>
      <c r="E32" s="57"/>
      <c r="F32" s="57"/>
      <c r="G32" s="57"/>
      <c r="H32" s="57"/>
      <c r="I32" s="57"/>
      <c r="J32" s="57"/>
      <c r="K32" s="14"/>
      <c r="L32" s="14"/>
      <c r="M32" s="14"/>
      <c r="N32" s="14"/>
      <c r="O32" s="14"/>
      <c r="P32" s="14"/>
      <c r="Q32" s="14"/>
      <c r="R32" s="14"/>
      <c r="S32" s="14"/>
    </row>
    <row r="34">
      <c r="A34" s="40" t="s">
        <v>1764</v>
      </c>
      <c r="B34" s="40" t="s">
        <v>937</v>
      </c>
      <c r="C34" s="40" t="s">
        <v>173</v>
      </c>
      <c r="D34" s="40" t="s">
        <v>68</v>
      </c>
      <c r="E34" s="40" t="s">
        <v>250</v>
      </c>
      <c r="F34" s="40" t="s">
        <v>252</v>
      </c>
      <c r="G34" s="40" t="s">
        <v>254</v>
      </c>
      <c r="H34" s="40" t="s">
        <v>256</v>
      </c>
      <c r="I34" s="40" t="s">
        <v>73</v>
      </c>
      <c r="J34" s="40" t="s">
        <v>265</v>
      </c>
      <c r="K34" s="40" t="s">
        <v>259</v>
      </c>
      <c r="L34" s="40" t="s">
        <v>263</v>
      </c>
      <c r="M34" s="40" t="s">
        <v>269</v>
      </c>
      <c r="N34" s="40" t="s">
        <v>270</v>
      </c>
      <c r="O34" s="40" t="s">
        <v>271</v>
      </c>
      <c r="P34" s="40" t="s">
        <v>272</v>
      </c>
      <c r="Q34" s="40" t="s">
        <v>273</v>
      </c>
      <c r="R34" s="40" t="s">
        <v>274</v>
      </c>
      <c r="S34" s="40" t="s">
        <v>267</v>
      </c>
    </row>
    <row r="35">
      <c r="A35" s="43">
        <v>800.0</v>
      </c>
      <c r="B35" s="43" t="s">
        <v>1977</v>
      </c>
      <c r="C35" s="43">
        <v>1.0</v>
      </c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</row>
    <row r="36">
      <c r="A36" s="43">
        <v>800.0</v>
      </c>
      <c r="B36" s="43" t="s">
        <v>1978</v>
      </c>
      <c r="C36" s="43">
        <v>2.0</v>
      </c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</row>
    <row r="37">
      <c r="A37" s="43">
        <v>800.0</v>
      </c>
      <c r="B37" s="43" t="s">
        <v>1979</v>
      </c>
      <c r="C37" s="43">
        <v>3.0</v>
      </c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</row>
    <row r="38">
      <c r="A38" s="43">
        <v>800.0</v>
      </c>
      <c r="B38" s="43" t="s">
        <v>1980</v>
      </c>
      <c r="C38" s="43">
        <v>4.0</v>
      </c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</row>
    <row r="39">
      <c r="A39" s="43">
        <v>800.0</v>
      </c>
      <c r="B39" s="43" t="s">
        <v>1981</v>
      </c>
      <c r="C39" s="43">
        <v>5.0</v>
      </c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</row>
    <row r="40">
      <c r="A40" s="43">
        <v>800.0</v>
      </c>
      <c r="B40" s="43" t="s">
        <v>1982</v>
      </c>
      <c r="C40" s="43">
        <v>6.0</v>
      </c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</row>
    <row r="41">
      <c r="A41" s="43">
        <v>800.0</v>
      </c>
      <c r="B41" s="43" t="s">
        <v>1983</v>
      </c>
      <c r="C41" s="43">
        <v>7.0</v>
      </c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</row>
    <row r="42">
      <c r="A42" s="43">
        <v>800.0</v>
      </c>
      <c r="B42" s="43" t="s">
        <v>1984</v>
      </c>
      <c r="C42" s="43">
        <v>8.0</v>
      </c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</row>
    <row r="43">
      <c r="A43" s="43">
        <v>800.0</v>
      </c>
      <c r="B43" s="43" t="s">
        <v>1985</v>
      </c>
      <c r="C43" s="43">
        <v>9.0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</row>
    <row r="44">
      <c r="A44" s="43">
        <v>800.0</v>
      </c>
      <c r="B44" s="43" t="s">
        <v>1986</v>
      </c>
      <c r="C44" s="43">
        <v>10.0</v>
      </c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</row>
    <row r="46">
      <c r="A46" s="40" t="s">
        <v>1764</v>
      </c>
      <c r="B46" s="40" t="s">
        <v>937</v>
      </c>
      <c r="C46" s="40" t="s">
        <v>173</v>
      </c>
      <c r="D46" s="40" t="s">
        <v>68</v>
      </c>
      <c r="E46" s="40" t="s">
        <v>250</v>
      </c>
      <c r="F46" s="40" t="s">
        <v>252</v>
      </c>
      <c r="G46" s="40" t="s">
        <v>254</v>
      </c>
      <c r="H46" s="40" t="s">
        <v>256</v>
      </c>
      <c r="I46" s="40" t="s">
        <v>73</v>
      </c>
      <c r="J46" s="40" t="s">
        <v>265</v>
      </c>
      <c r="K46" s="40" t="s">
        <v>259</v>
      </c>
      <c r="L46" s="40" t="s">
        <v>263</v>
      </c>
      <c r="M46" s="40" t="s">
        <v>269</v>
      </c>
      <c r="N46" s="40" t="s">
        <v>270</v>
      </c>
      <c r="O46" s="40" t="s">
        <v>271</v>
      </c>
      <c r="P46" s="40" t="s">
        <v>272</v>
      </c>
      <c r="Q46" s="40" t="s">
        <v>273</v>
      </c>
      <c r="R46" s="40" t="s">
        <v>274</v>
      </c>
      <c r="S46" s="40" t="s">
        <v>267</v>
      </c>
    </row>
    <row r="47">
      <c r="A47" s="43">
        <v>900.0</v>
      </c>
      <c r="B47" s="43" t="s">
        <v>1987</v>
      </c>
      <c r="C47" s="43">
        <v>1.0</v>
      </c>
      <c r="D47" s="4">
        <v>250.0</v>
      </c>
      <c r="E47" s="4">
        <v>25.0</v>
      </c>
      <c r="F47" s="4">
        <v>6.0</v>
      </c>
      <c r="G47" s="4">
        <v>18.0</v>
      </c>
      <c r="H47" s="4">
        <v>14.0</v>
      </c>
      <c r="I47" s="4">
        <v>25.0</v>
      </c>
      <c r="J47" s="155">
        <v>1.0</v>
      </c>
      <c r="K47" s="14"/>
      <c r="L47" s="14"/>
      <c r="M47" s="14"/>
      <c r="N47" s="14"/>
      <c r="O47" s="14"/>
      <c r="P47" s="14"/>
      <c r="Q47" s="14"/>
      <c r="R47" s="14"/>
      <c r="S47" s="14"/>
    </row>
    <row r="48">
      <c r="A48" s="43">
        <v>900.0</v>
      </c>
      <c r="B48" s="43" t="s">
        <v>1988</v>
      </c>
      <c r="C48" s="43">
        <v>2.0</v>
      </c>
      <c r="D48" s="14">
        <f t="shared" ref="D48:I48" si="7">ROUND(D$47*1.5,0)</f>
        <v>375</v>
      </c>
      <c r="E48" s="14">
        <f t="shared" si="7"/>
        <v>38</v>
      </c>
      <c r="F48" s="14">
        <f t="shared" si="7"/>
        <v>9</v>
      </c>
      <c r="G48" s="14">
        <f t="shared" si="7"/>
        <v>27</v>
      </c>
      <c r="H48" s="14">
        <f t="shared" si="7"/>
        <v>21</v>
      </c>
      <c r="I48" s="14">
        <f t="shared" si="7"/>
        <v>38</v>
      </c>
      <c r="J48" s="155"/>
      <c r="K48" s="14"/>
      <c r="L48" s="14"/>
      <c r="M48" s="14"/>
      <c r="N48" s="14"/>
      <c r="O48" s="14"/>
      <c r="P48" s="14"/>
      <c r="Q48" s="14"/>
      <c r="R48" s="14"/>
      <c r="S48" s="14"/>
    </row>
    <row r="49">
      <c r="A49" s="43">
        <v>900.0</v>
      </c>
      <c r="B49" s="43" t="s">
        <v>1989</v>
      </c>
      <c r="C49" s="43">
        <v>3.0</v>
      </c>
      <c r="D49" s="14">
        <f>ROUND(D$47*2,0)</f>
        <v>500</v>
      </c>
      <c r="E49" s="14">
        <f t="shared" ref="E49:I49" si="8">ROUND(E$47*1.5,0)</f>
        <v>38</v>
      </c>
      <c r="F49" s="14">
        <f t="shared" si="8"/>
        <v>9</v>
      </c>
      <c r="G49" s="14">
        <f t="shared" si="8"/>
        <v>27</v>
      </c>
      <c r="H49" s="14">
        <f t="shared" si="8"/>
        <v>21</v>
      </c>
      <c r="I49" s="14">
        <f t="shared" si="8"/>
        <v>38</v>
      </c>
      <c r="J49" s="155">
        <v>1.0</v>
      </c>
      <c r="K49" s="14"/>
      <c r="L49" s="14"/>
      <c r="M49" s="14"/>
      <c r="N49" s="14"/>
      <c r="O49" s="14"/>
      <c r="P49" s="14"/>
      <c r="Q49" s="14"/>
      <c r="R49" s="14"/>
      <c r="S49" s="14"/>
    </row>
    <row r="50">
      <c r="A50" s="43">
        <v>900.0</v>
      </c>
      <c r="B50" s="43" t="s">
        <v>1995</v>
      </c>
      <c r="C50" s="43">
        <v>4.0</v>
      </c>
      <c r="D50" s="14">
        <f t="shared" ref="D50:I50" si="9">ROUND(D$47*2.5,0)</f>
        <v>625</v>
      </c>
      <c r="E50" s="14">
        <f t="shared" si="9"/>
        <v>63</v>
      </c>
      <c r="F50" s="14">
        <f t="shared" si="9"/>
        <v>15</v>
      </c>
      <c r="G50" s="14">
        <f t="shared" si="9"/>
        <v>45</v>
      </c>
      <c r="H50" s="14">
        <f t="shared" si="9"/>
        <v>35</v>
      </c>
      <c r="I50" s="14">
        <f t="shared" si="9"/>
        <v>63</v>
      </c>
      <c r="J50" s="155"/>
      <c r="K50" s="14"/>
      <c r="L50" s="14"/>
      <c r="M50" s="14"/>
      <c r="N50" s="14"/>
      <c r="O50" s="14"/>
      <c r="P50" s="14"/>
      <c r="Q50" s="14"/>
      <c r="R50" s="14"/>
      <c r="S50" s="14"/>
    </row>
    <row r="51">
      <c r="A51" s="43">
        <v>900.0</v>
      </c>
      <c r="B51" s="43" t="s">
        <v>1996</v>
      </c>
      <c r="C51" s="43">
        <v>5.0</v>
      </c>
      <c r="D51" s="14">
        <f t="shared" ref="D51:I51" si="10">ROUND(D$47*3,0)</f>
        <v>750</v>
      </c>
      <c r="E51" s="14">
        <f t="shared" si="10"/>
        <v>75</v>
      </c>
      <c r="F51" s="14">
        <f t="shared" si="10"/>
        <v>18</v>
      </c>
      <c r="G51" s="14">
        <f t="shared" si="10"/>
        <v>54</v>
      </c>
      <c r="H51" s="14">
        <f t="shared" si="10"/>
        <v>42</v>
      </c>
      <c r="I51" s="14">
        <f t="shared" si="10"/>
        <v>75</v>
      </c>
      <c r="J51" s="155">
        <v>1.0</v>
      </c>
      <c r="K51" s="14"/>
      <c r="L51" s="14"/>
      <c r="M51" s="14"/>
      <c r="N51" s="14"/>
      <c r="O51" s="14"/>
      <c r="P51" s="14"/>
      <c r="Q51" s="14"/>
      <c r="R51" s="14"/>
      <c r="S51" s="14"/>
    </row>
    <row r="52">
      <c r="A52" s="43">
        <v>900.0</v>
      </c>
      <c r="B52" s="43" t="s">
        <v>1997</v>
      </c>
      <c r="C52" s="43">
        <v>6.0</v>
      </c>
      <c r="D52" s="14">
        <f t="shared" ref="D52:I52" si="11">ROUND(D$47*3.5,0)</f>
        <v>875</v>
      </c>
      <c r="E52" s="14">
        <f t="shared" si="11"/>
        <v>88</v>
      </c>
      <c r="F52" s="14">
        <f t="shared" si="11"/>
        <v>21</v>
      </c>
      <c r="G52" s="14">
        <f t="shared" si="11"/>
        <v>63</v>
      </c>
      <c r="H52" s="14">
        <f t="shared" si="11"/>
        <v>49</v>
      </c>
      <c r="I52" s="14">
        <f t="shared" si="11"/>
        <v>88</v>
      </c>
      <c r="J52" s="155"/>
      <c r="K52" s="4">
        <v>0.05</v>
      </c>
      <c r="L52" s="14"/>
      <c r="M52" s="4">
        <v>0.05</v>
      </c>
      <c r="N52" s="14"/>
      <c r="O52" s="14"/>
      <c r="P52" s="14"/>
      <c r="Q52" s="14"/>
      <c r="R52" s="14"/>
      <c r="S52" s="14"/>
    </row>
    <row r="53">
      <c r="A53" s="43">
        <v>900.0</v>
      </c>
      <c r="B53" s="43" t="s">
        <v>1998</v>
      </c>
      <c r="C53" s="43">
        <v>7.0</v>
      </c>
      <c r="D53" s="14">
        <f t="shared" ref="D53:I53" si="12">ROUND(D$47*4,0)</f>
        <v>1000</v>
      </c>
      <c r="E53" s="14">
        <f t="shared" si="12"/>
        <v>100</v>
      </c>
      <c r="F53" s="14">
        <f t="shared" si="12"/>
        <v>24</v>
      </c>
      <c r="G53" s="14">
        <f t="shared" si="12"/>
        <v>72</v>
      </c>
      <c r="H53" s="14">
        <f t="shared" si="12"/>
        <v>56</v>
      </c>
      <c r="I53" s="14">
        <f t="shared" si="12"/>
        <v>100</v>
      </c>
      <c r="J53" s="155">
        <v>1.0</v>
      </c>
      <c r="K53" s="4">
        <v>0.05</v>
      </c>
      <c r="L53" s="14"/>
      <c r="M53" s="4">
        <v>0.05</v>
      </c>
      <c r="N53" s="14"/>
      <c r="O53" s="14"/>
      <c r="P53" s="14"/>
      <c r="Q53" s="14"/>
      <c r="R53" s="14"/>
      <c r="S53" s="14"/>
    </row>
    <row r="54">
      <c r="A54" s="43">
        <v>900.0</v>
      </c>
      <c r="B54" s="43" t="s">
        <v>1999</v>
      </c>
      <c r="C54" s="43">
        <v>8.0</v>
      </c>
      <c r="D54" s="14">
        <f t="shared" ref="D54:I54" si="13">ROUND(D$47*4.5,0)</f>
        <v>1125</v>
      </c>
      <c r="E54" s="14">
        <f t="shared" si="13"/>
        <v>113</v>
      </c>
      <c r="F54" s="14">
        <f t="shared" si="13"/>
        <v>27</v>
      </c>
      <c r="G54" s="14">
        <f t="shared" si="13"/>
        <v>81</v>
      </c>
      <c r="H54" s="14">
        <f t="shared" si="13"/>
        <v>63</v>
      </c>
      <c r="I54" s="14">
        <f t="shared" si="13"/>
        <v>113</v>
      </c>
      <c r="J54" s="155"/>
      <c r="K54" s="4">
        <v>0.05</v>
      </c>
      <c r="L54" s="14"/>
      <c r="M54" s="4">
        <v>0.05</v>
      </c>
      <c r="N54" s="14"/>
      <c r="O54" s="14"/>
      <c r="P54" s="14"/>
      <c r="Q54" s="14"/>
      <c r="R54" s="14"/>
      <c r="S54" s="14"/>
    </row>
    <row r="55">
      <c r="A55" s="43">
        <v>900.0</v>
      </c>
      <c r="B55" s="43" t="s">
        <v>2000</v>
      </c>
      <c r="C55" s="43">
        <v>9.0</v>
      </c>
      <c r="D55" s="14">
        <f t="shared" ref="D55:I55" si="14">ROUND(D$47*5,0)</f>
        <v>1250</v>
      </c>
      <c r="E55" s="14">
        <f t="shared" si="14"/>
        <v>125</v>
      </c>
      <c r="F55" s="14">
        <f t="shared" si="14"/>
        <v>30</v>
      </c>
      <c r="G55" s="14">
        <f t="shared" si="14"/>
        <v>90</v>
      </c>
      <c r="H55" s="14">
        <f t="shared" si="14"/>
        <v>70</v>
      </c>
      <c r="I55" s="14">
        <f t="shared" si="14"/>
        <v>125</v>
      </c>
      <c r="J55" s="155">
        <v>1.0</v>
      </c>
      <c r="K55" s="4">
        <v>0.05</v>
      </c>
      <c r="L55" s="14"/>
      <c r="M55" s="4">
        <v>0.05</v>
      </c>
      <c r="N55" s="14"/>
      <c r="O55" s="14"/>
      <c r="P55" s="14"/>
      <c r="Q55" s="14"/>
      <c r="R55" s="14"/>
      <c r="S55" s="14"/>
    </row>
    <row r="56">
      <c r="A56" s="43">
        <v>900.0</v>
      </c>
      <c r="B56" s="43" t="s">
        <v>2001</v>
      </c>
      <c r="C56" s="43">
        <v>10.0</v>
      </c>
      <c r="D56" s="14">
        <f t="shared" ref="D56:I56" si="15">ROUND(D$47*6,0)</f>
        <v>1500</v>
      </c>
      <c r="E56" s="14">
        <f t="shared" si="15"/>
        <v>150</v>
      </c>
      <c r="F56" s="14">
        <f t="shared" si="15"/>
        <v>36</v>
      </c>
      <c r="G56" s="14">
        <f t="shared" si="15"/>
        <v>108</v>
      </c>
      <c r="H56" s="14">
        <f t="shared" si="15"/>
        <v>84</v>
      </c>
      <c r="I56" s="14">
        <f t="shared" si="15"/>
        <v>150</v>
      </c>
      <c r="J56" s="155">
        <v>2.0</v>
      </c>
      <c r="K56" s="4">
        <v>0.05</v>
      </c>
      <c r="L56" s="14"/>
      <c r="M56" s="4">
        <v>0.05</v>
      </c>
      <c r="N56" s="14"/>
      <c r="O56" s="14"/>
      <c r="P56" s="14"/>
      <c r="Q56" s="14"/>
      <c r="R56" s="14"/>
      <c r="S56" s="14"/>
    </row>
    <row r="57">
      <c r="A57" s="43">
        <v>901.0</v>
      </c>
      <c r="B57" s="43" t="s">
        <v>2002</v>
      </c>
      <c r="C57" s="43">
        <v>1.0</v>
      </c>
      <c r="D57" s="4">
        <v>200.0</v>
      </c>
      <c r="E57" s="4">
        <v>4.0</v>
      </c>
      <c r="F57" s="4">
        <v>32.0</v>
      </c>
      <c r="G57" s="4">
        <v>10.0</v>
      </c>
      <c r="H57" s="4">
        <v>17.0</v>
      </c>
      <c r="I57" s="4">
        <v>44.0</v>
      </c>
      <c r="J57" s="155">
        <v>1.0</v>
      </c>
      <c r="K57" s="14"/>
      <c r="L57" s="14"/>
      <c r="M57" s="14"/>
      <c r="N57" s="14"/>
      <c r="O57" s="14"/>
      <c r="P57" s="14"/>
      <c r="Q57" s="14"/>
      <c r="R57" s="14"/>
      <c r="S57" s="14"/>
    </row>
    <row r="58">
      <c r="A58" s="43">
        <v>901.0</v>
      </c>
      <c r="B58" s="43" t="s">
        <v>2003</v>
      </c>
      <c r="C58" s="43">
        <v>2.0</v>
      </c>
      <c r="D58" s="14">
        <f t="shared" ref="D58:I58" si="16">ROUND(D$57*1.5,0)</f>
        <v>300</v>
      </c>
      <c r="E58" s="14">
        <f t="shared" si="16"/>
        <v>6</v>
      </c>
      <c r="F58" s="14">
        <f t="shared" si="16"/>
        <v>48</v>
      </c>
      <c r="G58" s="14">
        <f t="shared" si="16"/>
        <v>15</v>
      </c>
      <c r="H58" s="14">
        <f t="shared" si="16"/>
        <v>26</v>
      </c>
      <c r="I58" s="14">
        <f t="shared" si="16"/>
        <v>66</v>
      </c>
      <c r="J58" s="155"/>
      <c r="K58" s="14"/>
      <c r="L58" s="14"/>
      <c r="M58" s="14"/>
      <c r="N58" s="14"/>
      <c r="O58" s="14"/>
      <c r="P58" s="14"/>
      <c r="Q58" s="14"/>
      <c r="R58" s="14"/>
      <c r="S58" s="14"/>
    </row>
    <row r="59">
      <c r="A59" s="43">
        <v>901.0</v>
      </c>
      <c r="B59" s="43" t="s">
        <v>2004</v>
      </c>
      <c r="C59" s="43">
        <v>3.0</v>
      </c>
      <c r="D59" s="14">
        <f t="shared" ref="D59:I59" si="17">ROUND(D$57*2,0)</f>
        <v>400</v>
      </c>
      <c r="E59" s="14">
        <f t="shared" si="17"/>
        <v>8</v>
      </c>
      <c r="F59" s="14">
        <f t="shared" si="17"/>
        <v>64</v>
      </c>
      <c r="G59" s="14">
        <f t="shared" si="17"/>
        <v>20</v>
      </c>
      <c r="H59" s="14">
        <f t="shared" si="17"/>
        <v>34</v>
      </c>
      <c r="I59" s="14">
        <f t="shared" si="17"/>
        <v>88</v>
      </c>
      <c r="J59" s="155">
        <v>1.0</v>
      </c>
      <c r="K59" s="14"/>
      <c r="L59" s="14"/>
      <c r="M59" s="14"/>
      <c r="N59" s="14"/>
      <c r="O59" s="14"/>
      <c r="P59" s="14"/>
      <c r="Q59" s="14"/>
      <c r="R59" s="14"/>
      <c r="S59" s="14"/>
    </row>
    <row r="60">
      <c r="A60" s="43">
        <v>901.0</v>
      </c>
      <c r="B60" s="43" t="s">
        <v>2005</v>
      </c>
      <c r="C60" s="43">
        <v>4.0</v>
      </c>
      <c r="D60" s="14">
        <f t="shared" ref="D60:I60" si="18">ROUND(D$57*2.5,0)</f>
        <v>500</v>
      </c>
      <c r="E60" s="14">
        <f t="shared" si="18"/>
        <v>10</v>
      </c>
      <c r="F60" s="14">
        <f t="shared" si="18"/>
        <v>80</v>
      </c>
      <c r="G60" s="14">
        <f t="shared" si="18"/>
        <v>25</v>
      </c>
      <c r="H60" s="14">
        <f t="shared" si="18"/>
        <v>43</v>
      </c>
      <c r="I60" s="14">
        <f t="shared" si="18"/>
        <v>110</v>
      </c>
      <c r="J60" s="155"/>
      <c r="K60" s="14"/>
      <c r="L60" s="14"/>
      <c r="M60" s="14"/>
      <c r="N60" s="14"/>
      <c r="O60" s="14"/>
      <c r="P60" s="14"/>
      <c r="Q60" s="14"/>
      <c r="R60" s="14"/>
      <c r="S60" s="14"/>
    </row>
    <row r="61">
      <c r="A61" s="43">
        <v>901.0</v>
      </c>
      <c r="B61" s="43" t="s">
        <v>2006</v>
      </c>
      <c r="C61" s="43">
        <v>5.0</v>
      </c>
      <c r="D61" s="14">
        <f t="shared" ref="D61:I61" si="19">ROUND(D$57*3,0)</f>
        <v>600</v>
      </c>
      <c r="E61" s="14">
        <f t="shared" si="19"/>
        <v>12</v>
      </c>
      <c r="F61" s="14">
        <f t="shared" si="19"/>
        <v>96</v>
      </c>
      <c r="G61" s="14">
        <f t="shared" si="19"/>
        <v>30</v>
      </c>
      <c r="H61" s="14">
        <f t="shared" si="19"/>
        <v>51</v>
      </c>
      <c r="I61" s="14">
        <f t="shared" si="19"/>
        <v>132</v>
      </c>
      <c r="J61" s="155">
        <v>1.0</v>
      </c>
      <c r="K61" s="14"/>
      <c r="L61" s="14"/>
      <c r="M61" s="14"/>
      <c r="N61" s="14"/>
      <c r="O61" s="14"/>
      <c r="P61" s="14"/>
      <c r="Q61" s="14"/>
      <c r="R61" s="14"/>
      <c r="S61" s="14"/>
    </row>
    <row r="62">
      <c r="A62" s="43">
        <v>901.0</v>
      </c>
      <c r="B62" s="43" t="s">
        <v>2007</v>
      </c>
      <c r="C62" s="43">
        <v>6.0</v>
      </c>
      <c r="D62" s="14">
        <f t="shared" ref="D62:I62" si="20">ROUND(D$57*3.5,0)</f>
        <v>700</v>
      </c>
      <c r="E62" s="14">
        <f t="shared" si="20"/>
        <v>14</v>
      </c>
      <c r="F62" s="14">
        <f t="shared" si="20"/>
        <v>112</v>
      </c>
      <c r="G62" s="14">
        <f t="shared" si="20"/>
        <v>35</v>
      </c>
      <c r="H62" s="14">
        <f t="shared" si="20"/>
        <v>60</v>
      </c>
      <c r="I62" s="14">
        <f t="shared" si="20"/>
        <v>154</v>
      </c>
      <c r="J62" s="155"/>
      <c r="K62" s="4">
        <v>0.05</v>
      </c>
      <c r="L62" s="14"/>
      <c r="M62" s="4">
        <v>0.05</v>
      </c>
      <c r="N62" s="14"/>
      <c r="O62" s="14"/>
      <c r="P62" s="14"/>
      <c r="Q62" s="14"/>
      <c r="R62" s="14"/>
      <c r="S62" s="14"/>
    </row>
    <row r="63">
      <c r="A63" s="43">
        <v>901.0</v>
      </c>
      <c r="B63" s="43" t="s">
        <v>2008</v>
      </c>
      <c r="C63" s="43">
        <v>7.0</v>
      </c>
      <c r="D63" s="14">
        <f t="shared" ref="D63:I63" si="21">ROUND(D$57*4,0)</f>
        <v>800</v>
      </c>
      <c r="E63" s="14">
        <f t="shared" si="21"/>
        <v>16</v>
      </c>
      <c r="F63" s="14">
        <f t="shared" si="21"/>
        <v>128</v>
      </c>
      <c r="G63" s="14">
        <f t="shared" si="21"/>
        <v>40</v>
      </c>
      <c r="H63" s="14">
        <f t="shared" si="21"/>
        <v>68</v>
      </c>
      <c r="I63" s="14">
        <f t="shared" si="21"/>
        <v>176</v>
      </c>
      <c r="J63" s="155">
        <v>1.0</v>
      </c>
      <c r="K63" s="4">
        <v>0.05</v>
      </c>
      <c r="L63" s="14"/>
      <c r="M63" s="4">
        <v>0.05</v>
      </c>
      <c r="N63" s="14"/>
      <c r="O63" s="14"/>
      <c r="P63" s="14"/>
      <c r="Q63" s="14"/>
      <c r="R63" s="14"/>
      <c r="S63" s="14"/>
    </row>
    <row r="64">
      <c r="A64" s="43">
        <v>901.0</v>
      </c>
      <c r="B64" s="43" t="s">
        <v>2009</v>
      </c>
      <c r="C64" s="43">
        <v>8.0</v>
      </c>
      <c r="D64" s="14">
        <f t="shared" ref="D64:I64" si="22">ROUND(D$57*4.5,0)</f>
        <v>900</v>
      </c>
      <c r="E64" s="14">
        <f t="shared" si="22"/>
        <v>18</v>
      </c>
      <c r="F64" s="14">
        <f t="shared" si="22"/>
        <v>144</v>
      </c>
      <c r="G64" s="14">
        <f t="shared" si="22"/>
        <v>45</v>
      </c>
      <c r="H64" s="14">
        <f t="shared" si="22"/>
        <v>77</v>
      </c>
      <c r="I64" s="14">
        <f t="shared" si="22"/>
        <v>198</v>
      </c>
      <c r="J64" s="155"/>
      <c r="K64" s="4">
        <v>0.05</v>
      </c>
      <c r="L64" s="14"/>
      <c r="M64" s="4">
        <v>0.05</v>
      </c>
      <c r="N64" s="14"/>
      <c r="O64" s="14"/>
      <c r="P64" s="14"/>
      <c r="Q64" s="14"/>
      <c r="R64" s="14"/>
      <c r="S64" s="14"/>
    </row>
    <row r="65">
      <c r="A65" s="43">
        <v>901.0</v>
      </c>
      <c r="B65" s="43" t="s">
        <v>2010</v>
      </c>
      <c r="C65" s="43">
        <v>9.0</v>
      </c>
      <c r="D65" s="14">
        <f t="shared" ref="D65:I65" si="23">ROUND(D$57*5,0)</f>
        <v>1000</v>
      </c>
      <c r="E65" s="14">
        <f t="shared" si="23"/>
        <v>20</v>
      </c>
      <c r="F65" s="14">
        <f t="shared" si="23"/>
        <v>160</v>
      </c>
      <c r="G65" s="14">
        <f t="shared" si="23"/>
        <v>50</v>
      </c>
      <c r="H65" s="14">
        <f t="shared" si="23"/>
        <v>85</v>
      </c>
      <c r="I65" s="14">
        <f t="shared" si="23"/>
        <v>220</v>
      </c>
      <c r="J65" s="155">
        <v>1.0</v>
      </c>
      <c r="K65" s="4">
        <v>0.05</v>
      </c>
      <c r="L65" s="14"/>
      <c r="M65" s="4">
        <v>0.05</v>
      </c>
      <c r="N65" s="14"/>
      <c r="O65" s="14"/>
      <c r="P65" s="14"/>
      <c r="Q65" s="14"/>
      <c r="R65" s="14"/>
      <c r="S65" s="14"/>
    </row>
    <row r="66">
      <c r="A66" s="43">
        <v>901.0</v>
      </c>
      <c r="B66" s="43" t="s">
        <v>2011</v>
      </c>
      <c r="C66" s="43">
        <v>10.0</v>
      </c>
      <c r="D66" s="14">
        <f t="shared" ref="D66:I66" si="24">ROUND(D$57*6,0)</f>
        <v>1200</v>
      </c>
      <c r="E66" s="14">
        <f t="shared" si="24"/>
        <v>24</v>
      </c>
      <c r="F66" s="14">
        <f t="shared" si="24"/>
        <v>192</v>
      </c>
      <c r="G66" s="14">
        <f t="shared" si="24"/>
        <v>60</v>
      </c>
      <c r="H66" s="14">
        <f t="shared" si="24"/>
        <v>102</v>
      </c>
      <c r="I66" s="14">
        <f t="shared" si="24"/>
        <v>264</v>
      </c>
      <c r="J66" s="155">
        <v>2.0</v>
      </c>
      <c r="K66" s="4">
        <v>0.05</v>
      </c>
      <c r="L66" s="14"/>
      <c r="M66" s="4">
        <v>0.05</v>
      </c>
      <c r="N66" s="14"/>
      <c r="O66" s="14"/>
      <c r="P66" s="14"/>
      <c r="Q66" s="14"/>
      <c r="R66" s="14"/>
      <c r="S66" s="14"/>
    </row>
    <row r="67">
      <c r="A67" s="43">
        <f t="shared" ref="A67:A106" si="26">A47+2</f>
        <v>902</v>
      </c>
      <c r="B67" s="43" t="s">
        <v>2012</v>
      </c>
      <c r="C67" s="43">
        <v>1.0</v>
      </c>
      <c r="D67" s="14">
        <f t="shared" ref="D67:I67" si="25">ROUND(D47*0.65,0)</f>
        <v>163</v>
      </c>
      <c r="E67" s="14">
        <f t="shared" si="25"/>
        <v>16</v>
      </c>
      <c r="F67" s="14">
        <f t="shared" si="25"/>
        <v>4</v>
      </c>
      <c r="G67" s="14">
        <f t="shared" si="25"/>
        <v>12</v>
      </c>
      <c r="H67" s="14">
        <f t="shared" si="25"/>
        <v>9</v>
      </c>
      <c r="I67" s="14">
        <f t="shared" si="25"/>
        <v>16</v>
      </c>
      <c r="J67" s="155">
        <v>1.0</v>
      </c>
      <c r="K67" s="14"/>
      <c r="L67" s="14"/>
      <c r="M67" s="14"/>
      <c r="N67" s="14"/>
      <c r="O67" s="14"/>
      <c r="P67" s="14"/>
      <c r="Q67" s="14"/>
      <c r="R67" s="14"/>
      <c r="S67" s="14"/>
    </row>
    <row r="68">
      <c r="A68" s="43">
        <f t="shared" si="26"/>
        <v>902</v>
      </c>
      <c r="B68" s="43" t="s">
        <v>2013</v>
      </c>
      <c r="C68" s="43">
        <v>2.0</v>
      </c>
      <c r="D68" s="14">
        <f t="shared" ref="D68:I68" si="27">ROUND(D48*0.65,0)</f>
        <v>244</v>
      </c>
      <c r="E68" s="14">
        <f t="shared" si="27"/>
        <v>25</v>
      </c>
      <c r="F68" s="14">
        <f t="shared" si="27"/>
        <v>6</v>
      </c>
      <c r="G68" s="14">
        <f t="shared" si="27"/>
        <v>18</v>
      </c>
      <c r="H68" s="14">
        <f t="shared" si="27"/>
        <v>14</v>
      </c>
      <c r="I68" s="14">
        <f t="shared" si="27"/>
        <v>25</v>
      </c>
      <c r="J68" s="155"/>
      <c r="K68" s="14"/>
      <c r="L68" s="14"/>
      <c r="M68" s="14"/>
      <c r="N68" s="14"/>
      <c r="O68" s="14"/>
      <c r="P68" s="14"/>
      <c r="Q68" s="14"/>
      <c r="R68" s="14"/>
      <c r="S68" s="14"/>
    </row>
    <row r="69">
      <c r="A69" s="43">
        <f t="shared" si="26"/>
        <v>902</v>
      </c>
      <c r="B69" s="43" t="s">
        <v>2015</v>
      </c>
      <c r="C69" s="43">
        <v>3.0</v>
      </c>
      <c r="D69" s="14">
        <f t="shared" ref="D69:I69" si="28">ROUND(D49*0.65,0)</f>
        <v>325</v>
      </c>
      <c r="E69" s="14">
        <f t="shared" si="28"/>
        <v>25</v>
      </c>
      <c r="F69" s="14">
        <f t="shared" si="28"/>
        <v>6</v>
      </c>
      <c r="G69" s="14">
        <f t="shared" si="28"/>
        <v>18</v>
      </c>
      <c r="H69" s="14">
        <f t="shared" si="28"/>
        <v>14</v>
      </c>
      <c r="I69" s="14">
        <f t="shared" si="28"/>
        <v>25</v>
      </c>
      <c r="J69" s="155">
        <v>1.0</v>
      </c>
      <c r="K69" s="14"/>
      <c r="L69" s="14"/>
      <c r="M69" s="14"/>
      <c r="N69" s="14"/>
      <c r="O69" s="14"/>
      <c r="P69" s="14"/>
      <c r="Q69" s="14"/>
      <c r="R69" s="14"/>
      <c r="S69" s="14"/>
    </row>
    <row r="70">
      <c r="A70" s="43">
        <f t="shared" si="26"/>
        <v>902</v>
      </c>
      <c r="B70" s="43" t="s">
        <v>2018</v>
      </c>
      <c r="C70" s="43">
        <v>4.0</v>
      </c>
      <c r="D70" s="14">
        <f t="shared" ref="D70:I70" si="29">ROUND(D50*0.65,0)</f>
        <v>406</v>
      </c>
      <c r="E70" s="14">
        <f t="shared" si="29"/>
        <v>41</v>
      </c>
      <c r="F70" s="14">
        <f t="shared" si="29"/>
        <v>10</v>
      </c>
      <c r="G70" s="14">
        <f t="shared" si="29"/>
        <v>29</v>
      </c>
      <c r="H70" s="14">
        <f t="shared" si="29"/>
        <v>23</v>
      </c>
      <c r="I70" s="14">
        <f t="shared" si="29"/>
        <v>41</v>
      </c>
      <c r="J70" s="155"/>
      <c r="K70" s="14"/>
      <c r="L70" s="14"/>
      <c r="M70" s="14"/>
      <c r="N70" s="14"/>
      <c r="O70" s="14"/>
      <c r="P70" s="14"/>
      <c r="Q70" s="14"/>
      <c r="R70" s="14"/>
      <c r="S70" s="14"/>
    </row>
    <row r="71">
      <c r="A71" s="43">
        <f t="shared" si="26"/>
        <v>902</v>
      </c>
      <c r="B71" s="43" t="s">
        <v>2022</v>
      </c>
      <c r="C71" s="43">
        <v>5.0</v>
      </c>
      <c r="D71" s="14">
        <f t="shared" ref="D71:I71" si="30">ROUND(D51*0.65,0)</f>
        <v>488</v>
      </c>
      <c r="E71" s="14">
        <f t="shared" si="30"/>
        <v>49</v>
      </c>
      <c r="F71" s="14">
        <f t="shared" si="30"/>
        <v>12</v>
      </c>
      <c r="G71" s="14">
        <f t="shared" si="30"/>
        <v>35</v>
      </c>
      <c r="H71" s="14">
        <f t="shared" si="30"/>
        <v>27</v>
      </c>
      <c r="I71" s="14">
        <f t="shared" si="30"/>
        <v>49</v>
      </c>
      <c r="J71" s="155">
        <v>1.0</v>
      </c>
      <c r="K71" s="14"/>
      <c r="L71" s="14"/>
      <c r="M71" s="14"/>
      <c r="N71" s="14"/>
      <c r="O71" s="14"/>
      <c r="P71" s="14"/>
      <c r="Q71" s="14"/>
      <c r="R71" s="14"/>
      <c r="S71" s="14"/>
    </row>
    <row r="72">
      <c r="A72" s="43">
        <f t="shared" si="26"/>
        <v>902</v>
      </c>
      <c r="B72" s="43" t="s">
        <v>2025</v>
      </c>
      <c r="C72" s="43">
        <v>6.0</v>
      </c>
      <c r="D72" s="14">
        <f t="shared" ref="D72:I72" si="31">ROUND(D52*0.65,0)</f>
        <v>569</v>
      </c>
      <c r="E72" s="14">
        <f t="shared" si="31"/>
        <v>57</v>
      </c>
      <c r="F72" s="14">
        <f t="shared" si="31"/>
        <v>14</v>
      </c>
      <c r="G72" s="14">
        <f t="shared" si="31"/>
        <v>41</v>
      </c>
      <c r="H72" s="14">
        <f t="shared" si="31"/>
        <v>32</v>
      </c>
      <c r="I72" s="14">
        <f t="shared" si="31"/>
        <v>57</v>
      </c>
      <c r="J72" s="155"/>
      <c r="K72" s="4">
        <v>0.04</v>
      </c>
      <c r="L72" s="14"/>
      <c r="M72" s="4">
        <v>0.04</v>
      </c>
      <c r="N72" s="14"/>
      <c r="O72" s="14"/>
      <c r="P72" s="14"/>
      <c r="Q72" s="14"/>
      <c r="R72" s="14"/>
      <c r="S72" s="14"/>
    </row>
    <row r="73">
      <c r="A73" s="43">
        <f t="shared" si="26"/>
        <v>902</v>
      </c>
      <c r="B73" s="43" t="s">
        <v>2030</v>
      </c>
      <c r="C73" s="43">
        <v>7.0</v>
      </c>
      <c r="D73" s="14">
        <f t="shared" ref="D73:I73" si="32">ROUND(D53*0.65,0)</f>
        <v>650</v>
      </c>
      <c r="E73" s="14">
        <f t="shared" si="32"/>
        <v>65</v>
      </c>
      <c r="F73" s="14">
        <f t="shared" si="32"/>
        <v>16</v>
      </c>
      <c r="G73" s="14">
        <f t="shared" si="32"/>
        <v>47</v>
      </c>
      <c r="H73" s="14">
        <f t="shared" si="32"/>
        <v>36</v>
      </c>
      <c r="I73" s="14">
        <f t="shared" si="32"/>
        <v>65</v>
      </c>
      <c r="J73" s="155">
        <v>1.0</v>
      </c>
      <c r="K73" s="4">
        <v>0.04</v>
      </c>
      <c r="L73" s="14"/>
      <c r="M73" s="4">
        <v>0.04</v>
      </c>
      <c r="N73" s="14"/>
      <c r="O73" s="14"/>
      <c r="P73" s="14"/>
      <c r="Q73" s="14"/>
      <c r="R73" s="14"/>
      <c r="S73" s="14"/>
    </row>
    <row r="74">
      <c r="A74" s="43">
        <f t="shared" si="26"/>
        <v>902</v>
      </c>
      <c r="B74" s="43" t="s">
        <v>2033</v>
      </c>
      <c r="C74" s="43">
        <v>8.0</v>
      </c>
      <c r="D74" s="14">
        <f t="shared" ref="D74:I74" si="33">ROUND(D54*0.65,0)</f>
        <v>731</v>
      </c>
      <c r="E74" s="14">
        <f t="shared" si="33"/>
        <v>73</v>
      </c>
      <c r="F74" s="14">
        <f t="shared" si="33"/>
        <v>18</v>
      </c>
      <c r="G74" s="14">
        <f t="shared" si="33"/>
        <v>53</v>
      </c>
      <c r="H74" s="14">
        <f t="shared" si="33"/>
        <v>41</v>
      </c>
      <c r="I74" s="14">
        <f t="shared" si="33"/>
        <v>73</v>
      </c>
      <c r="J74" s="155"/>
      <c r="K74" s="4">
        <v>0.04</v>
      </c>
      <c r="L74" s="14"/>
      <c r="M74" s="4">
        <v>0.04</v>
      </c>
      <c r="N74" s="14"/>
      <c r="O74" s="14"/>
      <c r="P74" s="14"/>
      <c r="Q74" s="14"/>
      <c r="R74" s="14"/>
      <c r="S74" s="14"/>
    </row>
    <row r="75">
      <c r="A75" s="43">
        <f t="shared" si="26"/>
        <v>902</v>
      </c>
      <c r="B75" s="43" t="s">
        <v>2035</v>
      </c>
      <c r="C75" s="43">
        <v>9.0</v>
      </c>
      <c r="D75" s="14">
        <f t="shared" ref="D75:I75" si="34">ROUND(D55*0.65,0)</f>
        <v>813</v>
      </c>
      <c r="E75" s="14">
        <f t="shared" si="34"/>
        <v>81</v>
      </c>
      <c r="F75" s="14">
        <f t="shared" si="34"/>
        <v>20</v>
      </c>
      <c r="G75" s="14">
        <f t="shared" si="34"/>
        <v>59</v>
      </c>
      <c r="H75" s="14">
        <f t="shared" si="34"/>
        <v>46</v>
      </c>
      <c r="I75" s="14">
        <f t="shared" si="34"/>
        <v>81</v>
      </c>
      <c r="J75" s="155">
        <v>1.0</v>
      </c>
      <c r="K75" s="4">
        <v>0.04</v>
      </c>
      <c r="L75" s="14"/>
      <c r="M75" s="4">
        <v>0.04</v>
      </c>
      <c r="N75" s="14"/>
      <c r="O75" s="14"/>
      <c r="P75" s="14"/>
      <c r="Q75" s="14"/>
      <c r="R75" s="14"/>
      <c r="S75" s="14"/>
    </row>
    <row r="76">
      <c r="A76" s="43">
        <f t="shared" si="26"/>
        <v>902</v>
      </c>
      <c r="B76" s="43" t="s">
        <v>2036</v>
      </c>
      <c r="C76" s="43">
        <v>10.0</v>
      </c>
      <c r="D76" s="14">
        <f t="shared" ref="D76:I76" si="35">ROUND(D56*0.65,0)</f>
        <v>975</v>
      </c>
      <c r="E76" s="14">
        <f t="shared" si="35"/>
        <v>98</v>
      </c>
      <c r="F76" s="14">
        <f t="shared" si="35"/>
        <v>23</v>
      </c>
      <c r="G76" s="14">
        <f t="shared" si="35"/>
        <v>70</v>
      </c>
      <c r="H76" s="14">
        <f t="shared" si="35"/>
        <v>55</v>
      </c>
      <c r="I76" s="14">
        <f t="shared" si="35"/>
        <v>98</v>
      </c>
      <c r="J76" s="155">
        <v>2.0</v>
      </c>
      <c r="K76" s="4">
        <v>0.04</v>
      </c>
      <c r="L76" s="14"/>
      <c r="M76" s="4">
        <v>0.04</v>
      </c>
      <c r="N76" s="14"/>
      <c r="O76" s="14"/>
      <c r="P76" s="14"/>
      <c r="Q76" s="14"/>
      <c r="R76" s="14"/>
      <c r="S76" s="14"/>
    </row>
    <row r="77">
      <c r="A77" s="43">
        <f t="shared" si="26"/>
        <v>903</v>
      </c>
      <c r="B77" s="43" t="s">
        <v>2037</v>
      </c>
      <c r="C77" s="43">
        <v>1.0</v>
      </c>
      <c r="D77" s="14">
        <f t="shared" ref="D77:I77" si="36">ROUND(D57*0.65,0)</f>
        <v>130</v>
      </c>
      <c r="E77" s="14">
        <f t="shared" si="36"/>
        <v>3</v>
      </c>
      <c r="F77" s="14">
        <f t="shared" si="36"/>
        <v>21</v>
      </c>
      <c r="G77" s="14">
        <f t="shared" si="36"/>
        <v>7</v>
      </c>
      <c r="H77" s="14">
        <f t="shared" si="36"/>
        <v>11</v>
      </c>
      <c r="I77" s="14">
        <f t="shared" si="36"/>
        <v>29</v>
      </c>
      <c r="J77" s="155">
        <v>1.0</v>
      </c>
      <c r="K77" s="14"/>
      <c r="L77" s="14"/>
      <c r="M77" s="14"/>
      <c r="N77" s="14"/>
      <c r="O77" s="14"/>
      <c r="P77" s="14"/>
      <c r="Q77" s="14"/>
      <c r="R77" s="14"/>
      <c r="S77" s="14"/>
    </row>
    <row r="78">
      <c r="A78" s="43">
        <f t="shared" si="26"/>
        <v>903</v>
      </c>
      <c r="B78" s="43" t="s">
        <v>2038</v>
      </c>
      <c r="C78" s="43">
        <v>2.0</v>
      </c>
      <c r="D78" s="14">
        <f t="shared" ref="D78:I78" si="37">ROUND(D58*0.65,0)</f>
        <v>195</v>
      </c>
      <c r="E78" s="14">
        <f t="shared" si="37"/>
        <v>4</v>
      </c>
      <c r="F78" s="14">
        <f t="shared" si="37"/>
        <v>31</v>
      </c>
      <c r="G78" s="14">
        <f t="shared" si="37"/>
        <v>10</v>
      </c>
      <c r="H78" s="14">
        <f t="shared" si="37"/>
        <v>17</v>
      </c>
      <c r="I78" s="14">
        <f t="shared" si="37"/>
        <v>43</v>
      </c>
      <c r="J78" s="155"/>
      <c r="K78" s="14"/>
      <c r="L78" s="14"/>
      <c r="M78" s="14"/>
      <c r="N78" s="14"/>
      <c r="O78" s="14"/>
      <c r="P78" s="14"/>
      <c r="Q78" s="14"/>
      <c r="R78" s="14"/>
      <c r="S78" s="14"/>
    </row>
    <row r="79">
      <c r="A79" s="43">
        <f t="shared" si="26"/>
        <v>903</v>
      </c>
      <c r="B79" s="43" t="s">
        <v>2039</v>
      </c>
      <c r="C79" s="43">
        <v>3.0</v>
      </c>
      <c r="D79" s="14">
        <f t="shared" ref="D79:I79" si="38">ROUND(D59*0.65,0)</f>
        <v>260</v>
      </c>
      <c r="E79" s="14">
        <f t="shared" si="38"/>
        <v>5</v>
      </c>
      <c r="F79" s="14">
        <f t="shared" si="38"/>
        <v>42</v>
      </c>
      <c r="G79" s="14">
        <f t="shared" si="38"/>
        <v>13</v>
      </c>
      <c r="H79" s="14">
        <f t="shared" si="38"/>
        <v>22</v>
      </c>
      <c r="I79" s="14">
        <f t="shared" si="38"/>
        <v>57</v>
      </c>
      <c r="J79" s="155">
        <v>1.0</v>
      </c>
      <c r="K79" s="14"/>
      <c r="L79" s="14"/>
      <c r="M79" s="14"/>
      <c r="N79" s="14"/>
      <c r="O79" s="14"/>
      <c r="P79" s="14"/>
      <c r="Q79" s="14"/>
      <c r="R79" s="14"/>
      <c r="S79" s="14"/>
    </row>
    <row r="80">
      <c r="A80" s="43">
        <f t="shared" si="26"/>
        <v>903</v>
      </c>
      <c r="B80" s="43" t="s">
        <v>2040</v>
      </c>
      <c r="C80" s="43">
        <v>4.0</v>
      </c>
      <c r="D80" s="14">
        <f t="shared" ref="D80:I80" si="39">ROUND(D60*0.65,0)</f>
        <v>325</v>
      </c>
      <c r="E80" s="14">
        <f t="shared" si="39"/>
        <v>7</v>
      </c>
      <c r="F80" s="14">
        <f t="shared" si="39"/>
        <v>52</v>
      </c>
      <c r="G80" s="14">
        <f t="shared" si="39"/>
        <v>16</v>
      </c>
      <c r="H80" s="14">
        <f t="shared" si="39"/>
        <v>28</v>
      </c>
      <c r="I80" s="14">
        <f t="shared" si="39"/>
        <v>72</v>
      </c>
      <c r="J80" s="155"/>
      <c r="K80" s="14"/>
      <c r="L80" s="14"/>
      <c r="M80" s="14"/>
      <c r="N80" s="14"/>
      <c r="O80" s="14"/>
      <c r="P80" s="14"/>
      <c r="Q80" s="14"/>
      <c r="R80" s="14"/>
      <c r="S80" s="14"/>
    </row>
    <row r="81">
      <c r="A81" s="43">
        <f t="shared" si="26"/>
        <v>903</v>
      </c>
      <c r="B81" s="43" t="s">
        <v>2041</v>
      </c>
      <c r="C81" s="43">
        <v>5.0</v>
      </c>
      <c r="D81" s="14">
        <f t="shared" ref="D81:I81" si="40">ROUND(D61*0.65,0)</f>
        <v>390</v>
      </c>
      <c r="E81" s="14">
        <f t="shared" si="40"/>
        <v>8</v>
      </c>
      <c r="F81" s="14">
        <f t="shared" si="40"/>
        <v>62</v>
      </c>
      <c r="G81" s="14">
        <f t="shared" si="40"/>
        <v>20</v>
      </c>
      <c r="H81" s="14">
        <f t="shared" si="40"/>
        <v>33</v>
      </c>
      <c r="I81" s="14">
        <f t="shared" si="40"/>
        <v>86</v>
      </c>
      <c r="J81" s="155">
        <v>1.0</v>
      </c>
      <c r="K81" s="14"/>
      <c r="L81" s="14"/>
      <c r="M81" s="14"/>
      <c r="N81" s="14"/>
      <c r="O81" s="14"/>
      <c r="P81" s="14"/>
      <c r="Q81" s="14"/>
      <c r="R81" s="14"/>
      <c r="S81" s="14"/>
    </row>
    <row r="82">
      <c r="A82" s="43">
        <f t="shared" si="26"/>
        <v>903</v>
      </c>
      <c r="B82" s="43" t="s">
        <v>2042</v>
      </c>
      <c r="C82" s="43">
        <v>6.0</v>
      </c>
      <c r="D82" s="14">
        <f t="shared" ref="D82:I82" si="41">ROUND(D62*0.65,0)</f>
        <v>455</v>
      </c>
      <c r="E82" s="14">
        <f t="shared" si="41"/>
        <v>9</v>
      </c>
      <c r="F82" s="14">
        <f t="shared" si="41"/>
        <v>73</v>
      </c>
      <c r="G82" s="14">
        <f t="shared" si="41"/>
        <v>23</v>
      </c>
      <c r="H82" s="14">
        <f t="shared" si="41"/>
        <v>39</v>
      </c>
      <c r="I82" s="14">
        <f t="shared" si="41"/>
        <v>100</v>
      </c>
      <c r="J82" s="155"/>
      <c r="K82" s="4">
        <v>0.03</v>
      </c>
      <c r="L82" s="14"/>
      <c r="M82" s="4">
        <v>0.03</v>
      </c>
      <c r="N82" s="14"/>
      <c r="O82" s="14"/>
      <c r="P82" s="14"/>
      <c r="Q82" s="14"/>
      <c r="R82" s="14"/>
      <c r="S82" s="14"/>
    </row>
    <row r="83">
      <c r="A83" s="43">
        <f t="shared" si="26"/>
        <v>903</v>
      </c>
      <c r="B83" s="43" t="s">
        <v>2043</v>
      </c>
      <c r="C83" s="43">
        <v>7.0</v>
      </c>
      <c r="D83" s="14">
        <f t="shared" ref="D83:I83" si="42">ROUND(D63*0.65,0)</f>
        <v>520</v>
      </c>
      <c r="E83" s="14">
        <f t="shared" si="42"/>
        <v>10</v>
      </c>
      <c r="F83" s="14">
        <f t="shared" si="42"/>
        <v>83</v>
      </c>
      <c r="G83" s="14">
        <f t="shared" si="42"/>
        <v>26</v>
      </c>
      <c r="H83" s="14">
        <f t="shared" si="42"/>
        <v>44</v>
      </c>
      <c r="I83" s="14">
        <f t="shared" si="42"/>
        <v>114</v>
      </c>
      <c r="J83" s="155">
        <v>1.0</v>
      </c>
      <c r="K83" s="4">
        <v>0.03</v>
      </c>
      <c r="L83" s="14"/>
      <c r="M83" s="4">
        <v>0.03</v>
      </c>
      <c r="N83" s="14"/>
      <c r="O83" s="14"/>
      <c r="P83" s="14"/>
      <c r="Q83" s="14"/>
      <c r="R83" s="14"/>
      <c r="S83" s="14"/>
    </row>
    <row r="84">
      <c r="A84" s="43">
        <f t="shared" si="26"/>
        <v>903</v>
      </c>
      <c r="B84" s="43" t="s">
        <v>2044</v>
      </c>
      <c r="C84" s="43">
        <v>8.0</v>
      </c>
      <c r="D84" s="14">
        <f t="shared" ref="D84:I84" si="43">ROUND(D64*0.65,0)</f>
        <v>585</v>
      </c>
      <c r="E84" s="14">
        <f t="shared" si="43"/>
        <v>12</v>
      </c>
      <c r="F84" s="14">
        <f t="shared" si="43"/>
        <v>94</v>
      </c>
      <c r="G84" s="14">
        <f t="shared" si="43"/>
        <v>29</v>
      </c>
      <c r="H84" s="14">
        <f t="shared" si="43"/>
        <v>50</v>
      </c>
      <c r="I84" s="14">
        <f t="shared" si="43"/>
        <v>129</v>
      </c>
      <c r="J84" s="155"/>
      <c r="K84" s="4">
        <v>0.03</v>
      </c>
      <c r="L84" s="14"/>
      <c r="M84" s="4">
        <v>0.03</v>
      </c>
      <c r="N84" s="14"/>
      <c r="O84" s="14"/>
      <c r="P84" s="14"/>
      <c r="Q84" s="14"/>
      <c r="R84" s="14"/>
      <c r="S84" s="14"/>
    </row>
    <row r="85">
      <c r="A85" s="43">
        <f t="shared" si="26"/>
        <v>903</v>
      </c>
      <c r="B85" s="43" t="s">
        <v>2045</v>
      </c>
      <c r="C85" s="43">
        <v>9.0</v>
      </c>
      <c r="D85" s="14">
        <f t="shared" ref="D85:I85" si="44">ROUND(D65*0.65,0)</f>
        <v>650</v>
      </c>
      <c r="E85" s="14">
        <f t="shared" si="44"/>
        <v>13</v>
      </c>
      <c r="F85" s="14">
        <f t="shared" si="44"/>
        <v>104</v>
      </c>
      <c r="G85" s="14">
        <f t="shared" si="44"/>
        <v>33</v>
      </c>
      <c r="H85" s="14">
        <f t="shared" si="44"/>
        <v>55</v>
      </c>
      <c r="I85" s="14">
        <f t="shared" si="44"/>
        <v>143</v>
      </c>
      <c r="J85" s="155">
        <v>1.0</v>
      </c>
      <c r="K85" s="4">
        <v>0.03</v>
      </c>
      <c r="L85" s="14"/>
      <c r="M85" s="4">
        <v>0.03</v>
      </c>
      <c r="N85" s="14"/>
      <c r="O85" s="14"/>
      <c r="P85" s="14"/>
      <c r="Q85" s="14"/>
      <c r="R85" s="14"/>
      <c r="S85" s="14"/>
    </row>
    <row r="86">
      <c r="A86" s="43">
        <f t="shared" si="26"/>
        <v>903</v>
      </c>
      <c r="B86" s="43" t="s">
        <v>2046</v>
      </c>
      <c r="C86" s="43">
        <v>10.0</v>
      </c>
      <c r="D86" s="14">
        <f t="shared" ref="D86:I86" si="45">ROUND(D66*0.65,0)</f>
        <v>780</v>
      </c>
      <c r="E86" s="14">
        <f t="shared" si="45"/>
        <v>16</v>
      </c>
      <c r="F86" s="14">
        <f t="shared" si="45"/>
        <v>125</v>
      </c>
      <c r="G86" s="14">
        <f t="shared" si="45"/>
        <v>39</v>
      </c>
      <c r="H86" s="14">
        <f t="shared" si="45"/>
        <v>66</v>
      </c>
      <c r="I86" s="14">
        <f t="shared" si="45"/>
        <v>172</v>
      </c>
      <c r="J86" s="155">
        <v>2.0</v>
      </c>
      <c r="K86" s="4">
        <v>0.03</v>
      </c>
      <c r="L86" s="14"/>
      <c r="M86" s="4">
        <v>0.03</v>
      </c>
      <c r="N86" s="14"/>
      <c r="O86" s="14"/>
      <c r="P86" s="14"/>
      <c r="Q86" s="14"/>
      <c r="R86" s="14"/>
      <c r="S86" s="14"/>
    </row>
    <row r="87">
      <c r="A87" s="43">
        <f t="shared" si="26"/>
        <v>904</v>
      </c>
      <c r="B87" s="43" t="s">
        <v>2048</v>
      </c>
      <c r="C87" s="43">
        <v>1.0</v>
      </c>
      <c r="D87" s="14">
        <f t="shared" ref="D87:I87" si="46">ROUND(D67*0.8,0)</f>
        <v>130</v>
      </c>
      <c r="E87" s="14">
        <f t="shared" si="46"/>
        <v>13</v>
      </c>
      <c r="F87" s="14">
        <f t="shared" si="46"/>
        <v>3</v>
      </c>
      <c r="G87" s="14">
        <f t="shared" si="46"/>
        <v>10</v>
      </c>
      <c r="H87" s="14">
        <f t="shared" si="46"/>
        <v>7</v>
      </c>
      <c r="I87" s="14">
        <f t="shared" si="46"/>
        <v>13</v>
      </c>
      <c r="J87" s="155">
        <v>1.0</v>
      </c>
      <c r="K87" s="14"/>
      <c r="L87" s="14"/>
      <c r="M87" s="14"/>
      <c r="N87" s="14"/>
      <c r="O87" s="14"/>
      <c r="P87" s="14"/>
      <c r="Q87" s="14"/>
      <c r="R87" s="14"/>
      <c r="S87" s="14"/>
    </row>
    <row r="88">
      <c r="A88" s="43">
        <f t="shared" si="26"/>
        <v>904</v>
      </c>
      <c r="B88" s="43" t="s">
        <v>2057</v>
      </c>
      <c r="C88" s="43">
        <v>2.0</v>
      </c>
      <c r="D88" s="14">
        <f t="shared" ref="D88:I88" si="47">ROUND(D68*0.8,0)</f>
        <v>195</v>
      </c>
      <c r="E88" s="14">
        <f t="shared" si="47"/>
        <v>20</v>
      </c>
      <c r="F88" s="14">
        <f t="shared" si="47"/>
        <v>5</v>
      </c>
      <c r="G88" s="14">
        <f t="shared" si="47"/>
        <v>14</v>
      </c>
      <c r="H88" s="14">
        <f t="shared" si="47"/>
        <v>11</v>
      </c>
      <c r="I88" s="14">
        <f t="shared" si="47"/>
        <v>20</v>
      </c>
      <c r="J88" s="155"/>
      <c r="K88" s="14"/>
      <c r="L88" s="14"/>
      <c r="M88" s="14"/>
      <c r="N88" s="14"/>
      <c r="O88" s="14"/>
      <c r="P88" s="14"/>
      <c r="Q88" s="14"/>
      <c r="R88" s="14"/>
      <c r="S88" s="14"/>
    </row>
    <row r="89">
      <c r="A89" s="43">
        <f t="shared" si="26"/>
        <v>904</v>
      </c>
      <c r="B89" s="43" t="s">
        <v>2061</v>
      </c>
      <c r="C89" s="43">
        <v>3.0</v>
      </c>
      <c r="D89" s="14">
        <f t="shared" ref="D89:I89" si="48">ROUND(D69*0.8,0)</f>
        <v>260</v>
      </c>
      <c r="E89" s="14">
        <f t="shared" si="48"/>
        <v>20</v>
      </c>
      <c r="F89" s="14">
        <f t="shared" si="48"/>
        <v>5</v>
      </c>
      <c r="G89" s="14">
        <f t="shared" si="48"/>
        <v>14</v>
      </c>
      <c r="H89" s="14">
        <f t="shared" si="48"/>
        <v>11</v>
      </c>
      <c r="I89" s="14">
        <f t="shared" si="48"/>
        <v>20</v>
      </c>
      <c r="J89" s="155">
        <v>1.0</v>
      </c>
      <c r="K89" s="14"/>
      <c r="L89" s="14"/>
      <c r="M89" s="14"/>
      <c r="N89" s="14"/>
      <c r="O89" s="14"/>
      <c r="P89" s="14"/>
      <c r="Q89" s="14"/>
      <c r="R89" s="14"/>
      <c r="S89" s="14"/>
    </row>
    <row r="90">
      <c r="A90" s="43">
        <f t="shared" si="26"/>
        <v>904</v>
      </c>
      <c r="B90" s="43" t="s">
        <v>2069</v>
      </c>
      <c r="C90" s="43">
        <v>4.0</v>
      </c>
      <c r="D90" s="14">
        <f t="shared" ref="D90:I90" si="49">ROUND(D70*0.8,0)</f>
        <v>325</v>
      </c>
      <c r="E90" s="14">
        <f t="shared" si="49"/>
        <v>33</v>
      </c>
      <c r="F90" s="14">
        <f t="shared" si="49"/>
        <v>8</v>
      </c>
      <c r="G90" s="14">
        <f t="shared" si="49"/>
        <v>23</v>
      </c>
      <c r="H90" s="14">
        <f t="shared" si="49"/>
        <v>18</v>
      </c>
      <c r="I90" s="14">
        <f t="shared" si="49"/>
        <v>33</v>
      </c>
      <c r="J90" s="155"/>
      <c r="K90" s="14"/>
      <c r="L90" s="14"/>
      <c r="M90" s="14"/>
      <c r="N90" s="14"/>
      <c r="O90" s="14"/>
      <c r="P90" s="14"/>
      <c r="Q90" s="14"/>
      <c r="R90" s="14"/>
      <c r="S90" s="14"/>
    </row>
    <row r="91">
      <c r="A91" s="43">
        <f t="shared" si="26"/>
        <v>904</v>
      </c>
      <c r="B91" s="43" t="s">
        <v>2075</v>
      </c>
      <c r="C91" s="43">
        <v>5.0</v>
      </c>
      <c r="D91" s="14">
        <f t="shared" ref="D91:I91" si="50">ROUND(D71*0.8,0)</f>
        <v>390</v>
      </c>
      <c r="E91" s="14">
        <f t="shared" si="50"/>
        <v>39</v>
      </c>
      <c r="F91" s="14">
        <f t="shared" si="50"/>
        <v>10</v>
      </c>
      <c r="G91" s="14">
        <f t="shared" si="50"/>
        <v>28</v>
      </c>
      <c r="H91" s="14">
        <f t="shared" si="50"/>
        <v>22</v>
      </c>
      <c r="I91" s="14">
        <f t="shared" si="50"/>
        <v>39</v>
      </c>
      <c r="J91" s="155">
        <v>1.0</v>
      </c>
      <c r="K91" s="14"/>
      <c r="L91" s="14"/>
      <c r="M91" s="14"/>
      <c r="N91" s="14"/>
      <c r="O91" s="14"/>
      <c r="P91" s="14"/>
      <c r="Q91" s="14"/>
      <c r="R91" s="14"/>
      <c r="S91" s="14"/>
    </row>
    <row r="92">
      <c r="A92" s="43">
        <f t="shared" si="26"/>
        <v>904</v>
      </c>
      <c r="B92" s="43" t="s">
        <v>2076</v>
      </c>
      <c r="C92" s="43">
        <v>6.0</v>
      </c>
      <c r="D92" s="14">
        <f t="shared" ref="D92:I92" si="51">ROUND(D72*0.8,0)</f>
        <v>455</v>
      </c>
      <c r="E92" s="14">
        <f t="shared" si="51"/>
        <v>46</v>
      </c>
      <c r="F92" s="14">
        <f t="shared" si="51"/>
        <v>11</v>
      </c>
      <c r="G92" s="14">
        <f t="shared" si="51"/>
        <v>33</v>
      </c>
      <c r="H92" s="14">
        <f t="shared" si="51"/>
        <v>26</v>
      </c>
      <c r="I92" s="14">
        <f t="shared" si="51"/>
        <v>46</v>
      </c>
      <c r="J92" s="155"/>
      <c r="K92" s="4">
        <v>0.05</v>
      </c>
      <c r="L92" s="14"/>
      <c r="M92" s="4">
        <v>0.05</v>
      </c>
      <c r="N92" s="14"/>
      <c r="O92" s="14"/>
      <c r="P92" s="14"/>
      <c r="Q92" s="14"/>
      <c r="R92" s="14"/>
      <c r="S92" s="14"/>
    </row>
    <row r="93">
      <c r="A93" s="43">
        <f t="shared" si="26"/>
        <v>904</v>
      </c>
      <c r="B93" s="43" t="s">
        <v>2078</v>
      </c>
      <c r="C93" s="43">
        <v>7.0</v>
      </c>
      <c r="D93" s="14">
        <f t="shared" ref="D93:I93" si="52">ROUND(D73*0.8,0)</f>
        <v>520</v>
      </c>
      <c r="E93" s="14">
        <f t="shared" si="52"/>
        <v>52</v>
      </c>
      <c r="F93" s="14">
        <f t="shared" si="52"/>
        <v>13</v>
      </c>
      <c r="G93" s="14">
        <f t="shared" si="52"/>
        <v>38</v>
      </c>
      <c r="H93" s="14">
        <f t="shared" si="52"/>
        <v>29</v>
      </c>
      <c r="I93" s="14">
        <f t="shared" si="52"/>
        <v>52</v>
      </c>
      <c r="J93" s="155">
        <v>1.0</v>
      </c>
      <c r="K93" s="4">
        <v>0.05</v>
      </c>
      <c r="L93" s="14"/>
      <c r="M93" s="4">
        <v>0.05</v>
      </c>
      <c r="N93" s="14"/>
      <c r="O93" s="14"/>
      <c r="P93" s="14"/>
      <c r="Q93" s="14"/>
      <c r="R93" s="14"/>
      <c r="S93" s="14"/>
    </row>
    <row r="94">
      <c r="A94" s="43">
        <f t="shared" si="26"/>
        <v>904</v>
      </c>
      <c r="B94" s="43" t="s">
        <v>2079</v>
      </c>
      <c r="C94" s="43">
        <v>8.0</v>
      </c>
      <c r="D94" s="14">
        <f t="shared" ref="D94:I94" si="53">ROUND(D74*0.8,0)</f>
        <v>585</v>
      </c>
      <c r="E94" s="14">
        <f t="shared" si="53"/>
        <v>58</v>
      </c>
      <c r="F94" s="14">
        <f t="shared" si="53"/>
        <v>14</v>
      </c>
      <c r="G94" s="14">
        <f t="shared" si="53"/>
        <v>42</v>
      </c>
      <c r="H94" s="14">
        <f t="shared" si="53"/>
        <v>33</v>
      </c>
      <c r="I94" s="14">
        <f t="shared" si="53"/>
        <v>58</v>
      </c>
      <c r="J94" s="155"/>
      <c r="K94" s="4">
        <v>0.05</v>
      </c>
      <c r="L94" s="14"/>
      <c r="M94" s="4">
        <v>0.05</v>
      </c>
      <c r="N94" s="14"/>
      <c r="O94" s="14"/>
      <c r="P94" s="14"/>
      <c r="Q94" s="14"/>
      <c r="R94" s="14"/>
      <c r="S94" s="14"/>
    </row>
    <row r="95">
      <c r="A95" s="43">
        <f t="shared" si="26"/>
        <v>904</v>
      </c>
      <c r="B95" s="43" t="s">
        <v>2082</v>
      </c>
      <c r="C95" s="43">
        <v>9.0</v>
      </c>
      <c r="D95" s="14">
        <f t="shared" ref="D95:I95" si="54">ROUND(D75*0.8,0)</f>
        <v>650</v>
      </c>
      <c r="E95" s="14">
        <f t="shared" si="54"/>
        <v>65</v>
      </c>
      <c r="F95" s="14">
        <f t="shared" si="54"/>
        <v>16</v>
      </c>
      <c r="G95" s="14">
        <f t="shared" si="54"/>
        <v>47</v>
      </c>
      <c r="H95" s="14">
        <f t="shared" si="54"/>
        <v>37</v>
      </c>
      <c r="I95" s="14">
        <f t="shared" si="54"/>
        <v>65</v>
      </c>
      <c r="J95" s="155">
        <v>1.0</v>
      </c>
      <c r="K95" s="4">
        <v>0.05</v>
      </c>
      <c r="L95" s="14"/>
      <c r="M95" s="4">
        <v>0.05</v>
      </c>
      <c r="N95" s="14"/>
      <c r="O95" s="14"/>
      <c r="P95" s="14"/>
      <c r="Q95" s="14"/>
      <c r="R95" s="14"/>
      <c r="S95" s="14"/>
    </row>
    <row r="96">
      <c r="A96" s="43">
        <f t="shared" si="26"/>
        <v>904</v>
      </c>
      <c r="B96" s="43" t="s">
        <v>2085</v>
      </c>
      <c r="C96" s="43">
        <v>10.0</v>
      </c>
      <c r="D96" s="14">
        <f t="shared" ref="D96:I96" si="55">ROUND(D76*0.8,0)</f>
        <v>780</v>
      </c>
      <c r="E96" s="14">
        <f t="shared" si="55"/>
        <v>78</v>
      </c>
      <c r="F96" s="14">
        <f t="shared" si="55"/>
        <v>18</v>
      </c>
      <c r="G96" s="14">
        <f t="shared" si="55"/>
        <v>56</v>
      </c>
      <c r="H96" s="14">
        <f t="shared" si="55"/>
        <v>44</v>
      </c>
      <c r="I96" s="14">
        <f t="shared" si="55"/>
        <v>78</v>
      </c>
      <c r="J96" s="155">
        <v>2.0</v>
      </c>
      <c r="K96" s="4">
        <v>0.05</v>
      </c>
      <c r="L96" s="14"/>
      <c r="M96" s="4">
        <v>0.05</v>
      </c>
      <c r="N96" s="14"/>
      <c r="O96" s="14"/>
      <c r="P96" s="14"/>
      <c r="Q96" s="14"/>
      <c r="R96" s="14"/>
      <c r="S96" s="14"/>
    </row>
    <row r="97">
      <c r="A97" s="43">
        <f t="shared" si="26"/>
        <v>905</v>
      </c>
      <c r="B97" s="43" t="s">
        <v>2090</v>
      </c>
      <c r="C97" s="43">
        <v>1.0</v>
      </c>
      <c r="D97" s="14">
        <f t="shared" ref="D97:I97" si="56">ROUND(D77*0.8,0)</f>
        <v>104</v>
      </c>
      <c r="E97" s="14">
        <f t="shared" si="56"/>
        <v>2</v>
      </c>
      <c r="F97" s="14">
        <f t="shared" si="56"/>
        <v>17</v>
      </c>
      <c r="G97" s="14">
        <f t="shared" si="56"/>
        <v>6</v>
      </c>
      <c r="H97" s="14">
        <f t="shared" si="56"/>
        <v>9</v>
      </c>
      <c r="I97" s="14">
        <f t="shared" si="56"/>
        <v>23</v>
      </c>
      <c r="J97" s="155">
        <v>1.0</v>
      </c>
      <c r="K97" s="14"/>
      <c r="L97" s="14"/>
      <c r="M97" s="14"/>
      <c r="N97" s="14"/>
      <c r="O97" s="14"/>
      <c r="P97" s="14"/>
      <c r="Q97" s="14"/>
      <c r="R97" s="14"/>
      <c r="S97" s="14"/>
    </row>
    <row r="98">
      <c r="A98" s="43">
        <f t="shared" si="26"/>
        <v>905</v>
      </c>
      <c r="B98" s="43" t="s">
        <v>2091</v>
      </c>
      <c r="C98" s="43">
        <v>2.0</v>
      </c>
      <c r="D98" s="14">
        <f t="shared" ref="D98:I98" si="57">ROUND(D78*0.8,0)</f>
        <v>156</v>
      </c>
      <c r="E98" s="14">
        <f t="shared" si="57"/>
        <v>3</v>
      </c>
      <c r="F98" s="14">
        <f t="shared" si="57"/>
        <v>25</v>
      </c>
      <c r="G98" s="14">
        <f t="shared" si="57"/>
        <v>8</v>
      </c>
      <c r="H98" s="14">
        <f t="shared" si="57"/>
        <v>14</v>
      </c>
      <c r="I98" s="14">
        <f t="shared" si="57"/>
        <v>34</v>
      </c>
      <c r="J98" s="155"/>
      <c r="K98" s="14"/>
      <c r="L98" s="14"/>
      <c r="M98" s="14"/>
      <c r="N98" s="14"/>
      <c r="O98" s="14"/>
      <c r="P98" s="14"/>
      <c r="Q98" s="14"/>
      <c r="R98" s="14"/>
      <c r="S98" s="14"/>
    </row>
    <row r="99">
      <c r="A99" s="43">
        <f t="shared" si="26"/>
        <v>905</v>
      </c>
      <c r="B99" s="43" t="s">
        <v>2092</v>
      </c>
      <c r="C99" s="43">
        <v>3.0</v>
      </c>
      <c r="D99" s="14">
        <f t="shared" ref="D99:I99" si="58">ROUND(D79*0.8,0)</f>
        <v>208</v>
      </c>
      <c r="E99" s="14">
        <f t="shared" si="58"/>
        <v>4</v>
      </c>
      <c r="F99" s="14">
        <f t="shared" si="58"/>
        <v>34</v>
      </c>
      <c r="G99" s="14">
        <f t="shared" si="58"/>
        <v>10</v>
      </c>
      <c r="H99" s="14">
        <f t="shared" si="58"/>
        <v>18</v>
      </c>
      <c r="I99" s="14">
        <f t="shared" si="58"/>
        <v>46</v>
      </c>
      <c r="J99" s="155">
        <v>1.0</v>
      </c>
      <c r="K99" s="14"/>
      <c r="L99" s="14"/>
      <c r="M99" s="14"/>
      <c r="N99" s="14"/>
      <c r="O99" s="14"/>
      <c r="P99" s="14"/>
      <c r="Q99" s="14"/>
      <c r="R99" s="14"/>
      <c r="S99" s="14"/>
    </row>
    <row r="100">
      <c r="A100" s="43">
        <f t="shared" si="26"/>
        <v>905</v>
      </c>
      <c r="B100" s="43" t="s">
        <v>2093</v>
      </c>
      <c r="C100" s="43">
        <v>4.0</v>
      </c>
      <c r="D100" s="14">
        <f t="shared" ref="D100:I100" si="59">ROUND(D80*0.8,0)</f>
        <v>260</v>
      </c>
      <c r="E100" s="14">
        <f t="shared" si="59"/>
        <v>6</v>
      </c>
      <c r="F100" s="14">
        <f t="shared" si="59"/>
        <v>42</v>
      </c>
      <c r="G100" s="14">
        <f t="shared" si="59"/>
        <v>13</v>
      </c>
      <c r="H100" s="14">
        <f t="shared" si="59"/>
        <v>22</v>
      </c>
      <c r="I100" s="14">
        <f t="shared" si="59"/>
        <v>58</v>
      </c>
      <c r="J100" s="155"/>
      <c r="K100" s="14"/>
      <c r="L100" s="14"/>
      <c r="M100" s="14"/>
      <c r="N100" s="14"/>
      <c r="O100" s="14"/>
      <c r="P100" s="14"/>
      <c r="Q100" s="14"/>
      <c r="R100" s="14"/>
      <c r="S100" s="14"/>
    </row>
    <row r="101">
      <c r="A101" s="43">
        <f t="shared" si="26"/>
        <v>905</v>
      </c>
      <c r="B101" s="43" t="s">
        <v>2094</v>
      </c>
      <c r="C101" s="43">
        <v>5.0</v>
      </c>
      <c r="D101" s="14">
        <f t="shared" ref="D101:I101" si="60">ROUND(D81*0.8,0)</f>
        <v>312</v>
      </c>
      <c r="E101" s="14">
        <f t="shared" si="60"/>
        <v>6</v>
      </c>
      <c r="F101" s="14">
        <f t="shared" si="60"/>
        <v>50</v>
      </c>
      <c r="G101" s="14">
        <f t="shared" si="60"/>
        <v>16</v>
      </c>
      <c r="H101" s="14">
        <f t="shared" si="60"/>
        <v>26</v>
      </c>
      <c r="I101" s="14">
        <f t="shared" si="60"/>
        <v>69</v>
      </c>
      <c r="J101" s="155">
        <v>1.0</v>
      </c>
      <c r="K101" s="14"/>
      <c r="L101" s="14"/>
      <c r="M101" s="14"/>
      <c r="N101" s="14"/>
      <c r="O101" s="14"/>
      <c r="P101" s="14"/>
      <c r="Q101" s="14"/>
      <c r="R101" s="14"/>
      <c r="S101" s="14"/>
    </row>
    <row r="102">
      <c r="A102" s="43">
        <f t="shared" si="26"/>
        <v>905</v>
      </c>
      <c r="B102" s="43" t="s">
        <v>2095</v>
      </c>
      <c r="C102" s="43">
        <v>6.0</v>
      </c>
      <c r="D102" s="14">
        <f t="shared" ref="D102:I102" si="61">ROUND(D82*0.8,0)</f>
        <v>364</v>
      </c>
      <c r="E102" s="14">
        <f t="shared" si="61"/>
        <v>7</v>
      </c>
      <c r="F102" s="14">
        <f t="shared" si="61"/>
        <v>58</v>
      </c>
      <c r="G102" s="14">
        <f t="shared" si="61"/>
        <v>18</v>
      </c>
      <c r="H102" s="14">
        <f t="shared" si="61"/>
        <v>31</v>
      </c>
      <c r="I102" s="14">
        <f t="shared" si="61"/>
        <v>80</v>
      </c>
      <c r="J102" s="155"/>
      <c r="K102" s="4">
        <v>0.05</v>
      </c>
      <c r="L102" s="14"/>
      <c r="M102" s="4">
        <v>0.05</v>
      </c>
      <c r="N102" s="14"/>
      <c r="O102" s="14"/>
      <c r="P102" s="14"/>
      <c r="Q102" s="14"/>
      <c r="R102" s="14"/>
      <c r="S102" s="14"/>
    </row>
    <row r="103">
      <c r="A103" s="43">
        <f t="shared" si="26"/>
        <v>905</v>
      </c>
      <c r="B103" s="43" t="s">
        <v>2096</v>
      </c>
      <c r="C103" s="43">
        <v>7.0</v>
      </c>
      <c r="D103" s="14">
        <f t="shared" ref="D103:I103" si="62">ROUND(D83*0.8,0)</f>
        <v>416</v>
      </c>
      <c r="E103" s="14">
        <f t="shared" si="62"/>
        <v>8</v>
      </c>
      <c r="F103" s="14">
        <f t="shared" si="62"/>
        <v>66</v>
      </c>
      <c r="G103" s="14">
        <f t="shared" si="62"/>
        <v>21</v>
      </c>
      <c r="H103" s="14">
        <f t="shared" si="62"/>
        <v>35</v>
      </c>
      <c r="I103" s="14">
        <f t="shared" si="62"/>
        <v>91</v>
      </c>
      <c r="J103" s="155">
        <v>1.0</v>
      </c>
      <c r="K103" s="4">
        <v>0.05</v>
      </c>
      <c r="L103" s="14"/>
      <c r="M103" s="4">
        <v>0.05</v>
      </c>
      <c r="N103" s="14"/>
      <c r="O103" s="14"/>
      <c r="P103" s="14"/>
      <c r="Q103" s="14"/>
      <c r="R103" s="14"/>
      <c r="S103" s="14"/>
    </row>
    <row r="104">
      <c r="A104" s="43">
        <f t="shared" si="26"/>
        <v>905</v>
      </c>
      <c r="B104" s="43" t="s">
        <v>2097</v>
      </c>
      <c r="C104" s="43">
        <v>8.0</v>
      </c>
      <c r="D104" s="14">
        <f t="shared" ref="D104:I104" si="63">ROUND(D84*0.8,0)</f>
        <v>468</v>
      </c>
      <c r="E104" s="14">
        <f t="shared" si="63"/>
        <v>10</v>
      </c>
      <c r="F104" s="14">
        <f t="shared" si="63"/>
        <v>75</v>
      </c>
      <c r="G104" s="14">
        <f t="shared" si="63"/>
        <v>23</v>
      </c>
      <c r="H104" s="14">
        <f t="shared" si="63"/>
        <v>40</v>
      </c>
      <c r="I104" s="14">
        <f t="shared" si="63"/>
        <v>103</v>
      </c>
      <c r="J104" s="155"/>
      <c r="K104" s="4">
        <v>0.05</v>
      </c>
      <c r="L104" s="14"/>
      <c r="M104" s="4">
        <v>0.05</v>
      </c>
      <c r="N104" s="14"/>
      <c r="O104" s="14"/>
      <c r="P104" s="14"/>
      <c r="Q104" s="14"/>
      <c r="R104" s="14"/>
      <c r="S104" s="14"/>
    </row>
    <row r="105">
      <c r="A105" s="43">
        <f t="shared" si="26"/>
        <v>905</v>
      </c>
      <c r="B105" s="43" t="s">
        <v>2098</v>
      </c>
      <c r="C105" s="43">
        <v>9.0</v>
      </c>
      <c r="D105" s="14">
        <f t="shared" ref="D105:I105" si="64">ROUND(D85*0.8,0)</f>
        <v>520</v>
      </c>
      <c r="E105" s="14">
        <f t="shared" si="64"/>
        <v>10</v>
      </c>
      <c r="F105" s="14">
        <f t="shared" si="64"/>
        <v>83</v>
      </c>
      <c r="G105" s="14">
        <f t="shared" si="64"/>
        <v>26</v>
      </c>
      <c r="H105" s="14">
        <f t="shared" si="64"/>
        <v>44</v>
      </c>
      <c r="I105" s="14">
        <f t="shared" si="64"/>
        <v>114</v>
      </c>
      <c r="J105" s="155">
        <v>1.0</v>
      </c>
      <c r="K105" s="4">
        <v>0.05</v>
      </c>
      <c r="L105" s="14"/>
      <c r="M105" s="4">
        <v>0.05</v>
      </c>
      <c r="N105" s="14"/>
      <c r="O105" s="14"/>
      <c r="P105" s="14"/>
      <c r="Q105" s="14"/>
      <c r="R105" s="14"/>
      <c r="S105" s="14"/>
    </row>
    <row r="106">
      <c r="A106" s="43">
        <f t="shared" si="26"/>
        <v>905</v>
      </c>
      <c r="B106" s="43" t="s">
        <v>2099</v>
      </c>
      <c r="C106" s="43">
        <v>10.0</v>
      </c>
      <c r="D106" s="14">
        <f t="shared" ref="D106:I106" si="65">ROUND(D86*0.8,0)</f>
        <v>624</v>
      </c>
      <c r="E106" s="14">
        <f t="shared" si="65"/>
        <v>13</v>
      </c>
      <c r="F106" s="14">
        <f t="shared" si="65"/>
        <v>100</v>
      </c>
      <c r="G106" s="14">
        <f t="shared" si="65"/>
        <v>31</v>
      </c>
      <c r="H106" s="14">
        <f t="shared" si="65"/>
        <v>53</v>
      </c>
      <c r="I106" s="14">
        <f t="shared" si="65"/>
        <v>138</v>
      </c>
      <c r="J106" s="155">
        <v>2.0</v>
      </c>
      <c r="K106" s="4">
        <v>0.05</v>
      </c>
      <c r="L106" s="14"/>
      <c r="M106" s="4">
        <v>0.05</v>
      </c>
      <c r="N106" s="14"/>
      <c r="O106" s="14"/>
      <c r="P106" s="14"/>
      <c r="Q106" s="14"/>
      <c r="R106" s="14"/>
      <c r="S106" s="14"/>
    </row>
    <row r="108">
      <c r="A108" s="40" t="s">
        <v>1764</v>
      </c>
      <c r="B108" s="40" t="s">
        <v>937</v>
      </c>
      <c r="C108" s="40" t="s">
        <v>173</v>
      </c>
      <c r="D108" s="40" t="s">
        <v>68</v>
      </c>
      <c r="E108" s="40" t="s">
        <v>250</v>
      </c>
      <c r="F108" s="40" t="s">
        <v>252</v>
      </c>
      <c r="G108" s="40" t="s">
        <v>254</v>
      </c>
      <c r="H108" s="40" t="s">
        <v>256</v>
      </c>
      <c r="I108" s="40" t="s">
        <v>73</v>
      </c>
      <c r="J108" s="40" t="s">
        <v>265</v>
      </c>
      <c r="K108" s="40" t="s">
        <v>259</v>
      </c>
      <c r="L108" s="40" t="s">
        <v>263</v>
      </c>
      <c r="M108" s="40" t="s">
        <v>269</v>
      </c>
      <c r="N108" s="40" t="s">
        <v>270</v>
      </c>
      <c r="O108" s="40" t="s">
        <v>271</v>
      </c>
      <c r="P108" s="40" t="s">
        <v>272</v>
      </c>
      <c r="Q108" s="40" t="s">
        <v>273</v>
      </c>
      <c r="R108" s="40" t="s">
        <v>274</v>
      </c>
      <c r="S108" s="40" t="s">
        <v>267</v>
      </c>
    </row>
    <row r="109">
      <c r="A109" s="43">
        <v>910.0</v>
      </c>
      <c r="B109" s="43" t="s">
        <v>1987</v>
      </c>
      <c r="C109" s="43">
        <v>1.0</v>
      </c>
      <c r="D109" s="4">
        <v>250.0</v>
      </c>
      <c r="E109" s="4">
        <v>25.0</v>
      </c>
      <c r="F109" s="4">
        <v>6.0</v>
      </c>
      <c r="G109" s="4">
        <v>18.0</v>
      </c>
      <c r="H109" s="4">
        <v>14.0</v>
      </c>
      <c r="I109" s="4">
        <v>25.0</v>
      </c>
      <c r="J109" s="155">
        <v>1.0</v>
      </c>
      <c r="K109" s="14"/>
      <c r="L109" s="14"/>
      <c r="M109" s="14"/>
      <c r="N109" s="14"/>
      <c r="O109" s="14"/>
      <c r="P109" s="14"/>
      <c r="Q109" s="14"/>
      <c r="R109" s="14"/>
      <c r="S109" s="14"/>
    </row>
    <row r="110">
      <c r="A110" s="43">
        <v>910.0</v>
      </c>
      <c r="B110" s="43" t="s">
        <v>1988</v>
      </c>
      <c r="C110" s="43">
        <v>2.0</v>
      </c>
      <c r="D110" s="14">
        <f t="shared" ref="D110:I110" si="66">ROUND(D$47*1.5,0)</f>
        <v>375</v>
      </c>
      <c r="E110" s="14">
        <f t="shared" si="66"/>
        <v>38</v>
      </c>
      <c r="F110" s="14">
        <f t="shared" si="66"/>
        <v>9</v>
      </c>
      <c r="G110" s="14">
        <f t="shared" si="66"/>
        <v>27</v>
      </c>
      <c r="H110" s="14">
        <f t="shared" si="66"/>
        <v>21</v>
      </c>
      <c r="I110" s="14">
        <f t="shared" si="66"/>
        <v>38</v>
      </c>
      <c r="J110" s="155"/>
      <c r="K110" s="14"/>
      <c r="L110" s="14"/>
      <c r="M110" s="14"/>
      <c r="N110" s="14"/>
      <c r="O110" s="14"/>
      <c r="P110" s="14"/>
      <c r="Q110" s="14"/>
      <c r="R110" s="14"/>
      <c r="S110" s="14"/>
    </row>
    <row r="111">
      <c r="A111" s="43">
        <v>910.0</v>
      </c>
      <c r="B111" s="43" t="s">
        <v>1989</v>
      </c>
      <c r="C111" s="43">
        <v>3.0</v>
      </c>
      <c r="D111" s="14">
        <f>ROUND(D$47*2,0)</f>
        <v>500</v>
      </c>
      <c r="E111" s="14">
        <f t="shared" ref="E111:I111" si="67">ROUND(E$47*1.5,0)</f>
        <v>38</v>
      </c>
      <c r="F111" s="14">
        <f t="shared" si="67"/>
        <v>9</v>
      </c>
      <c r="G111" s="14">
        <f t="shared" si="67"/>
        <v>27</v>
      </c>
      <c r="H111" s="14">
        <f t="shared" si="67"/>
        <v>21</v>
      </c>
      <c r="I111" s="14">
        <f t="shared" si="67"/>
        <v>38</v>
      </c>
      <c r="J111" s="155">
        <v>1.0</v>
      </c>
      <c r="K111" s="14"/>
      <c r="L111" s="14"/>
      <c r="M111" s="14"/>
      <c r="N111" s="14"/>
      <c r="O111" s="14"/>
      <c r="P111" s="14"/>
      <c r="Q111" s="14"/>
      <c r="R111" s="14"/>
      <c r="S111" s="14"/>
    </row>
    <row r="112">
      <c r="A112" s="43">
        <v>910.0</v>
      </c>
      <c r="B112" s="43" t="s">
        <v>1995</v>
      </c>
      <c r="C112" s="43">
        <v>4.0</v>
      </c>
      <c r="D112" s="14">
        <f t="shared" ref="D112:I112" si="68">ROUND(D$47*2.5,0)</f>
        <v>625</v>
      </c>
      <c r="E112" s="14">
        <f t="shared" si="68"/>
        <v>63</v>
      </c>
      <c r="F112" s="14">
        <f t="shared" si="68"/>
        <v>15</v>
      </c>
      <c r="G112" s="14">
        <f t="shared" si="68"/>
        <v>45</v>
      </c>
      <c r="H112" s="14">
        <f t="shared" si="68"/>
        <v>35</v>
      </c>
      <c r="I112" s="14">
        <f t="shared" si="68"/>
        <v>63</v>
      </c>
      <c r="J112" s="155"/>
      <c r="K112" s="14"/>
      <c r="L112" s="14"/>
      <c r="M112" s="14"/>
      <c r="N112" s="14"/>
      <c r="O112" s="14"/>
      <c r="P112" s="14"/>
      <c r="Q112" s="14"/>
      <c r="R112" s="14"/>
      <c r="S112" s="14"/>
    </row>
    <row r="113">
      <c r="A113" s="43">
        <v>910.0</v>
      </c>
      <c r="B113" s="43" t="s">
        <v>1996</v>
      </c>
      <c r="C113" s="43">
        <v>5.0</v>
      </c>
      <c r="D113" s="14">
        <f t="shared" ref="D113:I113" si="69">ROUND(D$47*3,0)</f>
        <v>750</v>
      </c>
      <c r="E113" s="14">
        <f t="shared" si="69"/>
        <v>75</v>
      </c>
      <c r="F113" s="14">
        <f t="shared" si="69"/>
        <v>18</v>
      </c>
      <c r="G113" s="14">
        <f t="shared" si="69"/>
        <v>54</v>
      </c>
      <c r="H113" s="14">
        <f t="shared" si="69"/>
        <v>42</v>
      </c>
      <c r="I113" s="14">
        <f t="shared" si="69"/>
        <v>75</v>
      </c>
      <c r="J113" s="155">
        <v>1.0</v>
      </c>
      <c r="K113" s="14"/>
      <c r="L113" s="14"/>
      <c r="M113" s="14"/>
      <c r="N113" s="14"/>
      <c r="O113" s="14"/>
      <c r="P113" s="14"/>
      <c r="Q113" s="14"/>
      <c r="R113" s="14"/>
      <c r="S113" s="14"/>
    </row>
    <row r="114">
      <c r="A114" s="43">
        <v>910.0</v>
      </c>
      <c r="B114" s="43" t="s">
        <v>1997</v>
      </c>
      <c r="C114" s="43">
        <v>6.0</v>
      </c>
      <c r="D114" s="14">
        <f t="shared" ref="D114:I114" si="70">ROUND(D$47*3.5,0)</f>
        <v>875</v>
      </c>
      <c r="E114" s="14">
        <f t="shared" si="70"/>
        <v>88</v>
      </c>
      <c r="F114" s="14">
        <f t="shared" si="70"/>
        <v>21</v>
      </c>
      <c r="G114" s="14">
        <f t="shared" si="70"/>
        <v>63</v>
      </c>
      <c r="H114" s="14">
        <f t="shared" si="70"/>
        <v>49</v>
      </c>
      <c r="I114" s="14">
        <f t="shared" si="70"/>
        <v>88</v>
      </c>
      <c r="J114" s="155"/>
      <c r="K114" s="4">
        <v>0.05</v>
      </c>
      <c r="L114" s="14"/>
      <c r="M114" s="4">
        <v>0.05</v>
      </c>
      <c r="N114" s="14"/>
      <c r="O114" s="14"/>
      <c r="P114" s="14"/>
      <c r="Q114" s="14"/>
      <c r="R114" s="14"/>
      <c r="S114" s="14"/>
    </row>
    <row r="115">
      <c r="A115" s="43">
        <v>910.0</v>
      </c>
      <c r="B115" s="43" t="s">
        <v>1998</v>
      </c>
      <c r="C115" s="43">
        <v>7.0</v>
      </c>
      <c r="D115" s="14">
        <f t="shared" ref="D115:I115" si="71">ROUND(D$47*4,0)</f>
        <v>1000</v>
      </c>
      <c r="E115" s="14">
        <f t="shared" si="71"/>
        <v>100</v>
      </c>
      <c r="F115" s="14">
        <f t="shared" si="71"/>
        <v>24</v>
      </c>
      <c r="G115" s="14">
        <f t="shared" si="71"/>
        <v>72</v>
      </c>
      <c r="H115" s="14">
        <f t="shared" si="71"/>
        <v>56</v>
      </c>
      <c r="I115" s="14">
        <f t="shared" si="71"/>
        <v>100</v>
      </c>
      <c r="J115" s="155">
        <v>1.0</v>
      </c>
      <c r="K115" s="4">
        <v>0.05</v>
      </c>
      <c r="L115" s="14"/>
      <c r="M115" s="4">
        <v>0.05</v>
      </c>
      <c r="N115" s="14"/>
      <c r="O115" s="14"/>
      <c r="P115" s="14"/>
      <c r="Q115" s="14"/>
      <c r="R115" s="14"/>
      <c r="S115" s="14"/>
    </row>
    <row r="116">
      <c r="A116" s="43">
        <v>910.0</v>
      </c>
      <c r="B116" s="43" t="s">
        <v>1999</v>
      </c>
      <c r="C116" s="43">
        <v>8.0</v>
      </c>
      <c r="D116" s="14">
        <f t="shared" ref="D116:I116" si="72">ROUND(D$47*4.5,0)</f>
        <v>1125</v>
      </c>
      <c r="E116" s="14">
        <f t="shared" si="72"/>
        <v>113</v>
      </c>
      <c r="F116" s="14">
        <f t="shared" si="72"/>
        <v>27</v>
      </c>
      <c r="G116" s="14">
        <f t="shared" si="72"/>
        <v>81</v>
      </c>
      <c r="H116" s="14">
        <f t="shared" si="72"/>
        <v>63</v>
      </c>
      <c r="I116" s="14">
        <f t="shared" si="72"/>
        <v>113</v>
      </c>
      <c r="J116" s="155"/>
      <c r="K116" s="4">
        <v>0.05</v>
      </c>
      <c r="L116" s="14"/>
      <c r="M116" s="4">
        <v>0.05</v>
      </c>
      <c r="N116" s="14"/>
      <c r="O116" s="14"/>
      <c r="P116" s="14"/>
      <c r="Q116" s="14"/>
      <c r="R116" s="14"/>
      <c r="S116" s="14"/>
    </row>
    <row r="117">
      <c r="A117" s="43">
        <v>910.0</v>
      </c>
      <c r="B117" s="43" t="s">
        <v>2000</v>
      </c>
      <c r="C117" s="43">
        <v>9.0</v>
      </c>
      <c r="D117" s="14">
        <f t="shared" ref="D117:I117" si="73">ROUND(D$47*5,0)</f>
        <v>1250</v>
      </c>
      <c r="E117" s="14">
        <f t="shared" si="73"/>
        <v>125</v>
      </c>
      <c r="F117" s="14">
        <f t="shared" si="73"/>
        <v>30</v>
      </c>
      <c r="G117" s="14">
        <f t="shared" si="73"/>
        <v>90</v>
      </c>
      <c r="H117" s="14">
        <f t="shared" si="73"/>
        <v>70</v>
      </c>
      <c r="I117" s="14">
        <f t="shared" si="73"/>
        <v>125</v>
      </c>
      <c r="J117" s="155">
        <v>1.0</v>
      </c>
      <c r="K117" s="4">
        <v>0.05</v>
      </c>
      <c r="L117" s="14"/>
      <c r="M117" s="4">
        <v>0.05</v>
      </c>
      <c r="N117" s="14"/>
      <c r="O117" s="14"/>
      <c r="P117" s="14"/>
      <c r="Q117" s="14"/>
      <c r="R117" s="14"/>
      <c r="S117" s="14"/>
    </row>
    <row r="118">
      <c r="A118" s="43">
        <v>910.0</v>
      </c>
      <c r="B118" s="43" t="s">
        <v>2001</v>
      </c>
      <c r="C118" s="43">
        <v>10.0</v>
      </c>
      <c r="D118" s="14">
        <f t="shared" ref="D118:I118" si="74">ROUND(D$47*6,0)</f>
        <v>1500</v>
      </c>
      <c r="E118" s="14">
        <f t="shared" si="74"/>
        <v>150</v>
      </c>
      <c r="F118" s="14">
        <f t="shared" si="74"/>
        <v>36</v>
      </c>
      <c r="G118" s="14">
        <f t="shared" si="74"/>
        <v>108</v>
      </c>
      <c r="H118" s="14">
        <f t="shared" si="74"/>
        <v>84</v>
      </c>
      <c r="I118" s="14">
        <f t="shared" si="74"/>
        <v>150</v>
      </c>
      <c r="J118" s="155">
        <v>2.0</v>
      </c>
      <c r="K118" s="4">
        <v>0.05</v>
      </c>
      <c r="L118" s="14"/>
      <c r="M118" s="4">
        <v>0.05</v>
      </c>
      <c r="N118" s="14"/>
      <c r="O118" s="14"/>
      <c r="P118" s="14"/>
      <c r="Q118" s="14"/>
      <c r="R118" s="14"/>
      <c r="S118" s="14"/>
    </row>
    <row r="119">
      <c r="A119" s="43">
        <v>911.0</v>
      </c>
      <c r="B119" s="43" t="s">
        <v>2002</v>
      </c>
      <c r="C119" s="43">
        <v>1.0</v>
      </c>
      <c r="D119" s="4">
        <v>200.0</v>
      </c>
      <c r="E119" s="4">
        <v>4.0</v>
      </c>
      <c r="F119" s="4">
        <v>32.0</v>
      </c>
      <c r="G119" s="4">
        <v>10.0</v>
      </c>
      <c r="H119" s="4">
        <v>17.0</v>
      </c>
      <c r="I119" s="4">
        <v>44.0</v>
      </c>
      <c r="J119" s="155">
        <v>1.0</v>
      </c>
      <c r="K119" s="14"/>
      <c r="L119" s="14"/>
      <c r="M119" s="14"/>
      <c r="N119" s="14"/>
      <c r="O119" s="14"/>
      <c r="P119" s="14"/>
      <c r="Q119" s="14"/>
      <c r="R119" s="14"/>
      <c r="S119" s="14"/>
    </row>
    <row r="120">
      <c r="A120" s="43">
        <v>911.0</v>
      </c>
      <c r="B120" s="43" t="s">
        <v>2003</v>
      </c>
      <c r="C120" s="43">
        <v>2.0</v>
      </c>
      <c r="D120" s="14">
        <f t="shared" ref="D120:I120" si="75">ROUND(D$57*1.5,0)</f>
        <v>300</v>
      </c>
      <c r="E120" s="14">
        <f t="shared" si="75"/>
        <v>6</v>
      </c>
      <c r="F120" s="14">
        <f t="shared" si="75"/>
        <v>48</v>
      </c>
      <c r="G120" s="14">
        <f t="shared" si="75"/>
        <v>15</v>
      </c>
      <c r="H120" s="14">
        <f t="shared" si="75"/>
        <v>26</v>
      </c>
      <c r="I120" s="14">
        <f t="shared" si="75"/>
        <v>66</v>
      </c>
      <c r="J120" s="155"/>
      <c r="K120" s="14"/>
      <c r="L120" s="14"/>
      <c r="M120" s="14"/>
      <c r="N120" s="14"/>
      <c r="O120" s="14"/>
      <c r="P120" s="14"/>
      <c r="Q120" s="14"/>
      <c r="R120" s="14"/>
      <c r="S120" s="14"/>
    </row>
    <row r="121">
      <c r="A121" s="43">
        <v>911.0</v>
      </c>
      <c r="B121" s="43" t="s">
        <v>2004</v>
      </c>
      <c r="C121" s="43">
        <v>3.0</v>
      </c>
      <c r="D121" s="14">
        <f t="shared" ref="D121:I121" si="76">ROUND(D$57*2,0)</f>
        <v>400</v>
      </c>
      <c r="E121" s="14">
        <f t="shared" si="76"/>
        <v>8</v>
      </c>
      <c r="F121" s="14">
        <f t="shared" si="76"/>
        <v>64</v>
      </c>
      <c r="G121" s="14">
        <f t="shared" si="76"/>
        <v>20</v>
      </c>
      <c r="H121" s="14">
        <f t="shared" si="76"/>
        <v>34</v>
      </c>
      <c r="I121" s="14">
        <f t="shared" si="76"/>
        <v>88</v>
      </c>
      <c r="J121" s="155">
        <v>1.0</v>
      </c>
      <c r="K121" s="14"/>
      <c r="L121" s="14"/>
      <c r="M121" s="14"/>
      <c r="N121" s="14"/>
      <c r="O121" s="14"/>
      <c r="P121" s="14"/>
      <c r="Q121" s="14"/>
      <c r="R121" s="14"/>
      <c r="S121" s="14"/>
    </row>
    <row r="122">
      <c r="A122" s="43">
        <v>911.0</v>
      </c>
      <c r="B122" s="43" t="s">
        <v>2005</v>
      </c>
      <c r="C122" s="43">
        <v>4.0</v>
      </c>
      <c r="D122" s="14">
        <f t="shared" ref="D122:I122" si="77">ROUND(D$57*2.5,0)</f>
        <v>500</v>
      </c>
      <c r="E122" s="14">
        <f t="shared" si="77"/>
        <v>10</v>
      </c>
      <c r="F122" s="14">
        <f t="shared" si="77"/>
        <v>80</v>
      </c>
      <c r="G122" s="14">
        <f t="shared" si="77"/>
        <v>25</v>
      </c>
      <c r="H122" s="14">
        <f t="shared" si="77"/>
        <v>43</v>
      </c>
      <c r="I122" s="14">
        <f t="shared" si="77"/>
        <v>110</v>
      </c>
      <c r="J122" s="155"/>
      <c r="K122" s="14"/>
      <c r="L122" s="14"/>
      <c r="M122" s="14"/>
      <c r="N122" s="14"/>
      <c r="O122" s="14"/>
      <c r="P122" s="14"/>
      <c r="Q122" s="14"/>
      <c r="R122" s="14"/>
      <c r="S122" s="14"/>
    </row>
    <row r="123">
      <c r="A123" s="43">
        <v>911.0</v>
      </c>
      <c r="B123" s="43" t="s">
        <v>2006</v>
      </c>
      <c r="C123" s="43">
        <v>5.0</v>
      </c>
      <c r="D123" s="14">
        <f t="shared" ref="D123:I123" si="78">ROUND(D$57*3,0)</f>
        <v>600</v>
      </c>
      <c r="E123" s="14">
        <f t="shared" si="78"/>
        <v>12</v>
      </c>
      <c r="F123" s="14">
        <f t="shared" si="78"/>
        <v>96</v>
      </c>
      <c r="G123" s="14">
        <f t="shared" si="78"/>
        <v>30</v>
      </c>
      <c r="H123" s="14">
        <f t="shared" si="78"/>
        <v>51</v>
      </c>
      <c r="I123" s="14">
        <f t="shared" si="78"/>
        <v>132</v>
      </c>
      <c r="J123" s="155">
        <v>1.0</v>
      </c>
      <c r="K123" s="14"/>
      <c r="L123" s="14"/>
      <c r="M123" s="14"/>
      <c r="N123" s="14"/>
      <c r="O123" s="14"/>
      <c r="P123" s="14"/>
      <c r="Q123" s="14"/>
      <c r="R123" s="14"/>
      <c r="S123" s="14"/>
    </row>
    <row r="124">
      <c r="A124" s="43">
        <v>911.0</v>
      </c>
      <c r="B124" s="43" t="s">
        <v>2007</v>
      </c>
      <c r="C124" s="43">
        <v>6.0</v>
      </c>
      <c r="D124" s="14">
        <f t="shared" ref="D124:I124" si="79">ROUND(D$57*3.5,0)</f>
        <v>700</v>
      </c>
      <c r="E124" s="14">
        <f t="shared" si="79"/>
        <v>14</v>
      </c>
      <c r="F124" s="14">
        <f t="shared" si="79"/>
        <v>112</v>
      </c>
      <c r="G124" s="14">
        <f t="shared" si="79"/>
        <v>35</v>
      </c>
      <c r="H124" s="14">
        <f t="shared" si="79"/>
        <v>60</v>
      </c>
      <c r="I124" s="14">
        <f t="shared" si="79"/>
        <v>154</v>
      </c>
      <c r="J124" s="155"/>
      <c r="K124" s="4">
        <v>0.05</v>
      </c>
      <c r="L124" s="14"/>
      <c r="M124" s="4">
        <v>0.05</v>
      </c>
      <c r="N124" s="14"/>
      <c r="O124" s="14"/>
      <c r="P124" s="14"/>
      <c r="Q124" s="14"/>
      <c r="R124" s="14"/>
      <c r="S124" s="14"/>
    </row>
    <row r="125">
      <c r="A125" s="43">
        <v>911.0</v>
      </c>
      <c r="B125" s="43" t="s">
        <v>2008</v>
      </c>
      <c r="C125" s="43">
        <v>7.0</v>
      </c>
      <c r="D125" s="14">
        <f t="shared" ref="D125:I125" si="80">ROUND(D$57*4,0)</f>
        <v>800</v>
      </c>
      <c r="E125" s="14">
        <f t="shared" si="80"/>
        <v>16</v>
      </c>
      <c r="F125" s="14">
        <f t="shared" si="80"/>
        <v>128</v>
      </c>
      <c r="G125" s="14">
        <f t="shared" si="80"/>
        <v>40</v>
      </c>
      <c r="H125" s="14">
        <f t="shared" si="80"/>
        <v>68</v>
      </c>
      <c r="I125" s="14">
        <f t="shared" si="80"/>
        <v>176</v>
      </c>
      <c r="J125" s="155">
        <v>1.0</v>
      </c>
      <c r="K125" s="4">
        <v>0.05</v>
      </c>
      <c r="L125" s="14"/>
      <c r="M125" s="4">
        <v>0.05</v>
      </c>
      <c r="N125" s="14"/>
      <c r="O125" s="14"/>
      <c r="P125" s="14"/>
      <c r="Q125" s="14"/>
      <c r="R125" s="14"/>
      <c r="S125" s="14"/>
    </row>
    <row r="126">
      <c r="A126" s="43">
        <v>911.0</v>
      </c>
      <c r="B126" s="43" t="s">
        <v>2009</v>
      </c>
      <c r="C126" s="43">
        <v>8.0</v>
      </c>
      <c r="D126" s="14">
        <f t="shared" ref="D126:I126" si="81">ROUND(D$57*4.5,0)</f>
        <v>900</v>
      </c>
      <c r="E126" s="14">
        <f t="shared" si="81"/>
        <v>18</v>
      </c>
      <c r="F126" s="14">
        <f t="shared" si="81"/>
        <v>144</v>
      </c>
      <c r="G126" s="14">
        <f t="shared" si="81"/>
        <v>45</v>
      </c>
      <c r="H126" s="14">
        <f t="shared" si="81"/>
        <v>77</v>
      </c>
      <c r="I126" s="14">
        <f t="shared" si="81"/>
        <v>198</v>
      </c>
      <c r="J126" s="155"/>
      <c r="K126" s="4">
        <v>0.05</v>
      </c>
      <c r="L126" s="14"/>
      <c r="M126" s="4">
        <v>0.05</v>
      </c>
      <c r="N126" s="14"/>
      <c r="O126" s="14"/>
      <c r="P126" s="14"/>
      <c r="Q126" s="14"/>
      <c r="R126" s="14"/>
      <c r="S126" s="14"/>
    </row>
    <row r="127">
      <c r="A127" s="43">
        <v>911.0</v>
      </c>
      <c r="B127" s="43" t="s">
        <v>2010</v>
      </c>
      <c r="C127" s="43">
        <v>9.0</v>
      </c>
      <c r="D127" s="14">
        <f t="shared" ref="D127:I127" si="82">ROUND(D$57*5,0)</f>
        <v>1000</v>
      </c>
      <c r="E127" s="14">
        <f t="shared" si="82"/>
        <v>20</v>
      </c>
      <c r="F127" s="14">
        <f t="shared" si="82"/>
        <v>160</v>
      </c>
      <c r="G127" s="14">
        <f t="shared" si="82"/>
        <v>50</v>
      </c>
      <c r="H127" s="14">
        <f t="shared" si="82"/>
        <v>85</v>
      </c>
      <c r="I127" s="14">
        <f t="shared" si="82"/>
        <v>220</v>
      </c>
      <c r="J127" s="155">
        <v>1.0</v>
      </c>
      <c r="K127" s="4">
        <v>0.05</v>
      </c>
      <c r="L127" s="14"/>
      <c r="M127" s="4">
        <v>0.05</v>
      </c>
      <c r="N127" s="14"/>
      <c r="O127" s="14"/>
      <c r="P127" s="14"/>
      <c r="Q127" s="14"/>
      <c r="R127" s="14"/>
      <c r="S127" s="14"/>
    </row>
    <row r="128">
      <c r="A128" s="43">
        <v>911.0</v>
      </c>
      <c r="B128" s="43" t="s">
        <v>2011</v>
      </c>
      <c r="C128" s="43">
        <v>10.0</v>
      </c>
      <c r="D128" s="14">
        <f t="shared" ref="D128:I128" si="83">ROUND(D$57*6,0)</f>
        <v>1200</v>
      </c>
      <c r="E128" s="14">
        <f t="shared" si="83"/>
        <v>24</v>
      </c>
      <c r="F128" s="14">
        <f t="shared" si="83"/>
        <v>192</v>
      </c>
      <c r="G128" s="14">
        <f t="shared" si="83"/>
        <v>60</v>
      </c>
      <c r="H128" s="14">
        <f t="shared" si="83"/>
        <v>102</v>
      </c>
      <c r="I128" s="14">
        <f t="shared" si="83"/>
        <v>264</v>
      </c>
      <c r="J128" s="155">
        <v>2.0</v>
      </c>
      <c r="K128" s="4">
        <v>0.05</v>
      </c>
      <c r="L128" s="14"/>
      <c r="M128" s="4">
        <v>0.05</v>
      </c>
      <c r="N128" s="14"/>
      <c r="O128" s="14"/>
      <c r="P128" s="14"/>
      <c r="Q128" s="14"/>
      <c r="R128" s="14"/>
      <c r="S128" s="14"/>
    </row>
    <row r="129">
      <c r="A129" s="43">
        <f t="shared" ref="A129:A168" si="85">A109+2</f>
        <v>912</v>
      </c>
      <c r="B129" s="43" t="s">
        <v>2012</v>
      </c>
      <c r="C129" s="43">
        <v>1.0</v>
      </c>
      <c r="D129" s="14">
        <f t="shared" ref="D129:I129" si="84">ROUND(D109*0.65,0)</f>
        <v>163</v>
      </c>
      <c r="E129" s="14">
        <f t="shared" si="84"/>
        <v>16</v>
      </c>
      <c r="F129" s="14">
        <f t="shared" si="84"/>
        <v>4</v>
      </c>
      <c r="G129" s="14">
        <f t="shared" si="84"/>
        <v>12</v>
      </c>
      <c r="H129" s="14">
        <f t="shared" si="84"/>
        <v>9</v>
      </c>
      <c r="I129" s="14">
        <f t="shared" si="84"/>
        <v>16</v>
      </c>
      <c r="J129" s="155">
        <v>1.0</v>
      </c>
      <c r="K129" s="14"/>
      <c r="L129" s="14"/>
      <c r="M129" s="14"/>
      <c r="N129" s="14"/>
      <c r="O129" s="14"/>
      <c r="P129" s="14"/>
      <c r="Q129" s="14"/>
      <c r="R129" s="14"/>
      <c r="S129" s="14"/>
    </row>
    <row r="130">
      <c r="A130" s="43">
        <f t="shared" si="85"/>
        <v>912</v>
      </c>
      <c r="B130" s="43" t="s">
        <v>2013</v>
      </c>
      <c r="C130" s="43">
        <v>2.0</v>
      </c>
      <c r="D130" s="14">
        <f t="shared" ref="D130:I130" si="86">ROUND(D110*0.65,0)</f>
        <v>244</v>
      </c>
      <c r="E130" s="14">
        <f t="shared" si="86"/>
        <v>25</v>
      </c>
      <c r="F130" s="14">
        <f t="shared" si="86"/>
        <v>6</v>
      </c>
      <c r="G130" s="14">
        <f t="shared" si="86"/>
        <v>18</v>
      </c>
      <c r="H130" s="14">
        <f t="shared" si="86"/>
        <v>14</v>
      </c>
      <c r="I130" s="14">
        <f t="shared" si="86"/>
        <v>25</v>
      </c>
      <c r="J130" s="155"/>
      <c r="K130" s="14"/>
      <c r="L130" s="14"/>
      <c r="M130" s="14"/>
      <c r="N130" s="14"/>
      <c r="O130" s="14"/>
      <c r="P130" s="14"/>
      <c r="Q130" s="14"/>
      <c r="R130" s="14"/>
      <c r="S130" s="14"/>
    </row>
    <row r="131">
      <c r="A131" s="43">
        <f t="shared" si="85"/>
        <v>912</v>
      </c>
      <c r="B131" s="43" t="s">
        <v>2015</v>
      </c>
      <c r="C131" s="43">
        <v>3.0</v>
      </c>
      <c r="D131" s="14">
        <f t="shared" ref="D131:I131" si="87">ROUND(D111*0.65,0)</f>
        <v>325</v>
      </c>
      <c r="E131" s="14">
        <f t="shared" si="87"/>
        <v>25</v>
      </c>
      <c r="F131" s="14">
        <f t="shared" si="87"/>
        <v>6</v>
      </c>
      <c r="G131" s="14">
        <f t="shared" si="87"/>
        <v>18</v>
      </c>
      <c r="H131" s="14">
        <f t="shared" si="87"/>
        <v>14</v>
      </c>
      <c r="I131" s="14">
        <f t="shared" si="87"/>
        <v>25</v>
      </c>
      <c r="J131" s="155">
        <v>1.0</v>
      </c>
      <c r="K131" s="14"/>
      <c r="L131" s="14"/>
      <c r="M131" s="14"/>
      <c r="N131" s="14"/>
      <c r="O131" s="14"/>
      <c r="P131" s="14"/>
      <c r="Q131" s="14"/>
      <c r="R131" s="14"/>
      <c r="S131" s="14"/>
    </row>
    <row r="132">
      <c r="A132" s="43">
        <f t="shared" si="85"/>
        <v>912</v>
      </c>
      <c r="B132" s="43" t="s">
        <v>2018</v>
      </c>
      <c r="C132" s="43">
        <v>4.0</v>
      </c>
      <c r="D132" s="14">
        <f t="shared" ref="D132:I132" si="88">ROUND(D112*0.65,0)</f>
        <v>406</v>
      </c>
      <c r="E132" s="14">
        <f t="shared" si="88"/>
        <v>41</v>
      </c>
      <c r="F132" s="14">
        <f t="shared" si="88"/>
        <v>10</v>
      </c>
      <c r="G132" s="14">
        <f t="shared" si="88"/>
        <v>29</v>
      </c>
      <c r="H132" s="14">
        <f t="shared" si="88"/>
        <v>23</v>
      </c>
      <c r="I132" s="14">
        <f t="shared" si="88"/>
        <v>41</v>
      </c>
      <c r="J132" s="155"/>
      <c r="K132" s="14"/>
      <c r="L132" s="14"/>
      <c r="M132" s="14"/>
      <c r="N132" s="14"/>
      <c r="O132" s="14"/>
      <c r="P132" s="14"/>
      <c r="Q132" s="14"/>
      <c r="R132" s="14"/>
      <c r="S132" s="14"/>
    </row>
    <row r="133">
      <c r="A133" s="43">
        <f t="shared" si="85"/>
        <v>912</v>
      </c>
      <c r="B133" s="43" t="s">
        <v>2022</v>
      </c>
      <c r="C133" s="43">
        <v>5.0</v>
      </c>
      <c r="D133" s="14">
        <f t="shared" ref="D133:I133" si="89">ROUND(D113*0.65,0)</f>
        <v>488</v>
      </c>
      <c r="E133" s="14">
        <f t="shared" si="89"/>
        <v>49</v>
      </c>
      <c r="F133" s="14">
        <f t="shared" si="89"/>
        <v>12</v>
      </c>
      <c r="G133" s="14">
        <f t="shared" si="89"/>
        <v>35</v>
      </c>
      <c r="H133" s="14">
        <f t="shared" si="89"/>
        <v>27</v>
      </c>
      <c r="I133" s="14">
        <f t="shared" si="89"/>
        <v>49</v>
      </c>
      <c r="J133" s="155">
        <v>1.0</v>
      </c>
      <c r="K133" s="14"/>
      <c r="L133" s="14"/>
      <c r="M133" s="14"/>
      <c r="N133" s="14"/>
      <c r="O133" s="14"/>
      <c r="P133" s="14"/>
      <c r="Q133" s="14"/>
      <c r="R133" s="14"/>
      <c r="S133" s="14"/>
    </row>
    <row r="134">
      <c r="A134" s="43">
        <f t="shared" si="85"/>
        <v>912</v>
      </c>
      <c r="B134" s="43" t="s">
        <v>2025</v>
      </c>
      <c r="C134" s="43">
        <v>6.0</v>
      </c>
      <c r="D134" s="14">
        <f t="shared" ref="D134:I134" si="90">ROUND(D114*0.65,0)</f>
        <v>569</v>
      </c>
      <c r="E134" s="14">
        <f t="shared" si="90"/>
        <v>57</v>
      </c>
      <c r="F134" s="14">
        <f t="shared" si="90"/>
        <v>14</v>
      </c>
      <c r="G134" s="14">
        <f t="shared" si="90"/>
        <v>41</v>
      </c>
      <c r="H134" s="14">
        <f t="shared" si="90"/>
        <v>32</v>
      </c>
      <c r="I134" s="14">
        <f t="shared" si="90"/>
        <v>57</v>
      </c>
      <c r="J134" s="155"/>
      <c r="K134" s="4">
        <v>0.04</v>
      </c>
      <c r="L134" s="14"/>
      <c r="M134" s="4">
        <v>0.04</v>
      </c>
      <c r="N134" s="14"/>
      <c r="O134" s="14"/>
      <c r="P134" s="14"/>
      <c r="Q134" s="14"/>
      <c r="R134" s="14"/>
      <c r="S134" s="14"/>
    </row>
    <row r="135">
      <c r="A135" s="43">
        <f t="shared" si="85"/>
        <v>912</v>
      </c>
      <c r="B135" s="43" t="s">
        <v>2030</v>
      </c>
      <c r="C135" s="43">
        <v>7.0</v>
      </c>
      <c r="D135" s="14">
        <f t="shared" ref="D135:I135" si="91">ROUND(D115*0.65,0)</f>
        <v>650</v>
      </c>
      <c r="E135" s="14">
        <f t="shared" si="91"/>
        <v>65</v>
      </c>
      <c r="F135" s="14">
        <f t="shared" si="91"/>
        <v>16</v>
      </c>
      <c r="G135" s="14">
        <f t="shared" si="91"/>
        <v>47</v>
      </c>
      <c r="H135" s="14">
        <f t="shared" si="91"/>
        <v>36</v>
      </c>
      <c r="I135" s="14">
        <f t="shared" si="91"/>
        <v>65</v>
      </c>
      <c r="J135" s="155">
        <v>1.0</v>
      </c>
      <c r="K135" s="4">
        <v>0.04</v>
      </c>
      <c r="L135" s="14"/>
      <c r="M135" s="4">
        <v>0.04</v>
      </c>
      <c r="N135" s="14"/>
      <c r="O135" s="14"/>
      <c r="P135" s="14"/>
      <c r="Q135" s="14"/>
      <c r="R135" s="14"/>
      <c r="S135" s="14"/>
    </row>
    <row r="136">
      <c r="A136" s="43">
        <f t="shared" si="85"/>
        <v>912</v>
      </c>
      <c r="B136" s="43" t="s">
        <v>2033</v>
      </c>
      <c r="C136" s="43">
        <v>8.0</v>
      </c>
      <c r="D136" s="14">
        <f t="shared" ref="D136:I136" si="92">ROUND(D116*0.65,0)</f>
        <v>731</v>
      </c>
      <c r="E136" s="14">
        <f t="shared" si="92"/>
        <v>73</v>
      </c>
      <c r="F136" s="14">
        <f t="shared" si="92"/>
        <v>18</v>
      </c>
      <c r="G136" s="14">
        <f t="shared" si="92"/>
        <v>53</v>
      </c>
      <c r="H136" s="14">
        <f t="shared" si="92"/>
        <v>41</v>
      </c>
      <c r="I136" s="14">
        <f t="shared" si="92"/>
        <v>73</v>
      </c>
      <c r="J136" s="155"/>
      <c r="K136" s="4">
        <v>0.04</v>
      </c>
      <c r="L136" s="14"/>
      <c r="M136" s="4">
        <v>0.04</v>
      </c>
      <c r="N136" s="14"/>
      <c r="O136" s="14"/>
      <c r="P136" s="14"/>
      <c r="Q136" s="14"/>
      <c r="R136" s="14"/>
      <c r="S136" s="14"/>
    </row>
    <row r="137">
      <c r="A137" s="43">
        <f t="shared" si="85"/>
        <v>912</v>
      </c>
      <c r="B137" s="43" t="s">
        <v>2035</v>
      </c>
      <c r="C137" s="43">
        <v>9.0</v>
      </c>
      <c r="D137" s="14">
        <f t="shared" ref="D137:I137" si="93">ROUND(D117*0.65,0)</f>
        <v>813</v>
      </c>
      <c r="E137" s="14">
        <f t="shared" si="93"/>
        <v>81</v>
      </c>
      <c r="F137" s="14">
        <f t="shared" si="93"/>
        <v>20</v>
      </c>
      <c r="G137" s="14">
        <f t="shared" si="93"/>
        <v>59</v>
      </c>
      <c r="H137" s="14">
        <f t="shared" si="93"/>
        <v>46</v>
      </c>
      <c r="I137" s="14">
        <f t="shared" si="93"/>
        <v>81</v>
      </c>
      <c r="J137" s="155">
        <v>1.0</v>
      </c>
      <c r="K137" s="4">
        <v>0.04</v>
      </c>
      <c r="L137" s="14"/>
      <c r="M137" s="4">
        <v>0.04</v>
      </c>
      <c r="N137" s="14"/>
      <c r="O137" s="14"/>
      <c r="P137" s="14"/>
      <c r="Q137" s="14"/>
      <c r="R137" s="14"/>
      <c r="S137" s="14"/>
    </row>
    <row r="138">
      <c r="A138" s="43">
        <f t="shared" si="85"/>
        <v>912</v>
      </c>
      <c r="B138" s="43" t="s">
        <v>2036</v>
      </c>
      <c r="C138" s="43">
        <v>10.0</v>
      </c>
      <c r="D138" s="14">
        <f t="shared" ref="D138:I138" si="94">ROUND(D118*0.65,0)</f>
        <v>975</v>
      </c>
      <c r="E138" s="14">
        <f t="shared" si="94"/>
        <v>98</v>
      </c>
      <c r="F138" s="14">
        <f t="shared" si="94"/>
        <v>23</v>
      </c>
      <c r="G138" s="14">
        <f t="shared" si="94"/>
        <v>70</v>
      </c>
      <c r="H138" s="14">
        <f t="shared" si="94"/>
        <v>55</v>
      </c>
      <c r="I138" s="14">
        <f t="shared" si="94"/>
        <v>98</v>
      </c>
      <c r="J138" s="155">
        <v>2.0</v>
      </c>
      <c r="K138" s="4">
        <v>0.04</v>
      </c>
      <c r="L138" s="14"/>
      <c r="M138" s="4">
        <v>0.04</v>
      </c>
      <c r="N138" s="14"/>
      <c r="O138" s="14"/>
      <c r="P138" s="14"/>
      <c r="Q138" s="14"/>
      <c r="R138" s="14"/>
      <c r="S138" s="14"/>
    </row>
    <row r="139">
      <c r="A139" s="43">
        <f t="shared" si="85"/>
        <v>913</v>
      </c>
      <c r="B139" s="43" t="s">
        <v>2037</v>
      </c>
      <c r="C139" s="43">
        <v>1.0</v>
      </c>
      <c r="D139" s="14">
        <f t="shared" ref="D139:I139" si="95">ROUND(D119*0.65,0)</f>
        <v>130</v>
      </c>
      <c r="E139" s="14">
        <f t="shared" si="95"/>
        <v>3</v>
      </c>
      <c r="F139" s="14">
        <f t="shared" si="95"/>
        <v>21</v>
      </c>
      <c r="G139" s="14">
        <f t="shared" si="95"/>
        <v>7</v>
      </c>
      <c r="H139" s="14">
        <f t="shared" si="95"/>
        <v>11</v>
      </c>
      <c r="I139" s="14">
        <f t="shared" si="95"/>
        <v>29</v>
      </c>
      <c r="J139" s="155">
        <v>1.0</v>
      </c>
      <c r="K139" s="14"/>
      <c r="L139" s="14"/>
      <c r="M139" s="14"/>
      <c r="N139" s="14"/>
      <c r="O139" s="14"/>
      <c r="P139" s="14"/>
      <c r="Q139" s="14"/>
      <c r="R139" s="14"/>
      <c r="S139" s="14"/>
    </row>
    <row r="140">
      <c r="A140" s="43">
        <f t="shared" si="85"/>
        <v>913</v>
      </c>
      <c r="B140" s="43" t="s">
        <v>2038</v>
      </c>
      <c r="C140" s="43">
        <v>2.0</v>
      </c>
      <c r="D140" s="14">
        <f t="shared" ref="D140:I140" si="96">ROUND(D120*0.65,0)</f>
        <v>195</v>
      </c>
      <c r="E140" s="14">
        <f t="shared" si="96"/>
        <v>4</v>
      </c>
      <c r="F140" s="14">
        <f t="shared" si="96"/>
        <v>31</v>
      </c>
      <c r="G140" s="14">
        <f t="shared" si="96"/>
        <v>10</v>
      </c>
      <c r="H140" s="14">
        <f t="shared" si="96"/>
        <v>17</v>
      </c>
      <c r="I140" s="14">
        <f t="shared" si="96"/>
        <v>43</v>
      </c>
      <c r="J140" s="155"/>
      <c r="K140" s="14"/>
      <c r="L140" s="14"/>
      <c r="M140" s="14"/>
      <c r="N140" s="14"/>
      <c r="O140" s="14"/>
      <c r="P140" s="14"/>
      <c r="Q140" s="14"/>
      <c r="R140" s="14"/>
      <c r="S140" s="14"/>
    </row>
    <row r="141">
      <c r="A141" s="43">
        <f t="shared" si="85"/>
        <v>913</v>
      </c>
      <c r="B141" s="43" t="s">
        <v>2039</v>
      </c>
      <c r="C141" s="43">
        <v>3.0</v>
      </c>
      <c r="D141" s="14">
        <f t="shared" ref="D141:I141" si="97">ROUND(D121*0.65,0)</f>
        <v>260</v>
      </c>
      <c r="E141" s="14">
        <f t="shared" si="97"/>
        <v>5</v>
      </c>
      <c r="F141" s="14">
        <f t="shared" si="97"/>
        <v>42</v>
      </c>
      <c r="G141" s="14">
        <f t="shared" si="97"/>
        <v>13</v>
      </c>
      <c r="H141" s="14">
        <f t="shared" si="97"/>
        <v>22</v>
      </c>
      <c r="I141" s="14">
        <f t="shared" si="97"/>
        <v>57</v>
      </c>
      <c r="J141" s="155">
        <v>1.0</v>
      </c>
      <c r="K141" s="14"/>
      <c r="L141" s="14"/>
      <c r="M141" s="14"/>
      <c r="N141" s="14"/>
      <c r="O141" s="14"/>
      <c r="P141" s="14"/>
      <c r="Q141" s="14"/>
      <c r="R141" s="14"/>
      <c r="S141" s="14"/>
    </row>
    <row r="142">
      <c r="A142" s="43">
        <f t="shared" si="85"/>
        <v>913</v>
      </c>
      <c r="B142" s="43" t="s">
        <v>2040</v>
      </c>
      <c r="C142" s="43">
        <v>4.0</v>
      </c>
      <c r="D142" s="14">
        <f t="shared" ref="D142:I142" si="98">ROUND(D122*0.65,0)</f>
        <v>325</v>
      </c>
      <c r="E142" s="14">
        <f t="shared" si="98"/>
        <v>7</v>
      </c>
      <c r="F142" s="14">
        <f t="shared" si="98"/>
        <v>52</v>
      </c>
      <c r="G142" s="14">
        <f t="shared" si="98"/>
        <v>16</v>
      </c>
      <c r="H142" s="14">
        <f t="shared" si="98"/>
        <v>28</v>
      </c>
      <c r="I142" s="14">
        <f t="shared" si="98"/>
        <v>72</v>
      </c>
      <c r="J142" s="155"/>
      <c r="K142" s="14"/>
      <c r="L142" s="14"/>
      <c r="M142" s="14"/>
      <c r="N142" s="14"/>
      <c r="O142" s="14"/>
      <c r="P142" s="14"/>
      <c r="Q142" s="14"/>
      <c r="R142" s="14"/>
      <c r="S142" s="14"/>
    </row>
    <row r="143">
      <c r="A143" s="43">
        <f t="shared" si="85"/>
        <v>913</v>
      </c>
      <c r="B143" s="43" t="s">
        <v>2041</v>
      </c>
      <c r="C143" s="43">
        <v>5.0</v>
      </c>
      <c r="D143" s="14">
        <f t="shared" ref="D143:I143" si="99">ROUND(D123*0.65,0)</f>
        <v>390</v>
      </c>
      <c r="E143" s="14">
        <f t="shared" si="99"/>
        <v>8</v>
      </c>
      <c r="F143" s="14">
        <f t="shared" si="99"/>
        <v>62</v>
      </c>
      <c r="G143" s="14">
        <f t="shared" si="99"/>
        <v>20</v>
      </c>
      <c r="H143" s="14">
        <f t="shared" si="99"/>
        <v>33</v>
      </c>
      <c r="I143" s="14">
        <f t="shared" si="99"/>
        <v>86</v>
      </c>
      <c r="J143" s="155">
        <v>1.0</v>
      </c>
      <c r="K143" s="14"/>
      <c r="L143" s="14"/>
      <c r="M143" s="14"/>
      <c r="N143" s="14"/>
      <c r="O143" s="14"/>
      <c r="P143" s="14"/>
      <c r="Q143" s="14"/>
      <c r="R143" s="14"/>
      <c r="S143" s="14"/>
    </row>
    <row r="144">
      <c r="A144" s="43">
        <f t="shared" si="85"/>
        <v>913</v>
      </c>
      <c r="B144" s="43" t="s">
        <v>2042</v>
      </c>
      <c r="C144" s="43">
        <v>6.0</v>
      </c>
      <c r="D144" s="14">
        <f t="shared" ref="D144:I144" si="100">ROUND(D124*0.65,0)</f>
        <v>455</v>
      </c>
      <c r="E144" s="14">
        <f t="shared" si="100"/>
        <v>9</v>
      </c>
      <c r="F144" s="14">
        <f t="shared" si="100"/>
        <v>73</v>
      </c>
      <c r="G144" s="14">
        <f t="shared" si="100"/>
        <v>23</v>
      </c>
      <c r="H144" s="14">
        <f t="shared" si="100"/>
        <v>39</v>
      </c>
      <c r="I144" s="14">
        <f t="shared" si="100"/>
        <v>100</v>
      </c>
      <c r="J144" s="155"/>
      <c r="K144" s="4">
        <v>0.03</v>
      </c>
      <c r="L144" s="14"/>
      <c r="M144" s="4">
        <v>0.03</v>
      </c>
      <c r="N144" s="14"/>
      <c r="O144" s="14"/>
      <c r="P144" s="14"/>
      <c r="Q144" s="14"/>
      <c r="R144" s="14"/>
      <c r="S144" s="14"/>
    </row>
    <row r="145">
      <c r="A145" s="43">
        <f t="shared" si="85"/>
        <v>913</v>
      </c>
      <c r="B145" s="43" t="s">
        <v>2043</v>
      </c>
      <c r="C145" s="43">
        <v>7.0</v>
      </c>
      <c r="D145" s="14">
        <f t="shared" ref="D145:I145" si="101">ROUND(D125*0.65,0)</f>
        <v>520</v>
      </c>
      <c r="E145" s="14">
        <f t="shared" si="101"/>
        <v>10</v>
      </c>
      <c r="F145" s="14">
        <f t="shared" si="101"/>
        <v>83</v>
      </c>
      <c r="G145" s="14">
        <f t="shared" si="101"/>
        <v>26</v>
      </c>
      <c r="H145" s="14">
        <f t="shared" si="101"/>
        <v>44</v>
      </c>
      <c r="I145" s="14">
        <f t="shared" si="101"/>
        <v>114</v>
      </c>
      <c r="J145" s="155">
        <v>1.0</v>
      </c>
      <c r="K145" s="4">
        <v>0.03</v>
      </c>
      <c r="L145" s="14"/>
      <c r="M145" s="4">
        <v>0.03</v>
      </c>
      <c r="N145" s="14"/>
      <c r="O145" s="14"/>
      <c r="P145" s="14"/>
      <c r="Q145" s="14"/>
      <c r="R145" s="14"/>
      <c r="S145" s="14"/>
    </row>
    <row r="146">
      <c r="A146" s="43">
        <f t="shared" si="85"/>
        <v>913</v>
      </c>
      <c r="B146" s="43" t="s">
        <v>2044</v>
      </c>
      <c r="C146" s="43">
        <v>8.0</v>
      </c>
      <c r="D146" s="14">
        <f t="shared" ref="D146:I146" si="102">ROUND(D126*0.65,0)</f>
        <v>585</v>
      </c>
      <c r="E146" s="14">
        <f t="shared" si="102"/>
        <v>12</v>
      </c>
      <c r="F146" s="14">
        <f t="shared" si="102"/>
        <v>94</v>
      </c>
      <c r="G146" s="14">
        <f t="shared" si="102"/>
        <v>29</v>
      </c>
      <c r="H146" s="14">
        <f t="shared" si="102"/>
        <v>50</v>
      </c>
      <c r="I146" s="14">
        <f t="shared" si="102"/>
        <v>129</v>
      </c>
      <c r="J146" s="155"/>
      <c r="K146" s="4">
        <v>0.03</v>
      </c>
      <c r="L146" s="14"/>
      <c r="M146" s="4">
        <v>0.03</v>
      </c>
      <c r="N146" s="14"/>
      <c r="O146" s="14"/>
      <c r="P146" s="14"/>
      <c r="Q146" s="14"/>
      <c r="R146" s="14"/>
      <c r="S146" s="14"/>
    </row>
    <row r="147">
      <c r="A147" s="43">
        <f t="shared" si="85"/>
        <v>913</v>
      </c>
      <c r="B147" s="43" t="s">
        <v>2045</v>
      </c>
      <c r="C147" s="43">
        <v>9.0</v>
      </c>
      <c r="D147" s="14">
        <f t="shared" ref="D147:I147" si="103">ROUND(D127*0.65,0)</f>
        <v>650</v>
      </c>
      <c r="E147" s="14">
        <f t="shared" si="103"/>
        <v>13</v>
      </c>
      <c r="F147" s="14">
        <f t="shared" si="103"/>
        <v>104</v>
      </c>
      <c r="G147" s="14">
        <f t="shared" si="103"/>
        <v>33</v>
      </c>
      <c r="H147" s="14">
        <f t="shared" si="103"/>
        <v>55</v>
      </c>
      <c r="I147" s="14">
        <f t="shared" si="103"/>
        <v>143</v>
      </c>
      <c r="J147" s="155">
        <v>1.0</v>
      </c>
      <c r="K147" s="4">
        <v>0.03</v>
      </c>
      <c r="L147" s="14"/>
      <c r="M147" s="4">
        <v>0.03</v>
      </c>
      <c r="N147" s="14"/>
      <c r="O147" s="14"/>
      <c r="P147" s="14"/>
      <c r="Q147" s="14"/>
      <c r="R147" s="14"/>
      <c r="S147" s="14"/>
    </row>
    <row r="148">
      <c r="A148" s="43">
        <f t="shared" si="85"/>
        <v>913</v>
      </c>
      <c r="B148" s="43" t="s">
        <v>2046</v>
      </c>
      <c r="C148" s="43">
        <v>10.0</v>
      </c>
      <c r="D148" s="14">
        <f t="shared" ref="D148:I148" si="104">ROUND(D128*0.65,0)</f>
        <v>780</v>
      </c>
      <c r="E148" s="14">
        <f t="shared" si="104"/>
        <v>16</v>
      </c>
      <c r="F148" s="14">
        <f t="shared" si="104"/>
        <v>125</v>
      </c>
      <c r="G148" s="14">
        <f t="shared" si="104"/>
        <v>39</v>
      </c>
      <c r="H148" s="14">
        <f t="shared" si="104"/>
        <v>66</v>
      </c>
      <c r="I148" s="14">
        <f t="shared" si="104"/>
        <v>172</v>
      </c>
      <c r="J148" s="155">
        <v>2.0</v>
      </c>
      <c r="K148" s="4">
        <v>0.03</v>
      </c>
      <c r="L148" s="14"/>
      <c r="M148" s="4">
        <v>0.03</v>
      </c>
      <c r="N148" s="14"/>
      <c r="O148" s="14"/>
      <c r="P148" s="14"/>
      <c r="Q148" s="14"/>
      <c r="R148" s="14"/>
      <c r="S148" s="14"/>
    </row>
    <row r="149">
      <c r="A149" s="43">
        <f t="shared" si="85"/>
        <v>914</v>
      </c>
      <c r="B149" s="43" t="s">
        <v>2048</v>
      </c>
      <c r="C149" s="43">
        <v>1.0</v>
      </c>
      <c r="D149" s="14">
        <f t="shared" ref="D149:I149" si="105">ROUND(D129*0.8,0)</f>
        <v>130</v>
      </c>
      <c r="E149" s="14">
        <f t="shared" si="105"/>
        <v>13</v>
      </c>
      <c r="F149" s="14">
        <f t="shared" si="105"/>
        <v>3</v>
      </c>
      <c r="G149" s="14">
        <f t="shared" si="105"/>
        <v>10</v>
      </c>
      <c r="H149" s="14">
        <f t="shared" si="105"/>
        <v>7</v>
      </c>
      <c r="I149" s="14">
        <f t="shared" si="105"/>
        <v>13</v>
      </c>
      <c r="J149" s="155">
        <v>1.0</v>
      </c>
      <c r="K149" s="14"/>
      <c r="L149" s="14"/>
      <c r="M149" s="14"/>
      <c r="N149" s="14"/>
      <c r="O149" s="14"/>
      <c r="P149" s="14"/>
      <c r="Q149" s="14"/>
      <c r="R149" s="14"/>
      <c r="S149" s="14"/>
    </row>
    <row r="150">
      <c r="A150" s="43">
        <f t="shared" si="85"/>
        <v>914</v>
      </c>
      <c r="B150" s="43" t="s">
        <v>2057</v>
      </c>
      <c r="C150" s="43">
        <v>2.0</v>
      </c>
      <c r="D150" s="14">
        <f t="shared" ref="D150:I150" si="106">ROUND(D130*0.8,0)</f>
        <v>195</v>
      </c>
      <c r="E150" s="14">
        <f t="shared" si="106"/>
        <v>20</v>
      </c>
      <c r="F150" s="14">
        <f t="shared" si="106"/>
        <v>5</v>
      </c>
      <c r="G150" s="14">
        <f t="shared" si="106"/>
        <v>14</v>
      </c>
      <c r="H150" s="14">
        <f t="shared" si="106"/>
        <v>11</v>
      </c>
      <c r="I150" s="14">
        <f t="shared" si="106"/>
        <v>20</v>
      </c>
      <c r="J150" s="155"/>
      <c r="K150" s="14"/>
      <c r="L150" s="14"/>
      <c r="M150" s="14"/>
      <c r="N150" s="14"/>
      <c r="O150" s="14"/>
      <c r="P150" s="14"/>
      <c r="Q150" s="14"/>
      <c r="R150" s="14"/>
      <c r="S150" s="14"/>
    </row>
    <row r="151">
      <c r="A151" s="43">
        <f t="shared" si="85"/>
        <v>914</v>
      </c>
      <c r="B151" s="43" t="s">
        <v>2061</v>
      </c>
      <c r="C151" s="43">
        <v>3.0</v>
      </c>
      <c r="D151" s="14">
        <f t="shared" ref="D151:I151" si="107">ROUND(D131*0.8,0)</f>
        <v>260</v>
      </c>
      <c r="E151" s="14">
        <f t="shared" si="107"/>
        <v>20</v>
      </c>
      <c r="F151" s="14">
        <f t="shared" si="107"/>
        <v>5</v>
      </c>
      <c r="G151" s="14">
        <f t="shared" si="107"/>
        <v>14</v>
      </c>
      <c r="H151" s="14">
        <f t="shared" si="107"/>
        <v>11</v>
      </c>
      <c r="I151" s="14">
        <f t="shared" si="107"/>
        <v>20</v>
      </c>
      <c r="J151" s="155">
        <v>1.0</v>
      </c>
      <c r="K151" s="14"/>
      <c r="L151" s="14"/>
      <c r="M151" s="14"/>
      <c r="N151" s="14"/>
      <c r="O151" s="14"/>
      <c r="P151" s="14"/>
      <c r="Q151" s="14"/>
      <c r="R151" s="14"/>
      <c r="S151" s="14"/>
    </row>
    <row r="152">
      <c r="A152" s="43">
        <f t="shared" si="85"/>
        <v>914</v>
      </c>
      <c r="B152" s="43" t="s">
        <v>2069</v>
      </c>
      <c r="C152" s="43">
        <v>4.0</v>
      </c>
      <c r="D152" s="14">
        <f t="shared" ref="D152:I152" si="108">ROUND(D132*0.8,0)</f>
        <v>325</v>
      </c>
      <c r="E152" s="14">
        <f t="shared" si="108"/>
        <v>33</v>
      </c>
      <c r="F152" s="14">
        <f t="shared" si="108"/>
        <v>8</v>
      </c>
      <c r="G152" s="14">
        <f t="shared" si="108"/>
        <v>23</v>
      </c>
      <c r="H152" s="14">
        <f t="shared" si="108"/>
        <v>18</v>
      </c>
      <c r="I152" s="14">
        <f t="shared" si="108"/>
        <v>33</v>
      </c>
      <c r="J152" s="155"/>
      <c r="K152" s="14"/>
      <c r="L152" s="14"/>
      <c r="M152" s="14"/>
      <c r="N152" s="14"/>
      <c r="O152" s="14"/>
      <c r="P152" s="14"/>
      <c r="Q152" s="14"/>
      <c r="R152" s="14"/>
      <c r="S152" s="14"/>
    </row>
    <row r="153">
      <c r="A153" s="43">
        <f t="shared" si="85"/>
        <v>914</v>
      </c>
      <c r="B153" s="43" t="s">
        <v>2075</v>
      </c>
      <c r="C153" s="43">
        <v>5.0</v>
      </c>
      <c r="D153" s="14">
        <f t="shared" ref="D153:I153" si="109">ROUND(D133*0.8,0)</f>
        <v>390</v>
      </c>
      <c r="E153" s="14">
        <f t="shared" si="109"/>
        <v>39</v>
      </c>
      <c r="F153" s="14">
        <f t="shared" si="109"/>
        <v>10</v>
      </c>
      <c r="G153" s="14">
        <f t="shared" si="109"/>
        <v>28</v>
      </c>
      <c r="H153" s="14">
        <f t="shared" si="109"/>
        <v>22</v>
      </c>
      <c r="I153" s="14">
        <f t="shared" si="109"/>
        <v>39</v>
      </c>
      <c r="J153" s="155">
        <v>1.0</v>
      </c>
      <c r="K153" s="14"/>
      <c r="L153" s="14"/>
      <c r="M153" s="14"/>
      <c r="N153" s="14"/>
      <c r="O153" s="14"/>
      <c r="P153" s="14"/>
      <c r="Q153" s="14"/>
      <c r="R153" s="14"/>
      <c r="S153" s="14"/>
    </row>
    <row r="154">
      <c r="A154" s="43">
        <f t="shared" si="85"/>
        <v>914</v>
      </c>
      <c r="B154" s="43" t="s">
        <v>2076</v>
      </c>
      <c r="C154" s="43">
        <v>6.0</v>
      </c>
      <c r="D154" s="14">
        <f t="shared" ref="D154:I154" si="110">ROUND(D134*0.8,0)</f>
        <v>455</v>
      </c>
      <c r="E154" s="14">
        <f t="shared" si="110"/>
        <v>46</v>
      </c>
      <c r="F154" s="14">
        <f t="shared" si="110"/>
        <v>11</v>
      </c>
      <c r="G154" s="14">
        <f t="shared" si="110"/>
        <v>33</v>
      </c>
      <c r="H154" s="14">
        <f t="shared" si="110"/>
        <v>26</v>
      </c>
      <c r="I154" s="14">
        <f t="shared" si="110"/>
        <v>46</v>
      </c>
      <c r="J154" s="155"/>
      <c r="K154" s="4">
        <v>0.05</v>
      </c>
      <c r="L154" s="14"/>
      <c r="M154" s="4">
        <v>0.05</v>
      </c>
      <c r="N154" s="14"/>
      <c r="O154" s="14"/>
      <c r="P154" s="14"/>
      <c r="Q154" s="14"/>
      <c r="R154" s="14"/>
      <c r="S154" s="14"/>
    </row>
    <row r="155">
      <c r="A155" s="43">
        <f t="shared" si="85"/>
        <v>914</v>
      </c>
      <c r="B155" s="43" t="s">
        <v>2078</v>
      </c>
      <c r="C155" s="43">
        <v>7.0</v>
      </c>
      <c r="D155" s="14">
        <f t="shared" ref="D155:I155" si="111">ROUND(D135*0.8,0)</f>
        <v>520</v>
      </c>
      <c r="E155" s="14">
        <f t="shared" si="111"/>
        <v>52</v>
      </c>
      <c r="F155" s="14">
        <f t="shared" si="111"/>
        <v>13</v>
      </c>
      <c r="G155" s="14">
        <f t="shared" si="111"/>
        <v>38</v>
      </c>
      <c r="H155" s="14">
        <f t="shared" si="111"/>
        <v>29</v>
      </c>
      <c r="I155" s="14">
        <f t="shared" si="111"/>
        <v>52</v>
      </c>
      <c r="J155" s="155">
        <v>1.0</v>
      </c>
      <c r="K155" s="4">
        <v>0.05</v>
      </c>
      <c r="L155" s="14"/>
      <c r="M155" s="4">
        <v>0.05</v>
      </c>
      <c r="N155" s="14"/>
      <c r="O155" s="14"/>
      <c r="P155" s="14"/>
      <c r="Q155" s="14"/>
      <c r="R155" s="14"/>
      <c r="S155" s="14"/>
    </row>
    <row r="156">
      <c r="A156" s="43">
        <f t="shared" si="85"/>
        <v>914</v>
      </c>
      <c r="B156" s="43" t="s">
        <v>2079</v>
      </c>
      <c r="C156" s="43">
        <v>8.0</v>
      </c>
      <c r="D156" s="14">
        <f t="shared" ref="D156:I156" si="112">ROUND(D136*0.8,0)</f>
        <v>585</v>
      </c>
      <c r="E156" s="14">
        <f t="shared" si="112"/>
        <v>58</v>
      </c>
      <c r="F156" s="14">
        <f t="shared" si="112"/>
        <v>14</v>
      </c>
      <c r="G156" s="14">
        <f t="shared" si="112"/>
        <v>42</v>
      </c>
      <c r="H156" s="14">
        <f t="shared" si="112"/>
        <v>33</v>
      </c>
      <c r="I156" s="14">
        <f t="shared" si="112"/>
        <v>58</v>
      </c>
      <c r="J156" s="155"/>
      <c r="K156" s="4">
        <v>0.05</v>
      </c>
      <c r="L156" s="14"/>
      <c r="M156" s="4">
        <v>0.05</v>
      </c>
      <c r="N156" s="14"/>
      <c r="O156" s="14"/>
      <c r="P156" s="14"/>
      <c r="Q156" s="14"/>
      <c r="R156" s="14"/>
      <c r="S156" s="14"/>
    </row>
    <row r="157">
      <c r="A157" s="43">
        <f t="shared" si="85"/>
        <v>914</v>
      </c>
      <c r="B157" s="43" t="s">
        <v>2082</v>
      </c>
      <c r="C157" s="43">
        <v>9.0</v>
      </c>
      <c r="D157" s="14">
        <f t="shared" ref="D157:I157" si="113">ROUND(D137*0.8,0)</f>
        <v>650</v>
      </c>
      <c r="E157" s="14">
        <f t="shared" si="113"/>
        <v>65</v>
      </c>
      <c r="F157" s="14">
        <f t="shared" si="113"/>
        <v>16</v>
      </c>
      <c r="G157" s="14">
        <f t="shared" si="113"/>
        <v>47</v>
      </c>
      <c r="H157" s="14">
        <f t="shared" si="113"/>
        <v>37</v>
      </c>
      <c r="I157" s="14">
        <f t="shared" si="113"/>
        <v>65</v>
      </c>
      <c r="J157" s="155">
        <v>1.0</v>
      </c>
      <c r="K157" s="4">
        <v>0.05</v>
      </c>
      <c r="L157" s="14"/>
      <c r="M157" s="4">
        <v>0.05</v>
      </c>
      <c r="N157" s="14"/>
      <c r="O157" s="14"/>
      <c r="P157" s="14"/>
      <c r="Q157" s="14"/>
      <c r="R157" s="14"/>
      <c r="S157" s="14"/>
    </row>
    <row r="158">
      <c r="A158" s="43">
        <f t="shared" si="85"/>
        <v>914</v>
      </c>
      <c r="B158" s="43" t="s">
        <v>2085</v>
      </c>
      <c r="C158" s="43">
        <v>10.0</v>
      </c>
      <c r="D158" s="14">
        <f t="shared" ref="D158:I158" si="114">ROUND(D138*0.8,0)</f>
        <v>780</v>
      </c>
      <c r="E158" s="14">
        <f t="shared" si="114"/>
        <v>78</v>
      </c>
      <c r="F158" s="14">
        <f t="shared" si="114"/>
        <v>18</v>
      </c>
      <c r="G158" s="14">
        <f t="shared" si="114"/>
        <v>56</v>
      </c>
      <c r="H158" s="14">
        <f t="shared" si="114"/>
        <v>44</v>
      </c>
      <c r="I158" s="14">
        <f t="shared" si="114"/>
        <v>78</v>
      </c>
      <c r="J158" s="155">
        <v>2.0</v>
      </c>
      <c r="K158" s="4">
        <v>0.05</v>
      </c>
      <c r="L158" s="14"/>
      <c r="M158" s="4">
        <v>0.05</v>
      </c>
      <c r="N158" s="14"/>
      <c r="O158" s="14"/>
      <c r="P158" s="14"/>
      <c r="Q158" s="14"/>
      <c r="R158" s="14"/>
      <c r="S158" s="14"/>
    </row>
    <row r="159">
      <c r="A159" s="43">
        <f t="shared" si="85"/>
        <v>915</v>
      </c>
      <c r="B159" s="43" t="s">
        <v>2090</v>
      </c>
      <c r="C159" s="43">
        <v>1.0</v>
      </c>
      <c r="D159" s="14">
        <f t="shared" ref="D159:I159" si="115">ROUND(D139*0.8,0)</f>
        <v>104</v>
      </c>
      <c r="E159" s="14">
        <f t="shared" si="115"/>
        <v>2</v>
      </c>
      <c r="F159" s="14">
        <f t="shared" si="115"/>
        <v>17</v>
      </c>
      <c r="G159" s="14">
        <f t="shared" si="115"/>
        <v>6</v>
      </c>
      <c r="H159" s="14">
        <f t="shared" si="115"/>
        <v>9</v>
      </c>
      <c r="I159" s="14">
        <f t="shared" si="115"/>
        <v>23</v>
      </c>
      <c r="J159" s="155">
        <v>1.0</v>
      </c>
      <c r="K159" s="14"/>
      <c r="L159" s="14"/>
      <c r="M159" s="14"/>
      <c r="N159" s="14"/>
      <c r="O159" s="14"/>
      <c r="P159" s="14"/>
      <c r="Q159" s="14"/>
      <c r="R159" s="14"/>
      <c r="S159" s="14"/>
    </row>
    <row r="160">
      <c r="A160" s="43">
        <f t="shared" si="85"/>
        <v>915</v>
      </c>
      <c r="B160" s="43" t="s">
        <v>2091</v>
      </c>
      <c r="C160" s="43">
        <v>2.0</v>
      </c>
      <c r="D160" s="14">
        <f t="shared" ref="D160:I160" si="116">ROUND(D140*0.8,0)</f>
        <v>156</v>
      </c>
      <c r="E160" s="14">
        <f t="shared" si="116"/>
        <v>3</v>
      </c>
      <c r="F160" s="14">
        <f t="shared" si="116"/>
        <v>25</v>
      </c>
      <c r="G160" s="14">
        <f t="shared" si="116"/>
        <v>8</v>
      </c>
      <c r="H160" s="14">
        <f t="shared" si="116"/>
        <v>14</v>
      </c>
      <c r="I160" s="14">
        <f t="shared" si="116"/>
        <v>34</v>
      </c>
      <c r="J160" s="155"/>
      <c r="K160" s="14"/>
      <c r="L160" s="14"/>
      <c r="M160" s="14"/>
      <c r="N160" s="14"/>
      <c r="O160" s="14"/>
      <c r="P160" s="14"/>
      <c r="Q160" s="14"/>
      <c r="R160" s="14"/>
      <c r="S160" s="14"/>
    </row>
    <row r="161">
      <c r="A161" s="43">
        <f t="shared" si="85"/>
        <v>915</v>
      </c>
      <c r="B161" s="43" t="s">
        <v>2092</v>
      </c>
      <c r="C161" s="43">
        <v>3.0</v>
      </c>
      <c r="D161" s="14">
        <f t="shared" ref="D161:I161" si="117">ROUND(D141*0.8,0)</f>
        <v>208</v>
      </c>
      <c r="E161" s="14">
        <f t="shared" si="117"/>
        <v>4</v>
      </c>
      <c r="F161" s="14">
        <f t="shared" si="117"/>
        <v>34</v>
      </c>
      <c r="G161" s="14">
        <f t="shared" si="117"/>
        <v>10</v>
      </c>
      <c r="H161" s="14">
        <f t="shared" si="117"/>
        <v>18</v>
      </c>
      <c r="I161" s="14">
        <f t="shared" si="117"/>
        <v>46</v>
      </c>
      <c r="J161" s="155">
        <v>1.0</v>
      </c>
      <c r="K161" s="14"/>
      <c r="L161" s="14"/>
      <c r="M161" s="14"/>
      <c r="N161" s="14"/>
      <c r="O161" s="14"/>
      <c r="P161" s="14"/>
      <c r="Q161" s="14"/>
      <c r="R161" s="14"/>
      <c r="S161" s="14"/>
    </row>
    <row r="162">
      <c r="A162" s="43">
        <f t="shared" si="85"/>
        <v>915</v>
      </c>
      <c r="B162" s="43" t="s">
        <v>2093</v>
      </c>
      <c r="C162" s="43">
        <v>4.0</v>
      </c>
      <c r="D162" s="14">
        <f t="shared" ref="D162:I162" si="118">ROUND(D142*0.8,0)</f>
        <v>260</v>
      </c>
      <c r="E162" s="14">
        <f t="shared" si="118"/>
        <v>6</v>
      </c>
      <c r="F162" s="14">
        <f t="shared" si="118"/>
        <v>42</v>
      </c>
      <c r="G162" s="14">
        <f t="shared" si="118"/>
        <v>13</v>
      </c>
      <c r="H162" s="14">
        <f t="shared" si="118"/>
        <v>22</v>
      </c>
      <c r="I162" s="14">
        <f t="shared" si="118"/>
        <v>58</v>
      </c>
      <c r="J162" s="155"/>
      <c r="K162" s="14"/>
      <c r="L162" s="14"/>
      <c r="M162" s="14"/>
      <c r="N162" s="14"/>
      <c r="O162" s="14"/>
      <c r="P162" s="14"/>
      <c r="Q162" s="14"/>
      <c r="R162" s="14"/>
      <c r="S162" s="14"/>
    </row>
    <row r="163">
      <c r="A163" s="43">
        <f t="shared" si="85"/>
        <v>915</v>
      </c>
      <c r="B163" s="43" t="s">
        <v>2094</v>
      </c>
      <c r="C163" s="43">
        <v>5.0</v>
      </c>
      <c r="D163" s="14">
        <f t="shared" ref="D163:I163" si="119">ROUND(D143*0.8,0)</f>
        <v>312</v>
      </c>
      <c r="E163" s="14">
        <f t="shared" si="119"/>
        <v>6</v>
      </c>
      <c r="F163" s="14">
        <f t="shared" si="119"/>
        <v>50</v>
      </c>
      <c r="G163" s="14">
        <f t="shared" si="119"/>
        <v>16</v>
      </c>
      <c r="H163" s="14">
        <f t="shared" si="119"/>
        <v>26</v>
      </c>
      <c r="I163" s="14">
        <f t="shared" si="119"/>
        <v>69</v>
      </c>
      <c r="J163" s="155">
        <v>1.0</v>
      </c>
      <c r="K163" s="14"/>
      <c r="L163" s="14"/>
      <c r="M163" s="14"/>
      <c r="N163" s="14"/>
      <c r="O163" s="14"/>
      <c r="P163" s="14"/>
      <c r="Q163" s="14"/>
      <c r="R163" s="14"/>
      <c r="S163" s="14"/>
    </row>
    <row r="164">
      <c r="A164" s="43">
        <f t="shared" si="85"/>
        <v>915</v>
      </c>
      <c r="B164" s="43" t="s">
        <v>2095</v>
      </c>
      <c r="C164" s="43">
        <v>6.0</v>
      </c>
      <c r="D164" s="14">
        <f t="shared" ref="D164:I164" si="120">ROUND(D144*0.8,0)</f>
        <v>364</v>
      </c>
      <c r="E164" s="14">
        <f t="shared" si="120"/>
        <v>7</v>
      </c>
      <c r="F164" s="14">
        <f t="shared" si="120"/>
        <v>58</v>
      </c>
      <c r="G164" s="14">
        <f t="shared" si="120"/>
        <v>18</v>
      </c>
      <c r="H164" s="14">
        <f t="shared" si="120"/>
        <v>31</v>
      </c>
      <c r="I164" s="14">
        <f t="shared" si="120"/>
        <v>80</v>
      </c>
      <c r="J164" s="155"/>
      <c r="K164" s="4">
        <v>0.05</v>
      </c>
      <c r="L164" s="14"/>
      <c r="M164" s="4">
        <v>0.05</v>
      </c>
      <c r="N164" s="14"/>
      <c r="O164" s="14"/>
      <c r="P164" s="14"/>
      <c r="Q164" s="14"/>
      <c r="R164" s="14"/>
      <c r="S164" s="14"/>
    </row>
    <row r="165">
      <c r="A165" s="43">
        <f t="shared" si="85"/>
        <v>915</v>
      </c>
      <c r="B165" s="43" t="s">
        <v>2096</v>
      </c>
      <c r="C165" s="43">
        <v>7.0</v>
      </c>
      <c r="D165" s="14">
        <f t="shared" ref="D165:I165" si="121">ROUND(D145*0.8,0)</f>
        <v>416</v>
      </c>
      <c r="E165" s="14">
        <f t="shared" si="121"/>
        <v>8</v>
      </c>
      <c r="F165" s="14">
        <f t="shared" si="121"/>
        <v>66</v>
      </c>
      <c r="G165" s="14">
        <f t="shared" si="121"/>
        <v>21</v>
      </c>
      <c r="H165" s="14">
        <f t="shared" si="121"/>
        <v>35</v>
      </c>
      <c r="I165" s="14">
        <f t="shared" si="121"/>
        <v>91</v>
      </c>
      <c r="J165" s="155">
        <v>1.0</v>
      </c>
      <c r="K165" s="4">
        <v>0.05</v>
      </c>
      <c r="L165" s="14"/>
      <c r="M165" s="4">
        <v>0.05</v>
      </c>
      <c r="N165" s="14"/>
      <c r="O165" s="14"/>
      <c r="P165" s="14"/>
      <c r="Q165" s="14"/>
      <c r="R165" s="14"/>
      <c r="S165" s="14"/>
    </row>
    <row r="166">
      <c r="A166" s="43">
        <f t="shared" si="85"/>
        <v>915</v>
      </c>
      <c r="B166" s="43" t="s">
        <v>2097</v>
      </c>
      <c r="C166" s="43">
        <v>8.0</v>
      </c>
      <c r="D166" s="14">
        <f t="shared" ref="D166:I166" si="122">ROUND(D146*0.8,0)</f>
        <v>468</v>
      </c>
      <c r="E166" s="14">
        <f t="shared" si="122"/>
        <v>10</v>
      </c>
      <c r="F166" s="14">
        <f t="shared" si="122"/>
        <v>75</v>
      </c>
      <c r="G166" s="14">
        <f t="shared" si="122"/>
        <v>23</v>
      </c>
      <c r="H166" s="14">
        <f t="shared" si="122"/>
        <v>40</v>
      </c>
      <c r="I166" s="14">
        <f t="shared" si="122"/>
        <v>103</v>
      </c>
      <c r="J166" s="155"/>
      <c r="K166" s="4">
        <v>0.05</v>
      </c>
      <c r="L166" s="14"/>
      <c r="M166" s="4">
        <v>0.05</v>
      </c>
      <c r="N166" s="14"/>
      <c r="O166" s="14"/>
      <c r="P166" s="14"/>
      <c r="Q166" s="14"/>
      <c r="R166" s="14"/>
      <c r="S166" s="14"/>
    </row>
    <row r="167">
      <c r="A167" s="43">
        <f t="shared" si="85"/>
        <v>915</v>
      </c>
      <c r="B167" s="43" t="s">
        <v>2098</v>
      </c>
      <c r="C167" s="43">
        <v>9.0</v>
      </c>
      <c r="D167" s="14">
        <f t="shared" ref="D167:I167" si="123">ROUND(D147*0.8,0)</f>
        <v>520</v>
      </c>
      <c r="E167" s="14">
        <f t="shared" si="123"/>
        <v>10</v>
      </c>
      <c r="F167" s="14">
        <f t="shared" si="123"/>
        <v>83</v>
      </c>
      <c r="G167" s="14">
        <f t="shared" si="123"/>
        <v>26</v>
      </c>
      <c r="H167" s="14">
        <f t="shared" si="123"/>
        <v>44</v>
      </c>
      <c r="I167" s="14">
        <f t="shared" si="123"/>
        <v>114</v>
      </c>
      <c r="J167" s="155">
        <v>1.0</v>
      </c>
      <c r="K167" s="4">
        <v>0.05</v>
      </c>
      <c r="L167" s="14"/>
      <c r="M167" s="4">
        <v>0.05</v>
      </c>
      <c r="N167" s="14"/>
      <c r="O167" s="14"/>
      <c r="P167" s="14"/>
      <c r="Q167" s="14"/>
      <c r="R167" s="14"/>
      <c r="S167" s="14"/>
    </row>
    <row r="168">
      <c r="A168" s="43">
        <f t="shared" si="85"/>
        <v>915</v>
      </c>
      <c r="B168" s="43" t="s">
        <v>2099</v>
      </c>
      <c r="C168" s="43">
        <v>10.0</v>
      </c>
      <c r="D168" s="14">
        <f t="shared" ref="D168:I168" si="124">ROUND(D148*0.8,0)</f>
        <v>624</v>
      </c>
      <c r="E168" s="14">
        <f t="shared" si="124"/>
        <v>13</v>
      </c>
      <c r="F168" s="14">
        <f t="shared" si="124"/>
        <v>100</v>
      </c>
      <c r="G168" s="14">
        <f t="shared" si="124"/>
        <v>31</v>
      </c>
      <c r="H168" s="14">
        <f t="shared" si="124"/>
        <v>53</v>
      </c>
      <c r="I168" s="14">
        <f t="shared" si="124"/>
        <v>138</v>
      </c>
      <c r="J168" s="155">
        <v>2.0</v>
      </c>
      <c r="K168" s="4">
        <v>0.05</v>
      </c>
      <c r="L168" s="14"/>
      <c r="M168" s="4">
        <v>0.05</v>
      </c>
      <c r="N168" s="14"/>
      <c r="O168" s="14"/>
      <c r="P168" s="14"/>
      <c r="Q168" s="14"/>
      <c r="R168" s="14"/>
      <c r="S168" s="14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"/>
    </row>
    <row r="3">
      <c r="A3" s="40" t="s">
        <v>1764</v>
      </c>
      <c r="B3" s="40" t="s">
        <v>937</v>
      </c>
      <c r="C3" s="40" t="s">
        <v>173</v>
      </c>
      <c r="D3" s="40" t="s">
        <v>1990</v>
      </c>
      <c r="E3" s="40" t="s">
        <v>1991</v>
      </c>
      <c r="F3" s="40" t="s">
        <v>1992</v>
      </c>
      <c r="G3" s="40" t="s">
        <v>1993</v>
      </c>
      <c r="H3" s="40" t="s">
        <v>1994</v>
      </c>
    </row>
    <row r="4">
      <c r="A4" s="43">
        <v>700.0</v>
      </c>
      <c r="B4" s="43" t="s">
        <v>1956</v>
      </c>
      <c r="C4" s="43">
        <v>1.0</v>
      </c>
      <c r="D4" s="43">
        <v>2000.0</v>
      </c>
      <c r="E4" s="55">
        <v>1.0</v>
      </c>
      <c r="F4" s="43">
        <v>1000.0</v>
      </c>
      <c r="G4" s="43">
        <v>4000.0</v>
      </c>
      <c r="H4" s="43">
        <v>1.0</v>
      </c>
    </row>
    <row r="5">
      <c r="A5" s="43">
        <v>700.0</v>
      </c>
      <c r="B5" s="43" t="s">
        <v>1957</v>
      </c>
      <c r="C5" s="43">
        <v>2.0</v>
      </c>
      <c r="D5" s="43">
        <v>2000.0</v>
      </c>
      <c r="E5" s="55">
        <v>2.0</v>
      </c>
      <c r="F5" s="43">
        <v>1000.0</v>
      </c>
      <c r="G5" s="43">
        <f t="shared" ref="G5:G13" si="1">G4+500</f>
        <v>4500</v>
      </c>
      <c r="H5" s="43">
        <v>1.0</v>
      </c>
    </row>
    <row r="6">
      <c r="A6" s="43">
        <v>700.0</v>
      </c>
      <c r="B6" s="43" t="s">
        <v>1958</v>
      </c>
      <c r="C6" s="43">
        <v>3.0</v>
      </c>
      <c r="D6" s="43">
        <v>2000.0</v>
      </c>
      <c r="E6" s="55">
        <v>3.0</v>
      </c>
      <c r="F6" s="43">
        <v>1000.0</v>
      </c>
      <c r="G6" s="43">
        <f t="shared" si="1"/>
        <v>5000</v>
      </c>
      <c r="H6" s="43">
        <v>1.0</v>
      </c>
    </row>
    <row r="7">
      <c r="A7" s="43">
        <v>700.0</v>
      </c>
      <c r="B7" s="43" t="s">
        <v>1959</v>
      </c>
      <c r="C7" s="43">
        <v>4.0</v>
      </c>
      <c r="D7" s="43">
        <v>2000.0</v>
      </c>
      <c r="E7" s="55">
        <v>6.0</v>
      </c>
      <c r="F7" s="43">
        <v>1000.0</v>
      </c>
      <c r="G7" s="43">
        <f t="shared" si="1"/>
        <v>5500</v>
      </c>
      <c r="H7" s="43">
        <v>1.0</v>
      </c>
    </row>
    <row r="8">
      <c r="A8" s="43">
        <v>700.0</v>
      </c>
      <c r="B8" s="43" t="s">
        <v>1960</v>
      </c>
      <c r="C8" s="43">
        <v>5.0</v>
      </c>
      <c r="D8" s="43">
        <v>2000.0</v>
      </c>
      <c r="E8" s="55">
        <v>10.0</v>
      </c>
      <c r="F8" s="43">
        <v>1000.0</v>
      </c>
      <c r="G8" s="43">
        <f t="shared" si="1"/>
        <v>6000</v>
      </c>
      <c r="H8" s="43">
        <v>0.9</v>
      </c>
    </row>
    <row r="9">
      <c r="A9" s="43">
        <v>700.0</v>
      </c>
      <c r="B9" s="43" t="s">
        <v>1961</v>
      </c>
      <c r="C9" s="43">
        <v>6.0</v>
      </c>
      <c r="D9" s="43">
        <v>2000.0</v>
      </c>
      <c r="E9" s="55">
        <v>12.0</v>
      </c>
      <c r="F9" s="43">
        <v>1000.0</v>
      </c>
      <c r="G9" s="43">
        <f t="shared" si="1"/>
        <v>6500</v>
      </c>
      <c r="H9" s="43">
        <v>0.7</v>
      </c>
    </row>
    <row r="10">
      <c r="A10" s="43">
        <v>700.0</v>
      </c>
      <c r="B10" s="43" t="s">
        <v>1962</v>
      </c>
      <c r="C10" s="43">
        <v>7.0</v>
      </c>
      <c r="D10" s="43">
        <v>2000.0</v>
      </c>
      <c r="E10" s="55">
        <v>15.0</v>
      </c>
      <c r="F10" s="43">
        <v>1000.0</v>
      </c>
      <c r="G10" s="43">
        <f t="shared" si="1"/>
        <v>7000</v>
      </c>
      <c r="H10" s="43">
        <v>0.5</v>
      </c>
    </row>
    <row r="11">
      <c r="A11" s="43">
        <v>700.0</v>
      </c>
      <c r="B11" s="43" t="s">
        <v>1963</v>
      </c>
      <c r="C11" s="43">
        <v>8.0</v>
      </c>
      <c r="D11" s="43">
        <v>2000.0</v>
      </c>
      <c r="E11" s="55">
        <v>20.0</v>
      </c>
      <c r="F11" s="43">
        <v>1000.0</v>
      </c>
      <c r="G11" s="43">
        <f t="shared" si="1"/>
        <v>7500</v>
      </c>
      <c r="H11" s="43">
        <v>0.45</v>
      </c>
    </row>
    <row r="12">
      <c r="A12" s="43">
        <v>700.0</v>
      </c>
      <c r="B12" s="43" t="s">
        <v>1964</v>
      </c>
      <c r="C12" s="43">
        <v>9.0</v>
      </c>
      <c r="D12" s="43">
        <v>2000.0</v>
      </c>
      <c r="E12" s="55">
        <v>25.0</v>
      </c>
      <c r="F12" s="43">
        <v>1000.0</v>
      </c>
      <c r="G12" s="43">
        <f t="shared" si="1"/>
        <v>8000</v>
      </c>
      <c r="H12" s="43">
        <v>0.35</v>
      </c>
    </row>
    <row r="13">
      <c r="A13" s="43">
        <v>700.0</v>
      </c>
      <c r="B13" s="43" t="s">
        <v>1965</v>
      </c>
      <c r="C13" s="43">
        <v>10.0</v>
      </c>
      <c r="D13" s="43">
        <v>2000.0</v>
      </c>
      <c r="E13" s="55">
        <v>40.0</v>
      </c>
      <c r="F13" s="43">
        <v>1000.0</v>
      </c>
      <c r="G13" s="43">
        <f t="shared" si="1"/>
        <v>8500</v>
      </c>
      <c r="H13" s="43">
        <v>0.3</v>
      </c>
    </row>
    <row r="14">
      <c r="A14" s="43">
        <v>701.0</v>
      </c>
      <c r="B14" s="43" t="s">
        <v>1966</v>
      </c>
      <c r="C14" s="43">
        <v>1.0</v>
      </c>
      <c r="D14" s="43">
        <v>2003.0</v>
      </c>
      <c r="E14" s="55">
        <v>1.0</v>
      </c>
      <c r="F14" s="43">
        <v>1000.0</v>
      </c>
      <c r="G14" s="43">
        <v>5000.0</v>
      </c>
      <c r="H14" s="43">
        <v>1.0</v>
      </c>
    </row>
    <row r="15">
      <c r="A15" s="43">
        <v>701.0</v>
      </c>
      <c r="B15" s="43" t="s">
        <v>1967</v>
      </c>
      <c r="C15" s="43">
        <v>2.0</v>
      </c>
      <c r="D15" s="43">
        <v>2003.0</v>
      </c>
      <c r="E15" s="55">
        <v>2.0</v>
      </c>
      <c r="F15" s="43">
        <v>1000.0</v>
      </c>
      <c r="G15" s="43">
        <f t="shared" ref="G15:G23" si="2">G14+500</f>
        <v>5500</v>
      </c>
      <c r="H15" s="43">
        <v>1.0</v>
      </c>
    </row>
    <row r="16">
      <c r="A16" s="43">
        <v>701.0</v>
      </c>
      <c r="B16" s="43" t="s">
        <v>1968</v>
      </c>
      <c r="C16" s="43">
        <v>3.0</v>
      </c>
      <c r="D16" s="43">
        <v>2003.0</v>
      </c>
      <c r="E16" s="55">
        <v>3.0</v>
      </c>
      <c r="F16" s="43">
        <v>1000.0</v>
      </c>
      <c r="G16" s="43">
        <f t="shared" si="2"/>
        <v>6000</v>
      </c>
      <c r="H16" s="43">
        <v>1.0</v>
      </c>
    </row>
    <row r="17">
      <c r="A17" s="43">
        <v>701.0</v>
      </c>
      <c r="B17" s="43" t="s">
        <v>1969</v>
      </c>
      <c r="C17" s="43">
        <v>4.0</v>
      </c>
      <c r="D17" s="43">
        <v>2003.0</v>
      </c>
      <c r="E17" s="55">
        <v>6.0</v>
      </c>
      <c r="F17" s="43">
        <v>1000.0</v>
      </c>
      <c r="G17" s="43">
        <f t="shared" si="2"/>
        <v>6500</v>
      </c>
      <c r="H17" s="43">
        <v>1.0</v>
      </c>
    </row>
    <row r="18">
      <c r="A18" s="43">
        <v>701.0</v>
      </c>
      <c r="B18" s="43" t="s">
        <v>1970</v>
      </c>
      <c r="C18" s="43">
        <v>5.0</v>
      </c>
      <c r="D18" s="43">
        <v>2003.0</v>
      </c>
      <c r="E18" s="55">
        <v>10.0</v>
      </c>
      <c r="F18" s="43">
        <v>1000.0</v>
      </c>
      <c r="G18" s="43">
        <f t="shared" si="2"/>
        <v>7000</v>
      </c>
      <c r="H18" s="43">
        <v>0.9</v>
      </c>
    </row>
    <row r="19">
      <c r="A19" s="43">
        <v>701.0</v>
      </c>
      <c r="B19" s="43" t="s">
        <v>1971</v>
      </c>
      <c r="C19" s="43">
        <v>6.0</v>
      </c>
      <c r="D19" s="43">
        <v>2003.0</v>
      </c>
      <c r="E19" s="55">
        <v>12.0</v>
      </c>
      <c r="F19" s="43">
        <v>1000.0</v>
      </c>
      <c r="G19" s="43">
        <f t="shared" si="2"/>
        <v>7500</v>
      </c>
      <c r="H19" s="43">
        <v>0.7</v>
      </c>
    </row>
    <row r="20">
      <c r="A20" s="43">
        <v>701.0</v>
      </c>
      <c r="B20" s="43" t="s">
        <v>1972</v>
      </c>
      <c r="C20" s="43">
        <v>7.0</v>
      </c>
      <c r="D20" s="43">
        <v>2003.0</v>
      </c>
      <c r="E20" s="55">
        <v>15.0</v>
      </c>
      <c r="F20" s="43">
        <v>1000.0</v>
      </c>
      <c r="G20" s="43">
        <f t="shared" si="2"/>
        <v>8000</v>
      </c>
      <c r="H20" s="43">
        <v>0.5</v>
      </c>
    </row>
    <row r="21">
      <c r="A21" s="43">
        <v>701.0</v>
      </c>
      <c r="B21" s="43" t="s">
        <v>1973</v>
      </c>
      <c r="C21" s="43">
        <v>8.0</v>
      </c>
      <c r="D21" s="43">
        <v>2003.0</v>
      </c>
      <c r="E21" s="55">
        <v>20.0</v>
      </c>
      <c r="F21" s="43">
        <v>1000.0</v>
      </c>
      <c r="G21" s="43">
        <f t="shared" si="2"/>
        <v>8500</v>
      </c>
      <c r="H21" s="43">
        <v>0.45</v>
      </c>
    </row>
    <row r="22">
      <c r="A22" s="43">
        <v>701.0</v>
      </c>
      <c r="B22" s="43" t="s">
        <v>1974</v>
      </c>
      <c r="C22" s="43">
        <v>9.0</v>
      </c>
      <c r="D22" s="43">
        <v>2003.0</v>
      </c>
      <c r="E22" s="55">
        <v>25.0</v>
      </c>
      <c r="F22" s="43">
        <v>1000.0</v>
      </c>
      <c r="G22" s="43">
        <f t="shared" si="2"/>
        <v>9000</v>
      </c>
      <c r="H22" s="43">
        <v>0.35</v>
      </c>
    </row>
    <row r="23">
      <c r="A23" s="43">
        <v>701.0</v>
      </c>
      <c r="B23" s="43" t="s">
        <v>1975</v>
      </c>
      <c r="C23" s="43">
        <v>10.0</v>
      </c>
      <c r="D23" s="43">
        <v>2003.0</v>
      </c>
      <c r="E23" s="55">
        <v>40.0</v>
      </c>
      <c r="F23" s="43">
        <v>1000.0</v>
      </c>
      <c r="G23" s="43">
        <f t="shared" si="2"/>
        <v>9500</v>
      </c>
      <c r="H23" s="43">
        <v>0.3</v>
      </c>
    </row>
    <row r="24">
      <c r="A24" s="43">
        <v>702.0</v>
      </c>
      <c r="B24" s="43" t="s">
        <v>1976</v>
      </c>
      <c r="C24" s="43">
        <v>1.0</v>
      </c>
      <c r="D24" s="43">
        <v>2004.0</v>
      </c>
      <c r="E24" s="55">
        <v>1.0</v>
      </c>
      <c r="F24" s="43">
        <v>1000.0</v>
      </c>
      <c r="G24" s="43">
        <v>6000.0</v>
      </c>
      <c r="H24" s="43">
        <v>1.0</v>
      </c>
    </row>
    <row r="25">
      <c r="A25" s="43">
        <v>702.0</v>
      </c>
      <c r="B25" s="43" t="s">
        <v>1976</v>
      </c>
      <c r="C25" s="43">
        <v>2.0</v>
      </c>
      <c r="D25" s="43">
        <v>2004.0</v>
      </c>
      <c r="E25" s="55">
        <v>2.0</v>
      </c>
      <c r="F25" s="43">
        <v>1000.0</v>
      </c>
      <c r="G25" s="43">
        <f t="shared" ref="G25:G33" si="3">G24+500</f>
        <v>6500</v>
      </c>
      <c r="H25" s="43">
        <v>1.0</v>
      </c>
    </row>
    <row r="26">
      <c r="A26" s="43">
        <v>702.0</v>
      </c>
      <c r="B26" s="43" t="s">
        <v>1976</v>
      </c>
      <c r="C26" s="43">
        <v>3.0</v>
      </c>
      <c r="D26" s="43">
        <v>2004.0</v>
      </c>
      <c r="E26" s="55">
        <v>3.0</v>
      </c>
      <c r="F26" s="43">
        <v>1000.0</v>
      </c>
      <c r="G26" s="43">
        <f t="shared" si="3"/>
        <v>7000</v>
      </c>
      <c r="H26" s="43">
        <v>1.0</v>
      </c>
    </row>
    <row r="27">
      <c r="A27" s="43">
        <v>702.0</v>
      </c>
      <c r="B27" s="43" t="s">
        <v>1976</v>
      </c>
      <c r="C27" s="43">
        <v>4.0</v>
      </c>
      <c r="D27" s="43">
        <v>2004.0</v>
      </c>
      <c r="E27" s="55">
        <v>6.0</v>
      </c>
      <c r="F27" s="43">
        <v>1000.0</v>
      </c>
      <c r="G27" s="43">
        <f t="shared" si="3"/>
        <v>7500</v>
      </c>
      <c r="H27" s="43">
        <v>1.0</v>
      </c>
    </row>
    <row r="28">
      <c r="A28" s="43">
        <v>702.0</v>
      </c>
      <c r="B28" s="43" t="s">
        <v>1976</v>
      </c>
      <c r="C28" s="43">
        <v>5.0</v>
      </c>
      <c r="D28" s="43">
        <v>2004.0</v>
      </c>
      <c r="E28" s="55">
        <v>10.0</v>
      </c>
      <c r="F28" s="43">
        <v>1000.0</v>
      </c>
      <c r="G28" s="43">
        <f t="shared" si="3"/>
        <v>8000</v>
      </c>
      <c r="H28" s="43">
        <v>0.9</v>
      </c>
    </row>
    <row r="29">
      <c r="A29" s="43">
        <v>702.0</v>
      </c>
      <c r="B29" s="43" t="s">
        <v>1976</v>
      </c>
      <c r="C29" s="43">
        <v>6.0</v>
      </c>
      <c r="D29" s="43">
        <v>2004.0</v>
      </c>
      <c r="E29" s="55">
        <v>12.0</v>
      </c>
      <c r="F29" s="43">
        <v>1000.0</v>
      </c>
      <c r="G29" s="43">
        <f t="shared" si="3"/>
        <v>8500</v>
      </c>
      <c r="H29" s="43">
        <v>0.7</v>
      </c>
    </row>
    <row r="30">
      <c r="A30" s="43">
        <v>702.0</v>
      </c>
      <c r="B30" s="43" t="s">
        <v>1976</v>
      </c>
      <c r="C30" s="43">
        <v>7.0</v>
      </c>
      <c r="D30" s="43">
        <v>2004.0</v>
      </c>
      <c r="E30" s="55">
        <v>15.0</v>
      </c>
      <c r="F30" s="43">
        <v>1000.0</v>
      </c>
      <c r="G30" s="43">
        <f t="shared" si="3"/>
        <v>9000</v>
      </c>
      <c r="H30" s="43">
        <v>0.5</v>
      </c>
    </row>
    <row r="31">
      <c r="A31" s="43">
        <v>702.0</v>
      </c>
      <c r="B31" s="43" t="s">
        <v>1976</v>
      </c>
      <c r="C31" s="43">
        <v>8.0</v>
      </c>
      <c r="D31" s="43">
        <v>2004.0</v>
      </c>
      <c r="E31" s="55">
        <v>20.0</v>
      </c>
      <c r="F31" s="43">
        <v>1000.0</v>
      </c>
      <c r="G31" s="43">
        <f t="shared" si="3"/>
        <v>9500</v>
      </c>
      <c r="H31" s="43">
        <v>0.45</v>
      </c>
    </row>
    <row r="32">
      <c r="A32" s="43">
        <v>702.0</v>
      </c>
      <c r="B32" s="43" t="s">
        <v>1976</v>
      </c>
      <c r="C32" s="43">
        <v>9.0</v>
      </c>
      <c r="D32" s="43">
        <v>2004.0</v>
      </c>
      <c r="E32" s="55">
        <v>25.0</v>
      </c>
      <c r="F32" s="43">
        <v>1000.0</v>
      </c>
      <c r="G32" s="43">
        <f t="shared" si="3"/>
        <v>10000</v>
      </c>
      <c r="H32" s="43">
        <v>0.35</v>
      </c>
    </row>
    <row r="33">
      <c r="A33" s="43">
        <v>702.0</v>
      </c>
      <c r="B33" s="43" t="s">
        <v>1976</v>
      </c>
      <c r="C33" s="43">
        <v>10.0</v>
      </c>
      <c r="D33" s="43">
        <v>2004.0</v>
      </c>
      <c r="E33" s="55">
        <v>40.0</v>
      </c>
      <c r="F33" s="43">
        <v>1000.0</v>
      </c>
      <c r="G33" s="43">
        <f t="shared" si="3"/>
        <v>10500</v>
      </c>
      <c r="H33" s="43">
        <v>0.3</v>
      </c>
    </row>
    <row r="35">
      <c r="A35" s="40" t="s">
        <v>1764</v>
      </c>
      <c r="B35" s="40" t="s">
        <v>937</v>
      </c>
      <c r="C35" s="40" t="s">
        <v>173</v>
      </c>
      <c r="D35" s="40" t="s">
        <v>1990</v>
      </c>
      <c r="E35" s="40" t="s">
        <v>1991</v>
      </c>
      <c r="F35" s="40" t="s">
        <v>1992</v>
      </c>
      <c r="G35" s="40" t="s">
        <v>1993</v>
      </c>
      <c r="H35" s="40" t="s">
        <v>1994</v>
      </c>
    </row>
    <row r="36">
      <c r="A36" s="43">
        <v>800.0</v>
      </c>
      <c r="B36" s="43" t="s">
        <v>1977</v>
      </c>
      <c r="C36" s="43">
        <v>1.0</v>
      </c>
      <c r="D36" s="43">
        <v>2001.0</v>
      </c>
      <c r="E36" s="55">
        <v>1.0</v>
      </c>
      <c r="F36" s="43">
        <v>1000.0</v>
      </c>
      <c r="G36" s="43">
        <v>2000.0</v>
      </c>
      <c r="H36" s="43">
        <v>1.0</v>
      </c>
    </row>
    <row r="37">
      <c r="A37" s="43">
        <v>800.0</v>
      </c>
      <c r="B37" s="43" t="s">
        <v>1978</v>
      </c>
      <c r="C37" s="43">
        <v>2.0</v>
      </c>
      <c r="D37" s="43">
        <v>2001.0</v>
      </c>
      <c r="E37" s="55">
        <v>2.0</v>
      </c>
      <c r="F37" s="43">
        <v>1000.0</v>
      </c>
      <c r="G37" s="43">
        <f t="shared" ref="G37:G45" si="4">G36+200</f>
        <v>2200</v>
      </c>
      <c r="H37" s="43">
        <v>1.0</v>
      </c>
    </row>
    <row r="38">
      <c r="A38" s="43">
        <v>800.0</v>
      </c>
      <c r="B38" s="43" t="s">
        <v>1979</v>
      </c>
      <c r="C38" s="43">
        <v>3.0</v>
      </c>
      <c r="D38" s="43">
        <v>2001.0</v>
      </c>
      <c r="E38" s="55">
        <v>3.0</v>
      </c>
      <c r="F38" s="43">
        <v>1000.0</v>
      </c>
      <c r="G38" s="43">
        <f t="shared" si="4"/>
        <v>2400</v>
      </c>
      <c r="H38" s="43">
        <v>1.0</v>
      </c>
    </row>
    <row r="39">
      <c r="A39" s="43">
        <v>800.0</v>
      </c>
      <c r="B39" s="43" t="s">
        <v>1980</v>
      </c>
      <c r="C39" s="43">
        <v>4.0</v>
      </c>
      <c r="D39" s="43">
        <v>2001.0</v>
      </c>
      <c r="E39" s="55">
        <v>6.0</v>
      </c>
      <c r="F39" s="43">
        <v>1000.0</v>
      </c>
      <c r="G39" s="43">
        <f t="shared" si="4"/>
        <v>2600</v>
      </c>
      <c r="H39" s="43">
        <v>1.0</v>
      </c>
    </row>
    <row r="40">
      <c r="A40" s="43">
        <v>800.0</v>
      </c>
      <c r="B40" s="43" t="s">
        <v>1981</v>
      </c>
      <c r="C40" s="43">
        <v>5.0</v>
      </c>
      <c r="D40" s="43">
        <v>2001.0</v>
      </c>
      <c r="E40" s="55">
        <v>10.0</v>
      </c>
      <c r="F40" s="43">
        <v>1000.0</v>
      </c>
      <c r="G40" s="43">
        <f t="shared" si="4"/>
        <v>2800</v>
      </c>
      <c r="H40" s="43">
        <v>1.0</v>
      </c>
    </row>
    <row r="41">
      <c r="A41" s="43">
        <v>800.0</v>
      </c>
      <c r="B41" s="43" t="s">
        <v>1982</v>
      </c>
      <c r="C41" s="43">
        <v>6.0</v>
      </c>
      <c r="D41" s="43">
        <v>2001.0</v>
      </c>
      <c r="E41" s="55">
        <v>12.0</v>
      </c>
      <c r="F41" s="43">
        <v>1000.0</v>
      </c>
      <c r="G41" s="43">
        <f t="shared" si="4"/>
        <v>3000</v>
      </c>
      <c r="H41" s="43">
        <v>1.0</v>
      </c>
    </row>
    <row r="42">
      <c r="A42" s="43">
        <v>800.0</v>
      </c>
      <c r="B42" s="43" t="s">
        <v>1983</v>
      </c>
      <c r="C42" s="43">
        <v>7.0</v>
      </c>
      <c r="D42" s="43">
        <v>2001.0</v>
      </c>
      <c r="E42" s="55">
        <v>15.0</v>
      </c>
      <c r="F42" s="43">
        <v>1000.0</v>
      </c>
      <c r="G42" s="43">
        <f t="shared" si="4"/>
        <v>3200</v>
      </c>
      <c r="H42" s="43">
        <v>1.0</v>
      </c>
    </row>
    <row r="43">
      <c r="A43" s="43">
        <v>800.0</v>
      </c>
      <c r="B43" s="43" t="s">
        <v>1984</v>
      </c>
      <c r="C43" s="43">
        <v>8.0</v>
      </c>
      <c r="D43" s="43">
        <v>2001.0</v>
      </c>
      <c r="E43" s="55">
        <v>20.0</v>
      </c>
      <c r="F43" s="43">
        <v>1000.0</v>
      </c>
      <c r="G43" s="43">
        <f t="shared" si="4"/>
        <v>3400</v>
      </c>
      <c r="H43" s="43">
        <v>0.9</v>
      </c>
    </row>
    <row r="44">
      <c r="A44" s="43">
        <v>800.0</v>
      </c>
      <c r="B44" s="43" t="s">
        <v>1985</v>
      </c>
      <c r="C44" s="43">
        <v>9.0</v>
      </c>
      <c r="D44" s="43">
        <v>2001.0</v>
      </c>
      <c r="E44" s="55">
        <v>25.0</v>
      </c>
      <c r="F44" s="43">
        <v>1000.0</v>
      </c>
      <c r="G44" s="43">
        <f t="shared" si="4"/>
        <v>3600</v>
      </c>
      <c r="H44" s="43">
        <v>0.7</v>
      </c>
    </row>
    <row r="45">
      <c r="A45" s="43">
        <v>800.0</v>
      </c>
      <c r="B45" s="43" t="s">
        <v>1986</v>
      </c>
      <c r="C45" s="43">
        <v>10.0</v>
      </c>
      <c r="D45" s="43">
        <v>2001.0</v>
      </c>
      <c r="E45" s="55">
        <v>40.0</v>
      </c>
      <c r="F45" s="43">
        <v>1000.0</v>
      </c>
      <c r="G45" s="43">
        <f t="shared" si="4"/>
        <v>3800</v>
      </c>
      <c r="H45" s="43">
        <v>0.5</v>
      </c>
    </row>
    <row r="46">
      <c r="K46" s="2" t="s">
        <v>2014</v>
      </c>
    </row>
    <row r="47">
      <c r="K47" s="2" t="s">
        <v>2016</v>
      </c>
    </row>
    <row r="48">
      <c r="A48" s="40" t="s">
        <v>1764</v>
      </c>
      <c r="B48" s="40" t="s">
        <v>937</v>
      </c>
      <c r="C48" s="40" t="s">
        <v>173</v>
      </c>
      <c r="D48" s="40" t="s">
        <v>1990</v>
      </c>
      <c r="E48" s="40" t="s">
        <v>1991</v>
      </c>
      <c r="F48" s="40" t="s">
        <v>1992</v>
      </c>
      <c r="G48" s="40" t="s">
        <v>1993</v>
      </c>
      <c r="H48" s="40" t="s">
        <v>1994</v>
      </c>
    </row>
    <row r="49">
      <c r="A49" s="43">
        <v>900.0</v>
      </c>
      <c r="B49" s="43" t="s">
        <v>2017</v>
      </c>
      <c r="C49" s="43">
        <v>1.0</v>
      </c>
      <c r="D49" s="43">
        <v>-1.0</v>
      </c>
      <c r="E49" s="55">
        <v>20.0</v>
      </c>
      <c r="F49" s="43"/>
      <c r="G49" s="43"/>
      <c r="H49" s="43">
        <v>1.0</v>
      </c>
    </row>
    <row r="50">
      <c r="A50" s="43">
        <v>900.0</v>
      </c>
      <c r="B50" s="43" t="s">
        <v>2019</v>
      </c>
      <c r="C50" s="43">
        <v>2.0</v>
      </c>
      <c r="D50" s="43">
        <v>-1.0</v>
      </c>
      <c r="E50" s="55">
        <v>30.0</v>
      </c>
      <c r="F50" s="43"/>
      <c r="G50" s="43"/>
      <c r="H50" s="43">
        <v>1.0</v>
      </c>
    </row>
    <row r="51">
      <c r="A51" s="43">
        <v>900.0</v>
      </c>
      <c r="B51" s="43" t="s">
        <v>2020</v>
      </c>
      <c r="C51" s="43">
        <v>3.0</v>
      </c>
      <c r="D51" s="43">
        <v>-1.0</v>
      </c>
      <c r="E51" s="55">
        <v>40.0</v>
      </c>
      <c r="F51" s="43"/>
      <c r="G51" s="43"/>
      <c r="H51" s="43">
        <v>1.0</v>
      </c>
    </row>
    <row r="52">
      <c r="A52" s="43">
        <v>900.0</v>
      </c>
      <c r="B52" s="43" t="s">
        <v>2021</v>
      </c>
      <c r="C52" s="43">
        <v>4.0</v>
      </c>
      <c r="D52" s="43">
        <v>-1.0</v>
      </c>
      <c r="E52" s="55">
        <f t="shared" ref="E52:E57" si="5">E51+10</f>
        <v>50</v>
      </c>
      <c r="F52" s="43"/>
      <c r="G52" s="43"/>
      <c r="H52" s="43">
        <v>1.0</v>
      </c>
    </row>
    <row r="53">
      <c r="A53" s="43">
        <v>900.0</v>
      </c>
      <c r="B53" s="43" t="s">
        <v>2023</v>
      </c>
      <c r="C53" s="43">
        <v>5.0</v>
      </c>
      <c r="D53" s="43">
        <v>-1.0</v>
      </c>
      <c r="E53" s="55">
        <f t="shared" si="5"/>
        <v>60</v>
      </c>
      <c r="F53" s="43"/>
      <c r="G53" s="43"/>
      <c r="H53" s="43">
        <v>1.0</v>
      </c>
    </row>
    <row r="54">
      <c r="A54" s="43">
        <v>900.0</v>
      </c>
      <c r="B54" s="43" t="s">
        <v>2024</v>
      </c>
      <c r="C54" s="43">
        <v>6.0</v>
      </c>
      <c r="D54" s="43">
        <v>-1.0</v>
      </c>
      <c r="E54" s="55">
        <f t="shared" si="5"/>
        <v>70</v>
      </c>
      <c r="F54" s="43"/>
      <c r="G54" s="43"/>
      <c r="H54" s="43">
        <v>1.0</v>
      </c>
    </row>
    <row r="55">
      <c r="A55" s="43">
        <v>900.0</v>
      </c>
      <c r="B55" s="43" t="s">
        <v>2026</v>
      </c>
      <c r="C55" s="43">
        <v>7.0</v>
      </c>
      <c r="D55" s="43">
        <v>-1.0</v>
      </c>
      <c r="E55" s="55">
        <f t="shared" si="5"/>
        <v>80</v>
      </c>
      <c r="F55" s="43"/>
      <c r="G55" s="43"/>
      <c r="H55" s="43">
        <v>1.0</v>
      </c>
      <c r="K55" s="43" t="s">
        <v>2027</v>
      </c>
      <c r="L55" s="43" t="s">
        <v>2028</v>
      </c>
    </row>
    <row r="56">
      <c r="A56" s="43">
        <v>900.0</v>
      </c>
      <c r="B56" s="43" t="s">
        <v>2029</v>
      </c>
      <c r="C56" s="43">
        <v>8.0</v>
      </c>
      <c r="D56" s="43">
        <v>-1.0</v>
      </c>
      <c r="E56" s="55">
        <f t="shared" si="5"/>
        <v>90</v>
      </c>
      <c r="F56" s="43"/>
      <c r="G56" s="43"/>
      <c r="H56" s="43">
        <v>1.0</v>
      </c>
      <c r="K56" s="43" t="s">
        <v>15</v>
      </c>
      <c r="L56" s="43">
        <v>30.0</v>
      </c>
    </row>
    <row r="57">
      <c r="A57" s="43">
        <v>900.0</v>
      </c>
      <c r="B57" s="43" t="s">
        <v>2031</v>
      </c>
      <c r="C57" s="43">
        <v>9.0</v>
      </c>
      <c r="D57" s="43">
        <v>-1.0</v>
      </c>
      <c r="E57" s="55">
        <f t="shared" si="5"/>
        <v>100</v>
      </c>
      <c r="F57" s="43"/>
      <c r="G57" s="43"/>
      <c r="H57" s="43">
        <v>1.0</v>
      </c>
      <c r="K57" s="43" t="s">
        <v>33</v>
      </c>
      <c r="L57" s="43">
        <v>10.0</v>
      </c>
    </row>
    <row r="58">
      <c r="A58" s="43">
        <v>900.0</v>
      </c>
      <c r="B58" s="43" t="s">
        <v>2032</v>
      </c>
      <c r="C58" s="43">
        <v>10.0</v>
      </c>
      <c r="D58" s="43">
        <v>-1.0</v>
      </c>
      <c r="E58" s="55">
        <v>120.0</v>
      </c>
      <c r="F58" s="43"/>
      <c r="G58" s="43"/>
      <c r="H58" s="43">
        <v>1.0</v>
      </c>
      <c r="K58" s="43" t="s">
        <v>43</v>
      </c>
      <c r="L58" s="43">
        <v>5.0</v>
      </c>
    </row>
    <row r="61">
      <c r="A61" s="40" t="s">
        <v>1764</v>
      </c>
      <c r="B61" s="40" t="s">
        <v>937</v>
      </c>
      <c r="C61" s="40" t="s">
        <v>173</v>
      </c>
      <c r="D61" s="40" t="s">
        <v>1990</v>
      </c>
      <c r="E61" s="40" t="s">
        <v>1991</v>
      </c>
      <c r="F61" s="40" t="s">
        <v>1992</v>
      </c>
      <c r="G61" s="40" t="s">
        <v>1993</v>
      </c>
      <c r="H61" s="40" t="s">
        <v>1994</v>
      </c>
    </row>
    <row r="62">
      <c r="A62" s="43">
        <v>910.0</v>
      </c>
      <c r="B62" s="43" t="s">
        <v>2034</v>
      </c>
      <c r="C62" s="43">
        <v>1.0</v>
      </c>
      <c r="D62" s="43">
        <v>9000.0</v>
      </c>
      <c r="E62" s="55">
        <v>20.0</v>
      </c>
      <c r="F62" s="43"/>
      <c r="G62" s="43"/>
      <c r="H62" s="43">
        <v>1.0</v>
      </c>
    </row>
    <row r="63">
      <c r="A63" s="43">
        <v>910.0</v>
      </c>
      <c r="B63" s="43" t="s">
        <v>2019</v>
      </c>
      <c r="C63" s="43">
        <v>2.0</v>
      </c>
      <c r="D63" s="43">
        <v>9000.0</v>
      </c>
      <c r="E63" s="55">
        <v>30.0</v>
      </c>
      <c r="F63" s="43"/>
      <c r="G63" s="43"/>
      <c r="H63" s="43">
        <v>1.0</v>
      </c>
    </row>
    <row r="64">
      <c r="A64" s="43">
        <v>910.0</v>
      </c>
      <c r="B64" s="43" t="s">
        <v>2020</v>
      </c>
      <c r="C64" s="43">
        <v>3.0</v>
      </c>
      <c r="D64" s="43">
        <v>9000.0</v>
      </c>
      <c r="E64" s="55">
        <v>40.0</v>
      </c>
      <c r="F64" s="43"/>
      <c r="G64" s="43"/>
      <c r="H64" s="43">
        <v>1.0</v>
      </c>
    </row>
    <row r="65">
      <c r="A65" s="43">
        <v>910.0</v>
      </c>
      <c r="B65" s="43" t="s">
        <v>2021</v>
      </c>
      <c r="C65" s="43">
        <v>4.0</v>
      </c>
      <c r="D65" s="43">
        <v>9000.0</v>
      </c>
      <c r="E65" s="55">
        <f t="shared" ref="E65:E70" si="6">E64+10</f>
        <v>50</v>
      </c>
      <c r="F65" s="43"/>
      <c r="G65" s="43"/>
      <c r="H65" s="43">
        <v>1.0</v>
      </c>
    </row>
    <row r="66">
      <c r="A66" s="43">
        <v>910.0</v>
      </c>
      <c r="B66" s="43" t="s">
        <v>2023</v>
      </c>
      <c r="C66" s="43">
        <v>5.0</v>
      </c>
      <c r="D66" s="43">
        <v>9000.0</v>
      </c>
      <c r="E66" s="55">
        <f t="shared" si="6"/>
        <v>60</v>
      </c>
      <c r="F66" s="43"/>
      <c r="G66" s="43"/>
      <c r="H66" s="43">
        <v>1.0</v>
      </c>
    </row>
    <row r="67">
      <c r="A67" s="43">
        <v>910.0</v>
      </c>
      <c r="B67" s="43" t="s">
        <v>2024</v>
      </c>
      <c r="C67" s="43">
        <v>6.0</v>
      </c>
      <c r="D67" s="43">
        <v>9000.0</v>
      </c>
      <c r="E67" s="55">
        <f t="shared" si="6"/>
        <v>70</v>
      </c>
      <c r="F67" s="43"/>
      <c r="G67" s="43"/>
      <c r="H67" s="43">
        <v>1.0</v>
      </c>
    </row>
    <row r="68">
      <c r="A68" s="43">
        <v>910.0</v>
      </c>
      <c r="B68" s="43" t="s">
        <v>2026</v>
      </c>
      <c r="C68" s="43">
        <v>7.0</v>
      </c>
      <c r="D68" s="43">
        <v>9000.0</v>
      </c>
      <c r="E68" s="55">
        <f t="shared" si="6"/>
        <v>80</v>
      </c>
      <c r="F68" s="43"/>
      <c r="G68" s="43"/>
      <c r="H68" s="43">
        <v>1.0</v>
      </c>
    </row>
    <row r="69">
      <c r="A69" s="43">
        <v>910.0</v>
      </c>
      <c r="B69" s="43" t="s">
        <v>2029</v>
      </c>
      <c r="C69" s="43">
        <v>8.0</v>
      </c>
      <c r="D69" s="43">
        <v>9000.0</v>
      </c>
      <c r="E69" s="55">
        <f t="shared" si="6"/>
        <v>90</v>
      </c>
      <c r="F69" s="43"/>
      <c r="G69" s="43"/>
      <c r="H69" s="43">
        <v>1.0</v>
      </c>
    </row>
    <row r="70">
      <c r="A70" s="43">
        <v>910.0</v>
      </c>
      <c r="B70" s="43" t="s">
        <v>2031</v>
      </c>
      <c r="C70" s="43">
        <v>9.0</v>
      </c>
      <c r="D70" s="43">
        <v>9000.0</v>
      </c>
      <c r="E70" s="55">
        <f t="shared" si="6"/>
        <v>100</v>
      </c>
      <c r="F70" s="43"/>
      <c r="G70" s="43"/>
      <c r="H70" s="43">
        <v>1.0</v>
      </c>
    </row>
    <row r="71">
      <c r="A71" s="43">
        <v>910.0</v>
      </c>
      <c r="B71" s="43" t="s">
        <v>2032</v>
      </c>
      <c r="C71" s="43">
        <v>10.0</v>
      </c>
      <c r="D71" s="43">
        <v>9000.0</v>
      </c>
      <c r="E71" s="55">
        <v>120.0</v>
      </c>
      <c r="F71" s="43"/>
      <c r="G71" s="43"/>
      <c r="H71" s="43">
        <v>1.0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0" t="s">
        <v>1764</v>
      </c>
      <c r="B1" s="40" t="s">
        <v>934</v>
      </c>
      <c r="C1" s="40" t="s">
        <v>2047</v>
      </c>
    </row>
    <row r="2">
      <c r="A2" s="43">
        <v>1.0</v>
      </c>
      <c r="B2" s="77" t="s">
        <v>366</v>
      </c>
      <c r="C2" s="43" t="s">
        <v>2049</v>
      </c>
    </row>
    <row r="3">
      <c r="A3" s="43">
        <v>2.0</v>
      </c>
      <c r="B3" s="57" t="s">
        <v>314</v>
      </c>
      <c r="C3" s="43" t="s">
        <v>2050</v>
      </c>
    </row>
    <row r="4">
      <c r="A4" s="43">
        <v>3.0</v>
      </c>
      <c r="B4" s="57" t="s">
        <v>283</v>
      </c>
      <c r="C4" s="43" t="s">
        <v>2051</v>
      </c>
    </row>
    <row r="5">
      <c r="A5" s="43">
        <v>4.0</v>
      </c>
      <c r="B5" s="77" t="s">
        <v>367</v>
      </c>
      <c r="C5" s="43" t="s">
        <v>2052</v>
      </c>
    </row>
    <row r="6">
      <c r="A6" s="43">
        <v>5.0</v>
      </c>
      <c r="B6" s="43" t="s">
        <v>2053</v>
      </c>
      <c r="C6" s="43" t="s">
        <v>2054</v>
      </c>
    </row>
    <row r="7">
      <c r="A7" s="43">
        <v>6.0</v>
      </c>
      <c r="B7" s="43" t="s">
        <v>285</v>
      </c>
      <c r="C7" s="43" t="s">
        <v>2055</v>
      </c>
    </row>
    <row r="8">
      <c r="A8" s="43">
        <v>7.0</v>
      </c>
      <c r="B8" s="57" t="s">
        <v>497</v>
      </c>
      <c r="C8" s="43" t="s">
        <v>2056</v>
      </c>
    </row>
    <row r="9">
      <c r="A9" s="43">
        <v>8.0</v>
      </c>
      <c r="B9" s="77" t="s">
        <v>339</v>
      </c>
      <c r="C9" s="43" t="s">
        <v>2058</v>
      </c>
    </row>
    <row r="10">
      <c r="A10" s="43">
        <v>9.0</v>
      </c>
      <c r="B10" s="77" t="s">
        <v>496</v>
      </c>
      <c r="C10" s="43" t="s">
        <v>2059</v>
      </c>
      <c r="L10" s="2"/>
    </row>
    <row r="11">
      <c r="A11" s="43">
        <v>10.0</v>
      </c>
      <c r="B11" s="57" t="s">
        <v>513</v>
      </c>
      <c r="C11" s="43" t="s">
        <v>2060</v>
      </c>
      <c r="G11" s="156"/>
    </row>
    <row r="12">
      <c r="A12" s="43">
        <v>11.0</v>
      </c>
      <c r="B12" s="57" t="s">
        <v>412</v>
      </c>
      <c r="C12" s="43" t="s">
        <v>2062</v>
      </c>
      <c r="G12" s="156"/>
    </row>
    <row r="13">
      <c r="A13" s="43">
        <v>12.0</v>
      </c>
      <c r="B13" s="57" t="s">
        <v>2063</v>
      </c>
      <c r="C13" s="43" t="s">
        <v>2064</v>
      </c>
      <c r="G13" s="156"/>
    </row>
    <row r="14">
      <c r="A14" s="43">
        <v>13.0</v>
      </c>
      <c r="B14" s="43" t="s">
        <v>282</v>
      </c>
      <c r="C14" s="43" t="s">
        <v>2065</v>
      </c>
      <c r="G14" s="156"/>
    </row>
    <row r="15">
      <c r="A15" s="43">
        <v>14.0</v>
      </c>
      <c r="B15" s="43" t="s">
        <v>338</v>
      </c>
      <c r="C15" s="43" t="s">
        <v>2066</v>
      </c>
      <c r="G15" s="156"/>
    </row>
    <row r="16">
      <c r="A16" s="43">
        <v>15.0</v>
      </c>
      <c r="B16" s="43" t="s">
        <v>396</v>
      </c>
      <c r="C16" s="43" t="s">
        <v>2067</v>
      </c>
      <c r="G16" s="156"/>
    </row>
    <row r="17">
      <c r="A17" s="43">
        <v>16.0</v>
      </c>
      <c r="B17" s="43" t="s">
        <v>365</v>
      </c>
      <c r="C17" s="43" t="s">
        <v>2068</v>
      </c>
      <c r="G17" s="156"/>
    </row>
    <row r="18">
      <c r="A18" s="43">
        <v>17.0</v>
      </c>
      <c r="B18" s="43" t="s">
        <v>281</v>
      </c>
      <c r="C18" s="43" t="s">
        <v>2070</v>
      </c>
      <c r="G18" s="156"/>
    </row>
    <row r="19">
      <c r="A19" s="43">
        <v>18.0</v>
      </c>
      <c r="B19" s="78" t="s">
        <v>286</v>
      </c>
      <c r="C19" s="43" t="s">
        <v>2071</v>
      </c>
      <c r="G19" s="156"/>
    </row>
    <row r="20">
      <c r="A20" s="43">
        <v>19.0</v>
      </c>
      <c r="B20" s="78" t="s">
        <v>315</v>
      </c>
      <c r="C20" s="43" t="s">
        <v>2072</v>
      </c>
      <c r="G20" s="156"/>
    </row>
    <row r="21">
      <c r="A21" s="43">
        <v>20.0</v>
      </c>
      <c r="B21" s="78" t="s">
        <v>413</v>
      </c>
      <c r="C21" s="43" t="s">
        <v>2073</v>
      </c>
      <c r="G21" s="156"/>
    </row>
    <row r="22">
      <c r="A22" s="43">
        <v>51.0</v>
      </c>
      <c r="B22" s="57" t="s">
        <v>395</v>
      </c>
      <c r="C22" s="43" t="s">
        <v>2074</v>
      </c>
      <c r="G22" s="156"/>
    </row>
    <row r="23">
      <c r="A23" s="43">
        <v>52.0</v>
      </c>
      <c r="B23" s="57" t="s">
        <v>443</v>
      </c>
      <c r="C23" s="43" t="s">
        <v>2074</v>
      </c>
      <c r="G23" s="156"/>
    </row>
    <row r="24">
      <c r="A24" s="43">
        <v>53.0</v>
      </c>
      <c r="B24" s="43" t="s">
        <v>316</v>
      </c>
      <c r="C24" s="43" t="s">
        <v>2074</v>
      </c>
      <c r="G24" s="156"/>
    </row>
    <row r="25">
      <c r="A25" s="43">
        <v>54.0</v>
      </c>
      <c r="B25" s="73" t="s">
        <v>340</v>
      </c>
      <c r="C25" s="43" t="s">
        <v>2074</v>
      </c>
      <c r="G25" s="156"/>
    </row>
    <row r="26">
      <c r="A26" s="43">
        <v>55.0</v>
      </c>
      <c r="B26" s="73" t="s">
        <v>305</v>
      </c>
      <c r="C26" s="43" t="s">
        <v>2074</v>
      </c>
      <c r="G26" s="156"/>
    </row>
    <row r="27">
      <c r="A27" s="43">
        <v>56.0</v>
      </c>
      <c r="B27" s="43" t="s">
        <v>313</v>
      </c>
      <c r="C27" s="43" t="s">
        <v>2077</v>
      </c>
      <c r="G27" s="156"/>
    </row>
    <row r="28">
      <c r="A28" s="43">
        <v>57.0</v>
      </c>
      <c r="B28" s="43" t="s">
        <v>364</v>
      </c>
      <c r="C28" s="43" t="s">
        <v>2077</v>
      </c>
      <c r="G28" s="156"/>
    </row>
    <row r="29">
      <c r="A29" s="43">
        <v>58.0</v>
      </c>
      <c r="B29" s="43" t="s">
        <v>276</v>
      </c>
      <c r="C29" s="43" t="s">
        <v>2077</v>
      </c>
      <c r="G29" s="156"/>
    </row>
    <row r="30">
      <c r="A30" s="43">
        <v>59.0</v>
      </c>
      <c r="B30" s="43" t="s">
        <v>429</v>
      </c>
      <c r="C30" s="43" t="s">
        <v>2077</v>
      </c>
    </row>
    <row r="31">
      <c r="A31" s="43">
        <v>60.0</v>
      </c>
      <c r="B31" s="43" t="s">
        <v>753</v>
      </c>
      <c r="C31" s="43" t="s">
        <v>2077</v>
      </c>
      <c r="G31" s="156"/>
    </row>
    <row r="32">
      <c r="A32" s="43">
        <v>61.0</v>
      </c>
      <c r="B32" s="43" t="s">
        <v>545</v>
      </c>
      <c r="C32" s="43" t="s">
        <v>2077</v>
      </c>
    </row>
    <row r="33">
      <c r="G33" s="15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3" t="s">
        <v>2080</v>
      </c>
      <c r="B1" s="43" t="s">
        <v>934</v>
      </c>
      <c r="C1" s="43" t="s">
        <v>2081</v>
      </c>
    </row>
    <row r="2">
      <c r="A2" s="43">
        <v>1.0</v>
      </c>
      <c r="B2" s="4" t="s">
        <v>2083</v>
      </c>
      <c r="C2" s="43">
        <v>90001.0</v>
      </c>
    </row>
    <row r="3">
      <c r="A3" s="43">
        <v>2.0</v>
      </c>
      <c r="B3" s="4" t="s">
        <v>2084</v>
      </c>
      <c r="C3" s="57">
        <f t="shared" ref="C3:C7" si="1">C2+1</f>
        <v>90002</v>
      </c>
    </row>
    <row r="4">
      <c r="A4" s="43">
        <v>3.0</v>
      </c>
      <c r="B4" s="4" t="s">
        <v>2086</v>
      </c>
      <c r="C4" s="57">
        <f t="shared" si="1"/>
        <v>90003</v>
      </c>
    </row>
    <row r="5">
      <c r="A5" s="43">
        <v>4.0</v>
      </c>
      <c r="B5" s="4" t="s">
        <v>2087</v>
      </c>
      <c r="C5" s="57">
        <f t="shared" si="1"/>
        <v>90004</v>
      </c>
    </row>
    <row r="6">
      <c r="A6" s="43">
        <v>5.0</v>
      </c>
      <c r="B6" s="4" t="s">
        <v>2088</v>
      </c>
      <c r="C6" s="57">
        <f t="shared" si="1"/>
        <v>90005</v>
      </c>
    </row>
    <row r="7">
      <c r="A7" s="43">
        <v>6.0</v>
      </c>
      <c r="B7" s="4" t="s">
        <v>2089</v>
      </c>
      <c r="C7" s="57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63" t="s">
        <v>1764</v>
      </c>
      <c r="B5" s="63" t="s">
        <v>2080</v>
      </c>
      <c r="C5" s="63" t="s">
        <v>2100</v>
      </c>
      <c r="D5" s="63" t="s">
        <v>2101</v>
      </c>
      <c r="E5" s="63" t="s">
        <v>2102</v>
      </c>
      <c r="F5" s="63" t="s">
        <v>2103</v>
      </c>
      <c r="G5" s="63" t="s">
        <v>1769</v>
      </c>
      <c r="H5" s="63" t="s">
        <v>2104</v>
      </c>
    </row>
    <row r="6">
      <c r="A6" s="63">
        <v>100.0</v>
      </c>
      <c r="B6" s="63">
        <v>1.0</v>
      </c>
      <c r="C6" s="63" t="s">
        <v>2105</v>
      </c>
      <c r="D6" s="59"/>
      <c r="E6" s="63" t="s">
        <v>2106</v>
      </c>
      <c r="F6" s="63">
        <v>5.0</v>
      </c>
      <c r="G6" s="63">
        <f t="shared" ref="G6:G95" si="1">A6+7900</f>
        <v>8000</v>
      </c>
      <c r="H6" s="59"/>
    </row>
    <row r="7">
      <c r="A7" s="59">
        <f t="shared" ref="A7:A95" si="2">A6+1</f>
        <v>101</v>
      </c>
      <c r="B7" s="63">
        <v>1.0</v>
      </c>
      <c r="C7" s="63" t="s">
        <v>2105</v>
      </c>
      <c r="D7" s="63">
        <v>100.0</v>
      </c>
      <c r="E7" s="63"/>
      <c r="F7" s="63">
        <v>7.0</v>
      </c>
      <c r="G7" s="63">
        <f t="shared" si="1"/>
        <v>8001</v>
      </c>
      <c r="H7" s="59"/>
    </row>
    <row r="8">
      <c r="A8" s="59">
        <f t="shared" si="2"/>
        <v>102</v>
      </c>
      <c r="B8" s="63">
        <v>1.0</v>
      </c>
      <c r="C8" s="63" t="s">
        <v>2105</v>
      </c>
      <c r="D8" s="63">
        <v>100.0</v>
      </c>
      <c r="E8" s="63"/>
      <c r="F8" s="59">
        <f t="shared" ref="F8:F20" si="3">F7+5</f>
        <v>12</v>
      </c>
      <c r="G8" s="63">
        <f t="shared" si="1"/>
        <v>8002</v>
      </c>
      <c r="H8" s="59"/>
    </row>
    <row r="9">
      <c r="A9" s="59">
        <f t="shared" si="2"/>
        <v>103</v>
      </c>
      <c r="B9" s="63">
        <v>1.0</v>
      </c>
      <c r="C9" s="63" t="s">
        <v>2105</v>
      </c>
      <c r="D9" s="63">
        <v>101.0</v>
      </c>
      <c r="E9" s="63"/>
      <c r="F9" s="59">
        <f t="shared" si="3"/>
        <v>17</v>
      </c>
      <c r="G9" s="63">
        <f t="shared" si="1"/>
        <v>8003</v>
      </c>
      <c r="H9" s="59"/>
      <c r="J9" s="4"/>
    </row>
    <row r="10">
      <c r="A10" s="59">
        <f t="shared" si="2"/>
        <v>104</v>
      </c>
      <c r="B10" s="63">
        <v>1.0</v>
      </c>
      <c r="C10" s="63" t="s">
        <v>2105</v>
      </c>
      <c r="D10" s="63">
        <v>102.0</v>
      </c>
      <c r="E10" s="63"/>
      <c r="F10" s="59">
        <f t="shared" si="3"/>
        <v>22</v>
      </c>
      <c r="G10" s="63">
        <f t="shared" si="1"/>
        <v>8004</v>
      </c>
      <c r="H10" s="59"/>
    </row>
    <row r="11">
      <c r="A11" s="59">
        <f t="shared" si="2"/>
        <v>105</v>
      </c>
      <c r="B11" s="63">
        <v>1.0</v>
      </c>
      <c r="C11" s="63" t="s">
        <v>2105</v>
      </c>
      <c r="D11" s="63">
        <v>103.0</v>
      </c>
      <c r="E11" s="63"/>
      <c r="F11" s="59">
        <f t="shared" si="3"/>
        <v>27</v>
      </c>
      <c r="G11" s="63">
        <f t="shared" si="1"/>
        <v>8005</v>
      </c>
      <c r="H11" s="59"/>
    </row>
    <row r="12">
      <c r="A12" s="59">
        <f t="shared" si="2"/>
        <v>106</v>
      </c>
      <c r="B12" s="63">
        <v>1.0</v>
      </c>
      <c r="C12" s="63" t="s">
        <v>2105</v>
      </c>
      <c r="D12" s="63" t="str">
        <f>"103,104"</f>
        <v>103,104</v>
      </c>
      <c r="E12" s="63"/>
      <c r="F12" s="59">
        <f t="shared" si="3"/>
        <v>32</v>
      </c>
      <c r="G12" s="63">
        <f t="shared" si="1"/>
        <v>8006</v>
      </c>
      <c r="H12" s="59"/>
    </row>
    <row r="13">
      <c r="A13" s="59">
        <f t="shared" si="2"/>
        <v>107</v>
      </c>
      <c r="B13" s="63">
        <v>1.0</v>
      </c>
      <c r="C13" s="63" t="s">
        <v>2105</v>
      </c>
      <c r="D13" s="59" t="str">
        <f>"104"</f>
        <v>104</v>
      </c>
      <c r="E13" s="63"/>
      <c r="F13" s="59">
        <f t="shared" si="3"/>
        <v>37</v>
      </c>
      <c r="G13" s="63">
        <f t="shared" si="1"/>
        <v>8007</v>
      </c>
      <c r="H13" s="59"/>
    </row>
    <row r="14">
      <c r="A14" s="59">
        <f t="shared" si="2"/>
        <v>108</v>
      </c>
      <c r="B14" s="63">
        <v>1.0</v>
      </c>
      <c r="C14" s="63" t="s">
        <v>2105</v>
      </c>
      <c r="D14" s="59" t="str">
        <f>"105,106"</f>
        <v>105,106</v>
      </c>
      <c r="E14" s="63"/>
      <c r="F14" s="59">
        <f t="shared" si="3"/>
        <v>42</v>
      </c>
      <c r="G14" s="63">
        <f t="shared" si="1"/>
        <v>8008</v>
      </c>
      <c r="H14" s="59"/>
    </row>
    <row r="15">
      <c r="A15" s="59">
        <f t="shared" si="2"/>
        <v>109</v>
      </c>
      <c r="B15" s="63">
        <v>1.0</v>
      </c>
      <c r="C15" s="63" t="s">
        <v>2105</v>
      </c>
      <c r="D15" s="59" t="str">
        <f>"106,107"</f>
        <v>106,107</v>
      </c>
      <c r="E15" s="63"/>
      <c r="F15" s="59">
        <f t="shared" si="3"/>
        <v>47</v>
      </c>
      <c r="G15" s="63">
        <f t="shared" si="1"/>
        <v>8009</v>
      </c>
      <c r="H15" s="59"/>
    </row>
    <row r="16">
      <c r="A16" s="59">
        <f t="shared" si="2"/>
        <v>110</v>
      </c>
      <c r="B16" s="63">
        <v>1.0</v>
      </c>
      <c r="C16" s="63" t="s">
        <v>2105</v>
      </c>
      <c r="D16" s="93">
        <v>108.0</v>
      </c>
      <c r="E16" s="63"/>
      <c r="F16" s="59">
        <f t="shared" si="3"/>
        <v>52</v>
      </c>
      <c r="G16" s="63">
        <f t="shared" si="1"/>
        <v>8010</v>
      </c>
      <c r="H16" s="63"/>
    </row>
    <row r="17">
      <c r="A17" s="59">
        <f t="shared" si="2"/>
        <v>111</v>
      </c>
      <c r="B17" s="63">
        <v>1.0</v>
      </c>
      <c r="C17" s="63" t="s">
        <v>2105</v>
      </c>
      <c r="D17" s="93">
        <v>109.0</v>
      </c>
      <c r="E17" s="63"/>
      <c r="F17" s="59">
        <f t="shared" si="3"/>
        <v>57</v>
      </c>
      <c r="G17" s="63">
        <f t="shared" si="1"/>
        <v>8011</v>
      </c>
      <c r="H17" s="63"/>
    </row>
    <row r="18">
      <c r="A18" s="59">
        <f t="shared" si="2"/>
        <v>112</v>
      </c>
      <c r="B18" s="63">
        <v>1.0</v>
      </c>
      <c r="C18" s="63" t="s">
        <v>2105</v>
      </c>
      <c r="D18" s="93">
        <v>110.0</v>
      </c>
      <c r="E18" s="63"/>
      <c r="F18" s="59">
        <f t="shared" si="3"/>
        <v>62</v>
      </c>
      <c r="G18" s="63">
        <f t="shared" si="1"/>
        <v>8012</v>
      </c>
      <c r="H18" s="63"/>
    </row>
    <row r="19">
      <c r="A19" s="59">
        <f t="shared" si="2"/>
        <v>113</v>
      </c>
      <c r="B19" s="63">
        <v>1.0</v>
      </c>
      <c r="C19" s="63" t="s">
        <v>2105</v>
      </c>
      <c r="D19" s="93">
        <v>111.0</v>
      </c>
      <c r="E19" s="63"/>
      <c r="F19" s="59">
        <f t="shared" si="3"/>
        <v>67</v>
      </c>
      <c r="G19" s="63">
        <f t="shared" si="1"/>
        <v>8013</v>
      </c>
      <c r="H19" s="63"/>
    </row>
    <row r="20">
      <c r="A20" s="59">
        <f t="shared" si="2"/>
        <v>114</v>
      </c>
      <c r="B20" s="63">
        <v>1.0</v>
      </c>
      <c r="C20" s="63" t="s">
        <v>1364</v>
      </c>
      <c r="D20" s="93" t="str">
        <f>"112,113"</f>
        <v>112,113</v>
      </c>
      <c r="E20" s="63"/>
      <c r="F20" s="59">
        <f t="shared" si="3"/>
        <v>72</v>
      </c>
      <c r="G20" s="63">
        <f t="shared" si="1"/>
        <v>8014</v>
      </c>
      <c r="H20" s="63">
        <v>90008.0</v>
      </c>
    </row>
    <row r="21">
      <c r="A21" s="59">
        <f t="shared" si="2"/>
        <v>115</v>
      </c>
      <c r="B21" s="63">
        <v>2.0</v>
      </c>
      <c r="C21" s="63" t="s">
        <v>2105</v>
      </c>
      <c r="D21" s="59"/>
      <c r="E21" s="63" t="s">
        <v>2109</v>
      </c>
      <c r="F21" s="63">
        <v>5.0</v>
      </c>
      <c r="G21" s="63">
        <f t="shared" si="1"/>
        <v>8015</v>
      </c>
      <c r="H21" s="59"/>
    </row>
    <row r="22">
      <c r="A22" s="59">
        <f t="shared" si="2"/>
        <v>116</v>
      </c>
      <c r="B22" s="63">
        <v>2.0</v>
      </c>
      <c r="C22" s="63" t="s">
        <v>2105</v>
      </c>
      <c r="D22" s="63">
        <f t="shared" ref="D22:D26" si="4">D7+15</f>
        <v>115</v>
      </c>
      <c r="E22" s="63"/>
      <c r="F22" s="63">
        <v>7.0</v>
      </c>
      <c r="G22" s="63">
        <f t="shared" si="1"/>
        <v>8016</v>
      </c>
      <c r="H22" s="59"/>
    </row>
    <row r="23">
      <c r="A23" s="59">
        <f t="shared" si="2"/>
        <v>117</v>
      </c>
      <c r="B23" s="63">
        <v>2.0</v>
      </c>
      <c r="C23" s="63" t="s">
        <v>2105</v>
      </c>
      <c r="D23" s="63">
        <f t="shared" si="4"/>
        <v>115</v>
      </c>
      <c r="E23" s="63"/>
      <c r="F23" s="59">
        <f t="shared" ref="F23:F35" si="5">F22+5</f>
        <v>12</v>
      </c>
      <c r="G23" s="63">
        <f t="shared" si="1"/>
        <v>8017</v>
      </c>
      <c r="H23" s="59"/>
    </row>
    <row r="24">
      <c r="A24" s="59">
        <f t="shared" si="2"/>
        <v>118</v>
      </c>
      <c r="B24" s="63">
        <v>2.0</v>
      </c>
      <c r="C24" s="63" t="s">
        <v>2105</v>
      </c>
      <c r="D24" s="63">
        <f t="shared" si="4"/>
        <v>116</v>
      </c>
      <c r="E24" s="63"/>
      <c r="F24" s="59">
        <f t="shared" si="5"/>
        <v>17</v>
      </c>
      <c r="G24" s="63">
        <f t="shared" si="1"/>
        <v>8018</v>
      </c>
      <c r="H24" s="59"/>
    </row>
    <row r="25">
      <c r="A25" s="59">
        <f t="shared" si="2"/>
        <v>119</v>
      </c>
      <c r="B25" s="63">
        <v>2.0</v>
      </c>
      <c r="C25" s="63" t="s">
        <v>2105</v>
      </c>
      <c r="D25" s="63">
        <f t="shared" si="4"/>
        <v>117</v>
      </c>
      <c r="E25" s="63"/>
      <c r="F25" s="59">
        <f t="shared" si="5"/>
        <v>22</v>
      </c>
      <c r="G25" s="63">
        <f t="shared" si="1"/>
        <v>8019</v>
      </c>
      <c r="H25" s="59"/>
    </row>
    <row r="26">
      <c r="A26" s="59">
        <f t="shared" si="2"/>
        <v>120</v>
      </c>
      <c r="B26" s="63">
        <v>2.0</v>
      </c>
      <c r="C26" s="63" t="s">
        <v>2105</v>
      </c>
      <c r="D26" s="63">
        <f t="shared" si="4"/>
        <v>118</v>
      </c>
      <c r="E26" s="63"/>
      <c r="F26" s="59">
        <f t="shared" si="5"/>
        <v>27</v>
      </c>
      <c r="G26" s="63">
        <f t="shared" si="1"/>
        <v>8020</v>
      </c>
      <c r="H26" s="59"/>
    </row>
    <row r="27">
      <c r="A27" s="59">
        <f t="shared" si="2"/>
        <v>121</v>
      </c>
      <c r="B27" s="63">
        <v>2.0</v>
      </c>
      <c r="C27" s="63" t="s">
        <v>2105</v>
      </c>
      <c r="D27" s="63" t="str">
        <f>"118,119"</f>
        <v>118,119</v>
      </c>
      <c r="E27" s="63"/>
      <c r="F27" s="59">
        <f t="shared" si="5"/>
        <v>32</v>
      </c>
      <c r="G27" s="63">
        <f t="shared" si="1"/>
        <v>8021</v>
      </c>
      <c r="H27" s="59"/>
    </row>
    <row r="28">
      <c r="A28" s="59">
        <f t="shared" si="2"/>
        <v>122</v>
      </c>
      <c r="B28" s="63">
        <v>2.0</v>
      </c>
      <c r="C28" s="63" t="s">
        <v>2105</v>
      </c>
      <c r="D28" s="63">
        <f>D13+15</f>
        <v>119</v>
      </c>
      <c r="E28" s="63"/>
      <c r="F28" s="59">
        <f t="shared" si="5"/>
        <v>37</v>
      </c>
      <c r="G28" s="63">
        <f t="shared" si="1"/>
        <v>8022</v>
      </c>
      <c r="H28" s="59"/>
    </row>
    <row r="29">
      <c r="A29" s="59">
        <f t="shared" si="2"/>
        <v>123</v>
      </c>
      <c r="B29" s="63">
        <v>2.0</v>
      </c>
      <c r="C29" s="63" t="s">
        <v>2105</v>
      </c>
      <c r="D29" s="63" t="str">
        <f>"120,121"</f>
        <v>120,121</v>
      </c>
      <c r="E29" s="63"/>
      <c r="F29" s="59">
        <f t="shared" si="5"/>
        <v>42</v>
      </c>
      <c r="G29" s="63">
        <f t="shared" si="1"/>
        <v>8023</v>
      </c>
      <c r="H29" s="59"/>
    </row>
    <row r="30">
      <c r="A30" s="59">
        <f t="shared" si="2"/>
        <v>124</v>
      </c>
      <c r="B30" s="63">
        <v>2.0</v>
      </c>
      <c r="C30" s="63" t="s">
        <v>2105</v>
      </c>
      <c r="D30" s="63" t="str">
        <f>"121,122"</f>
        <v>121,122</v>
      </c>
      <c r="E30" s="63"/>
      <c r="F30" s="59">
        <f t="shared" si="5"/>
        <v>47</v>
      </c>
      <c r="G30" s="63">
        <f t="shared" si="1"/>
        <v>8024</v>
      </c>
      <c r="H30" s="59"/>
    </row>
    <row r="31">
      <c r="A31" s="59">
        <f t="shared" si="2"/>
        <v>125</v>
      </c>
      <c r="B31" s="63">
        <v>2.0</v>
      </c>
      <c r="C31" s="63" t="s">
        <v>2105</v>
      </c>
      <c r="D31" s="93">
        <f t="shared" ref="D31:D34" si="6">D16+15</f>
        <v>123</v>
      </c>
      <c r="E31" s="63"/>
      <c r="F31" s="59">
        <f t="shared" si="5"/>
        <v>52</v>
      </c>
      <c r="G31" s="63">
        <f t="shared" si="1"/>
        <v>8025</v>
      </c>
      <c r="H31" s="63"/>
    </row>
    <row r="32">
      <c r="A32" s="59">
        <f t="shared" si="2"/>
        <v>126</v>
      </c>
      <c r="B32" s="63">
        <v>2.0</v>
      </c>
      <c r="C32" s="63" t="s">
        <v>2105</v>
      </c>
      <c r="D32" s="93">
        <f t="shared" si="6"/>
        <v>124</v>
      </c>
      <c r="E32" s="63"/>
      <c r="F32" s="59">
        <f t="shared" si="5"/>
        <v>57</v>
      </c>
      <c r="G32" s="63">
        <f t="shared" si="1"/>
        <v>8026</v>
      </c>
      <c r="H32" s="63"/>
    </row>
    <row r="33">
      <c r="A33" s="59">
        <f t="shared" si="2"/>
        <v>127</v>
      </c>
      <c r="B33" s="63">
        <v>2.0</v>
      </c>
      <c r="C33" s="63" t="s">
        <v>2105</v>
      </c>
      <c r="D33" s="93">
        <f t="shared" si="6"/>
        <v>125</v>
      </c>
      <c r="E33" s="63"/>
      <c r="F33" s="59">
        <f t="shared" si="5"/>
        <v>62</v>
      </c>
      <c r="G33" s="63">
        <f t="shared" si="1"/>
        <v>8027</v>
      </c>
      <c r="H33" s="63"/>
    </row>
    <row r="34">
      <c r="A34" s="59">
        <f t="shared" si="2"/>
        <v>128</v>
      </c>
      <c r="B34" s="63">
        <v>2.0</v>
      </c>
      <c r="C34" s="63" t="s">
        <v>2105</v>
      </c>
      <c r="D34" s="93">
        <f t="shared" si="6"/>
        <v>126</v>
      </c>
      <c r="E34" s="63"/>
      <c r="F34" s="59">
        <f t="shared" si="5"/>
        <v>67</v>
      </c>
      <c r="G34" s="63">
        <f t="shared" si="1"/>
        <v>8028</v>
      </c>
      <c r="H34" s="63"/>
    </row>
    <row r="35">
      <c r="A35" s="59">
        <f t="shared" si="2"/>
        <v>129</v>
      </c>
      <c r="B35" s="63">
        <v>2.0</v>
      </c>
      <c r="C35" s="63" t="s">
        <v>1392</v>
      </c>
      <c r="D35" s="63" t="str">
        <f>"127,128"</f>
        <v>127,128</v>
      </c>
      <c r="E35" s="63"/>
      <c r="F35" s="59">
        <f t="shared" si="5"/>
        <v>72</v>
      </c>
      <c r="G35" s="63">
        <f t="shared" si="1"/>
        <v>8029</v>
      </c>
      <c r="H35" s="63">
        <v>90009.0</v>
      </c>
    </row>
    <row r="36">
      <c r="A36" s="59">
        <f t="shared" si="2"/>
        <v>130</v>
      </c>
      <c r="B36" s="63">
        <v>3.0</v>
      </c>
      <c r="C36" s="63" t="s">
        <v>2105</v>
      </c>
      <c r="D36" s="59"/>
      <c r="E36" s="63" t="s">
        <v>2112</v>
      </c>
      <c r="F36" s="63">
        <v>5.0</v>
      </c>
      <c r="G36" s="63">
        <f t="shared" si="1"/>
        <v>8030</v>
      </c>
      <c r="H36" s="59"/>
    </row>
    <row r="37">
      <c r="A37" s="59">
        <f t="shared" si="2"/>
        <v>131</v>
      </c>
      <c r="B37" s="63">
        <v>3.0</v>
      </c>
      <c r="C37" s="63" t="s">
        <v>2105</v>
      </c>
      <c r="D37" s="63">
        <v>130.0</v>
      </c>
      <c r="E37" s="63"/>
      <c r="F37" s="63">
        <v>7.0</v>
      </c>
      <c r="G37" s="63">
        <f t="shared" si="1"/>
        <v>8031</v>
      </c>
      <c r="H37" s="59"/>
    </row>
    <row r="38">
      <c r="A38" s="59">
        <f t="shared" si="2"/>
        <v>132</v>
      </c>
      <c r="B38" s="63">
        <v>3.0</v>
      </c>
      <c r="C38" s="63" t="s">
        <v>2105</v>
      </c>
      <c r="D38" s="63">
        <v>130.0</v>
      </c>
      <c r="E38" s="63"/>
      <c r="F38" s="59">
        <f t="shared" ref="F38:F50" si="7">F37+5</f>
        <v>12</v>
      </c>
      <c r="G38" s="63">
        <f t="shared" si="1"/>
        <v>8032</v>
      </c>
      <c r="H38" s="59"/>
    </row>
    <row r="39">
      <c r="A39" s="59">
        <f t="shared" si="2"/>
        <v>133</v>
      </c>
      <c r="B39" s="63">
        <v>3.0</v>
      </c>
      <c r="C39" s="63" t="s">
        <v>2105</v>
      </c>
      <c r="D39" s="63">
        <v>131.0</v>
      </c>
      <c r="E39" s="63"/>
      <c r="F39" s="59">
        <f t="shared" si="7"/>
        <v>17</v>
      </c>
      <c r="G39" s="63">
        <f t="shared" si="1"/>
        <v>8033</v>
      </c>
      <c r="H39" s="59"/>
    </row>
    <row r="40">
      <c r="A40" s="59">
        <f t="shared" si="2"/>
        <v>134</v>
      </c>
      <c r="B40" s="63">
        <v>3.0</v>
      </c>
      <c r="C40" s="63" t="s">
        <v>2105</v>
      </c>
      <c r="D40" s="63">
        <v>132.0</v>
      </c>
      <c r="E40" s="63"/>
      <c r="F40" s="59">
        <f t="shared" si="7"/>
        <v>22</v>
      </c>
      <c r="G40" s="63">
        <f t="shared" si="1"/>
        <v>8034</v>
      </c>
      <c r="H40" s="59"/>
    </row>
    <row r="41">
      <c r="A41" s="59">
        <f t="shared" si="2"/>
        <v>135</v>
      </c>
      <c r="B41" s="63">
        <v>3.0</v>
      </c>
      <c r="C41" s="63" t="s">
        <v>2105</v>
      </c>
      <c r="D41" s="63">
        <v>133.0</v>
      </c>
      <c r="E41" s="63"/>
      <c r="F41" s="59">
        <f t="shared" si="7"/>
        <v>27</v>
      </c>
      <c r="G41" s="63">
        <f t="shared" si="1"/>
        <v>8035</v>
      </c>
      <c r="H41" s="59"/>
    </row>
    <row r="42">
      <c r="A42" s="59">
        <f t="shared" si="2"/>
        <v>136</v>
      </c>
      <c r="B42" s="63">
        <v>3.0</v>
      </c>
      <c r="C42" s="63" t="s">
        <v>2105</v>
      </c>
      <c r="D42" s="63" t="str">
        <f>"133,134"</f>
        <v>133,134</v>
      </c>
      <c r="E42" s="63"/>
      <c r="F42" s="59">
        <f t="shared" si="7"/>
        <v>32</v>
      </c>
      <c r="G42" s="63">
        <f t="shared" si="1"/>
        <v>8036</v>
      </c>
      <c r="H42" s="59"/>
    </row>
    <row r="43">
      <c r="A43" s="59">
        <f t="shared" si="2"/>
        <v>137</v>
      </c>
      <c r="B43" s="63">
        <v>3.0</v>
      </c>
      <c r="C43" s="63" t="s">
        <v>2105</v>
      </c>
      <c r="D43" s="63">
        <v>134.0</v>
      </c>
      <c r="E43" s="63"/>
      <c r="F43" s="59">
        <f t="shared" si="7"/>
        <v>37</v>
      </c>
      <c r="G43" s="63">
        <f t="shared" si="1"/>
        <v>8037</v>
      </c>
      <c r="H43" s="59"/>
    </row>
    <row r="44">
      <c r="A44" s="59">
        <f t="shared" si="2"/>
        <v>138</v>
      </c>
      <c r="B44" s="63">
        <v>3.0</v>
      </c>
      <c r="C44" s="63" t="s">
        <v>2105</v>
      </c>
      <c r="D44" s="59" t="str">
        <f>"135,136"</f>
        <v>135,136</v>
      </c>
      <c r="E44" s="63"/>
      <c r="F44" s="59">
        <f t="shared" si="7"/>
        <v>42</v>
      </c>
      <c r="G44" s="63">
        <f t="shared" si="1"/>
        <v>8038</v>
      </c>
      <c r="H44" s="59"/>
    </row>
    <row r="45">
      <c r="A45" s="59">
        <f t="shared" si="2"/>
        <v>139</v>
      </c>
      <c r="B45" s="63">
        <v>3.0</v>
      </c>
      <c r="C45" s="63" t="s">
        <v>2105</v>
      </c>
      <c r="D45" s="59" t="str">
        <f>"136,137"</f>
        <v>136,137</v>
      </c>
      <c r="E45" s="63"/>
      <c r="F45" s="59">
        <f t="shared" si="7"/>
        <v>47</v>
      </c>
      <c r="G45" s="63">
        <f t="shared" si="1"/>
        <v>8039</v>
      </c>
      <c r="H45" s="59"/>
    </row>
    <row r="46">
      <c r="A46" s="59">
        <f t="shared" si="2"/>
        <v>140</v>
      </c>
      <c r="B46" s="63">
        <v>3.0</v>
      </c>
      <c r="C46" s="63" t="s">
        <v>2105</v>
      </c>
      <c r="D46" s="93">
        <v>138.0</v>
      </c>
      <c r="E46" s="63"/>
      <c r="F46" s="59">
        <f t="shared" si="7"/>
        <v>52</v>
      </c>
      <c r="G46" s="63">
        <f t="shared" si="1"/>
        <v>8040</v>
      </c>
      <c r="H46" s="63"/>
    </row>
    <row r="47">
      <c r="A47" s="59">
        <f t="shared" si="2"/>
        <v>141</v>
      </c>
      <c r="B47" s="63">
        <v>3.0</v>
      </c>
      <c r="C47" s="63" t="s">
        <v>2105</v>
      </c>
      <c r="D47" s="93">
        <v>139.0</v>
      </c>
      <c r="E47" s="63"/>
      <c r="F47" s="59">
        <f t="shared" si="7"/>
        <v>57</v>
      </c>
      <c r="G47" s="63">
        <f t="shared" si="1"/>
        <v>8041</v>
      </c>
      <c r="H47" s="63"/>
    </row>
    <row r="48">
      <c r="A48" s="59">
        <f t="shared" si="2"/>
        <v>142</v>
      </c>
      <c r="B48" s="63">
        <v>3.0</v>
      </c>
      <c r="C48" s="63" t="s">
        <v>2105</v>
      </c>
      <c r="D48" s="93">
        <v>140.0</v>
      </c>
      <c r="E48" s="63"/>
      <c r="F48" s="59">
        <f t="shared" si="7"/>
        <v>62</v>
      </c>
      <c r="G48" s="63">
        <f t="shared" si="1"/>
        <v>8042</v>
      </c>
      <c r="H48" s="63"/>
    </row>
    <row r="49">
      <c r="A49" s="59">
        <f t="shared" si="2"/>
        <v>143</v>
      </c>
      <c r="B49" s="63">
        <v>3.0</v>
      </c>
      <c r="C49" s="63" t="s">
        <v>2105</v>
      </c>
      <c r="D49" s="93">
        <v>141.0</v>
      </c>
      <c r="E49" s="63"/>
      <c r="F49" s="59">
        <f t="shared" si="7"/>
        <v>67</v>
      </c>
      <c r="G49" s="63">
        <f t="shared" si="1"/>
        <v>8043</v>
      </c>
      <c r="H49" s="63"/>
    </row>
    <row r="50">
      <c r="A50" s="59">
        <f t="shared" si="2"/>
        <v>144</v>
      </c>
      <c r="B50" s="63">
        <v>3.0</v>
      </c>
      <c r="C50" s="63" t="s">
        <v>1415</v>
      </c>
      <c r="D50" s="93" t="str">
        <f>"142,143"</f>
        <v>142,143</v>
      </c>
      <c r="E50" s="63"/>
      <c r="F50" s="59">
        <f t="shared" si="7"/>
        <v>72</v>
      </c>
      <c r="G50" s="63">
        <f t="shared" si="1"/>
        <v>8044</v>
      </c>
      <c r="H50" s="63">
        <v>90010.0</v>
      </c>
    </row>
    <row r="51">
      <c r="A51" s="59">
        <f t="shared" si="2"/>
        <v>145</v>
      </c>
      <c r="B51" s="63">
        <v>4.0</v>
      </c>
      <c r="C51" s="63" t="s">
        <v>2105</v>
      </c>
      <c r="D51" s="59"/>
      <c r="E51" s="63" t="s">
        <v>2113</v>
      </c>
      <c r="F51" s="63">
        <v>5.0</v>
      </c>
      <c r="G51" s="63">
        <f t="shared" si="1"/>
        <v>8045</v>
      </c>
      <c r="H51" s="59"/>
    </row>
    <row r="52">
      <c r="A52" s="59">
        <f t="shared" si="2"/>
        <v>146</v>
      </c>
      <c r="B52" s="63">
        <v>4.0</v>
      </c>
      <c r="C52" s="63" t="s">
        <v>2105</v>
      </c>
      <c r="D52" s="63">
        <v>145.0</v>
      </c>
      <c r="E52" s="63"/>
      <c r="F52" s="63">
        <v>7.0</v>
      </c>
      <c r="G52" s="63">
        <f t="shared" si="1"/>
        <v>8046</v>
      </c>
      <c r="H52" s="59"/>
    </row>
    <row r="53">
      <c r="A53" s="59">
        <f t="shared" si="2"/>
        <v>147</v>
      </c>
      <c r="B53" s="63">
        <v>4.0</v>
      </c>
      <c r="C53" s="63" t="s">
        <v>2105</v>
      </c>
      <c r="D53" s="63">
        <v>145.0</v>
      </c>
      <c r="E53" s="63"/>
      <c r="F53" s="59">
        <f t="shared" ref="F53:F65" si="8">F52+5</f>
        <v>12</v>
      </c>
      <c r="G53" s="63">
        <f t="shared" si="1"/>
        <v>8047</v>
      </c>
      <c r="H53" s="59"/>
    </row>
    <row r="54">
      <c r="A54" s="59">
        <f t="shared" si="2"/>
        <v>148</v>
      </c>
      <c r="B54" s="63">
        <v>4.0</v>
      </c>
      <c r="C54" s="63" t="s">
        <v>2105</v>
      </c>
      <c r="D54" s="63">
        <v>146.0</v>
      </c>
      <c r="E54" s="63"/>
      <c r="F54" s="59">
        <f t="shared" si="8"/>
        <v>17</v>
      </c>
      <c r="G54" s="63">
        <f t="shared" si="1"/>
        <v>8048</v>
      </c>
      <c r="H54" s="59"/>
    </row>
    <row r="55">
      <c r="A55" s="59">
        <f t="shared" si="2"/>
        <v>149</v>
      </c>
      <c r="B55" s="63">
        <v>4.0</v>
      </c>
      <c r="C55" s="63" t="s">
        <v>2105</v>
      </c>
      <c r="D55" s="63">
        <v>147.0</v>
      </c>
      <c r="E55" s="63"/>
      <c r="F55" s="59">
        <f t="shared" si="8"/>
        <v>22</v>
      </c>
      <c r="G55" s="63">
        <f t="shared" si="1"/>
        <v>8049</v>
      </c>
      <c r="H55" s="59"/>
    </row>
    <row r="56">
      <c r="A56" s="59">
        <f t="shared" si="2"/>
        <v>150</v>
      </c>
      <c r="B56" s="63">
        <v>4.0</v>
      </c>
      <c r="C56" s="63" t="s">
        <v>2105</v>
      </c>
      <c r="D56" s="63">
        <v>148.0</v>
      </c>
      <c r="E56" s="63"/>
      <c r="F56" s="59">
        <f t="shared" si="8"/>
        <v>27</v>
      </c>
      <c r="G56" s="63">
        <f t="shared" si="1"/>
        <v>8050</v>
      </c>
      <c r="H56" s="59"/>
    </row>
    <row r="57">
      <c r="A57" s="59">
        <f t="shared" si="2"/>
        <v>151</v>
      </c>
      <c r="B57" s="63">
        <v>4.0</v>
      </c>
      <c r="C57" s="63" t="s">
        <v>2105</v>
      </c>
      <c r="D57" s="63" t="str">
        <f>"148,149"</f>
        <v>148,149</v>
      </c>
      <c r="E57" s="63"/>
      <c r="F57" s="59">
        <f t="shared" si="8"/>
        <v>32</v>
      </c>
      <c r="G57" s="63">
        <f t="shared" si="1"/>
        <v>8051</v>
      </c>
      <c r="H57" s="59"/>
    </row>
    <row r="58">
      <c r="A58" s="59">
        <f t="shared" si="2"/>
        <v>152</v>
      </c>
      <c r="B58" s="63">
        <v>4.0</v>
      </c>
      <c r="C58" s="63" t="s">
        <v>2105</v>
      </c>
      <c r="D58" s="63">
        <v>149.0</v>
      </c>
      <c r="E58" s="63"/>
      <c r="F58" s="59">
        <f t="shared" si="8"/>
        <v>37</v>
      </c>
      <c r="G58" s="63">
        <f t="shared" si="1"/>
        <v>8052</v>
      </c>
      <c r="H58" s="59"/>
    </row>
    <row r="59">
      <c r="A59" s="59">
        <f t="shared" si="2"/>
        <v>153</v>
      </c>
      <c r="B59" s="63">
        <v>4.0</v>
      </c>
      <c r="C59" s="63" t="s">
        <v>2105</v>
      </c>
      <c r="D59" s="59" t="str">
        <f>"150,151"</f>
        <v>150,151</v>
      </c>
      <c r="E59" s="63"/>
      <c r="F59" s="59">
        <f t="shared" si="8"/>
        <v>42</v>
      </c>
      <c r="G59" s="63">
        <f t="shared" si="1"/>
        <v>8053</v>
      </c>
      <c r="H59" s="59"/>
    </row>
    <row r="60">
      <c r="A60" s="59">
        <f t="shared" si="2"/>
        <v>154</v>
      </c>
      <c r="B60" s="63">
        <v>4.0</v>
      </c>
      <c r="C60" s="63" t="s">
        <v>2105</v>
      </c>
      <c r="D60" s="59" t="str">
        <f>"151,152"</f>
        <v>151,152</v>
      </c>
      <c r="E60" s="63"/>
      <c r="F60" s="59">
        <f t="shared" si="8"/>
        <v>47</v>
      </c>
      <c r="G60" s="63">
        <f t="shared" si="1"/>
        <v>8054</v>
      </c>
      <c r="H60" s="59"/>
    </row>
    <row r="61">
      <c r="A61" s="59">
        <f t="shared" si="2"/>
        <v>155</v>
      </c>
      <c r="B61" s="63">
        <v>4.0</v>
      </c>
      <c r="C61" s="63" t="s">
        <v>2105</v>
      </c>
      <c r="D61" s="93">
        <v>153.0</v>
      </c>
      <c r="E61" s="63"/>
      <c r="F61" s="59">
        <f t="shared" si="8"/>
        <v>52</v>
      </c>
      <c r="G61" s="63">
        <f t="shared" si="1"/>
        <v>8055</v>
      </c>
      <c r="H61" s="63"/>
    </row>
    <row r="62">
      <c r="A62" s="59">
        <f t="shared" si="2"/>
        <v>156</v>
      </c>
      <c r="B62" s="63">
        <v>4.0</v>
      </c>
      <c r="C62" s="63" t="s">
        <v>2105</v>
      </c>
      <c r="D62" s="93">
        <v>154.0</v>
      </c>
      <c r="E62" s="63"/>
      <c r="F62" s="59">
        <f t="shared" si="8"/>
        <v>57</v>
      </c>
      <c r="G62" s="63">
        <f t="shared" si="1"/>
        <v>8056</v>
      </c>
      <c r="H62" s="63"/>
    </row>
    <row r="63">
      <c r="A63" s="59">
        <f t="shared" si="2"/>
        <v>157</v>
      </c>
      <c r="B63" s="63">
        <v>4.0</v>
      </c>
      <c r="C63" s="63" t="s">
        <v>2105</v>
      </c>
      <c r="D63" s="93">
        <v>155.0</v>
      </c>
      <c r="E63" s="63"/>
      <c r="F63" s="59">
        <f t="shared" si="8"/>
        <v>62</v>
      </c>
      <c r="G63" s="63">
        <f t="shared" si="1"/>
        <v>8057</v>
      </c>
      <c r="H63" s="63"/>
    </row>
    <row r="64">
      <c r="A64" s="59">
        <f t="shared" si="2"/>
        <v>158</v>
      </c>
      <c r="B64" s="63">
        <v>4.0</v>
      </c>
      <c r="C64" s="63" t="s">
        <v>2105</v>
      </c>
      <c r="D64" s="93">
        <v>156.0</v>
      </c>
      <c r="E64" s="63"/>
      <c r="F64" s="59">
        <f t="shared" si="8"/>
        <v>67</v>
      </c>
      <c r="G64" s="63">
        <f t="shared" si="1"/>
        <v>8058</v>
      </c>
      <c r="H64" s="63"/>
    </row>
    <row r="65">
      <c r="A65" s="59">
        <f t="shared" si="2"/>
        <v>159</v>
      </c>
      <c r="B65" s="63">
        <v>4.0</v>
      </c>
      <c r="C65" s="63" t="s">
        <v>1436</v>
      </c>
      <c r="D65" s="93" t="str">
        <f>"157,158"</f>
        <v>157,158</v>
      </c>
      <c r="E65" s="63"/>
      <c r="F65" s="59">
        <f t="shared" si="8"/>
        <v>72</v>
      </c>
      <c r="G65" s="63">
        <f t="shared" si="1"/>
        <v>8059</v>
      </c>
      <c r="H65" s="63">
        <v>90011.0</v>
      </c>
    </row>
    <row r="66">
      <c r="A66" s="59">
        <f t="shared" si="2"/>
        <v>160</v>
      </c>
      <c r="B66" s="63">
        <v>5.0</v>
      </c>
      <c r="C66" s="63" t="s">
        <v>2114</v>
      </c>
      <c r="D66" s="59"/>
      <c r="E66" s="63" t="s">
        <v>2115</v>
      </c>
      <c r="F66" s="63">
        <v>5.0</v>
      </c>
      <c r="G66" s="63">
        <f t="shared" si="1"/>
        <v>8060</v>
      </c>
      <c r="H66" s="59"/>
    </row>
    <row r="67">
      <c r="A67" s="59">
        <f t="shared" si="2"/>
        <v>161</v>
      </c>
      <c r="B67" s="63">
        <v>5.0</v>
      </c>
      <c r="C67" s="63" t="s">
        <v>2114</v>
      </c>
      <c r="D67" s="63">
        <v>160.0</v>
      </c>
      <c r="E67" s="63"/>
      <c r="F67" s="63">
        <v>7.0</v>
      </c>
      <c r="G67" s="63">
        <f t="shared" si="1"/>
        <v>8061</v>
      </c>
      <c r="H67" s="59"/>
    </row>
    <row r="68">
      <c r="A68" s="59">
        <f t="shared" si="2"/>
        <v>162</v>
      </c>
      <c r="B68" s="63">
        <v>5.0</v>
      </c>
      <c r="C68" s="63" t="s">
        <v>2114</v>
      </c>
      <c r="D68" s="63">
        <v>160.0</v>
      </c>
      <c r="E68" s="63"/>
      <c r="F68" s="59">
        <f t="shared" ref="F68:F80" si="9">F67+5</f>
        <v>12</v>
      </c>
      <c r="G68" s="63">
        <f t="shared" si="1"/>
        <v>8062</v>
      </c>
      <c r="H68" s="59"/>
    </row>
    <row r="69">
      <c r="A69" s="59">
        <f t="shared" si="2"/>
        <v>163</v>
      </c>
      <c r="B69" s="63">
        <v>5.0</v>
      </c>
      <c r="C69" s="63" t="s">
        <v>2114</v>
      </c>
      <c r="D69" s="63">
        <v>161.0</v>
      </c>
      <c r="E69" s="63"/>
      <c r="F69" s="59">
        <f t="shared" si="9"/>
        <v>17</v>
      </c>
      <c r="G69" s="63">
        <f t="shared" si="1"/>
        <v>8063</v>
      </c>
      <c r="H69" s="59"/>
    </row>
    <row r="70">
      <c r="A70" s="59">
        <f t="shared" si="2"/>
        <v>164</v>
      </c>
      <c r="B70" s="63">
        <v>5.0</v>
      </c>
      <c r="C70" s="63" t="s">
        <v>2114</v>
      </c>
      <c r="D70" s="63">
        <v>162.0</v>
      </c>
      <c r="E70" s="63"/>
      <c r="F70" s="59">
        <f t="shared" si="9"/>
        <v>22</v>
      </c>
      <c r="G70" s="63">
        <f t="shared" si="1"/>
        <v>8064</v>
      </c>
      <c r="H70" s="59"/>
    </row>
    <row r="71">
      <c r="A71" s="59">
        <f t="shared" si="2"/>
        <v>165</v>
      </c>
      <c r="B71" s="63">
        <v>5.0</v>
      </c>
      <c r="C71" s="63" t="s">
        <v>2114</v>
      </c>
      <c r="D71" s="63">
        <v>163.0</v>
      </c>
      <c r="E71" s="63"/>
      <c r="F71" s="59">
        <f t="shared" si="9"/>
        <v>27</v>
      </c>
      <c r="G71" s="63">
        <f t="shared" si="1"/>
        <v>8065</v>
      </c>
      <c r="H71" s="59"/>
    </row>
    <row r="72">
      <c r="A72" s="59">
        <f t="shared" si="2"/>
        <v>166</v>
      </c>
      <c r="B72" s="63">
        <v>5.0</v>
      </c>
      <c r="C72" s="63" t="s">
        <v>2114</v>
      </c>
      <c r="D72" s="63" t="str">
        <f>"163,164"</f>
        <v>163,164</v>
      </c>
      <c r="E72" s="63"/>
      <c r="F72" s="59">
        <f t="shared" si="9"/>
        <v>32</v>
      </c>
      <c r="G72" s="63">
        <f t="shared" si="1"/>
        <v>8066</v>
      </c>
      <c r="H72" s="59"/>
    </row>
    <row r="73">
      <c r="A73" s="59">
        <f t="shared" si="2"/>
        <v>167</v>
      </c>
      <c r="B73" s="63">
        <v>5.0</v>
      </c>
      <c r="C73" s="63" t="s">
        <v>2114</v>
      </c>
      <c r="D73" s="63">
        <v>164.0</v>
      </c>
      <c r="E73" s="63"/>
      <c r="F73" s="59">
        <f t="shared" si="9"/>
        <v>37</v>
      </c>
      <c r="G73" s="63">
        <f t="shared" si="1"/>
        <v>8067</v>
      </c>
      <c r="H73" s="59"/>
    </row>
    <row r="74">
      <c r="A74" s="59">
        <f t="shared" si="2"/>
        <v>168</v>
      </c>
      <c r="B74" s="63">
        <v>5.0</v>
      </c>
      <c r="C74" s="63" t="s">
        <v>2114</v>
      </c>
      <c r="D74" s="59" t="str">
        <f>"165,166"</f>
        <v>165,166</v>
      </c>
      <c r="E74" s="63"/>
      <c r="F74" s="59">
        <f t="shared" si="9"/>
        <v>42</v>
      </c>
      <c r="G74" s="63">
        <f t="shared" si="1"/>
        <v>8068</v>
      </c>
      <c r="H74" s="59"/>
    </row>
    <row r="75">
      <c r="A75" s="59">
        <f t="shared" si="2"/>
        <v>169</v>
      </c>
      <c r="B75" s="63">
        <v>5.0</v>
      </c>
      <c r="C75" s="63" t="s">
        <v>2114</v>
      </c>
      <c r="D75" s="59" t="str">
        <f>"166,167"</f>
        <v>166,167</v>
      </c>
      <c r="E75" s="63"/>
      <c r="F75" s="59">
        <f t="shared" si="9"/>
        <v>47</v>
      </c>
      <c r="G75" s="63">
        <f t="shared" si="1"/>
        <v>8069</v>
      </c>
      <c r="H75" s="59"/>
    </row>
    <row r="76">
      <c r="A76" s="59">
        <f t="shared" si="2"/>
        <v>170</v>
      </c>
      <c r="B76" s="63">
        <v>5.0</v>
      </c>
      <c r="C76" s="63" t="s">
        <v>2114</v>
      </c>
      <c r="D76" s="93">
        <v>168.0</v>
      </c>
      <c r="E76" s="63"/>
      <c r="F76" s="59">
        <f t="shared" si="9"/>
        <v>52</v>
      </c>
      <c r="G76" s="63">
        <f t="shared" si="1"/>
        <v>8070</v>
      </c>
      <c r="H76" s="63"/>
    </row>
    <row r="77">
      <c r="A77" s="59">
        <f t="shared" si="2"/>
        <v>171</v>
      </c>
      <c r="B77" s="63">
        <v>5.0</v>
      </c>
      <c r="C77" s="63" t="s">
        <v>2114</v>
      </c>
      <c r="D77" s="93">
        <v>169.0</v>
      </c>
      <c r="E77" s="63"/>
      <c r="F77" s="59">
        <f t="shared" si="9"/>
        <v>57</v>
      </c>
      <c r="G77" s="63">
        <f t="shared" si="1"/>
        <v>8071</v>
      </c>
      <c r="H77" s="63"/>
    </row>
    <row r="78">
      <c r="A78" s="59">
        <f t="shared" si="2"/>
        <v>172</v>
      </c>
      <c r="B78" s="63">
        <v>5.0</v>
      </c>
      <c r="C78" s="63" t="s">
        <v>2114</v>
      </c>
      <c r="D78" s="93">
        <v>170.0</v>
      </c>
      <c r="E78" s="63"/>
      <c r="F78" s="59">
        <f t="shared" si="9"/>
        <v>62</v>
      </c>
      <c r="G78" s="63">
        <f t="shared" si="1"/>
        <v>8072</v>
      </c>
      <c r="H78" s="63"/>
    </row>
    <row r="79">
      <c r="A79" s="59">
        <f t="shared" si="2"/>
        <v>173</v>
      </c>
      <c r="B79" s="63">
        <v>5.0</v>
      </c>
      <c r="C79" s="63" t="s">
        <v>2114</v>
      </c>
      <c r="D79" s="93">
        <v>171.0</v>
      </c>
      <c r="E79" s="63"/>
      <c r="F79" s="59">
        <f t="shared" si="9"/>
        <v>67</v>
      </c>
      <c r="G79" s="63">
        <f t="shared" si="1"/>
        <v>8073</v>
      </c>
      <c r="H79" s="63"/>
    </row>
    <row r="80">
      <c r="A80" s="59">
        <f t="shared" si="2"/>
        <v>174</v>
      </c>
      <c r="B80" s="63">
        <v>5.0</v>
      </c>
      <c r="C80" s="63" t="s">
        <v>1464</v>
      </c>
      <c r="D80" s="93" t="str">
        <f>"172,173"</f>
        <v>172,173</v>
      </c>
      <c r="E80" s="63"/>
      <c r="F80" s="59">
        <f t="shared" si="9"/>
        <v>72</v>
      </c>
      <c r="G80" s="63">
        <f t="shared" si="1"/>
        <v>8074</v>
      </c>
      <c r="H80" s="63">
        <v>90012.0</v>
      </c>
    </row>
    <row r="81">
      <c r="A81" s="59">
        <f t="shared" si="2"/>
        <v>175</v>
      </c>
      <c r="B81" s="63">
        <v>6.0</v>
      </c>
      <c r="C81" s="63" t="s">
        <v>2114</v>
      </c>
      <c r="D81" s="59"/>
      <c r="E81" s="63" t="s">
        <v>2122</v>
      </c>
      <c r="F81" s="63">
        <v>5.0</v>
      </c>
      <c r="G81" s="63">
        <f t="shared" si="1"/>
        <v>8075</v>
      </c>
      <c r="H81" s="59"/>
    </row>
    <row r="82">
      <c r="A82" s="59">
        <f t="shared" si="2"/>
        <v>176</v>
      </c>
      <c r="B82" s="63">
        <v>6.0</v>
      </c>
      <c r="C82" s="63" t="s">
        <v>2114</v>
      </c>
      <c r="D82" s="63">
        <v>175.0</v>
      </c>
      <c r="E82" s="63"/>
      <c r="F82" s="63">
        <v>7.0</v>
      </c>
      <c r="G82" s="63">
        <f t="shared" si="1"/>
        <v>8076</v>
      </c>
      <c r="H82" s="59"/>
    </row>
    <row r="83">
      <c r="A83" s="59">
        <f t="shared" si="2"/>
        <v>177</v>
      </c>
      <c r="B83" s="63">
        <v>6.0</v>
      </c>
      <c r="C83" s="63" t="s">
        <v>2114</v>
      </c>
      <c r="D83" s="63">
        <v>175.0</v>
      </c>
      <c r="E83" s="63"/>
      <c r="F83" s="59">
        <f t="shared" ref="F83:F95" si="10">F82+5</f>
        <v>12</v>
      </c>
      <c r="G83" s="63">
        <f t="shared" si="1"/>
        <v>8077</v>
      </c>
      <c r="H83" s="59"/>
    </row>
    <row r="84">
      <c r="A84" s="59">
        <f t="shared" si="2"/>
        <v>178</v>
      </c>
      <c r="B84" s="63">
        <v>6.0</v>
      </c>
      <c r="C84" s="63" t="s">
        <v>2114</v>
      </c>
      <c r="D84" s="63">
        <v>176.0</v>
      </c>
      <c r="E84" s="63"/>
      <c r="F84" s="59">
        <f t="shared" si="10"/>
        <v>17</v>
      </c>
      <c r="G84" s="63">
        <f t="shared" si="1"/>
        <v>8078</v>
      </c>
      <c r="H84" s="59"/>
    </row>
    <row r="85">
      <c r="A85" s="59">
        <f t="shared" si="2"/>
        <v>179</v>
      </c>
      <c r="B85" s="63">
        <v>6.0</v>
      </c>
      <c r="C85" s="63" t="s">
        <v>2114</v>
      </c>
      <c r="D85" s="63">
        <v>177.0</v>
      </c>
      <c r="E85" s="63"/>
      <c r="F85" s="59">
        <f t="shared" si="10"/>
        <v>22</v>
      </c>
      <c r="G85" s="63">
        <f t="shared" si="1"/>
        <v>8079</v>
      </c>
      <c r="H85" s="59"/>
    </row>
    <row r="86">
      <c r="A86" s="59">
        <f t="shared" si="2"/>
        <v>180</v>
      </c>
      <c r="B86" s="63">
        <v>6.0</v>
      </c>
      <c r="C86" s="63" t="s">
        <v>2114</v>
      </c>
      <c r="D86" s="63">
        <v>178.0</v>
      </c>
      <c r="E86" s="63"/>
      <c r="F86" s="59">
        <f t="shared" si="10"/>
        <v>27</v>
      </c>
      <c r="G86" s="63">
        <f t="shared" si="1"/>
        <v>8080</v>
      </c>
      <c r="H86" s="59"/>
    </row>
    <row r="87">
      <c r="A87" s="59">
        <f t="shared" si="2"/>
        <v>181</v>
      </c>
      <c r="B87" s="63">
        <v>6.0</v>
      </c>
      <c r="C87" s="63" t="s">
        <v>2114</v>
      </c>
      <c r="D87" s="63" t="str">
        <f>"178,179"</f>
        <v>178,179</v>
      </c>
      <c r="E87" s="63"/>
      <c r="F87" s="59">
        <f t="shared" si="10"/>
        <v>32</v>
      </c>
      <c r="G87" s="63">
        <f t="shared" si="1"/>
        <v>8081</v>
      </c>
      <c r="H87" s="59"/>
    </row>
    <row r="88">
      <c r="A88" s="59">
        <f t="shared" si="2"/>
        <v>182</v>
      </c>
      <c r="B88" s="63">
        <v>6.0</v>
      </c>
      <c r="C88" s="63" t="s">
        <v>2114</v>
      </c>
      <c r="D88" s="63">
        <v>179.0</v>
      </c>
      <c r="E88" s="63"/>
      <c r="F88" s="59">
        <f t="shared" si="10"/>
        <v>37</v>
      </c>
      <c r="G88" s="63">
        <f t="shared" si="1"/>
        <v>8082</v>
      </c>
      <c r="H88" s="59"/>
    </row>
    <row r="89">
      <c r="A89" s="59">
        <f t="shared" si="2"/>
        <v>183</v>
      </c>
      <c r="B89" s="63">
        <v>6.0</v>
      </c>
      <c r="C89" s="63" t="s">
        <v>2114</v>
      </c>
      <c r="D89" s="59" t="str">
        <f>"180,181"</f>
        <v>180,181</v>
      </c>
      <c r="E89" s="63"/>
      <c r="F89" s="59">
        <f t="shared" si="10"/>
        <v>42</v>
      </c>
      <c r="G89" s="63">
        <f t="shared" si="1"/>
        <v>8083</v>
      </c>
      <c r="H89" s="59"/>
    </row>
    <row r="90">
      <c r="A90" s="59">
        <f t="shared" si="2"/>
        <v>184</v>
      </c>
      <c r="B90" s="63">
        <v>6.0</v>
      </c>
      <c r="C90" s="63" t="s">
        <v>2114</v>
      </c>
      <c r="D90" s="59" t="str">
        <f>"181,182"</f>
        <v>181,182</v>
      </c>
      <c r="E90" s="63"/>
      <c r="F90" s="59">
        <f t="shared" si="10"/>
        <v>47</v>
      </c>
      <c r="G90" s="63">
        <f t="shared" si="1"/>
        <v>8084</v>
      </c>
      <c r="H90" s="59"/>
    </row>
    <row r="91">
      <c r="A91" s="59">
        <f t="shared" si="2"/>
        <v>185</v>
      </c>
      <c r="B91" s="63">
        <v>6.0</v>
      </c>
      <c r="C91" s="63" t="s">
        <v>2114</v>
      </c>
      <c r="D91" s="93">
        <v>183.0</v>
      </c>
      <c r="E91" s="63"/>
      <c r="F91" s="59">
        <f t="shared" si="10"/>
        <v>52</v>
      </c>
      <c r="G91" s="63">
        <f t="shared" si="1"/>
        <v>8085</v>
      </c>
      <c r="H91" s="63"/>
    </row>
    <row r="92">
      <c r="A92" s="59">
        <f t="shared" si="2"/>
        <v>186</v>
      </c>
      <c r="B92" s="63">
        <v>6.0</v>
      </c>
      <c r="C92" s="63" t="s">
        <v>2114</v>
      </c>
      <c r="D92" s="93">
        <v>184.0</v>
      </c>
      <c r="E92" s="63"/>
      <c r="F92" s="59">
        <f t="shared" si="10"/>
        <v>57</v>
      </c>
      <c r="G92" s="63">
        <f t="shared" si="1"/>
        <v>8086</v>
      </c>
      <c r="H92" s="63"/>
    </row>
    <row r="93">
      <c r="A93" s="59">
        <f t="shared" si="2"/>
        <v>187</v>
      </c>
      <c r="B93" s="63">
        <v>6.0</v>
      </c>
      <c r="C93" s="63" t="s">
        <v>2114</v>
      </c>
      <c r="D93" s="93">
        <v>185.0</v>
      </c>
      <c r="E93" s="63"/>
      <c r="F93" s="59">
        <f t="shared" si="10"/>
        <v>62</v>
      </c>
      <c r="G93" s="63">
        <f t="shared" si="1"/>
        <v>8087</v>
      </c>
      <c r="H93" s="63"/>
    </row>
    <row r="94">
      <c r="A94" s="59">
        <f t="shared" si="2"/>
        <v>188</v>
      </c>
      <c r="B94" s="63">
        <v>6.0</v>
      </c>
      <c r="C94" s="63" t="s">
        <v>2114</v>
      </c>
      <c r="D94" s="93">
        <v>186.0</v>
      </c>
      <c r="E94" s="63"/>
      <c r="F94" s="59">
        <f t="shared" si="10"/>
        <v>67</v>
      </c>
      <c r="G94" s="63">
        <f t="shared" si="1"/>
        <v>8088</v>
      </c>
      <c r="H94" s="63"/>
    </row>
    <row r="95">
      <c r="A95" s="59">
        <f t="shared" si="2"/>
        <v>189</v>
      </c>
      <c r="B95" s="63">
        <v>6.0</v>
      </c>
      <c r="C95" s="63" t="s">
        <v>1500</v>
      </c>
      <c r="D95" s="93" t="str">
        <f>"187,188"</f>
        <v>187,188</v>
      </c>
      <c r="E95" s="63"/>
      <c r="F95" s="59">
        <f t="shared" si="10"/>
        <v>72</v>
      </c>
      <c r="G95" s="63">
        <f t="shared" si="1"/>
        <v>8089</v>
      </c>
      <c r="H95" s="63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173</v>
      </c>
      <c r="B1" s="157" t="s">
        <v>2107</v>
      </c>
      <c r="C1" s="158" t="s">
        <v>2108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469</v>
      </c>
      <c r="B1" s="4" t="s">
        <v>173</v>
      </c>
      <c r="C1" s="4" t="s">
        <v>2110</v>
      </c>
      <c r="D1" s="4" t="s">
        <v>2111</v>
      </c>
    </row>
    <row r="2">
      <c r="A2" s="4">
        <v>1.0</v>
      </c>
      <c r="B2" s="4">
        <v>5.0</v>
      </c>
      <c r="C2" s="4">
        <v>2.0</v>
      </c>
      <c r="D2" s="14">
        <f>B2*C2</f>
        <v>10</v>
      </c>
    </row>
    <row r="3">
      <c r="A3" s="4">
        <v>1.0</v>
      </c>
      <c r="B3" s="4">
        <v>10.0</v>
      </c>
      <c r="C3" s="4">
        <v>3.0</v>
      </c>
      <c r="D3" s="14">
        <f t="shared" ref="D3:D21" si="1">(B3-B2)*C3</f>
        <v>15</v>
      </c>
    </row>
    <row r="4">
      <c r="A4" s="4">
        <v>1.0</v>
      </c>
      <c r="B4" s="4">
        <v>15.0</v>
      </c>
      <c r="C4" s="14">
        <f t="shared" ref="C4:C6" si="2">C3+2</f>
        <v>5</v>
      </c>
      <c r="D4" s="14">
        <f t="shared" si="1"/>
        <v>25</v>
      </c>
    </row>
    <row r="5">
      <c r="A5" s="4">
        <v>1.0</v>
      </c>
      <c r="B5" s="4">
        <v>20.0</v>
      </c>
      <c r="C5" s="14">
        <f t="shared" si="2"/>
        <v>7</v>
      </c>
      <c r="D5" s="14">
        <f t="shared" si="1"/>
        <v>35</v>
      </c>
    </row>
    <row r="6">
      <c r="A6" s="4">
        <v>1.0</v>
      </c>
      <c r="B6" s="4">
        <v>25.0</v>
      </c>
      <c r="C6" s="14">
        <f t="shared" si="2"/>
        <v>9</v>
      </c>
      <c r="D6" s="14">
        <f t="shared" si="1"/>
        <v>45</v>
      </c>
    </row>
    <row r="7">
      <c r="A7" s="4">
        <v>1.0</v>
      </c>
      <c r="B7" s="4">
        <v>30.0</v>
      </c>
      <c r="C7" s="14">
        <f t="shared" ref="C7:C10" si="3">C6+3</f>
        <v>12</v>
      </c>
      <c r="D7" s="14">
        <f t="shared" si="1"/>
        <v>60</v>
      </c>
    </row>
    <row r="8">
      <c r="A8" s="4">
        <v>1.0</v>
      </c>
      <c r="B8" s="4">
        <v>35.0</v>
      </c>
      <c r="C8" s="14">
        <f t="shared" si="3"/>
        <v>15</v>
      </c>
      <c r="D8" s="14">
        <f t="shared" si="1"/>
        <v>75</v>
      </c>
    </row>
    <row r="9">
      <c r="A9" s="4">
        <v>1.0</v>
      </c>
      <c r="B9" s="4">
        <v>40.0</v>
      </c>
      <c r="C9" s="14">
        <f t="shared" si="3"/>
        <v>18</v>
      </c>
      <c r="D9" s="14">
        <f t="shared" si="1"/>
        <v>90</v>
      </c>
    </row>
    <row r="10">
      <c r="A10" s="4">
        <v>1.0</v>
      </c>
      <c r="B10" s="4">
        <v>45.0</v>
      </c>
      <c r="C10" s="14">
        <f t="shared" si="3"/>
        <v>21</v>
      </c>
      <c r="D10" s="14">
        <f t="shared" si="1"/>
        <v>105</v>
      </c>
    </row>
    <row r="11">
      <c r="A11" s="4">
        <v>1.0</v>
      </c>
      <c r="B11" s="4">
        <v>50.0</v>
      </c>
      <c r="C11" s="14">
        <f t="shared" ref="C11:C15" si="4">C10+4</f>
        <v>25</v>
      </c>
      <c r="D11" s="14">
        <f t="shared" si="1"/>
        <v>125</v>
      </c>
    </row>
    <row r="12">
      <c r="A12" s="4">
        <v>1.0</v>
      </c>
      <c r="B12" s="4">
        <v>55.0</v>
      </c>
      <c r="C12" s="14">
        <f t="shared" si="4"/>
        <v>29</v>
      </c>
      <c r="D12" s="14">
        <f t="shared" si="1"/>
        <v>145</v>
      </c>
    </row>
    <row r="13">
      <c r="A13" s="4">
        <v>1.0</v>
      </c>
      <c r="B13" s="14">
        <f t="shared" ref="B13:B21" si="5">B12+5</f>
        <v>60</v>
      </c>
      <c r="C13" s="14">
        <f t="shared" si="4"/>
        <v>33</v>
      </c>
      <c r="D13" s="14">
        <f t="shared" si="1"/>
        <v>165</v>
      </c>
    </row>
    <row r="14">
      <c r="A14" s="4">
        <v>1.0</v>
      </c>
      <c r="B14" s="14">
        <f t="shared" si="5"/>
        <v>65</v>
      </c>
      <c r="C14" s="14">
        <f t="shared" si="4"/>
        <v>37</v>
      </c>
      <c r="D14" s="14">
        <f t="shared" si="1"/>
        <v>185</v>
      </c>
    </row>
    <row r="15">
      <c r="A15" s="4">
        <v>1.0</v>
      </c>
      <c r="B15" s="14">
        <f t="shared" si="5"/>
        <v>70</v>
      </c>
      <c r="C15" s="14">
        <f t="shared" si="4"/>
        <v>41</v>
      </c>
      <c r="D15" s="14">
        <f t="shared" si="1"/>
        <v>205</v>
      </c>
    </row>
    <row r="16">
      <c r="A16" s="4">
        <v>1.0</v>
      </c>
      <c r="B16" s="14">
        <f t="shared" si="5"/>
        <v>75</v>
      </c>
      <c r="C16" s="14">
        <f t="shared" ref="C16:C21" si="6">C15+5</f>
        <v>46</v>
      </c>
      <c r="D16" s="14">
        <f t="shared" si="1"/>
        <v>230</v>
      </c>
    </row>
    <row r="17">
      <c r="A17" s="4">
        <v>1.0</v>
      </c>
      <c r="B17" s="14">
        <f t="shared" si="5"/>
        <v>80</v>
      </c>
      <c r="C17" s="14">
        <f t="shared" si="6"/>
        <v>51</v>
      </c>
      <c r="D17" s="14">
        <f t="shared" si="1"/>
        <v>255</v>
      </c>
    </row>
    <row r="18">
      <c r="A18" s="4">
        <v>1.0</v>
      </c>
      <c r="B18" s="14">
        <f t="shared" si="5"/>
        <v>85</v>
      </c>
      <c r="C18" s="14">
        <f t="shared" si="6"/>
        <v>56</v>
      </c>
      <c r="D18" s="14">
        <f t="shared" si="1"/>
        <v>280</v>
      </c>
    </row>
    <row r="19">
      <c r="A19" s="4">
        <v>1.0</v>
      </c>
      <c r="B19" s="14">
        <f t="shared" si="5"/>
        <v>90</v>
      </c>
      <c r="C19" s="14">
        <f t="shared" si="6"/>
        <v>61</v>
      </c>
      <c r="D19" s="14">
        <f t="shared" si="1"/>
        <v>305</v>
      </c>
    </row>
    <row r="20">
      <c r="A20" s="4">
        <v>1.0</v>
      </c>
      <c r="B20" s="14">
        <f t="shared" si="5"/>
        <v>95</v>
      </c>
      <c r="C20" s="14">
        <f t="shared" si="6"/>
        <v>66</v>
      </c>
      <c r="D20" s="14">
        <f t="shared" si="1"/>
        <v>330</v>
      </c>
    </row>
    <row r="21">
      <c r="A21" s="4">
        <v>1.0</v>
      </c>
      <c r="B21" s="14">
        <f t="shared" si="5"/>
        <v>100</v>
      </c>
      <c r="C21" s="14">
        <f t="shared" si="6"/>
        <v>71</v>
      </c>
      <c r="D21" s="14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0" t="s">
        <v>1764</v>
      </c>
      <c r="B2" s="40" t="s">
        <v>1568</v>
      </c>
      <c r="C2" s="40" t="s">
        <v>1764</v>
      </c>
      <c r="D2" s="40" t="s">
        <v>2047</v>
      </c>
    </row>
    <row r="3">
      <c r="A3" s="43">
        <v>100.0</v>
      </c>
      <c r="B3" s="43">
        <v>25.0</v>
      </c>
      <c r="C3" s="43">
        <v>10001.0</v>
      </c>
      <c r="D3" s="63" t="s">
        <v>15</v>
      </c>
    </row>
    <row r="4">
      <c r="A4" s="43">
        <v>100.0</v>
      </c>
      <c r="B4" s="43">
        <v>25.0</v>
      </c>
      <c r="C4" s="43">
        <f t="shared" ref="C4:C9" si="1">C3+1</f>
        <v>10002</v>
      </c>
      <c r="D4" s="63" t="s">
        <v>15</v>
      </c>
    </row>
    <row r="5">
      <c r="A5" s="43">
        <v>100.0</v>
      </c>
      <c r="B5" s="43">
        <v>25.0</v>
      </c>
      <c r="C5" s="43">
        <f t="shared" si="1"/>
        <v>10003</v>
      </c>
      <c r="D5" s="63" t="s">
        <v>15</v>
      </c>
    </row>
    <row r="6">
      <c r="A6" s="43">
        <v>100.0</v>
      </c>
      <c r="B6" s="43">
        <v>25.0</v>
      </c>
      <c r="C6" s="43">
        <f t="shared" si="1"/>
        <v>10004</v>
      </c>
      <c r="D6" s="63" t="s">
        <v>15</v>
      </c>
    </row>
    <row r="7">
      <c r="A7" s="43">
        <v>100.0</v>
      </c>
      <c r="B7" s="43">
        <v>25.0</v>
      </c>
      <c r="C7" s="43">
        <f t="shared" si="1"/>
        <v>10005</v>
      </c>
      <c r="D7" s="63" t="s">
        <v>15</v>
      </c>
    </row>
    <row r="8">
      <c r="A8" s="43">
        <v>100.0</v>
      </c>
      <c r="B8" s="43">
        <v>25.0</v>
      </c>
      <c r="C8" s="43">
        <f t="shared" si="1"/>
        <v>10006</v>
      </c>
      <c r="D8" s="63" t="s">
        <v>15</v>
      </c>
    </row>
    <row r="9">
      <c r="A9" s="43">
        <v>100.0</v>
      </c>
      <c r="B9" s="43">
        <v>25.0</v>
      </c>
      <c r="C9" s="43">
        <f t="shared" si="1"/>
        <v>10007</v>
      </c>
      <c r="D9" s="63" t="s">
        <v>15</v>
      </c>
    </row>
    <row r="10">
      <c r="A10" s="43">
        <v>100.0</v>
      </c>
      <c r="B10" s="43">
        <v>25.0</v>
      </c>
      <c r="C10" s="43">
        <v>10008.0</v>
      </c>
      <c r="D10" s="63" t="s">
        <v>15</v>
      </c>
    </row>
    <row r="11">
      <c r="A11" s="43">
        <v>100.0</v>
      </c>
      <c r="B11" s="43">
        <v>25.0</v>
      </c>
      <c r="C11" s="43">
        <v>10009.0</v>
      </c>
      <c r="D11" s="63" t="s">
        <v>15</v>
      </c>
    </row>
    <row r="12">
      <c r="A12" s="43">
        <v>100.0</v>
      </c>
      <c r="B12" s="43">
        <v>25.0</v>
      </c>
      <c r="C12" s="43">
        <v>10010.0</v>
      </c>
      <c r="D12" s="63" t="s">
        <v>15</v>
      </c>
    </row>
    <row r="13">
      <c r="A13" s="43">
        <v>100.0</v>
      </c>
      <c r="B13" s="43">
        <v>25.0</v>
      </c>
      <c r="C13" s="43">
        <v>10011.0</v>
      </c>
      <c r="D13" s="63" t="s">
        <v>15</v>
      </c>
    </row>
    <row r="14">
      <c r="A14" s="43">
        <v>100.0</v>
      </c>
      <c r="B14" s="43">
        <v>25.0</v>
      </c>
      <c r="C14" s="43">
        <v>10012.0</v>
      </c>
      <c r="D14" s="63" t="s">
        <v>15</v>
      </c>
    </row>
    <row r="15">
      <c r="A15" s="43">
        <v>100.0</v>
      </c>
      <c r="B15" s="43">
        <v>300.0</v>
      </c>
      <c r="C15" s="43">
        <v>10013.0</v>
      </c>
      <c r="D15" s="63" t="s">
        <v>33</v>
      </c>
    </row>
    <row r="16">
      <c r="A16" s="43">
        <v>100.0</v>
      </c>
      <c r="B16" s="43">
        <v>300.0</v>
      </c>
      <c r="C16" s="43">
        <v>10014.0</v>
      </c>
      <c r="D16" s="63" t="s">
        <v>33</v>
      </c>
    </row>
    <row r="17">
      <c r="A17" s="43">
        <v>100.0</v>
      </c>
      <c r="B17" s="43">
        <v>300.0</v>
      </c>
      <c r="C17" s="43">
        <v>10015.0</v>
      </c>
      <c r="D17" s="63" t="s">
        <v>33</v>
      </c>
    </row>
    <row r="18">
      <c r="A18" s="43">
        <v>100.0</v>
      </c>
      <c r="B18" s="43">
        <v>300.0</v>
      </c>
      <c r="C18" s="43">
        <v>10016.0</v>
      </c>
      <c r="D18" s="63" t="s">
        <v>33</v>
      </c>
    </row>
    <row r="19">
      <c r="A19" s="43">
        <v>100.0</v>
      </c>
      <c r="B19" s="43">
        <v>300.0</v>
      </c>
      <c r="C19" s="43">
        <v>10017.0</v>
      </c>
      <c r="D19" s="63" t="s">
        <v>33</v>
      </c>
    </row>
    <row r="20">
      <c r="A20" s="43">
        <v>100.0</v>
      </c>
      <c r="B20" s="43">
        <v>300.0</v>
      </c>
      <c r="C20" s="43">
        <v>10018.0</v>
      </c>
      <c r="D20" s="63" t="s">
        <v>33</v>
      </c>
    </row>
    <row r="21">
      <c r="A21" s="43">
        <v>100.0</v>
      </c>
      <c r="B21" s="43">
        <v>300.0</v>
      </c>
      <c r="C21" s="43">
        <v>10019.0</v>
      </c>
      <c r="D21" s="63" t="s">
        <v>33</v>
      </c>
    </row>
    <row r="22">
      <c r="A22" s="43">
        <v>100.0</v>
      </c>
      <c r="B22" s="43">
        <v>300.0</v>
      </c>
      <c r="C22" s="43">
        <v>10020.0</v>
      </c>
      <c r="D22" s="63" t="s">
        <v>33</v>
      </c>
    </row>
    <row r="23">
      <c r="A23" s="43">
        <v>100.0</v>
      </c>
      <c r="B23" s="43">
        <v>300.0</v>
      </c>
      <c r="C23" s="43">
        <v>10021.0</v>
      </c>
      <c r="D23" s="63" t="s">
        <v>33</v>
      </c>
    </row>
    <row r="24">
      <c r="A24" s="43">
        <v>100.0</v>
      </c>
      <c r="B24" s="43">
        <v>700.0</v>
      </c>
      <c r="C24" s="43">
        <v>10022.0</v>
      </c>
      <c r="D24" s="63" t="s">
        <v>43</v>
      </c>
    </row>
    <row r="25">
      <c r="A25" s="43">
        <v>100.0</v>
      </c>
      <c r="B25" s="43">
        <v>700.0</v>
      </c>
      <c r="C25" s="43">
        <v>10023.0</v>
      </c>
      <c r="D25" s="63" t="s">
        <v>43</v>
      </c>
    </row>
    <row r="26">
      <c r="A26" s="43">
        <v>100.0</v>
      </c>
      <c r="B26" s="43">
        <v>700.0</v>
      </c>
      <c r="C26" s="43">
        <v>10024.0</v>
      </c>
      <c r="D26" s="63" t="s">
        <v>43</v>
      </c>
    </row>
    <row r="27">
      <c r="A27" s="43">
        <v>100.0</v>
      </c>
      <c r="B27" s="43">
        <v>700.0</v>
      </c>
      <c r="C27" s="43">
        <v>10025.0</v>
      </c>
      <c r="D27" s="63" t="s">
        <v>43</v>
      </c>
    </row>
    <row r="28">
      <c r="A28" s="43">
        <v>100.0</v>
      </c>
      <c r="B28" s="43">
        <v>700.0</v>
      </c>
      <c r="C28" s="43">
        <v>10026.0</v>
      </c>
      <c r="D28" s="63" t="s">
        <v>43</v>
      </c>
    </row>
    <row r="29">
      <c r="A29" s="43">
        <v>100.0</v>
      </c>
      <c r="B29" s="43">
        <v>700.0</v>
      </c>
      <c r="C29" s="43">
        <v>10027.0</v>
      </c>
      <c r="D29" s="63" t="s">
        <v>43</v>
      </c>
    </row>
    <row r="30">
      <c r="A30" s="43">
        <v>100.0</v>
      </c>
      <c r="B30" s="43">
        <v>700.0</v>
      </c>
      <c r="C30" s="43">
        <v>10028.0</v>
      </c>
      <c r="D30" s="63" t="s">
        <v>43</v>
      </c>
    </row>
    <row r="31">
      <c r="A31" s="43">
        <v>100.0</v>
      </c>
      <c r="B31" s="43">
        <v>700.0</v>
      </c>
      <c r="C31" s="43">
        <v>10029.0</v>
      </c>
      <c r="D31" s="63" t="s">
        <v>43</v>
      </c>
    </row>
    <row r="32">
      <c r="A32" s="43">
        <v>100.0</v>
      </c>
      <c r="B32" s="43">
        <v>700.0</v>
      </c>
      <c r="C32" s="43">
        <v>10030.0</v>
      </c>
      <c r="D32" s="63" t="s">
        <v>43</v>
      </c>
    </row>
    <row r="33">
      <c r="A33" s="43">
        <v>100.0</v>
      </c>
      <c r="B33" s="43">
        <v>700.0</v>
      </c>
      <c r="C33" s="43">
        <v>10031.0</v>
      </c>
      <c r="D33" s="63" t="s">
        <v>43</v>
      </c>
    </row>
    <row r="35">
      <c r="A35" s="40" t="s">
        <v>1764</v>
      </c>
      <c r="B35" s="40" t="s">
        <v>1568</v>
      </c>
      <c r="C35" s="40" t="s">
        <v>1764</v>
      </c>
      <c r="D35" s="40" t="s">
        <v>2047</v>
      </c>
    </row>
    <row r="36">
      <c r="A36" s="43">
        <v>101.0</v>
      </c>
      <c r="B36" s="4">
        <f t="shared" ref="B36:B59" si="2">if(D36="R",200,if(D36="SR",45,if(D36="SSR",5)))</f>
        <v>200</v>
      </c>
      <c r="C36" s="4">
        <v>80001.0</v>
      </c>
      <c r="D36" s="43" t="s">
        <v>43</v>
      </c>
    </row>
    <row r="37">
      <c r="A37" s="43">
        <v>101.0</v>
      </c>
      <c r="B37" s="4">
        <f t="shared" si="2"/>
        <v>200</v>
      </c>
      <c r="C37" s="4">
        <v>81001.0</v>
      </c>
      <c r="D37" s="43" t="s">
        <v>43</v>
      </c>
    </row>
    <row r="38">
      <c r="A38" s="43">
        <v>101.0</v>
      </c>
      <c r="B38" s="4">
        <f t="shared" si="2"/>
        <v>200</v>
      </c>
      <c r="C38" s="4">
        <v>82001.0</v>
      </c>
      <c r="D38" s="43" t="s">
        <v>43</v>
      </c>
    </row>
    <row r="39">
      <c r="A39" s="43">
        <v>101.0</v>
      </c>
      <c r="B39" s="4">
        <f t="shared" si="2"/>
        <v>200</v>
      </c>
      <c r="C39" s="4">
        <v>83001.0</v>
      </c>
      <c r="D39" s="43" t="s">
        <v>43</v>
      </c>
    </row>
    <row r="40">
      <c r="A40" s="43">
        <v>101.0</v>
      </c>
      <c r="B40" s="4">
        <f t="shared" si="2"/>
        <v>200</v>
      </c>
      <c r="C40" s="4">
        <v>84001.0</v>
      </c>
      <c r="D40" s="43" t="s">
        <v>43</v>
      </c>
    </row>
    <row r="41">
      <c r="A41" s="43">
        <v>101.0</v>
      </c>
      <c r="B41" s="4">
        <f t="shared" si="2"/>
        <v>200</v>
      </c>
      <c r="C41" s="4">
        <v>85001.0</v>
      </c>
      <c r="D41" s="43" t="s">
        <v>43</v>
      </c>
    </row>
    <row r="42">
      <c r="A42" s="43">
        <v>101.0</v>
      </c>
      <c r="B42" s="4">
        <f t="shared" si="2"/>
        <v>45</v>
      </c>
      <c r="C42" s="4">
        <f t="shared" ref="C42:C107" si="3">C36+1</f>
        <v>80002</v>
      </c>
      <c r="D42" s="43" t="s">
        <v>33</v>
      </c>
    </row>
    <row r="43">
      <c r="A43" s="43">
        <v>101.0</v>
      </c>
      <c r="B43" s="4">
        <f t="shared" si="2"/>
        <v>45</v>
      </c>
      <c r="C43" s="4">
        <f t="shared" si="3"/>
        <v>81002</v>
      </c>
      <c r="D43" s="43" t="s">
        <v>33</v>
      </c>
    </row>
    <row r="44">
      <c r="A44" s="43">
        <v>101.0</v>
      </c>
      <c r="B44" s="4">
        <f t="shared" si="2"/>
        <v>45</v>
      </c>
      <c r="C44" s="4">
        <f t="shared" si="3"/>
        <v>82002</v>
      </c>
      <c r="D44" s="43" t="s">
        <v>33</v>
      </c>
    </row>
    <row r="45">
      <c r="A45" s="43">
        <v>101.0</v>
      </c>
      <c r="B45" s="4">
        <f t="shared" si="2"/>
        <v>45</v>
      </c>
      <c r="C45" s="4">
        <f t="shared" si="3"/>
        <v>83002</v>
      </c>
      <c r="D45" s="43" t="s">
        <v>33</v>
      </c>
    </row>
    <row r="46">
      <c r="A46" s="43">
        <v>101.0</v>
      </c>
      <c r="B46" s="4">
        <f t="shared" si="2"/>
        <v>45</v>
      </c>
      <c r="C46" s="4">
        <f t="shared" si="3"/>
        <v>84002</v>
      </c>
      <c r="D46" s="43" t="s">
        <v>33</v>
      </c>
    </row>
    <row r="47">
      <c r="A47" s="43">
        <v>101.0</v>
      </c>
      <c r="B47" s="4">
        <f t="shared" si="2"/>
        <v>45</v>
      </c>
      <c r="C47" s="4">
        <f t="shared" si="3"/>
        <v>85002</v>
      </c>
      <c r="D47" s="43" t="s">
        <v>33</v>
      </c>
    </row>
    <row r="48">
      <c r="A48" s="43">
        <v>101.0</v>
      </c>
      <c r="B48" s="4">
        <f t="shared" si="2"/>
        <v>45</v>
      </c>
      <c r="C48" s="4">
        <f t="shared" si="3"/>
        <v>80003</v>
      </c>
      <c r="D48" s="43" t="s">
        <v>33</v>
      </c>
    </row>
    <row r="49">
      <c r="A49" s="43">
        <v>101.0</v>
      </c>
      <c r="B49" s="4">
        <f t="shared" si="2"/>
        <v>45</v>
      </c>
      <c r="C49" s="4">
        <f t="shared" si="3"/>
        <v>81003</v>
      </c>
      <c r="D49" s="43" t="s">
        <v>33</v>
      </c>
    </row>
    <row r="50">
      <c r="A50" s="43">
        <v>101.0</v>
      </c>
      <c r="B50" s="4">
        <f t="shared" si="2"/>
        <v>45</v>
      </c>
      <c r="C50" s="4">
        <f t="shared" si="3"/>
        <v>82003</v>
      </c>
      <c r="D50" s="43" t="s">
        <v>33</v>
      </c>
    </row>
    <row r="51">
      <c r="A51" s="43">
        <v>101.0</v>
      </c>
      <c r="B51" s="4">
        <f t="shared" si="2"/>
        <v>45</v>
      </c>
      <c r="C51" s="4">
        <f t="shared" si="3"/>
        <v>83003</v>
      </c>
      <c r="D51" s="43" t="s">
        <v>33</v>
      </c>
    </row>
    <row r="52">
      <c r="A52" s="43">
        <v>101.0</v>
      </c>
      <c r="B52" s="4">
        <f t="shared" si="2"/>
        <v>45</v>
      </c>
      <c r="C52" s="4">
        <f t="shared" si="3"/>
        <v>84003</v>
      </c>
      <c r="D52" s="43" t="s">
        <v>33</v>
      </c>
    </row>
    <row r="53">
      <c r="A53" s="43">
        <v>101.0</v>
      </c>
      <c r="B53" s="4">
        <f t="shared" si="2"/>
        <v>45</v>
      </c>
      <c r="C53" s="4">
        <f t="shared" si="3"/>
        <v>85003</v>
      </c>
      <c r="D53" s="43" t="s">
        <v>33</v>
      </c>
    </row>
    <row r="54">
      <c r="A54" s="43">
        <v>101.0</v>
      </c>
      <c r="B54" s="4">
        <f t="shared" si="2"/>
        <v>5</v>
      </c>
      <c r="C54" s="4">
        <f t="shared" si="3"/>
        <v>80004</v>
      </c>
      <c r="D54" s="43" t="s">
        <v>15</v>
      </c>
    </row>
    <row r="55">
      <c r="A55" s="43">
        <v>101.0</v>
      </c>
      <c r="B55" s="4">
        <f t="shared" si="2"/>
        <v>5</v>
      </c>
      <c r="C55" s="4">
        <f t="shared" si="3"/>
        <v>81004</v>
      </c>
      <c r="D55" s="43" t="s">
        <v>15</v>
      </c>
    </row>
    <row r="56">
      <c r="A56" s="43">
        <v>101.0</v>
      </c>
      <c r="B56" s="4">
        <f t="shared" si="2"/>
        <v>5</v>
      </c>
      <c r="C56" s="4">
        <f t="shared" si="3"/>
        <v>82004</v>
      </c>
      <c r="D56" s="43" t="s">
        <v>15</v>
      </c>
    </row>
    <row r="57">
      <c r="A57" s="43">
        <v>101.0</v>
      </c>
      <c r="B57" s="4">
        <f t="shared" si="2"/>
        <v>5</v>
      </c>
      <c r="C57" s="4">
        <f t="shared" si="3"/>
        <v>83004</v>
      </c>
      <c r="D57" s="43" t="s">
        <v>15</v>
      </c>
    </row>
    <row r="58">
      <c r="A58" s="43">
        <v>101.0</v>
      </c>
      <c r="B58" s="4">
        <f t="shared" si="2"/>
        <v>5</v>
      </c>
      <c r="C58" s="4">
        <f t="shared" si="3"/>
        <v>84004</v>
      </c>
      <c r="D58" s="43" t="s">
        <v>15</v>
      </c>
    </row>
    <row r="59">
      <c r="A59" s="43">
        <v>101.0</v>
      </c>
      <c r="B59" s="4">
        <f t="shared" si="2"/>
        <v>5</v>
      </c>
      <c r="C59" s="4">
        <f t="shared" si="3"/>
        <v>85004</v>
      </c>
      <c r="D59" s="43" t="s">
        <v>15</v>
      </c>
    </row>
    <row r="60">
      <c r="A60" s="43">
        <v>101.0</v>
      </c>
      <c r="B60" s="4">
        <v>195.0</v>
      </c>
      <c r="C60" s="4">
        <f t="shared" si="3"/>
        <v>80005</v>
      </c>
      <c r="D60" s="43" t="s">
        <v>43</v>
      </c>
    </row>
    <row r="61">
      <c r="A61" s="43">
        <v>101.0</v>
      </c>
      <c r="B61" s="4">
        <f t="shared" ref="B61:B117" si="4">if(D61="R",200,if(D61="SR",45,if(D61="SSR",5)))</f>
        <v>200</v>
      </c>
      <c r="C61" s="4">
        <f t="shared" si="3"/>
        <v>81005</v>
      </c>
      <c r="D61" s="43" t="s">
        <v>43</v>
      </c>
    </row>
    <row r="62">
      <c r="A62" s="43">
        <v>101.0</v>
      </c>
      <c r="B62" s="4">
        <f t="shared" si="4"/>
        <v>200</v>
      </c>
      <c r="C62" s="4">
        <f t="shared" si="3"/>
        <v>82005</v>
      </c>
      <c r="D62" s="43" t="s">
        <v>43</v>
      </c>
    </row>
    <row r="63">
      <c r="A63" s="43">
        <v>101.0</v>
      </c>
      <c r="B63" s="4">
        <f t="shared" si="4"/>
        <v>200</v>
      </c>
      <c r="C63" s="4">
        <f t="shared" si="3"/>
        <v>83005</v>
      </c>
      <c r="D63" s="43" t="s">
        <v>43</v>
      </c>
    </row>
    <row r="64">
      <c r="A64" s="43">
        <v>101.0</v>
      </c>
      <c r="B64" s="4">
        <f t="shared" si="4"/>
        <v>200</v>
      </c>
      <c r="C64" s="4">
        <f t="shared" si="3"/>
        <v>84005</v>
      </c>
      <c r="D64" s="43" t="s">
        <v>43</v>
      </c>
    </row>
    <row r="65">
      <c r="A65" s="43">
        <v>101.0</v>
      </c>
      <c r="B65" s="4">
        <f t="shared" si="4"/>
        <v>200</v>
      </c>
      <c r="C65" s="4">
        <f t="shared" si="3"/>
        <v>85005</v>
      </c>
      <c r="D65" s="43" t="s">
        <v>43</v>
      </c>
    </row>
    <row r="66">
      <c r="A66" s="43">
        <v>101.0</v>
      </c>
      <c r="B66" s="4">
        <f t="shared" si="4"/>
        <v>45</v>
      </c>
      <c r="C66" s="4">
        <f t="shared" si="3"/>
        <v>80006</v>
      </c>
      <c r="D66" s="43" t="s">
        <v>33</v>
      </c>
    </row>
    <row r="67">
      <c r="A67" s="43">
        <v>101.0</v>
      </c>
      <c r="B67" s="4">
        <f t="shared" si="4"/>
        <v>45</v>
      </c>
      <c r="C67" s="4">
        <f t="shared" si="3"/>
        <v>81006</v>
      </c>
      <c r="D67" s="43" t="s">
        <v>33</v>
      </c>
    </row>
    <row r="68">
      <c r="A68" s="43">
        <v>101.0</v>
      </c>
      <c r="B68" s="4">
        <f t="shared" si="4"/>
        <v>45</v>
      </c>
      <c r="C68" s="4">
        <f t="shared" si="3"/>
        <v>82006</v>
      </c>
      <c r="D68" s="43" t="s">
        <v>33</v>
      </c>
    </row>
    <row r="69">
      <c r="A69" s="43">
        <v>101.0</v>
      </c>
      <c r="B69" s="4">
        <f t="shared" si="4"/>
        <v>45</v>
      </c>
      <c r="C69" s="4">
        <f t="shared" si="3"/>
        <v>83006</v>
      </c>
      <c r="D69" s="43" t="s">
        <v>33</v>
      </c>
    </row>
    <row r="70">
      <c r="A70" s="43">
        <v>101.0</v>
      </c>
      <c r="B70" s="4">
        <f t="shared" si="4"/>
        <v>45</v>
      </c>
      <c r="C70" s="4">
        <f t="shared" si="3"/>
        <v>84006</v>
      </c>
      <c r="D70" s="43" t="s">
        <v>33</v>
      </c>
    </row>
    <row r="71">
      <c r="A71" s="43">
        <v>101.0</v>
      </c>
      <c r="B71" s="4">
        <f t="shared" si="4"/>
        <v>45</v>
      </c>
      <c r="C71" s="4">
        <f t="shared" si="3"/>
        <v>85006</v>
      </c>
      <c r="D71" s="43" t="s">
        <v>33</v>
      </c>
    </row>
    <row r="72">
      <c r="A72" s="43">
        <v>101.0</v>
      </c>
      <c r="B72" s="4">
        <f t="shared" si="4"/>
        <v>45</v>
      </c>
      <c r="C72" s="4">
        <f t="shared" si="3"/>
        <v>80007</v>
      </c>
      <c r="D72" s="43" t="s">
        <v>33</v>
      </c>
    </row>
    <row r="73">
      <c r="A73" s="43">
        <v>101.0</v>
      </c>
      <c r="B73" s="4">
        <f t="shared" si="4"/>
        <v>45</v>
      </c>
      <c r="C73" s="4">
        <f t="shared" si="3"/>
        <v>81007</v>
      </c>
      <c r="D73" s="43" t="s">
        <v>33</v>
      </c>
    </row>
    <row r="74">
      <c r="A74" s="43">
        <v>101.0</v>
      </c>
      <c r="B74" s="4">
        <f t="shared" si="4"/>
        <v>45</v>
      </c>
      <c r="C74" s="4">
        <f t="shared" si="3"/>
        <v>82007</v>
      </c>
      <c r="D74" s="43" t="s">
        <v>33</v>
      </c>
    </row>
    <row r="75">
      <c r="A75" s="43">
        <v>101.0</v>
      </c>
      <c r="B75" s="4">
        <f t="shared" si="4"/>
        <v>45</v>
      </c>
      <c r="C75" s="4">
        <f t="shared" si="3"/>
        <v>83007</v>
      </c>
      <c r="D75" s="43" t="s">
        <v>33</v>
      </c>
    </row>
    <row r="76">
      <c r="A76" s="43">
        <v>101.0</v>
      </c>
      <c r="B76" s="4">
        <f t="shared" si="4"/>
        <v>45</v>
      </c>
      <c r="C76" s="4">
        <f t="shared" si="3"/>
        <v>84007</v>
      </c>
      <c r="D76" s="43" t="s">
        <v>33</v>
      </c>
    </row>
    <row r="77">
      <c r="A77" s="43">
        <v>101.0</v>
      </c>
      <c r="B77" s="4">
        <f t="shared" si="4"/>
        <v>45</v>
      </c>
      <c r="C77" s="4">
        <f t="shared" si="3"/>
        <v>85007</v>
      </c>
      <c r="D77" s="43" t="s">
        <v>33</v>
      </c>
    </row>
    <row r="78">
      <c r="A78" s="43">
        <v>101.0</v>
      </c>
      <c r="B78" s="4">
        <f t="shared" si="4"/>
        <v>5</v>
      </c>
      <c r="C78" s="4">
        <f t="shared" si="3"/>
        <v>80008</v>
      </c>
      <c r="D78" s="43" t="s">
        <v>15</v>
      </c>
    </row>
    <row r="79">
      <c r="A79" s="43">
        <v>101.0</v>
      </c>
      <c r="B79" s="4">
        <f t="shared" si="4"/>
        <v>5</v>
      </c>
      <c r="C79" s="4">
        <f t="shared" si="3"/>
        <v>81008</v>
      </c>
      <c r="D79" s="43" t="s">
        <v>15</v>
      </c>
    </row>
    <row r="80">
      <c r="A80" s="43">
        <v>101.0</v>
      </c>
      <c r="B80" s="4">
        <f t="shared" si="4"/>
        <v>5</v>
      </c>
      <c r="C80" s="4">
        <f t="shared" si="3"/>
        <v>82008</v>
      </c>
      <c r="D80" s="43" t="s">
        <v>15</v>
      </c>
    </row>
    <row r="81">
      <c r="A81" s="43">
        <v>101.0</v>
      </c>
      <c r="B81" s="4">
        <f t="shared" si="4"/>
        <v>5</v>
      </c>
      <c r="C81" s="4">
        <f t="shared" si="3"/>
        <v>83008</v>
      </c>
      <c r="D81" s="43" t="s">
        <v>15</v>
      </c>
    </row>
    <row r="82">
      <c r="A82" s="43">
        <v>101.0</v>
      </c>
      <c r="B82" s="4">
        <f t="shared" si="4"/>
        <v>5</v>
      </c>
      <c r="C82" s="4">
        <f t="shared" si="3"/>
        <v>84008</v>
      </c>
      <c r="D82" s="43" t="s">
        <v>15</v>
      </c>
    </row>
    <row r="83">
      <c r="A83" s="43">
        <v>101.0</v>
      </c>
      <c r="B83" s="4">
        <f t="shared" si="4"/>
        <v>5</v>
      </c>
      <c r="C83" s="4">
        <f t="shared" si="3"/>
        <v>85008</v>
      </c>
      <c r="D83" s="43" t="s">
        <v>15</v>
      </c>
    </row>
    <row r="84">
      <c r="A84" s="43">
        <v>101.0</v>
      </c>
      <c r="B84" s="4">
        <f t="shared" si="4"/>
        <v>200</v>
      </c>
      <c r="C84" s="4">
        <f t="shared" si="3"/>
        <v>80009</v>
      </c>
      <c r="D84" s="43" t="s">
        <v>43</v>
      </c>
    </row>
    <row r="85">
      <c r="A85" s="43">
        <v>101.0</v>
      </c>
      <c r="B85" s="4">
        <f t="shared" si="4"/>
        <v>200</v>
      </c>
      <c r="C85" s="4">
        <f t="shared" si="3"/>
        <v>81009</v>
      </c>
      <c r="D85" s="43" t="s">
        <v>43</v>
      </c>
    </row>
    <row r="86">
      <c r="A86" s="43">
        <v>101.0</v>
      </c>
      <c r="B86" s="4">
        <f t="shared" si="4"/>
        <v>200</v>
      </c>
      <c r="C86" s="4">
        <f t="shared" si="3"/>
        <v>82009</v>
      </c>
      <c r="D86" s="43" t="s">
        <v>43</v>
      </c>
    </row>
    <row r="87">
      <c r="A87" s="43">
        <v>101.0</v>
      </c>
      <c r="B87" s="4">
        <f t="shared" si="4"/>
        <v>200</v>
      </c>
      <c r="C87" s="4">
        <f t="shared" si="3"/>
        <v>83009</v>
      </c>
      <c r="D87" s="43" t="s">
        <v>43</v>
      </c>
    </row>
    <row r="88">
      <c r="A88" s="43">
        <v>101.0</v>
      </c>
      <c r="B88" s="4">
        <f t="shared" si="4"/>
        <v>200</v>
      </c>
      <c r="C88" s="4">
        <f t="shared" si="3"/>
        <v>84009</v>
      </c>
      <c r="D88" s="43" t="s">
        <v>43</v>
      </c>
    </row>
    <row r="89">
      <c r="A89" s="43">
        <v>101.0</v>
      </c>
      <c r="B89" s="4">
        <f t="shared" si="4"/>
        <v>200</v>
      </c>
      <c r="C89" s="4">
        <f t="shared" si="3"/>
        <v>85009</v>
      </c>
      <c r="D89" s="43" t="s">
        <v>43</v>
      </c>
    </row>
    <row r="90">
      <c r="A90" s="43">
        <v>101.0</v>
      </c>
      <c r="B90" s="4">
        <f t="shared" si="4"/>
        <v>45</v>
      </c>
      <c r="C90" s="4">
        <f t="shared" si="3"/>
        <v>80010</v>
      </c>
      <c r="D90" s="43" t="s">
        <v>33</v>
      </c>
    </row>
    <row r="91">
      <c r="A91" s="43">
        <v>101.0</v>
      </c>
      <c r="B91" s="4">
        <f t="shared" si="4"/>
        <v>45</v>
      </c>
      <c r="C91" s="4">
        <f t="shared" si="3"/>
        <v>81010</v>
      </c>
      <c r="D91" s="43" t="s">
        <v>33</v>
      </c>
    </row>
    <row r="92">
      <c r="A92" s="43">
        <v>101.0</v>
      </c>
      <c r="B92" s="4">
        <f t="shared" si="4"/>
        <v>45</v>
      </c>
      <c r="C92" s="4">
        <f t="shared" si="3"/>
        <v>82010</v>
      </c>
      <c r="D92" s="43" t="s">
        <v>33</v>
      </c>
    </row>
    <row r="93">
      <c r="A93" s="43">
        <v>101.0</v>
      </c>
      <c r="B93" s="4">
        <f t="shared" si="4"/>
        <v>45</v>
      </c>
      <c r="C93" s="4">
        <f t="shared" si="3"/>
        <v>83010</v>
      </c>
      <c r="D93" s="43" t="s">
        <v>33</v>
      </c>
    </row>
    <row r="94">
      <c r="A94" s="43">
        <v>101.0</v>
      </c>
      <c r="B94" s="4">
        <f t="shared" si="4"/>
        <v>45</v>
      </c>
      <c r="C94" s="4">
        <f t="shared" si="3"/>
        <v>84010</v>
      </c>
      <c r="D94" s="43" t="s">
        <v>33</v>
      </c>
    </row>
    <row r="95">
      <c r="A95" s="43">
        <v>101.0</v>
      </c>
      <c r="B95" s="4">
        <f t="shared" si="4"/>
        <v>45</v>
      </c>
      <c r="C95" s="4">
        <f t="shared" si="3"/>
        <v>85010</v>
      </c>
      <c r="D95" s="43" t="s">
        <v>33</v>
      </c>
    </row>
    <row r="96">
      <c r="A96" s="43">
        <v>101.0</v>
      </c>
      <c r="B96" s="4">
        <f t="shared" si="4"/>
        <v>45</v>
      </c>
      <c r="C96" s="4">
        <f t="shared" si="3"/>
        <v>80011</v>
      </c>
      <c r="D96" s="43" t="s">
        <v>33</v>
      </c>
    </row>
    <row r="97">
      <c r="A97" s="43">
        <v>101.0</v>
      </c>
      <c r="B97" s="4">
        <f t="shared" si="4"/>
        <v>45</v>
      </c>
      <c r="C97" s="4">
        <f t="shared" si="3"/>
        <v>81011</v>
      </c>
      <c r="D97" s="43" t="s">
        <v>33</v>
      </c>
    </row>
    <row r="98">
      <c r="A98" s="43">
        <v>101.0</v>
      </c>
      <c r="B98" s="4">
        <f t="shared" si="4"/>
        <v>45</v>
      </c>
      <c r="C98" s="4">
        <f t="shared" si="3"/>
        <v>82011</v>
      </c>
      <c r="D98" s="43" t="s">
        <v>33</v>
      </c>
    </row>
    <row r="99">
      <c r="A99" s="43">
        <v>101.0</v>
      </c>
      <c r="B99" s="4">
        <f t="shared" si="4"/>
        <v>45</v>
      </c>
      <c r="C99" s="4">
        <f t="shared" si="3"/>
        <v>83011</v>
      </c>
      <c r="D99" s="43" t="s">
        <v>33</v>
      </c>
    </row>
    <row r="100">
      <c r="A100" s="43">
        <v>101.0</v>
      </c>
      <c r="B100" s="4">
        <f t="shared" si="4"/>
        <v>45</v>
      </c>
      <c r="C100" s="4">
        <f t="shared" si="3"/>
        <v>84011</v>
      </c>
      <c r="D100" s="43" t="s">
        <v>33</v>
      </c>
    </row>
    <row r="101">
      <c r="A101" s="43">
        <v>101.0</v>
      </c>
      <c r="B101" s="4">
        <f t="shared" si="4"/>
        <v>45</v>
      </c>
      <c r="C101" s="4">
        <f t="shared" si="3"/>
        <v>85011</v>
      </c>
      <c r="D101" s="43" t="s">
        <v>33</v>
      </c>
    </row>
    <row r="102">
      <c r="A102" s="43">
        <v>101.0</v>
      </c>
      <c r="B102" s="4">
        <f t="shared" si="4"/>
        <v>5</v>
      </c>
      <c r="C102" s="4">
        <f t="shared" si="3"/>
        <v>80012</v>
      </c>
      <c r="D102" s="43" t="s">
        <v>15</v>
      </c>
    </row>
    <row r="103">
      <c r="A103" s="43">
        <v>101.0</v>
      </c>
      <c r="B103" s="4">
        <f t="shared" si="4"/>
        <v>5</v>
      </c>
      <c r="C103" s="4">
        <f t="shared" si="3"/>
        <v>81012</v>
      </c>
      <c r="D103" s="43" t="s">
        <v>15</v>
      </c>
    </row>
    <row r="104">
      <c r="A104" s="43">
        <v>101.0</v>
      </c>
      <c r="B104" s="4">
        <f t="shared" si="4"/>
        <v>5</v>
      </c>
      <c r="C104" s="4">
        <f t="shared" si="3"/>
        <v>82012</v>
      </c>
      <c r="D104" s="43" t="s">
        <v>15</v>
      </c>
    </row>
    <row r="105">
      <c r="A105" s="43">
        <v>101.0</v>
      </c>
      <c r="B105" s="4">
        <f t="shared" si="4"/>
        <v>5</v>
      </c>
      <c r="C105" s="4">
        <f t="shared" si="3"/>
        <v>83012</v>
      </c>
      <c r="D105" s="43" t="s">
        <v>15</v>
      </c>
    </row>
    <row r="106">
      <c r="A106" s="43">
        <v>101.0</v>
      </c>
      <c r="B106" s="4">
        <f t="shared" si="4"/>
        <v>5</v>
      </c>
      <c r="C106" s="4">
        <f t="shared" si="3"/>
        <v>84012</v>
      </c>
      <c r="D106" s="43" t="s">
        <v>15</v>
      </c>
    </row>
    <row r="107">
      <c r="A107" s="43">
        <v>101.0</v>
      </c>
      <c r="B107" s="4">
        <f t="shared" si="4"/>
        <v>5</v>
      </c>
      <c r="C107" s="4">
        <f t="shared" si="3"/>
        <v>85012</v>
      </c>
      <c r="D107" s="43" t="s">
        <v>15</v>
      </c>
    </row>
    <row r="108">
      <c r="A108" s="43">
        <v>101.0</v>
      </c>
      <c r="B108" s="4">
        <f t="shared" si="4"/>
        <v>200</v>
      </c>
      <c r="C108" s="4">
        <v>88000.0</v>
      </c>
      <c r="D108" s="43" t="s">
        <v>43</v>
      </c>
    </row>
    <row r="109">
      <c r="A109" s="43">
        <v>101.0</v>
      </c>
      <c r="B109" s="4">
        <f t="shared" si="4"/>
        <v>200</v>
      </c>
      <c r="C109" s="4">
        <v>88001.0</v>
      </c>
      <c r="D109" s="43" t="s">
        <v>43</v>
      </c>
    </row>
    <row r="110">
      <c r="A110" s="43">
        <v>101.0</v>
      </c>
      <c r="B110" s="4">
        <f t="shared" si="4"/>
        <v>200</v>
      </c>
      <c r="C110" s="4">
        <v>88002.0</v>
      </c>
      <c r="D110" s="43" t="s">
        <v>43</v>
      </c>
    </row>
    <row r="111">
      <c r="A111" s="43">
        <v>101.0</v>
      </c>
      <c r="B111" s="4">
        <f t="shared" si="4"/>
        <v>200</v>
      </c>
      <c r="C111" s="4">
        <v>88003.0</v>
      </c>
      <c r="D111" s="43" t="s">
        <v>43</v>
      </c>
    </row>
    <row r="112">
      <c r="A112" s="43">
        <v>101.0</v>
      </c>
      <c r="B112" s="4">
        <f t="shared" si="4"/>
        <v>200</v>
      </c>
      <c r="C112" s="4">
        <v>88004.0</v>
      </c>
      <c r="D112" s="43" t="s">
        <v>43</v>
      </c>
    </row>
    <row r="113">
      <c r="A113" s="43">
        <v>101.0</v>
      </c>
      <c r="B113" s="4">
        <f t="shared" si="4"/>
        <v>200</v>
      </c>
      <c r="C113" s="4">
        <v>88005.0</v>
      </c>
      <c r="D113" s="43" t="s">
        <v>43</v>
      </c>
    </row>
    <row r="114">
      <c r="A114" s="43">
        <v>101.0</v>
      </c>
      <c r="B114" s="4">
        <f t="shared" si="4"/>
        <v>200</v>
      </c>
      <c r="C114" s="4">
        <v>88006.0</v>
      </c>
      <c r="D114" s="43" t="s">
        <v>43</v>
      </c>
    </row>
    <row r="115">
      <c r="A115" s="43">
        <v>101.0</v>
      </c>
      <c r="B115" s="4">
        <f t="shared" si="4"/>
        <v>200</v>
      </c>
      <c r="C115" s="4">
        <v>88007.0</v>
      </c>
      <c r="D115" s="43" t="s">
        <v>43</v>
      </c>
    </row>
    <row r="116">
      <c r="A116" s="43">
        <v>101.0</v>
      </c>
      <c r="B116" s="4">
        <f t="shared" si="4"/>
        <v>200</v>
      </c>
      <c r="C116" s="4">
        <v>88008.0</v>
      </c>
      <c r="D116" s="43" t="s">
        <v>43</v>
      </c>
    </row>
    <row r="117">
      <c r="A117" s="43">
        <v>101.0</v>
      </c>
      <c r="B117" s="4">
        <f t="shared" si="4"/>
        <v>200</v>
      </c>
      <c r="C117" s="4">
        <v>88009.0</v>
      </c>
      <c r="D117" s="43" t="s">
        <v>43</v>
      </c>
    </row>
    <row r="118">
      <c r="A118" s="43">
        <v>101.0</v>
      </c>
      <c r="B118" s="4">
        <v>110.0</v>
      </c>
      <c r="C118" s="4">
        <v>88010.0</v>
      </c>
      <c r="D118" s="43" t="s">
        <v>43</v>
      </c>
    </row>
    <row r="119">
      <c r="A119" s="43">
        <v>101.0</v>
      </c>
      <c r="B119" s="4">
        <f t="shared" ref="B119:B149" si="5">if(D119="R",200,if(D119="SR",45,if(D119="SSR",5)))</f>
        <v>200</v>
      </c>
      <c r="C119" s="4">
        <v>88011.0</v>
      </c>
      <c r="D119" s="43" t="s">
        <v>43</v>
      </c>
    </row>
    <row r="120">
      <c r="A120" s="43">
        <v>101.0</v>
      </c>
      <c r="B120" s="4">
        <f t="shared" si="5"/>
        <v>200</v>
      </c>
      <c r="C120" s="4">
        <v>88012.0</v>
      </c>
      <c r="D120" s="43" t="s">
        <v>43</v>
      </c>
    </row>
    <row r="121">
      <c r="A121" s="43">
        <v>101.0</v>
      </c>
      <c r="B121" s="4">
        <f t="shared" si="5"/>
        <v>200</v>
      </c>
      <c r="C121" s="4">
        <v>88013.0</v>
      </c>
      <c r="D121" s="43" t="s">
        <v>43</v>
      </c>
    </row>
    <row r="122">
      <c r="A122" s="43">
        <v>101.0</v>
      </c>
      <c r="B122" s="4">
        <f t="shared" si="5"/>
        <v>200</v>
      </c>
      <c r="C122" s="4">
        <v>88014.0</v>
      </c>
      <c r="D122" s="43" t="s">
        <v>43</v>
      </c>
    </row>
    <row r="123">
      <c r="A123" s="43">
        <v>101.0</v>
      </c>
      <c r="B123" s="4">
        <f t="shared" si="5"/>
        <v>200</v>
      </c>
      <c r="C123" s="4">
        <v>88015.0</v>
      </c>
      <c r="D123" s="43" t="s">
        <v>43</v>
      </c>
    </row>
    <row r="124">
      <c r="A124" s="43">
        <v>101.0</v>
      </c>
      <c r="B124" s="4">
        <f t="shared" si="5"/>
        <v>200</v>
      </c>
      <c r="C124" s="4">
        <v>88016.0</v>
      </c>
      <c r="D124" s="43" t="s">
        <v>43</v>
      </c>
    </row>
    <row r="125">
      <c r="A125" s="43">
        <v>101.0</v>
      </c>
      <c r="B125" s="4">
        <f t="shared" si="5"/>
        <v>200</v>
      </c>
      <c r="C125" s="4">
        <v>88017.0</v>
      </c>
      <c r="D125" s="43" t="s">
        <v>43</v>
      </c>
    </row>
    <row r="126">
      <c r="A126" s="43">
        <v>101.0</v>
      </c>
      <c r="B126" s="4">
        <f t="shared" si="5"/>
        <v>200</v>
      </c>
      <c r="C126" s="4">
        <v>88018.0</v>
      </c>
      <c r="D126" s="43" t="s">
        <v>43</v>
      </c>
    </row>
    <row r="127">
      <c r="A127" s="43">
        <v>101.0</v>
      </c>
      <c r="B127" s="4">
        <f t="shared" si="5"/>
        <v>200</v>
      </c>
      <c r="C127" s="4">
        <v>88019.0</v>
      </c>
      <c r="D127" s="43" t="s">
        <v>43</v>
      </c>
    </row>
    <row r="128">
      <c r="A128" s="43">
        <v>101.0</v>
      </c>
      <c r="B128" s="4">
        <f t="shared" si="5"/>
        <v>45</v>
      </c>
      <c r="C128" s="4">
        <v>88020.0</v>
      </c>
      <c r="D128" s="43" t="s">
        <v>33</v>
      </c>
    </row>
    <row r="129">
      <c r="A129" s="43">
        <v>101.0</v>
      </c>
      <c r="B129" s="4">
        <f t="shared" si="5"/>
        <v>45</v>
      </c>
      <c r="C129" s="4">
        <v>88021.0</v>
      </c>
      <c r="D129" s="43" t="s">
        <v>33</v>
      </c>
    </row>
    <row r="130">
      <c r="A130" s="43">
        <v>101.0</v>
      </c>
      <c r="B130" s="4">
        <f t="shared" si="5"/>
        <v>45</v>
      </c>
      <c r="C130" s="4">
        <v>88022.0</v>
      </c>
      <c r="D130" s="43" t="s">
        <v>33</v>
      </c>
    </row>
    <row r="131">
      <c r="A131" s="43">
        <v>101.0</v>
      </c>
      <c r="B131" s="4">
        <f t="shared" si="5"/>
        <v>45</v>
      </c>
      <c r="C131" s="4">
        <v>88023.0</v>
      </c>
      <c r="D131" s="43" t="s">
        <v>33</v>
      </c>
    </row>
    <row r="132">
      <c r="A132" s="43">
        <v>101.0</v>
      </c>
      <c r="B132" s="4">
        <f t="shared" si="5"/>
        <v>45</v>
      </c>
      <c r="C132" s="4">
        <v>88024.0</v>
      </c>
      <c r="D132" s="43" t="s">
        <v>33</v>
      </c>
    </row>
    <row r="133">
      <c r="A133" s="43">
        <v>101.0</v>
      </c>
      <c r="B133" s="4">
        <f t="shared" si="5"/>
        <v>45</v>
      </c>
      <c r="C133" s="4">
        <v>88025.0</v>
      </c>
      <c r="D133" s="43" t="s">
        <v>33</v>
      </c>
    </row>
    <row r="134">
      <c r="A134" s="43">
        <v>101.0</v>
      </c>
      <c r="B134" s="4">
        <f t="shared" si="5"/>
        <v>45</v>
      </c>
      <c r="C134" s="4">
        <v>88026.0</v>
      </c>
      <c r="D134" s="43" t="s">
        <v>33</v>
      </c>
    </row>
    <row r="135">
      <c r="A135" s="43">
        <v>101.0</v>
      </c>
      <c r="B135" s="4">
        <f t="shared" si="5"/>
        <v>45</v>
      </c>
      <c r="C135" s="4">
        <v>88027.0</v>
      </c>
      <c r="D135" s="43" t="s">
        <v>33</v>
      </c>
    </row>
    <row r="136">
      <c r="A136" s="43">
        <v>101.0</v>
      </c>
      <c r="B136" s="4">
        <f t="shared" si="5"/>
        <v>45</v>
      </c>
      <c r="C136" s="4">
        <v>88028.0</v>
      </c>
      <c r="D136" s="43" t="s">
        <v>33</v>
      </c>
    </row>
    <row r="137">
      <c r="A137" s="43">
        <v>101.0</v>
      </c>
      <c r="B137" s="4">
        <f t="shared" si="5"/>
        <v>45</v>
      </c>
      <c r="C137" s="4">
        <v>88029.0</v>
      </c>
      <c r="D137" s="43" t="s">
        <v>33</v>
      </c>
    </row>
    <row r="138">
      <c r="A138" s="43">
        <v>101.0</v>
      </c>
      <c r="B138" s="4">
        <f t="shared" si="5"/>
        <v>45</v>
      </c>
      <c r="C138" s="4">
        <v>88030.0</v>
      </c>
      <c r="D138" s="43" t="s">
        <v>33</v>
      </c>
    </row>
    <row r="139">
      <c r="A139" s="43">
        <v>101.0</v>
      </c>
      <c r="B139" s="4">
        <f t="shared" si="5"/>
        <v>45</v>
      </c>
      <c r="C139" s="4">
        <v>88031.0</v>
      </c>
      <c r="D139" s="43" t="s">
        <v>33</v>
      </c>
    </row>
    <row r="140">
      <c r="A140" s="43">
        <v>101.0</v>
      </c>
      <c r="B140" s="4">
        <f t="shared" si="5"/>
        <v>5</v>
      </c>
      <c r="C140" s="4">
        <v>88032.0</v>
      </c>
      <c r="D140" s="43" t="s">
        <v>15</v>
      </c>
    </row>
    <row r="141">
      <c r="A141" s="43">
        <v>101.0</v>
      </c>
      <c r="B141" s="4">
        <f t="shared" si="5"/>
        <v>5</v>
      </c>
      <c r="C141" s="4">
        <v>88033.0</v>
      </c>
      <c r="D141" s="43" t="s">
        <v>15</v>
      </c>
    </row>
    <row r="142">
      <c r="A142" s="43">
        <v>101.0</v>
      </c>
      <c r="B142" s="4">
        <f t="shared" si="5"/>
        <v>5</v>
      </c>
      <c r="C142" s="4">
        <v>88034.0</v>
      </c>
      <c r="D142" s="43" t="s">
        <v>15</v>
      </c>
    </row>
    <row r="143">
      <c r="A143" s="43">
        <v>101.0</v>
      </c>
      <c r="B143" s="4">
        <f t="shared" si="5"/>
        <v>5</v>
      </c>
      <c r="C143" s="4">
        <v>88035.0</v>
      </c>
      <c r="D143" s="43" t="s">
        <v>15</v>
      </c>
    </row>
    <row r="144">
      <c r="A144" s="43">
        <v>101.0</v>
      </c>
      <c r="B144" s="4">
        <f t="shared" si="5"/>
        <v>5</v>
      </c>
      <c r="C144" s="4">
        <v>88036.0</v>
      </c>
      <c r="D144" s="43" t="s">
        <v>15</v>
      </c>
    </row>
    <row r="145">
      <c r="A145" s="43">
        <v>101.0</v>
      </c>
      <c r="B145" s="4">
        <f t="shared" si="5"/>
        <v>5</v>
      </c>
      <c r="C145" s="4">
        <v>88037.0</v>
      </c>
      <c r="D145" s="43" t="s">
        <v>15</v>
      </c>
    </row>
    <row r="146">
      <c r="A146" s="43">
        <v>101.0</v>
      </c>
      <c r="B146" s="4">
        <f t="shared" si="5"/>
        <v>5</v>
      </c>
      <c r="C146" s="4">
        <v>88038.0</v>
      </c>
      <c r="D146" s="43" t="s">
        <v>15</v>
      </c>
    </row>
    <row r="147">
      <c r="A147" s="43">
        <v>101.0</v>
      </c>
      <c r="B147" s="4">
        <f t="shared" si="5"/>
        <v>5</v>
      </c>
      <c r="C147" s="4">
        <v>88039.0</v>
      </c>
      <c r="D147" s="43" t="s">
        <v>15</v>
      </c>
    </row>
    <row r="148">
      <c r="A148" s="43">
        <v>101.0</v>
      </c>
      <c r="B148" s="4">
        <f t="shared" si="5"/>
        <v>200</v>
      </c>
      <c r="C148" s="4">
        <v>88040.0</v>
      </c>
      <c r="D148" s="43" t="s">
        <v>43</v>
      </c>
    </row>
    <row r="149">
      <c r="A149" s="43">
        <v>101.0</v>
      </c>
      <c r="B149" s="4">
        <f t="shared" si="5"/>
        <v>5</v>
      </c>
      <c r="C149" s="4">
        <v>88041.0</v>
      </c>
      <c r="D149" s="43" t="s">
        <v>15</v>
      </c>
    </row>
    <row r="152">
      <c r="A152" s="40" t="s">
        <v>1764</v>
      </c>
      <c r="B152" s="40" t="s">
        <v>1568</v>
      </c>
      <c r="C152" s="40" t="s">
        <v>1764</v>
      </c>
      <c r="D152" s="40" t="s">
        <v>2047</v>
      </c>
    </row>
    <row r="153">
      <c r="A153" s="43">
        <v>102.0</v>
      </c>
      <c r="B153" s="43">
        <v>400.0</v>
      </c>
      <c r="C153" s="43">
        <v>70001.0</v>
      </c>
      <c r="D153" s="43" t="s">
        <v>43</v>
      </c>
    </row>
    <row r="154">
      <c r="A154" s="43">
        <v>102.0</v>
      </c>
      <c r="B154" s="43">
        <v>400.0</v>
      </c>
      <c r="C154" s="43">
        <v>70002.0</v>
      </c>
      <c r="D154" s="43" t="s">
        <v>43</v>
      </c>
    </row>
    <row r="155">
      <c r="A155" s="43">
        <v>102.0</v>
      </c>
      <c r="B155" s="43">
        <v>400.0</v>
      </c>
      <c r="C155" s="43">
        <v>70003.0</v>
      </c>
      <c r="D155" s="43" t="s">
        <v>43</v>
      </c>
    </row>
    <row r="156">
      <c r="A156" s="43">
        <v>102.0</v>
      </c>
      <c r="B156" s="43">
        <f t="shared" ref="B156:B162" si="6">if(D156="R",300,if(D156="SR",50,if(D156="SSR",10)))</f>
        <v>50</v>
      </c>
      <c r="C156" s="43">
        <v>70004.0</v>
      </c>
      <c r="D156" s="43" t="s">
        <v>33</v>
      </c>
    </row>
    <row r="157">
      <c r="A157" s="43">
        <v>102.0</v>
      </c>
      <c r="B157" s="43">
        <f t="shared" si="6"/>
        <v>50</v>
      </c>
      <c r="C157" s="43">
        <v>70005.0</v>
      </c>
      <c r="D157" s="43" t="s">
        <v>33</v>
      </c>
    </row>
    <row r="158">
      <c r="A158" s="43">
        <v>102.0</v>
      </c>
      <c r="B158" s="43">
        <f t="shared" si="6"/>
        <v>50</v>
      </c>
      <c r="C158" s="43">
        <v>70006.0</v>
      </c>
      <c r="D158" s="43" t="s">
        <v>33</v>
      </c>
    </row>
    <row r="159">
      <c r="A159" s="43">
        <v>102.0</v>
      </c>
      <c r="B159" s="43">
        <f t="shared" si="6"/>
        <v>50</v>
      </c>
      <c r="C159" s="43">
        <v>70007.0</v>
      </c>
      <c r="D159" s="43" t="s">
        <v>33</v>
      </c>
    </row>
    <row r="160">
      <c r="A160" s="43">
        <v>102.0</v>
      </c>
      <c r="B160" s="43">
        <f t="shared" si="6"/>
        <v>10</v>
      </c>
      <c r="C160" s="43">
        <v>70008.0</v>
      </c>
      <c r="D160" s="43" t="s">
        <v>15</v>
      </c>
    </row>
    <row r="161">
      <c r="A161" s="43">
        <v>102.0</v>
      </c>
      <c r="B161" s="43">
        <f t="shared" si="6"/>
        <v>10</v>
      </c>
      <c r="C161" s="43">
        <v>70009.0</v>
      </c>
      <c r="D161" s="43" t="s">
        <v>15</v>
      </c>
    </row>
    <row r="162">
      <c r="A162" s="43">
        <v>102.0</v>
      </c>
      <c r="B162" s="43">
        <f t="shared" si="6"/>
        <v>10</v>
      </c>
      <c r="C162" s="43">
        <v>70010.0</v>
      </c>
      <c r="D162" s="43" t="s">
        <v>15</v>
      </c>
    </row>
    <row r="163">
      <c r="A163" s="43">
        <v>102.0</v>
      </c>
      <c r="B163" s="43">
        <v>400.0</v>
      </c>
      <c r="C163" s="43">
        <v>70011.0</v>
      </c>
      <c r="D163" s="43" t="s">
        <v>43</v>
      </c>
    </row>
    <row r="164">
      <c r="A164" s="43">
        <v>102.0</v>
      </c>
      <c r="B164" s="43">
        <v>400.0</v>
      </c>
      <c r="C164" s="43">
        <v>70012.0</v>
      </c>
      <c r="D164" s="43" t="s">
        <v>43</v>
      </c>
    </row>
    <row r="165">
      <c r="A165" s="43">
        <v>102.0</v>
      </c>
      <c r="B165" s="43">
        <v>400.0</v>
      </c>
      <c r="C165" s="43">
        <v>70013.0</v>
      </c>
      <c r="D165" s="43" t="s">
        <v>43</v>
      </c>
    </row>
    <row r="166">
      <c r="A166" s="43">
        <v>102.0</v>
      </c>
      <c r="B166" s="43">
        <f t="shared" ref="B166:B172" si="7">if(D166="R",300,if(D166="SR",50,if(D166="SSR",10)))</f>
        <v>50</v>
      </c>
      <c r="C166" s="43">
        <v>70014.0</v>
      </c>
      <c r="D166" s="43" t="s">
        <v>33</v>
      </c>
    </row>
    <row r="167">
      <c r="A167" s="43">
        <v>102.0</v>
      </c>
      <c r="B167" s="43">
        <f t="shared" si="7"/>
        <v>50</v>
      </c>
      <c r="C167" s="43">
        <v>70015.0</v>
      </c>
      <c r="D167" s="43" t="s">
        <v>33</v>
      </c>
    </row>
    <row r="168">
      <c r="A168" s="43">
        <v>102.0</v>
      </c>
      <c r="B168" s="43">
        <f t="shared" si="7"/>
        <v>50</v>
      </c>
      <c r="C168" s="43">
        <v>70016.0</v>
      </c>
      <c r="D168" s="43" t="s">
        <v>33</v>
      </c>
    </row>
    <row r="169">
      <c r="A169" s="43">
        <v>102.0</v>
      </c>
      <c r="B169" s="43">
        <f t="shared" si="7"/>
        <v>50</v>
      </c>
      <c r="C169" s="43">
        <v>70017.0</v>
      </c>
      <c r="D169" s="43" t="s">
        <v>33</v>
      </c>
    </row>
    <row r="170">
      <c r="A170" s="43">
        <v>102.0</v>
      </c>
      <c r="B170" s="43">
        <f t="shared" si="7"/>
        <v>10</v>
      </c>
      <c r="C170" s="43">
        <v>70018.0</v>
      </c>
      <c r="D170" s="43" t="s">
        <v>15</v>
      </c>
    </row>
    <row r="171">
      <c r="A171" s="43">
        <v>102.0</v>
      </c>
      <c r="B171" s="43">
        <f t="shared" si="7"/>
        <v>10</v>
      </c>
      <c r="C171" s="43">
        <v>70019.0</v>
      </c>
      <c r="D171" s="43" t="s">
        <v>15</v>
      </c>
    </row>
    <row r="172">
      <c r="A172" s="43">
        <v>102.0</v>
      </c>
      <c r="B172" s="43">
        <f t="shared" si="7"/>
        <v>10</v>
      </c>
      <c r="C172" s="43">
        <v>70020.0</v>
      </c>
      <c r="D172" s="43" t="s">
        <v>15</v>
      </c>
    </row>
    <row r="173">
      <c r="A173" s="43">
        <v>102.0</v>
      </c>
      <c r="B173" s="43">
        <v>400.0</v>
      </c>
      <c r="C173" s="43">
        <v>70021.0</v>
      </c>
      <c r="D173" s="43" t="s">
        <v>43</v>
      </c>
    </row>
    <row r="174">
      <c r="A174" s="43">
        <v>102.0</v>
      </c>
      <c r="B174" s="43">
        <v>400.0</v>
      </c>
      <c r="C174" s="43">
        <v>70022.0</v>
      </c>
      <c r="D174" s="43" t="s">
        <v>43</v>
      </c>
    </row>
    <row r="175">
      <c r="A175" s="43">
        <v>102.0</v>
      </c>
      <c r="B175" s="43">
        <v>400.0</v>
      </c>
      <c r="C175" s="43">
        <v>70023.0</v>
      </c>
      <c r="D175" s="43" t="s">
        <v>43</v>
      </c>
    </row>
    <row r="176">
      <c r="A176" s="43">
        <v>102.0</v>
      </c>
      <c r="B176" s="43">
        <f t="shared" ref="B176:B222" si="8">if(D176="R",300,if(D176="SR",50,if(D176="SSR",10)))</f>
        <v>50</v>
      </c>
      <c r="C176" s="43">
        <v>70024.0</v>
      </c>
      <c r="D176" s="43" t="s">
        <v>33</v>
      </c>
    </row>
    <row r="177">
      <c r="A177" s="43">
        <v>102.0</v>
      </c>
      <c r="B177" s="43">
        <f t="shared" si="8"/>
        <v>50</v>
      </c>
      <c r="C177" s="43">
        <v>70025.0</v>
      </c>
      <c r="D177" s="43" t="s">
        <v>33</v>
      </c>
    </row>
    <row r="178">
      <c r="A178" s="43">
        <v>102.0</v>
      </c>
      <c r="B178" s="43">
        <f t="shared" si="8"/>
        <v>50</v>
      </c>
      <c r="C178" s="43">
        <v>70026.0</v>
      </c>
      <c r="D178" s="43" t="s">
        <v>33</v>
      </c>
    </row>
    <row r="179">
      <c r="A179" s="43">
        <v>102.0</v>
      </c>
      <c r="B179" s="43">
        <f t="shared" si="8"/>
        <v>50</v>
      </c>
      <c r="C179" s="43">
        <v>70027.0</v>
      </c>
      <c r="D179" s="43" t="s">
        <v>33</v>
      </c>
    </row>
    <row r="180">
      <c r="A180" s="43">
        <v>102.0</v>
      </c>
      <c r="B180" s="43">
        <f t="shared" si="8"/>
        <v>10</v>
      </c>
      <c r="C180" s="43">
        <v>70028.0</v>
      </c>
      <c r="D180" s="43" t="s">
        <v>15</v>
      </c>
    </row>
    <row r="181">
      <c r="A181" s="43">
        <v>102.0</v>
      </c>
      <c r="B181" s="43">
        <f t="shared" si="8"/>
        <v>10</v>
      </c>
      <c r="C181" s="43">
        <v>70029.0</v>
      </c>
      <c r="D181" s="43" t="s">
        <v>15</v>
      </c>
    </row>
    <row r="182">
      <c r="A182" s="43">
        <v>102.0</v>
      </c>
      <c r="B182" s="43">
        <f t="shared" si="8"/>
        <v>10</v>
      </c>
      <c r="C182" s="43">
        <v>70030.0</v>
      </c>
      <c r="D182" s="43" t="s">
        <v>15</v>
      </c>
    </row>
    <row r="183">
      <c r="A183" s="43">
        <v>102.0</v>
      </c>
      <c r="B183" s="43">
        <f t="shared" si="8"/>
        <v>300</v>
      </c>
      <c r="C183" s="43">
        <v>70031.0</v>
      </c>
      <c r="D183" s="43" t="s">
        <v>43</v>
      </c>
    </row>
    <row r="184">
      <c r="A184" s="43">
        <v>102.0</v>
      </c>
      <c r="B184" s="43">
        <f t="shared" si="8"/>
        <v>300</v>
      </c>
      <c r="C184" s="43">
        <v>70032.0</v>
      </c>
      <c r="D184" s="43" t="s">
        <v>43</v>
      </c>
    </row>
    <row r="185">
      <c r="A185" s="43">
        <v>102.0</v>
      </c>
      <c r="B185" s="43">
        <f t="shared" si="8"/>
        <v>300</v>
      </c>
      <c r="C185" s="43">
        <v>70033.0</v>
      </c>
      <c r="D185" s="43" t="s">
        <v>43</v>
      </c>
    </row>
    <row r="186">
      <c r="A186" s="43">
        <v>102.0</v>
      </c>
      <c r="B186" s="43">
        <f t="shared" si="8"/>
        <v>50</v>
      </c>
      <c r="C186" s="43">
        <v>70034.0</v>
      </c>
      <c r="D186" s="43" t="s">
        <v>33</v>
      </c>
    </row>
    <row r="187">
      <c r="A187" s="43">
        <v>102.0</v>
      </c>
      <c r="B187" s="43">
        <f t="shared" si="8"/>
        <v>50</v>
      </c>
      <c r="C187" s="43">
        <v>70035.0</v>
      </c>
      <c r="D187" s="43" t="s">
        <v>33</v>
      </c>
    </row>
    <row r="188">
      <c r="A188" s="43">
        <v>102.0</v>
      </c>
      <c r="B188" s="43">
        <f t="shared" si="8"/>
        <v>50</v>
      </c>
      <c r="C188" s="43">
        <v>70036.0</v>
      </c>
      <c r="D188" s="43" t="s">
        <v>33</v>
      </c>
    </row>
    <row r="189">
      <c r="A189" s="43">
        <v>102.0</v>
      </c>
      <c r="B189" s="43">
        <f t="shared" si="8"/>
        <v>50</v>
      </c>
      <c r="C189" s="43">
        <v>70037.0</v>
      </c>
      <c r="D189" s="43" t="s">
        <v>33</v>
      </c>
    </row>
    <row r="190">
      <c r="A190" s="43">
        <v>102.0</v>
      </c>
      <c r="B190" s="43">
        <f t="shared" si="8"/>
        <v>10</v>
      </c>
      <c r="C190" s="43">
        <v>70038.0</v>
      </c>
      <c r="D190" s="43" t="s">
        <v>15</v>
      </c>
    </row>
    <row r="191">
      <c r="A191" s="43">
        <v>102.0</v>
      </c>
      <c r="B191" s="43">
        <f t="shared" si="8"/>
        <v>10</v>
      </c>
      <c r="C191" s="43">
        <v>70039.0</v>
      </c>
      <c r="D191" s="43" t="s">
        <v>15</v>
      </c>
    </row>
    <row r="192">
      <c r="A192" s="43">
        <v>102.0</v>
      </c>
      <c r="B192" s="43">
        <f t="shared" si="8"/>
        <v>10</v>
      </c>
      <c r="C192" s="43">
        <v>70040.0</v>
      </c>
      <c r="D192" s="43" t="s">
        <v>15</v>
      </c>
    </row>
    <row r="193">
      <c r="A193" s="43">
        <v>102.0</v>
      </c>
      <c r="B193" s="43">
        <f t="shared" si="8"/>
        <v>300</v>
      </c>
      <c r="C193" s="43">
        <v>70041.0</v>
      </c>
      <c r="D193" s="43" t="s">
        <v>43</v>
      </c>
    </row>
    <row r="194">
      <c r="A194" s="43">
        <v>102.0</v>
      </c>
      <c r="B194" s="43">
        <f t="shared" si="8"/>
        <v>300</v>
      </c>
      <c r="C194" s="43">
        <v>70042.0</v>
      </c>
      <c r="D194" s="43" t="s">
        <v>43</v>
      </c>
    </row>
    <row r="195">
      <c r="A195" s="43">
        <v>102.0</v>
      </c>
      <c r="B195" s="43">
        <f t="shared" si="8"/>
        <v>300</v>
      </c>
      <c r="C195" s="43">
        <v>70043.0</v>
      </c>
      <c r="D195" s="43" t="s">
        <v>43</v>
      </c>
    </row>
    <row r="196">
      <c r="A196" s="43">
        <v>102.0</v>
      </c>
      <c r="B196" s="43">
        <f t="shared" si="8"/>
        <v>50</v>
      </c>
      <c r="C196" s="43">
        <v>70044.0</v>
      </c>
      <c r="D196" s="43" t="s">
        <v>33</v>
      </c>
    </row>
    <row r="197">
      <c r="A197" s="43">
        <v>102.0</v>
      </c>
      <c r="B197" s="43">
        <f t="shared" si="8"/>
        <v>50</v>
      </c>
      <c r="C197" s="43">
        <v>70045.0</v>
      </c>
      <c r="D197" s="43" t="s">
        <v>33</v>
      </c>
    </row>
    <row r="198">
      <c r="A198" s="43">
        <v>102.0</v>
      </c>
      <c r="B198" s="43">
        <f t="shared" si="8"/>
        <v>50</v>
      </c>
      <c r="C198" s="43">
        <v>70046.0</v>
      </c>
      <c r="D198" s="43" t="s">
        <v>33</v>
      </c>
    </row>
    <row r="199">
      <c r="A199" s="43">
        <v>102.0</v>
      </c>
      <c r="B199" s="43">
        <f t="shared" si="8"/>
        <v>50</v>
      </c>
      <c r="C199" s="43">
        <v>70047.0</v>
      </c>
      <c r="D199" s="43" t="s">
        <v>33</v>
      </c>
    </row>
    <row r="200">
      <c r="A200" s="43">
        <v>102.0</v>
      </c>
      <c r="B200" s="43">
        <f t="shared" si="8"/>
        <v>10</v>
      </c>
      <c r="C200" s="43">
        <v>70048.0</v>
      </c>
      <c r="D200" s="43" t="s">
        <v>15</v>
      </c>
    </row>
    <row r="201">
      <c r="A201" s="43">
        <v>102.0</v>
      </c>
      <c r="B201" s="43">
        <f t="shared" si="8"/>
        <v>10</v>
      </c>
      <c r="C201" s="43">
        <v>70049.0</v>
      </c>
      <c r="D201" s="43" t="s">
        <v>15</v>
      </c>
    </row>
    <row r="202">
      <c r="A202" s="43">
        <v>102.0</v>
      </c>
      <c r="B202" s="43">
        <f t="shared" si="8"/>
        <v>10</v>
      </c>
      <c r="C202" s="43">
        <v>70050.0</v>
      </c>
      <c r="D202" s="43" t="s">
        <v>15</v>
      </c>
    </row>
    <row r="203">
      <c r="A203" s="43">
        <v>102.0</v>
      </c>
      <c r="B203" s="43">
        <f t="shared" si="8"/>
        <v>300</v>
      </c>
      <c r="C203" s="43">
        <v>70051.0</v>
      </c>
      <c r="D203" s="43" t="s">
        <v>43</v>
      </c>
    </row>
    <row r="204">
      <c r="A204" s="43">
        <v>102.0</v>
      </c>
      <c r="B204" s="43">
        <f t="shared" si="8"/>
        <v>300</v>
      </c>
      <c r="C204" s="43">
        <v>70052.0</v>
      </c>
      <c r="D204" s="43" t="s">
        <v>43</v>
      </c>
    </row>
    <row r="205">
      <c r="A205" s="43">
        <v>102.0</v>
      </c>
      <c r="B205" s="43">
        <f t="shared" si="8"/>
        <v>300</v>
      </c>
      <c r="C205" s="43">
        <v>70053.0</v>
      </c>
      <c r="D205" s="43" t="s">
        <v>43</v>
      </c>
    </row>
    <row r="206">
      <c r="A206" s="43">
        <v>102.0</v>
      </c>
      <c r="B206" s="43">
        <f t="shared" si="8"/>
        <v>50</v>
      </c>
      <c r="C206" s="43">
        <v>70054.0</v>
      </c>
      <c r="D206" s="43" t="s">
        <v>33</v>
      </c>
    </row>
    <row r="207">
      <c r="A207" s="43">
        <v>102.0</v>
      </c>
      <c r="B207" s="43">
        <f t="shared" si="8"/>
        <v>50</v>
      </c>
      <c r="C207" s="43">
        <v>70055.0</v>
      </c>
      <c r="D207" s="43" t="s">
        <v>33</v>
      </c>
    </row>
    <row r="208">
      <c r="A208" s="43">
        <v>102.0</v>
      </c>
      <c r="B208" s="43">
        <f t="shared" si="8"/>
        <v>50</v>
      </c>
      <c r="C208" s="43">
        <v>70056.0</v>
      </c>
      <c r="D208" s="43" t="s">
        <v>33</v>
      </c>
    </row>
    <row r="209">
      <c r="A209" s="43">
        <v>102.0</v>
      </c>
      <c r="B209" s="43">
        <f t="shared" si="8"/>
        <v>50</v>
      </c>
      <c r="C209" s="43">
        <v>70057.0</v>
      </c>
      <c r="D209" s="43" t="s">
        <v>33</v>
      </c>
    </row>
    <row r="210">
      <c r="A210" s="43">
        <v>102.0</v>
      </c>
      <c r="B210" s="43">
        <f t="shared" si="8"/>
        <v>10</v>
      </c>
      <c r="C210" s="43">
        <v>70058.0</v>
      </c>
      <c r="D210" s="43" t="s">
        <v>15</v>
      </c>
    </row>
    <row r="211">
      <c r="A211" s="43">
        <v>102.0</v>
      </c>
      <c r="B211" s="43">
        <f t="shared" si="8"/>
        <v>10</v>
      </c>
      <c r="C211" s="43">
        <v>70059.0</v>
      </c>
      <c r="D211" s="43" t="s">
        <v>15</v>
      </c>
    </row>
    <row r="212">
      <c r="A212" s="43">
        <v>102.0</v>
      </c>
      <c r="B212" s="43">
        <f t="shared" si="8"/>
        <v>10</v>
      </c>
      <c r="C212" s="43">
        <v>70060.0</v>
      </c>
      <c r="D212" s="43" t="s">
        <v>15</v>
      </c>
    </row>
    <row r="213">
      <c r="A213" s="43">
        <v>102.0</v>
      </c>
      <c r="B213" s="43">
        <f t="shared" si="8"/>
        <v>300</v>
      </c>
      <c r="C213" s="43">
        <v>70061.0</v>
      </c>
      <c r="D213" s="43" t="s">
        <v>43</v>
      </c>
    </row>
    <row r="214">
      <c r="A214" s="43">
        <v>102.0</v>
      </c>
      <c r="B214" s="43">
        <f t="shared" si="8"/>
        <v>300</v>
      </c>
      <c r="C214" s="43">
        <v>70062.0</v>
      </c>
      <c r="D214" s="43" t="s">
        <v>43</v>
      </c>
    </row>
    <row r="215">
      <c r="A215" s="43">
        <v>102.0</v>
      </c>
      <c r="B215" s="43">
        <f t="shared" si="8"/>
        <v>300</v>
      </c>
      <c r="C215" s="43">
        <v>70063.0</v>
      </c>
      <c r="D215" s="43" t="s">
        <v>43</v>
      </c>
    </row>
    <row r="216">
      <c r="A216" s="43">
        <v>102.0</v>
      </c>
      <c r="B216" s="43">
        <f t="shared" si="8"/>
        <v>50</v>
      </c>
      <c r="C216" s="43">
        <v>70064.0</v>
      </c>
      <c r="D216" s="43" t="s">
        <v>33</v>
      </c>
    </row>
    <row r="217">
      <c r="A217" s="43">
        <v>102.0</v>
      </c>
      <c r="B217" s="43">
        <f t="shared" si="8"/>
        <v>50</v>
      </c>
      <c r="C217" s="43">
        <v>70065.0</v>
      </c>
      <c r="D217" s="43" t="s">
        <v>33</v>
      </c>
    </row>
    <row r="218">
      <c r="A218" s="43">
        <v>102.0</v>
      </c>
      <c r="B218" s="43">
        <f t="shared" si="8"/>
        <v>50</v>
      </c>
      <c r="C218" s="43">
        <v>70066.0</v>
      </c>
      <c r="D218" s="43" t="s">
        <v>33</v>
      </c>
    </row>
    <row r="219">
      <c r="A219" s="43">
        <v>102.0</v>
      </c>
      <c r="B219" s="43">
        <f t="shared" si="8"/>
        <v>50</v>
      </c>
      <c r="C219" s="43">
        <v>70067.0</v>
      </c>
      <c r="D219" s="43" t="s">
        <v>33</v>
      </c>
    </row>
    <row r="220">
      <c r="A220" s="43">
        <v>102.0</v>
      </c>
      <c r="B220" s="43">
        <f t="shared" si="8"/>
        <v>10</v>
      </c>
      <c r="C220" s="43">
        <v>70068.0</v>
      </c>
      <c r="D220" s="43" t="s">
        <v>15</v>
      </c>
    </row>
    <row r="221">
      <c r="A221" s="43">
        <v>102.0</v>
      </c>
      <c r="B221" s="43">
        <f t="shared" si="8"/>
        <v>10</v>
      </c>
      <c r="C221" s="43">
        <v>70069.0</v>
      </c>
      <c r="D221" s="43" t="s">
        <v>15</v>
      </c>
    </row>
    <row r="222">
      <c r="A222" s="43">
        <v>102.0</v>
      </c>
      <c r="B222" s="43">
        <f t="shared" si="8"/>
        <v>10</v>
      </c>
      <c r="C222" s="43">
        <v>70070.0</v>
      </c>
      <c r="D222" s="43" t="s">
        <v>15</v>
      </c>
    </row>
    <row r="223">
      <c r="A223" s="43">
        <v>102.0</v>
      </c>
      <c r="B223" s="43">
        <v>360.0</v>
      </c>
      <c r="C223" s="43">
        <v>70071.0</v>
      </c>
      <c r="D223" s="43" t="s">
        <v>43</v>
      </c>
    </row>
    <row r="224">
      <c r="A224" s="43">
        <v>102.0</v>
      </c>
      <c r="B224" s="43">
        <f t="shared" ref="B224:B232" si="9">if(D224="R",300,if(D224="SR",50,if(D224="SSR",10)))</f>
        <v>300</v>
      </c>
      <c r="C224" s="43">
        <v>70072.0</v>
      </c>
      <c r="D224" s="43" t="s">
        <v>43</v>
      </c>
    </row>
    <row r="225">
      <c r="A225" s="43">
        <v>102.0</v>
      </c>
      <c r="B225" s="43">
        <f t="shared" si="9"/>
        <v>300</v>
      </c>
      <c r="C225" s="43">
        <v>70073.0</v>
      </c>
      <c r="D225" s="43" t="s">
        <v>43</v>
      </c>
    </row>
    <row r="226">
      <c r="A226" s="43">
        <v>102.0</v>
      </c>
      <c r="B226" s="43">
        <f t="shared" si="9"/>
        <v>50</v>
      </c>
      <c r="C226" s="43">
        <v>70074.0</v>
      </c>
      <c r="D226" s="43" t="s">
        <v>33</v>
      </c>
    </row>
    <row r="227">
      <c r="A227" s="43">
        <v>102.0</v>
      </c>
      <c r="B227" s="43">
        <f t="shared" si="9"/>
        <v>50</v>
      </c>
      <c r="C227" s="43">
        <v>70075.0</v>
      </c>
      <c r="D227" s="43" t="s">
        <v>33</v>
      </c>
    </row>
    <row r="228">
      <c r="A228" s="43">
        <v>102.0</v>
      </c>
      <c r="B228" s="43">
        <f t="shared" si="9"/>
        <v>50</v>
      </c>
      <c r="C228" s="43">
        <v>70076.0</v>
      </c>
      <c r="D228" s="43" t="s">
        <v>33</v>
      </c>
    </row>
    <row r="229">
      <c r="A229" s="43">
        <v>102.0</v>
      </c>
      <c r="B229" s="43">
        <f t="shared" si="9"/>
        <v>50</v>
      </c>
      <c r="C229" s="43">
        <v>70077.0</v>
      </c>
      <c r="D229" s="43" t="s">
        <v>33</v>
      </c>
    </row>
    <row r="230">
      <c r="A230" s="43">
        <v>102.0</v>
      </c>
      <c r="B230" s="43">
        <f t="shared" si="9"/>
        <v>10</v>
      </c>
      <c r="C230" s="43">
        <v>70078.0</v>
      </c>
      <c r="D230" s="43" t="s">
        <v>15</v>
      </c>
    </row>
    <row r="231">
      <c r="A231" s="43">
        <v>102.0</v>
      </c>
      <c r="B231" s="43">
        <f t="shared" si="9"/>
        <v>10</v>
      </c>
      <c r="C231" s="43">
        <v>70079.0</v>
      </c>
      <c r="D231" s="43" t="s">
        <v>15</v>
      </c>
    </row>
    <row r="232">
      <c r="A232" s="43">
        <v>102.0</v>
      </c>
      <c r="B232" s="43">
        <f t="shared" si="9"/>
        <v>10</v>
      </c>
      <c r="C232" s="43">
        <v>70080.0</v>
      </c>
      <c r="D232" s="43" t="s">
        <v>15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0" t="s">
        <v>1764</v>
      </c>
      <c r="B2" s="40" t="s">
        <v>934</v>
      </c>
      <c r="C2" s="40" t="s">
        <v>2116</v>
      </c>
      <c r="D2" s="40" t="s">
        <v>2117</v>
      </c>
      <c r="E2" s="40" t="s">
        <v>2118</v>
      </c>
      <c r="F2" s="40" t="s">
        <v>2119</v>
      </c>
      <c r="G2" s="40" t="s">
        <v>935</v>
      </c>
      <c r="H2" s="40" t="s">
        <v>936</v>
      </c>
    </row>
    <row r="3">
      <c r="A3" s="43">
        <v>100.0</v>
      </c>
      <c r="B3" s="43" t="s">
        <v>108</v>
      </c>
      <c r="C3" s="43">
        <v>1001.0</v>
      </c>
      <c r="D3" s="43">
        <v>5.0</v>
      </c>
      <c r="E3" s="43">
        <v>1001.0</v>
      </c>
      <c r="F3" s="43">
        <v>50.0</v>
      </c>
      <c r="G3" s="94">
        <v>46245.99930555555</v>
      </c>
      <c r="H3" s="94">
        <v>46610.99930555555</v>
      </c>
    </row>
    <row r="4">
      <c r="A4" s="43">
        <v>101.0</v>
      </c>
      <c r="B4" s="43" t="s">
        <v>2120</v>
      </c>
      <c r="C4" s="43">
        <v>1001.0</v>
      </c>
      <c r="D4" s="43">
        <v>5.0</v>
      </c>
      <c r="E4" s="43">
        <v>1001.0</v>
      </c>
      <c r="F4" s="43">
        <v>50.0</v>
      </c>
      <c r="G4" s="94">
        <v>46245.99930555555</v>
      </c>
      <c r="H4" s="94">
        <v>46610.99930555555</v>
      </c>
    </row>
    <row r="5">
      <c r="A5" s="43">
        <v>102.0</v>
      </c>
      <c r="B5" s="43" t="s">
        <v>2121</v>
      </c>
      <c r="C5" s="43">
        <v>1001.0</v>
      </c>
      <c r="D5" s="43">
        <v>5.0</v>
      </c>
      <c r="E5" s="43">
        <v>1001.0</v>
      </c>
      <c r="F5" s="43">
        <v>50.0</v>
      </c>
      <c r="G5" s="94">
        <v>46245.99930555555</v>
      </c>
      <c r="H5" s="94">
        <v>46610.99930555555</v>
      </c>
    </row>
  </sheetData>
  <drawing r:id="rId1"/>
</worksheet>
</file>